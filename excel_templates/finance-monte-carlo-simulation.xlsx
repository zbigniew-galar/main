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r:id="rId1" name="Inputs" sheetId="1"/>
    <sheet r:id="rId2" name="Simulation" sheetId="2"/>
    <sheet r:id="rId3" name="Analysis" sheetId="3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<sst xmlns="http://schemas.openxmlformats.org/spreadsheetml/2006/main" count="49" uniqueCount="49">
  <si>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Monte Carlo Simulation</t>
  </si>
  <si>
    <t>Project Cost Estimation with Uncertainty Analysis</t>
  </si>
  <si>
    <t>INPUT VARIABLES</t>
  </si>
  <si>
    <t>Variable</t>
  </si>
  <si>
    <t>Minimum</t>
  </si>
  <si>
    <t>Most Likely</t>
  </si>
  <si>
    <t>Maximum</t>
  </si>
  <si>
    <t>Distribution</t>
  </si>
  <si>
    <t>Random Value</t>
  </si>
  <si>
    <t>Labor Cost</t>
  </si>
  <si>
    <t>Triangular</t>
  </si>
  <si>
    <t>Materials Cost</t>
  </si>
  <si>
    <t>Equipment Rental</t>
  </si>
  <si>
    <t>Permits &amp; Fees</t>
  </si>
  <si>
    <t>Contingency</t>
  </si>
  <si>
    <t>SIMULATION MODEL</t>
  </si>
  <si>
    <t>Total Project Cost</t>
  </si>
  <si>
    <t>Expected Range</t>
  </si>
  <si>
    <t>$86,000 — $216,000</t>
  </si>
  <si>
    <t>Simulation Results</t>
  </si>
  <si>
    <t>1,000 iterations using triangular distributions</t>
  </si>
  <si>
    <t>SIMULATION OUTPUT</t>
  </si>
  <si>
    <t>Iteration</t>
  </si>
  <si>
    <t>Total Cost</t>
  </si>
  <si>
    <t>Simulation Analysis</t>
  </si>
  <si>
    <t>Statistical summary and distribution of results</t>
  </si>
  <si>
    <t>SUMMARY STATISTICS</t>
  </si>
  <si>
    <t>HISTOGRAM DATA</t>
  </si>
  <si>
    <t>Bin (Upper Bound)</t>
  </si>
  <si>
    <t>Frequency</t>
  </si>
  <si>
    <t>Cum. %</t>
  </si>
  <si>
    <t>Iterations</t>
  </si>
  <si>
    <t>Mean</t>
  </si>
  <si>
    <t>Median</t>
  </si>
  <si>
    <t>Standard Deviation</t>
  </si>
  <si>
    <t>Range</t>
  </si>
  <si>
    <t>PERCENTILE ANALYSIS</t>
  </si>
  <si>
    <t>P5 (5th Percentile)</t>
  </si>
  <si>
    <t>P10 (10th Percentile)</t>
  </si>
  <si>
    <t>P25 (25th Percentile)</t>
  </si>
  <si>
    <t>P50 (Median)</t>
  </si>
  <si>
    <t>P75 (75th Percentile)</t>
  </si>
  <si>
    <t>P90 (90th Percentile)</t>
  </si>
  <si>
    <t>P95 (95th Percentile)</t>
  </si>
  <si>
    <t>CONFIDENCE INTERVALS</t>
  </si>
  <si>
    <t>80% CI (P10 – P90)</t>
  </si>
  <si>
    <t>$124,804 — $166,129</t>
  </si>
  <si>
    <t>90% CI (P5 – P95)</t>
  </si>
  <si>
    <t>$120,918 — $172,556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</si>
</sst>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261" formatCode="&quot;$&quot;#,##0"/>
    <numFmt numFmtId="1268" formatCode="0.0%"/>
  </numFmts>
  <fonts count="13">
    <font>
      <b val="0"/>
      <i val="0"/>
      <sz val="12"/>
      <color theme="1"/>
      <name val="Calibri"/>
      <scheme val="minor"/>
    </font>
    <font>
      <b val="0"/>
      <i val="0"/>
      <sz val="12"/>
      <color theme="1"/>
      <name val="Aptos Narrow"/>
      <scheme val="minor"/>
    </font>
    <font>
      <b/>
      <i val="0"/>
      <sz val="18"/>
      <color rgb="FF2B4C7E"/>
      <name val="Aptos"/>
    </font>
    <font>
      <b val="0"/>
      <i/>
      <sz val="11"/>
      <color rgb="FF5B7BA5"/>
      <name val="Aptos"/>
    </font>
    <font>
      <b/>
      <i val="0"/>
      <sz val="12"/>
      <color rgb="FFFFFFFF"/>
      <name val="Aptos"/>
    </font>
    <font>
      <b val="0"/>
      <i val="0"/>
      <sz val="11"/>
      <color rgb="FFFFFFFF"/>
      <name val="Aptos"/>
    </font>
    <font>
      <b/>
      <i val="0"/>
      <sz val="11"/>
      <color rgb="FF2B4C7E"/>
      <name val="Aptos"/>
    </font>
    <font>
      <b val="0"/>
      <i val="0"/>
      <sz val="11"/>
      <color auto="1"/>
      <name val="Aptos"/>
    </font>
    <font>
      <b val="0"/>
      <i val="0"/>
      <sz val="11"/>
      <color rgb="FF0070C0"/>
      <name val="Aptos"/>
    </font>
    <font>
      <b/>
      <i val="0"/>
      <sz val="11"/>
      <color auto="1"/>
      <name val="Aptos"/>
    </font>
    <font>
      <b val="0"/>
      <i val="0"/>
      <sz val="11"/>
      <color rgb="FF5B7BA5"/>
      <name val="Aptos"/>
    </font>
    <font>
      <b val="0"/>
      <i val="0"/>
      <color auto="1"/>
      <name val="Calibri"/>
      <scheme val="minor"/>
    </font>
    <font>
      <b val="0"/>
      <i val="0"/>
      <sz val="12"/>
      <color auto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B4C7E"/>
      </patternFill>
    </fill>
    <fill>
      <patternFill patternType="solid">
        <fgColor rgb="FFE8EEF4"/>
      </patternFill>
    </fill>
    <fill>
      <patternFill patternType="solid">
        <fgColor rgb="FFF5F8FC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16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B0B0B0"/>
      </left>
      <top style="thin">
        <color rgb="FFB0B0B0"/>
      </top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</border>
    <border>
      <left style="thin">
        <color rgb="FFB0B0B0"/>
      </left>
      <right style="thin">
        <color rgb="FFB0B0B0"/>
      </right>
    </border>
    <border>
      <left/>
      <top/>
      <bottom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1"/>
  </cellStyleXfs>
  <cellXfs count="39">
    <xf numFmtId="0" fontId="0" fillId="0" borderId="1" xfId="0"/>
    <xf numFmtId="0" fontId="2" fillId="0" borderId="1" xfId="0">
      <alignment vertical="top"/>
    </xf>
    <xf numFmtId="0" fontId="3" fillId="0" borderId="1" xfId="0">
      <alignment vertical="top"/>
    </xf>
    <xf numFmtId="0" fontId="4" fillId="2" borderId="1" xfId="0">
      <alignment vertical="top"/>
    </xf>
    <xf numFmtId="0" fontId="5" fillId="2" borderId="1" xfId="0">
      <alignment vertical="top"/>
    </xf>
    <xf numFmtId="0" fontId="6" fillId="3" borderId="10" xfId="0">
      <alignment horizontal="center" vertical="top"/>
    </xf>
    <xf numFmtId="0" fontId="6" fillId="3" borderId="11" xfId="0">
      <alignment horizontal="center" vertical="top"/>
    </xf>
    <xf numFmtId="0" fontId="7" fillId="4" borderId="12" xfId="0">
      <alignment vertical="top"/>
    </xf>
    <xf numFmtId="1261" fontId="8" fillId="4" borderId="12" xfId="0">
      <alignment vertical="top"/>
    </xf>
    <xf numFmtId="0" fontId="8" fillId="4" borderId="12" xfId="0">
      <alignment vertical="top"/>
    </xf>
    <xf numFmtId="1261" fontId="7" fillId="4" borderId="13" xfId="0">
      <alignment vertical="top"/>
    </xf>
    <xf numFmtId="0" fontId="7" fillId="0" borderId="12" xfId="0">
      <alignment vertical="top"/>
    </xf>
    <xf numFmtId="1261" fontId="8" fillId="0" borderId="12" xfId="0">
      <alignment vertical="top"/>
    </xf>
    <xf numFmtId="0" fontId="8" fillId="0" borderId="12" xfId="0">
      <alignment vertical="top"/>
    </xf>
    <xf numFmtId="1261" fontId="7" fillId="0" borderId="13" xfId="0">
      <alignment vertical="top"/>
    </xf>
    <xf numFmtId="0" fontId="6" fillId="3" borderId="12" xfId="0">
      <alignment vertical="top"/>
    </xf>
    <xf numFmtId="0" fontId="9" fillId="0" borderId="1" xfId="0">
      <alignment vertical="top"/>
    </xf>
    <xf numFmtId="0" fontId="10" fillId="0" borderId="1" xfId="0">
      <alignment vertical="top"/>
    </xf>
    <xf numFmtId="0" fontId="7" fillId="0" borderId="10" xfId="0">
      <alignment vertical="top"/>
    </xf>
    <xf numFmtId="1261" fontId="7" fillId="0" borderId="11" xfId="0">
      <alignment vertical="top"/>
    </xf>
    <xf numFmtId="1" fontId="7" fillId="0" borderId="14" xfId="0">
      <alignment horizontal="center" vertical="top"/>
    </xf>
    <xf numFmtId="1261" fontId="7" fillId="0" borderId="15" xfId="0">
      <alignment vertical="top"/>
    </xf>
    <xf numFmtId="0" fontId="12" fillId="0" borderId="1" xfId="0">
      <alignment vertical="top"/>
    </xf>
    <xf numFmtId="0" fontId="7" fillId="0" borderId="1" xfId="0">
      <alignment vertical="top"/>
    </xf>
    <xf numFmtId="1" fontId="7" fillId="0" borderId="11" xfId="0">
      <alignment vertical="top"/>
    </xf>
    <xf numFmtId="1261" fontId="7" fillId="4" borderId="10" xfId="0">
      <alignment vertical="top"/>
    </xf>
    <xf numFmtId="1" fontId="7" fillId="4" borderId="10" xfId="0">
      <alignment horizontal="center" vertical="top"/>
    </xf>
    <xf numFmtId="1268" fontId="7" fillId="4" borderId="11" xfId="0">
      <alignment horizontal="center" vertical="top"/>
    </xf>
    <xf numFmtId="1261" fontId="7" fillId="0" borderId="10" xfId="0">
      <alignment vertical="top"/>
    </xf>
    <xf numFmtId="1" fontId="7" fillId="0" borderId="10" xfId="0">
      <alignment horizontal="center" vertical="top"/>
    </xf>
    <xf numFmtId="1268" fontId="7" fillId="0" borderId="11" xfId="0">
      <alignment horizontal="center" vertical="top"/>
    </xf>
    <xf numFmtId="1261" fontId="7" fillId="5" borderId="11" xfId="0">
      <alignment vertical="top"/>
    </xf>
    <xf numFmtId="1261" fontId="7" fillId="6" borderId="11" xfId="0">
      <alignment vertical="top"/>
    </xf>
    <xf numFmtId="1261" fontId="7" fillId="7" borderId="13" xfId="0">
      <alignment vertical="top"/>
    </xf>
    <xf numFmtId="1261" fontId="7" fillId="0" borderId="12" xfId="0">
      <alignment vertical="top"/>
    </xf>
    <xf numFmtId="1" fontId="7" fillId="0" borderId="12" xfId="0">
      <alignment horizontal="center" vertical="top"/>
    </xf>
    <xf numFmtId="1268" fontId="7" fillId="0" borderId="13" xfId="0">
      <alignment horizontal="center" vertical="top"/>
    </xf>
    <xf numFmtId="0" fontId="7" fillId="0" borderId="11" xfId="0">
      <alignment vertical="top"/>
    </xf>
    <xf numFmtId="0" fontId="7" fillId="0" borderId="1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2b4c7e"/>
                </a:solidFill>
                <a:latin typeface="Aptos"/>
              </a:defRPr>
            </a:pPr>
            <a:r>
              <a:rPr sz="750" b="0">
                <a:solidFill>
                  <a:srgbClr val="2b4c7e"/>
                </a:solidFill>
                <a:latin typeface="Aptos"/>
              </a:rPr>
              <a:t>Simulation Results Distribution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spPr>
            <a:solidFill>
              <a:srgbClr val="5b7ba5"/>
            </a:solidFill>
          </c:spPr>
          <c:cat>
            <c:numRef>
              <c:f>Analysis!$E$7:$E$26</c:f>
              <c:numCache>
                <c:formatCode>"$"#,##0</c:formatCode>
              </c:numCache>
            </c:numRef>
          </c:cat>
          <c:val>
            <c:numRef>
              <c:f>Analysis!$F$7:$F$26</c:f>
              <c:numCache>
                <c:formatCode>0</c:formatCode>
              </c:numCache>
            </c:numRef>
          </c:val>
          <c:extLst/>
          <c:invertIfNegative val="0"/>
        </c:ser>
        <c:axId val="91050161"/>
        <c:axId val="23263163"/>
        <c:barDir val="col"/>
        <c:grouping val="clustered"/>
        <c:gapWidth val="150"/>
        <c:varyColors val="0"/>
        <c:overlap val="-27"/>
      </c:barChart>
      <c:catAx axisType="0">
        <c:axId val="91050161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75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</a:defRPr>
                </a:pPr>
                <a:r>
                  <a:rPr sz="75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</a:rPr>
                  <a:t>Total Project Cost</a:t>
                </a:r>
                <a:endParaRPr/>
              </a:p>
            </c:rich>
          </c:tx>
          <c:overlay val="0"/>
        </c:title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&quot;$&quot;#,##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23263163"/>
      </c:catAx>
      <c:valAx axisType="3">
        <c:axId val="23263163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75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</a:defRPr>
                </a:pPr>
                <a:r>
                  <a:rPr sz="75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</a:rPr>
                  <a:t>Frequency</a:t>
                </a:r>
                <a:endParaRPr/>
              </a:p>
            </c:rich>
          </c:tx>
          <c:overlay val="0"/>
        </c:title>
        <c:axPos val="l"/>
        <c:scaling>
          <c:orientation val="minMax"/>
          <c:min val="0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91050161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Aptos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Aptos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29</xdr:row>
      <xdr:rowOff>19050</xdr:rowOff>
    </xdr:from>
    <xdr:to>
      <xdr:col>8</xdr:col>
      <xdr:colOff>47625</xdr:colOff>
      <xdr:row>49</xdr:row>
      <xdr:rowOff>19050</xdr:rowOff>
    </xdr:to>
    <xdr:graphicFrame>
      <xdr:nvGraphicFramePr>
        <xdr:cNvPr id="3" name="HistogramChart"/>
        <xdr:cNvGraphicFramePr>
          <a:graphicFrameLocks noChangeAspect="0"/>
        </xdr:cNvGraphicFramePr>
      </xdr:nvGraphicFramePr>
      <xdr:xfrm>
        <a:off x="952500" y="5723467"/>
        <a:ext cx="7180792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C597818-1458-B2F7-9719-F31211108078}" mc:Ignorable="x14ac xr xr2 xr3">
  <dimension ref="A1:CV1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3.75390625" customWidth="1"/>
    <col min="2" max="2" width="26.625" customWidth="1"/>
    <col min="3" max="7" width="16.625" customWidth="1"/>
    <col min="8" max="8" width="8.75390625" customWidth="1"/>
  </cols>
  <sheetData>
    <row r="2" ht="24" customHeight="1">
      <c r="B2" s="1" t="s">
        <v>0</v>
      </c>
    </row>
    <row r="3" ht="15" customHeight="1">
      <c r="B3" s="2" t="s">
        <v>1</v>
      </c>
    </row>
    <row r="5" ht="16.5" customHeight="1">
      <c r="B5" s="3" t="s">
        <v>2</v>
      </c>
      <c r="C5" s="4"/>
      <c r="D5" s="4"/>
      <c r="E5" s="4"/>
      <c r="F5" s="4"/>
      <c r="G5" s="4"/>
    </row>
    <row r="6" ht="15" customHeight="1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6" t="s">
        <v>8</v>
      </c>
    </row>
    <row r="7" ht="15" customHeight="1">
      <c r="B7" s="7" t="s">
        <v>9</v>
      </c>
      <c r="C7" s="8">
        <v>50000</v>
      </c>
      <c r="D7" s="8">
        <v>75000</v>
      </c>
      <c r="E7" s="8">
        <v>120000</v>
      </c>
      <c r="F7" s="9" t="s">
        <v>10</v>
      </c>
      <c r="G7" s="10">
        <f t="shared" si="0" ref="G7:G11">_xlfn.LET(_xlpm.u,RAND(),_xlpm.f,(D7-C7)/(E7-C7),IF(_xlpm.u&lt;_xlpm.f,C7+SQRT(_xlpm.u*(E7-C7)*(D7-C7)),E7-SQRT((1-_xlpm.u)*(E7-C7)*(E7-D7))))</f>
        <v>104643.287728248</v>
      </c>
    </row>
    <row r="8" ht="15" customHeight="1">
      <c r="B8" s="11" t="s">
        <v>11</v>
      </c>
      <c r="C8" s="12">
        <v>20000</v>
      </c>
      <c r="D8" s="12">
        <v>30000</v>
      </c>
      <c r="E8" s="12">
        <v>45000</v>
      </c>
      <c r="F8" s="13" t="s">
        <v>10</v>
      </c>
      <c r="G8" s="14">
        <f t="shared" si="0"/>
        <v>24574.2260959008</v>
      </c>
    </row>
    <row r="9" ht="15" customHeight="1">
      <c r="B9" s="7" t="s">
        <v>12</v>
      </c>
      <c r="C9" s="8">
        <v>8000</v>
      </c>
      <c r="D9" s="8">
        <v>12000</v>
      </c>
      <c r="E9" s="8">
        <v>18000</v>
      </c>
      <c r="F9" s="9" t="s">
        <v>10</v>
      </c>
      <c r="G9" s="10">
        <f t="shared" si="0"/>
        <v>11949.3885611352</v>
      </c>
    </row>
    <row r="10" ht="15" customHeight="1">
      <c r="B10" s="11" t="s">
        <v>13</v>
      </c>
      <c r="C10" s="12">
        <v>3000</v>
      </c>
      <c r="D10" s="12">
        <v>5000</v>
      </c>
      <c r="E10" s="12">
        <v>8000</v>
      </c>
      <c r="F10" s="13" t="s">
        <v>10</v>
      </c>
      <c r="G10" s="14">
        <f t="shared" si="0"/>
        <v>5508.87155406574</v>
      </c>
    </row>
    <row r="11" ht="15" customHeight="1">
      <c r="B11" s="7" t="s">
        <v>14</v>
      </c>
      <c r="C11" s="8">
        <v>5000</v>
      </c>
      <c r="D11" s="8">
        <v>10000</v>
      </c>
      <c r="E11" s="8">
        <v>25000</v>
      </c>
      <c r="F11" s="9" t="s">
        <v>10</v>
      </c>
      <c r="G11" s="10">
        <f t="shared" si="0"/>
        <v>8607.8032601402</v>
      </c>
    </row>
    <row r="13" ht="16.5" customHeight="1">
      <c r="B13" s="3" t="s">
        <v>15</v>
      </c>
      <c r="C13" s="4"/>
      <c r="D13" s="4"/>
      <c r="E13" s="4"/>
      <c r="F13" s="4"/>
      <c r="G13" s="4"/>
    </row>
    <row r="14" ht="18" customHeight="1">
      <c r="B14" s="15" t="s">
        <v>16</v>
      </c>
      <c r="C14" s="14">
        <f>SUM(G7:G11)</f>
        <v>155283.57719949</v>
      </c>
    </row>
    <row r="15" ht="15" customHeight="1">
      <c r="B15" s="16" t="s">
        <v>17</v>
      </c>
      <c r="C15" s="17" t="str">
        <f>TEXT(SUM(C7:C11),"$#,##0")&amp;" — "&amp;TEXT(SUM(E7:E11),"$#,##0")</f>
        <v>$86,000 — $216,000</v>
      </c>
    </row>
  </sheetData>
  <dataValidations count="2">
    <dataValidation operator="greaterThan" allowBlank="1" error="Please enter a positive number" errorTitle="Invalid Input" showErrorMessage="1" showInputMessage="1" sqref="C7 D7 E7 C8 D8 E8 C9 D9 E9 C10 D10 E10 C11 D11 E11" type="decimal">
      <formula1>0</formula1>
    </dataValidation>
    <dataValidation allowBlank="1" error="Please select a valid distribution type" errorTitle="Invalid Distribution" showErrorMessage="1" showInputMessage="1" sqref="F7 F8 F9 F10 F11" type="list">
      <formula1>"Triangular,Uniform,Normal"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76A687A-ADB8-B2E8-D39A-A495FE42C7B1}" mc:Ignorable="x14ac xr xr2 xr3">
  <dimension ref="A1:CV10000"/>
  <sheetViews>
    <sheetView showGridLines="0" workbookViewId="0" tabSelected="1">
      <pane xSplit="1" ySplit="6" topLeftCell="B979" activePane="bottomRight" state="frozen"/>
      <selection pane="bottomLeft" activeCell="A7" sqref="A7"/>
      <selection pane="topRight" activeCell="B1" sqref="B1"/>
      <selection pane="bottomRight" activeCell="I984" sqref="I984"/>
    </sheetView>
  </sheetViews>
  <sheetFormatPr defaultRowHeight="15" defaultColWidth="7.75390625" customHeight="1" outlineLevelCol="1"/>
  <cols>
    <col min="1" max="1" width="3.75390625" customWidth="1"/>
    <col min="2" max="2" width="12.625" customWidth="1"/>
    <col min="3" max="3" width="18.625" customWidth="1"/>
    <col min="4" max="4" width="8.75390625" hidden="1" customWidth="1" outlineLevel="1"/>
    <col min="5" max="8" width="7.75390625" hidden="1" customWidth="1" outlineLevel="1"/>
    <col min="9" max="9" width="7.75390625" collapsed="1" customWidth="1"/>
  </cols>
  <sheetData>
    <row r="2" ht="24" customHeight="1">
      <c r="B2" s="1" t="s">
        <v>19</v>
      </c>
    </row>
    <row r="3" ht="15" customHeight="1">
      <c r="B3" s="2" t="s">
        <v>20</v>
      </c>
    </row>
    <row r="5" ht="16.5" customHeight="1">
      <c r="B5" s="3" t="s">
        <v>21</v>
      </c>
      <c r="C5" s="4"/>
    </row>
    <row r="6" ht="15" customHeight="1">
      <c r="B6" s="5" t="s">
        <v>22</v>
      </c>
      <c r="C6" s="6" t="s">
        <v>23</v>
      </c>
    </row>
    <row r="7" ht="15" customHeight="1">
      <c r="B7" s="18"/>
      <c r="C7" s="19" cm="1">
        <f t="array" ref="C7">Inputs!C14</f>
        <v>155283.57719949</v>
      </c>
    </row>
    <row r="8" ht="15" customHeight="1">
      <c r="B8" s="20">
        <v>1</v>
      </c>
      <c r="C8" s="21">
        <f t="shared" si="0" ref="C8:C1007">SUM(D8:H8)</f>
        <v>147035.841513857</v>
      </c>
      <c r="D8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87723.0390119676</v>
      </c>
      <c r="E8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31797.2388714837</v>
      </c>
      <c r="F8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11267.7638658827</v>
      </c>
      <c r="G8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5037.72029869809</v>
      </c>
      <c r="H8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11210.0794658251</v>
      </c>
    </row>
    <row r="9" ht="15" customHeight="1">
      <c r="B9" s="20">
        <v>2</v>
      </c>
      <c r="C9" s="21">
        <f t="shared" si="0"/>
        <v>135939.314584619</v>
      </c>
      <c r="D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84034.5722302629</v>
      </c>
      <c r="E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24801.159886688</v>
      </c>
      <c r="F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10458.5229625247</v>
      </c>
      <c r="G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6290.81462676945</v>
      </c>
      <c r="H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10354.2448783743</v>
      </c>
    </row>
    <row r="10" ht="15" customHeight="1">
      <c r="B10" s="20">
        <v>3</v>
      </c>
      <c r="C10" s="21">
        <f t="shared" si="0"/>
        <v>145627.703279805</v>
      </c>
      <c r="D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83297.4095459283</v>
      </c>
      <c r="E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27844.9855893616</v>
      </c>
      <c r="F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12207.0804707682</v>
      </c>
      <c r="G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5253.16524275693</v>
      </c>
      <c r="H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17025.0624309895</v>
      </c>
    </row>
    <row r="11" ht="15" customHeight="1">
      <c r="B11" s="20">
        <v>4</v>
      </c>
      <c r="C11" s="21">
        <f t="shared" si="0"/>
        <v>149906.113076916</v>
      </c>
      <c r="D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90678.5568931405</v>
      </c>
      <c r="E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27410.7618299377</v>
      </c>
      <c r="F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15588.7087647005</v>
      </c>
      <c r="G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6723.20419232267</v>
      </c>
      <c r="H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9504.88139681431</v>
      </c>
    </row>
    <row r="12" ht="15" customHeight="1">
      <c r="B12" s="20">
        <v>5</v>
      </c>
      <c r="C12" s="21">
        <f t="shared" si="0"/>
        <v>153258.969758836</v>
      </c>
      <c r="D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94827.8525897412</v>
      </c>
      <c r="E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29807.0429715944</v>
      </c>
      <c r="F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13405.0011378334</v>
      </c>
      <c r="G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4609.95569109307</v>
      </c>
      <c r="H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10609.1173685744</v>
      </c>
    </row>
    <row r="13" ht="15" customHeight="1">
      <c r="B13" s="20">
        <v>6</v>
      </c>
      <c r="C13" s="21">
        <f t="shared" si="0"/>
        <v>174764.479555282</v>
      </c>
      <c r="D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115326.211484925</v>
      </c>
      <c r="E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30840.3512801819</v>
      </c>
      <c r="F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10482.0239158856</v>
      </c>
      <c r="G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4862.61829926267</v>
      </c>
      <c r="H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13253.2745750269</v>
      </c>
    </row>
    <row r="14" ht="15" customHeight="1">
      <c r="B14" s="20">
        <v>7</v>
      </c>
      <c r="C14" s="21">
        <f t="shared" si="0"/>
        <v>152879.484523567</v>
      </c>
      <c r="D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77708.9974889134</v>
      </c>
      <c r="E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41393.7697446211</v>
      </c>
      <c r="F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12099.3986008324</v>
      </c>
      <c r="G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4302.98339300428</v>
      </c>
      <c r="H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17374.3352961958</v>
      </c>
    </row>
    <row r="15" ht="15" customHeight="1">
      <c r="B15" s="20">
        <v>8</v>
      </c>
      <c r="C15" s="21">
        <f t="shared" si="0"/>
        <v>168544.738387983</v>
      </c>
      <c r="D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107979.25008078</v>
      </c>
      <c r="E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27471.1691750931</v>
      </c>
      <c r="F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16446.3219430561</v>
      </c>
      <c r="G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5595.87423079688</v>
      </c>
      <c r="H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11052.122958257</v>
      </c>
    </row>
    <row r="16" ht="15" customHeight="1">
      <c r="B16" s="20">
        <v>9</v>
      </c>
      <c r="C16" s="21">
        <f t="shared" si="0"/>
        <v>149345.776721164</v>
      </c>
      <c r="D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83685.6689465898</v>
      </c>
      <c r="E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33556.4389247193</v>
      </c>
      <c r="F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13927.7474723256</v>
      </c>
      <c r="G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6973.53728683645</v>
      </c>
      <c r="H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11202.3840906928</v>
      </c>
    </row>
    <row r="17" ht="15" customHeight="1">
      <c r="B17" s="20">
        <v>10</v>
      </c>
      <c r="C17" s="21">
        <f t="shared" si="0"/>
        <v>135449.636617012</v>
      </c>
      <c r="D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74443.4206530979</v>
      </c>
      <c r="E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30134.4945449944</v>
      </c>
      <c r="F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16757.4052223639</v>
      </c>
      <c r="G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6126.76641062733</v>
      </c>
      <c r="H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7987.54978592882</v>
      </c>
    </row>
    <row r="18" ht="15" customHeight="1">
      <c r="B18" s="20">
        <v>11</v>
      </c>
      <c r="C18" s="21">
        <f t="shared" si="0"/>
        <v>146615.229315399</v>
      </c>
      <c r="D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90595.4554071379</v>
      </c>
      <c r="E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30216.5734073205</v>
      </c>
      <c r="F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10346.1924344076</v>
      </c>
      <c r="G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5225.43172338288</v>
      </c>
      <c r="H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10231.5763431497</v>
      </c>
    </row>
    <row r="19" ht="15" customHeight="1">
      <c r="B19" s="20">
        <v>12</v>
      </c>
      <c r="C19" s="21">
        <f t="shared" si="0"/>
        <v>161455.075612103</v>
      </c>
      <c r="D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98553.8156329935</v>
      </c>
      <c r="E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25869.5522058232</v>
      </c>
      <c r="F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14744.5062833161</v>
      </c>
      <c r="G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5458.58609488738</v>
      </c>
      <c r="H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16828.6153950831</v>
      </c>
    </row>
    <row r="20" ht="15" customHeight="1">
      <c r="B20" s="20">
        <v>13</v>
      </c>
      <c r="C20" s="21">
        <f t="shared" si="0"/>
        <v>134425.356925963</v>
      </c>
      <c r="D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67254.9883074304</v>
      </c>
      <c r="E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32144.8721482318</v>
      </c>
      <c r="F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11872.5620046411</v>
      </c>
      <c r="G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5120.84222107824</v>
      </c>
      <c r="H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18032.0922445819</v>
      </c>
    </row>
    <row r="21" ht="15" customHeight="1">
      <c r="B21" s="20">
        <v>14</v>
      </c>
      <c r="C21" s="21">
        <f t="shared" si="0"/>
        <v>158920.826267627</v>
      </c>
      <c r="D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87938.0620761432</v>
      </c>
      <c r="E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42562.9918633103</v>
      </c>
      <c r="F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12271.2755854717</v>
      </c>
      <c r="G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5131.31384805373</v>
      </c>
      <c r="H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11017.1828946481</v>
      </c>
    </row>
    <row r="22" ht="15" customHeight="1">
      <c r="B22" s="20">
        <v>15</v>
      </c>
      <c r="C22" s="21">
        <f t="shared" si="0"/>
        <v>135110.831841259</v>
      </c>
      <c r="D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86098.2595977413</v>
      </c>
      <c r="E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25462.4778560312</v>
      </c>
      <c r="F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10651.2729375018</v>
      </c>
      <c r="G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4282.01238843263</v>
      </c>
      <c r="H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8616.80906155182</v>
      </c>
    </row>
    <row r="23" ht="15" customHeight="1">
      <c r="B23" s="20">
        <v>16</v>
      </c>
      <c r="C23" s="21">
        <f t="shared" si="0"/>
        <v>173522.744053948</v>
      </c>
      <c r="D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105493.569936993</v>
      </c>
      <c r="E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28138.7266909176</v>
      </c>
      <c r="F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14559.4822908934</v>
      </c>
      <c r="G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4914.32024936153</v>
      </c>
      <c r="H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20416.6448857821</v>
      </c>
    </row>
    <row r="24" ht="15" customHeight="1">
      <c r="B24" s="20">
        <v>17</v>
      </c>
      <c r="C24" s="21">
        <f t="shared" si="0"/>
        <v>133336.707820131</v>
      </c>
      <c r="D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69724.1775734329</v>
      </c>
      <c r="E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34407.365408412</v>
      </c>
      <c r="F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15248.965159142</v>
      </c>
      <c r="G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4048.09223355494</v>
      </c>
      <c r="H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9908.10744558898</v>
      </c>
    </row>
    <row r="25" ht="15" customHeight="1">
      <c r="B25" s="20">
        <v>18</v>
      </c>
      <c r="C25" s="21">
        <f t="shared" si="0"/>
        <v>147195.565190181</v>
      </c>
      <c r="D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84010.3908213709</v>
      </c>
      <c r="E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34011.1946355052</v>
      </c>
      <c r="F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12582.1681063252</v>
      </c>
      <c r="G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6545.43723395328</v>
      </c>
      <c r="H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10046.3743930268</v>
      </c>
    </row>
    <row r="26" ht="15" customHeight="1">
      <c r="B26" s="20">
        <v>19</v>
      </c>
      <c r="C26" s="21">
        <f t="shared" si="0"/>
        <v>122221.519238568</v>
      </c>
      <c r="D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56834.8972118518</v>
      </c>
      <c r="E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26523.6521082883</v>
      </c>
      <c r="F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14563.9981451195</v>
      </c>
      <c r="G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5362.11573097854</v>
      </c>
      <c r="H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18936.8560423298</v>
      </c>
    </row>
    <row r="27" ht="15" customHeight="1">
      <c r="B27" s="20">
        <v>20</v>
      </c>
      <c r="C27" s="21">
        <f t="shared" si="0"/>
        <v>142634.349385786</v>
      </c>
      <c r="D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74091.8273268326</v>
      </c>
      <c r="E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39848.7981591251</v>
      </c>
      <c r="F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12928.7733352539</v>
      </c>
      <c r="G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7089.33927774346</v>
      </c>
      <c r="H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8675.61128683067</v>
      </c>
    </row>
    <row r="28" ht="15" customHeight="1">
      <c r="B28" s="20">
        <v>21</v>
      </c>
      <c r="C28" s="21">
        <f t="shared" si="0"/>
        <v>151019.080798121</v>
      </c>
      <c r="D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90708.9075470309</v>
      </c>
      <c r="E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29635.729492568</v>
      </c>
      <c r="F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12586.8867876619</v>
      </c>
      <c r="G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4038.05220496058</v>
      </c>
      <c r="H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14049.5047658996</v>
      </c>
    </row>
    <row r="29" ht="15" customHeight="1">
      <c r="B29" s="20">
        <v>22</v>
      </c>
      <c r="C29" s="21">
        <f t="shared" si="0"/>
        <v>145981.27231585</v>
      </c>
      <c r="D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74215.6302754252</v>
      </c>
      <c r="E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41615.6851719117</v>
      </c>
      <c r="F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12388.7897280905</v>
      </c>
      <c r="G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4979.85507304139</v>
      </c>
      <c r="H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12781.3120673814</v>
      </c>
    </row>
    <row r="30" ht="15" customHeight="1">
      <c r="B30" s="20">
        <v>23</v>
      </c>
      <c r="C30" s="21">
        <f t="shared" si="0"/>
        <v>146665.253901151</v>
      </c>
      <c r="D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84357.4259947184</v>
      </c>
      <c r="E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31864.7455353385</v>
      </c>
      <c r="F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15200.1465066143</v>
      </c>
      <c r="G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4415.18254774025</v>
      </c>
      <c r="H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10827.7533167396</v>
      </c>
    </row>
    <row r="31" ht="15" customHeight="1">
      <c r="B31" s="20">
        <v>24</v>
      </c>
      <c r="C31" s="21">
        <f t="shared" si="0"/>
        <v>132821.941454525</v>
      </c>
      <c r="D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79102.88721877</v>
      </c>
      <c r="E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26148.1621302645</v>
      </c>
      <c r="F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8706.43617423506</v>
      </c>
      <c r="G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5115.93143817775</v>
      </c>
      <c r="H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13748.524493078</v>
      </c>
    </row>
    <row r="32" ht="15" customHeight="1">
      <c r="B32" s="20">
        <v>25</v>
      </c>
      <c r="C32" s="21">
        <f t="shared" si="0"/>
        <v>148363.783713937</v>
      </c>
      <c r="D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80302.5943859383</v>
      </c>
      <c r="E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34878.3671084819</v>
      </c>
      <c r="F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13970.3303966275</v>
      </c>
      <c r="G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3908.21123193641</v>
      </c>
      <c r="H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15304.2805909526</v>
      </c>
    </row>
    <row r="33" ht="15" customHeight="1">
      <c r="B33" s="20">
        <v>26</v>
      </c>
      <c r="C33" s="21">
        <f t="shared" si="0"/>
        <v>168603.36218439</v>
      </c>
      <c r="D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94743.9893290072</v>
      </c>
      <c r="E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36473.5299779026</v>
      </c>
      <c r="F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14584.1837120009</v>
      </c>
      <c r="G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5509.70189053037</v>
      </c>
      <c r="H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17291.9572749485</v>
      </c>
    </row>
    <row r="34" ht="15" customHeight="1">
      <c r="B34" s="20">
        <v>27</v>
      </c>
      <c r="C34" s="21">
        <f t="shared" si="0"/>
        <v>164330.279833122</v>
      </c>
      <c r="D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94008.8256890715</v>
      </c>
      <c r="E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31404.4283823445</v>
      </c>
      <c r="F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12461.6968936508</v>
      </c>
      <c r="G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7238.45124871572</v>
      </c>
      <c r="H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19216.8776193393</v>
      </c>
    </row>
    <row r="35" ht="15" customHeight="1">
      <c r="B35" s="20">
        <v>28</v>
      </c>
      <c r="C35" s="21">
        <f t="shared" si="0"/>
        <v>149074.507325932</v>
      </c>
      <c r="D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77463.8261941475</v>
      </c>
      <c r="E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32484.149604256</v>
      </c>
      <c r="F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12155.1973639576</v>
      </c>
      <c r="G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5202.98640561899</v>
      </c>
      <c r="H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21768.3477579516</v>
      </c>
    </row>
    <row r="36" ht="15" customHeight="1">
      <c r="B36" s="20">
        <v>29</v>
      </c>
      <c r="C36" s="21">
        <f t="shared" si="0"/>
        <v>137335.247754928</v>
      </c>
      <c r="D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70667.1534822316</v>
      </c>
      <c r="E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33838.5532874326</v>
      </c>
      <c r="F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9877.09501968783</v>
      </c>
      <c r="G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4551.76828861045</v>
      </c>
      <c r="H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18400.6776769655</v>
      </c>
    </row>
    <row r="37" ht="15" customHeight="1">
      <c r="B37" s="20">
        <v>30</v>
      </c>
      <c r="C37" s="21">
        <f t="shared" si="0"/>
        <v>127954.683214559</v>
      </c>
      <c r="D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75624.6325687393</v>
      </c>
      <c r="E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24382.1621904136</v>
      </c>
      <c r="F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14922.4323445524</v>
      </c>
      <c r="G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7349.48242955159</v>
      </c>
      <c r="H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5675.97368130189</v>
      </c>
    </row>
    <row r="38" ht="15" customHeight="1">
      <c r="B38" s="20">
        <v>31</v>
      </c>
      <c r="C38" s="21">
        <f t="shared" si="0"/>
        <v>152955.776307993</v>
      </c>
      <c r="D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100500.763526228</v>
      </c>
      <c r="E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22330.0810472765</v>
      </c>
      <c r="F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15676.8529159123</v>
      </c>
      <c r="G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5808.74964380097</v>
      </c>
      <c r="H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8639.32917477526</v>
      </c>
    </row>
    <row r="39" ht="15" customHeight="1">
      <c r="B39" s="20">
        <v>32</v>
      </c>
      <c r="C39" s="21">
        <f t="shared" si="0"/>
        <v>122564.217813638</v>
      </c>
      <c r="D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60085.7433176972</v>
      </c>
      <c r="E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31404.962908912</v>
      </c>
      <c r="F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10184.5219464359</v>
      </c>
      <c r="G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6005.77430609334</v>
      </c>
      <c r="H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14883.2153344994</v>
      </c>
    </row>
    <row r="40" ht="15" customHeight="1">
      <c r="B40" s="20">
        <v>33</v>
      </c>
      <c r="C40" s="21">
        <f t="shared" si="0"/>
        <v>174890.732433881</v>
      </c>
      <c r="D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104128.375907683</v>
      </c>
      <c r="E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30209.9079600526</v>
      </c>
      <c r="F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11903.9711992141</v>
      </c>
      <c r="G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5679.71845538204</v>
      </c>
      <c r="H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22968.7589115497</v>
      </c>
    </row>
    <row r="41" ht="15" customHeight="1">
      <c r="B41" s="20">
        <v>34</v>
      </c>
      <c r="C41" s="21">
        <f t="shared" si="0"/>
        <v>127498.608858036</v>
      </c>
      <c r="D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70747.6484733676</v>
      </c>
      <c r="E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30083.5776917308</v>
      </c>
      <c r="F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8761.999802283</v>
      </c>
      <c r="G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4321.624624479</v>
      </c>
      <c r="H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13583.7582661755</v>
      </c>
    </row>
    <row r="42" ht="15" customHeight="1">
      <c r="B42" s="20">
        <v>35</v>
      </c>
      <c r="C42" s="21">
        <f t="shared" si="0"/>
        <v>151153.818202602</v>
      </c>
      <c r="D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88486.1803480099</v>
      </c>
      <c r="E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32266.9129296883</v>
      </c>
      <c r="F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11397.8997651304</v>
      </c>
      <c r="G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5231.61088796377</v>
      </c>
      <c r="H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13771.2142718092</v>
      </c>
    </row>
    <row r="43" ht="15" customHeight="1">
      <c r="B43" s="20">
        <v>36</v>
      </c>
      <c r="C43" s="21">
        <f t="shared" si="0"/>
        <v>144266.000155429</v>
      </c>
      <c r="D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86334.2105520231</v>
      </c>
      <c r="E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23826.6876440491</v>
      </c>
      <c r="F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12674.9561501467</v>
      </c>
      <c r="G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4629.01325813475</v>
      </c>
      <c r="H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16801.132551075</v>
      </c>
    </row>
    <row r="44" ht="15" customHeight="1">
      <c r="B44" s="20">
        <v>37</v>
      </c>
      <c r="C44" s="21">
        <f t="shared" si="0"/>
        <v>116509.758084353</v>
      </c>
      <c r="D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53612.2255225831</v>
      </c>
      <c r="E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31225.6100230358</v>
      </c>
      <c r="F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11483.3518072498</v>
      </c>
      <c r="G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6050.28945205221</v>
      </c>
      <c r="H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14138.2812794321</v>
      </c>
    </row>
    <row r="45" ht="15" customHeight="1">
      <c r="B45" s="20">
        <v>38</v>
      </c>
      <c r="C45" s="21">
        <f t="shared" si="0"/>
        <v>139921.934020035</v>
      </c>
      <c r="D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70256.8194926436</v>
      </c>
      <c r="E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29905.1321802938</v>
      </c>
      <c r="F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13646.3802724941</v>
      </c>
      <c r="G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6480.26122762692</v>
      </c>
      <c r="H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19633.3408469763</v>
      </c>
    </row>
    <row r="46" ht="15" customHeight="1">
      <c r="B46" s="20">
        <v>39</v>
      </c>
      <c r="C46" s="21">
        <f t="shared" si="0"/>
        <v>143318.334224325</v>
      </c>
      <c r="D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80004.5699309148</v>
      </c>
      <c r="E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23053.5768389707</v>
      </c>
      <c r="F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14878.3763644632</v>
      </c>
      <c r="G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7122.99702912354</v>
      </c>
      <c r="H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18258.814060853</v>
      </c>
    </row>
    <row r="47" ht="15" customHeight="1">
      <c r="B47" s="20">
        <v>40</v>
      </c>
      <c r="C47" s="21">
        <f t="shared" si="0"/>
        <v>153328.276086687</v>
      </c>
      <c r="D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85644.3048044943</v>
      </c>
      <c r="E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34181.5031599252</v>
      </c>
      <c r="F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10476.5705893745</v>
      </c>
      <c r="G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7354.20282330649</v>
      </c>
      <c r="H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15671.6947095865</v>
      </c>
    </row>
    <row r="48" ht="15" customHeight="1">
      <c r="B48" s="20">
        <v>41</v>
      </c>
      <c r="C48" s="21">
        <f t="shared" si="0"/>
        <v>146493.232517169</v>
      </c>
      <c r="D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72532.8118606173</v>
      </c>
      <c r="E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33776.2326208306</v>
      </c>
      <c r="F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14445.9544869175</v>
      </c>
      <c r="G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4438.68245539201</v>
      </c>
      <c r="H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21299.5510934112</v>
      </c>
    </row>
    <row r="49" ht="15" customHeight="1">
      <c r="B49" s="20">
        <v>42</v>
      </c>
      <c r="C49" s="21">
        <f t="shared" si="0"/>
        <v>143600.815031965</v>
      </c>
      <c r="D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76972.3259970482</v>
      </c>
      <c r="E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31771.2206749089</v>
      </c>
      <c r="F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15406.5226105018</v>
      </c>
      <c r="G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4985.22222079175</v>
      </c>
      <c r="H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14465.5235287146</v>
      </c>
    </row>
    <row r="50" ht="15" customHeight="1">
      <c r="B50" s="20">
        <v>43</v>
      </c>
      <c r="C50" s="21">
        <f t="shared" si="0"/>
        <v>141446.187223748</v>
      </c>
      <c r="D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59134.3560494976</v>
      </c>
      <c r="E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40461.8642471666</v>
      </c>
      <c r="F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15552.1439196084</v>
      </c>
      <c r="G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6970.82406279401</v>
      </c>
      <c r="H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19326.9989446816</v>
      </c>
    </row>
    <row r="51" ht="15" customHeight="1">
      <c r="B51" s="20">
        <v>44</v>
      </c>
      <c r="C51" s="21">
        <f t="shared" si="0"/>
        <v>167872.241507597</v>
      </c>
      <c r="D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97064.6298512606</v>
      </c>
      <c r="E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40102.2843212085</v>
      </c>
      <c r="F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13359.8515927701</v>
      </c>
      <c r="G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6868.59094176482</v>
      </c>
      <c r="H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10476.8848005925</v>
      </c>
    </row>
    <row r="52" ht="15" customHeight="1">
      <c r="B52" s="20">
        <v>45</v>
      </c>
      <c r="C52" s="21">
        <f t="shared" si="0"/>
        <v>155777.614228528</v>
      </c>
      <c r="D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99308.0602353918</v>
      </c>
      <c r="E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31073.6053676151</v>
      </c>
      <c r="F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11647.2421839167</v>
      </c>
      <c r="G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4266.00226016222</v>
      </c>
      <c r="H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9482.70418144199</v>
      </c>
    </row>
    <row r="53" ht="15" customHeight="1">
      <c r="B53" s="20">
        <v>46</v>
      </c>
      <c r="C53" s="21">
        <f t="shared" si="0"/>
        <v>133212.310604916</v>
      </c>
      <c r="D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65386.9298321922</v>
      </c>
      <c r="E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38884.6640419445</v>
      </c>
      <c r="F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12579.168684012</v>
      </c>
      <c r="G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4215.39080033051</v>
      </c>
      <c r="H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12146.1572464364</v>
      </c>
    </row>
    <row r="54" ht="15" customHeight="1">
      <c r="B54" s="20">
        <v>47</v>
      </c>
      <c r="C54" s="21">
        <f t="shared" si="0"/>
        <v>114030.70625111</v>
      </c>
      <c r="D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57824.5428214334</v>
      </c>
      <c r="E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25475.0060109475</v>
      </c>
      <c r="F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10018.3848101621</v>
      </c>
      <c r="G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5215.9832462066</v>
      </c>
      <c r="H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15496.7893623606</v>
      </c>
    </row>
    <row r="55" ht="15" customHeight="1">
      <c r="B55" s="20">
        <v>48</v>
      </c>
      <c r="C55" s="21">
        <f t="shared" si="0"/>
        <v>135678.000300534</v>
      </c>
      <c r="D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72504.6436814309</v>
      </c>
      <c r="E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31509.298341373</v>
      </c>
      <c r="F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13037.1640106423</v>
      </c>
      <c r="G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6603.13661079662</v>
      </c>
      <c r="H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12023.7576562913</v>
      </c>
    </row>
    <row r="56" ht="15" customHeight="1">
      <c r="B56" s="20">
        <v>49</v>
      </c>
      <c r="C56" s="21">
        <f t="shared" si="0"/>
        <v>142431.532932612</v>
      </c>
      <c r="D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80351.8675458529</v>
      </c>
      <c r="E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28920.233427003</v>
      </c>
      <c r="F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11982.4704340275</v>
      </c>
      <c r="G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6442.5889217194</v>
      </c>
      <c r="H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14734.3726040091</v>
      </c>
    </row>
    <row r="57" ht="15" customHeight="1">
      <c r="B57" s="20">
        <v>50</v>
      </c>
      <c r="C57" s="21">
        <f t="shared" si="0"/>
        <v>143437.544012708</v>
      </c>
      <c r="D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75518.3855446719</v>
      </c>
      <c r="E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31919.4308477852</v>
      </c>
      <c r="F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11510.1435514858</v>
      </c>
      <c r="G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4085.58148835607</v>
      </c>
      <c r="H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20404.0025804093</v>
      </c>
    </row>
    <row r="58" ht="15" customHeight="1">
      <c r="B58" s="20">
        <v>51</v>
      </c>
      <c r="C58" s="21">
        <f t="shared" si="0"/>
        <v>135720.724026347</v>
      </c>
      <c r="D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75410.9976557489</v>
      </c>
      <c r="E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29899.7155755209</v>
      </c>
      <c r="F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9904.87823223573</v>
      </c>
      <c r="G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5200.8879304857</v>
      </c>
      <c r="H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15304.2446323557</v>
      </c>
    </row>
    <row r="59" ht="15" customHeight="1">
      <c r="B59" s="20">
        <v>52</v>
      </c>
      <c r="C59" s="21">
        <f t="shared" si="0"/>
        <v>127063.077529516</v>
      </c>
      <c r="D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68865.0293762786</v>
      </c>
      <c r="E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23137.7973143912</v>
      </c>
      <c r="F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16489.8990793528</v>
      </c>
      <c r="G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4967.93931923745</v>
      </c>
      <c r="H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13602.4124402555</v>
      </c>
    </row>
    <row r="60" ht="15" customHeight="1">
      <c r="B60" s="20">
        <v>53</v>
      </c>
      <c r="C60" s="21">
        <f t="shared" si="0"/>
        <v>145745.828774533</v>
      </c>
      <c r="D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77890.911557174</v>
      </c>
      <c r="E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27162.6586251705</v>
      </c>
      <c r="F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14726.1380728246</v>
      </c>
      <c r="G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6350.26281458648</v>
      </c>
      <c r="H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19615.8577047774</v>
      </c>
    </row>
    <row r="61" ht="15" customHeight="1">
      <c r="B61" s="20">
        <v>54</v>
      </c>
      <c r="C61" s="21">
        <f t="shared" si="0"/>
        <v>139343.601246083</v>
      </c>
      <c r="D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79522.5965054257</v>
      </c>
      <c r="E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35738.2885482992</v>
      </c>
      <c r="F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11277.784449919</v>
      </c>
      <c r="G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4179.08288193951</v>
      </c>
      <c r="H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8625.84886049933</v>
      </c>
    </row>
    <row r="62" ht="15" customHeight="1">
      <c r="B62" s="20">
        <v>55</v>
      </c>
      <c r="C62" s="21">
        <f t="shared" si="0"/>
        <v>137018.658861551</v>
      </c>
      <c r="D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65545.3377567133</v>
      </c>
      <c r="E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33020.9306415016</v>
      </c>
      <c r="F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14346.5933032863</v>
      </c>
      <c r="G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6252.08031043507</v>
      </c>
      <c r="H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17853.7168496152</v>
      </c>
    </row>
    <row r="63" ht="15" customHeight="1">
      <c r="B63" s="20">
        <v>56</v>
      </c>
      <c r="C63" s="21">
        <f t="shared" si="0"/>
        <v>158033.399497697</v>
      </c>
      <c r="D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98000.6122513773</v>
      </c>
      <c r="E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25859.7979723486</v>
      </c>
      <c r="F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13898.3559382485</v>
      </c>
      <c r="G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4436.8339241817</v>
      </c>
      <c r="H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15837.799411541</v>
      </c>
    </row>
    <row r="64" ht="15" customHeight="1">
      <c r="B64" s="20">
        <v>57</v>
      </c>
      <c r="C64" s="21">
        <f t="shared" si="0"/>
        <v>127606.320895749</v>
      </c>
      <c r="D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75505.2795411742</v>
      </c>
      <c r="E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26334.8669857608</v>
      </c>
      <c r="F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10362.2734682144</v>
      </c>
      <c r="G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5647.75178708851</v>
      </c>
      <c r="H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9756.14911351116</v>
      </c>
    </row>
    <row r="65" ht="15" customHeight="1">
      <c r="B65" s="20">
        <v>58</v>
      </c>
      <c r="C65" s="21">
        <f t="shared" si="0"/>
        <v>192440.320317764</v>
      </c>
      <c r="D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113614.643907008</v>
      </c>
      <c r="E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34545.3399381481</v>
      </c>
      <c r="F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16107.5255200627</v>
      </c>
      <c r="G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4738.52934881984</v>
      </c>
      <c r="H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23434.2816037254</v>
      </c>
    </row>
    <row r="66" ht="15" customHeight="1">
      <c r="B66" s="20">
        <v>59</v>
      </c>
      <c r="C66" s="21">
        <f t="shared" si="0"/>
        <v>146124.63476101</v>
      </c>
      <c r="D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80623.9837274649</v>
      </c>
      <c r="E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31073.7699065558</v>
      </c>
      <c r="F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13969.9380637362</v>
      </c>
      <c r="G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4627.2883974265</v>
      </c>
      <c r="H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15829.6546658261</v>
      </c>
    </row>
    <row r="67" ht="15" customHeight="1">
      <c r="B67" s="20">
        <v>60</v>
      </c>
      <c r="C67" s="21">
        <f t="shared" si="0"/>
        <v>126627.250227361</v>
      </c>
      <c r="D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65165.9683611549</v>
      </c>
      <c r="E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22677.9712887202</v>
      </c>
      <c r="F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14143.3795654142</v>
      </c>
      <c r="G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7058.84486378513</v>
      </c>
      <c r="H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17581.0861482869</v>
      </c>
    </row>
    <row r="68" ht="15" customHeight="1">
      <c r="B68" s="20">
        <v>61</v>
      </c>
      <c r="C68" s="21">
        <f t="shared" si="0"/>
        <v>155787.468695492</v>
      </c>
      <c r="D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99015.6193620825</v>
      </c>
      <c r="E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24326.6509450344</v>
      </c>
      <c r="F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10432.5833244263</v>
      </c>
      <c r="G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5525.11193958874</v>
      </c>
      <c r="H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16487.5031243601</v>
      </c>
    </row>
    <row r="69" ht="15" customHeight="1">
      <c r="B69" s="20">
        <v>62</v>
      </c>
      <c r="C69" s="21">
        <f t="shared" si="0"/>
        <v>128925.356348536</v>
      </c>
      <c r="D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72853.9276005091</v>
      </c>
      <c r="E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27513.9419916697</v>
      </c>
      <c r="F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11732.1087998593</v>
      </c>
      <c r="G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5308.77766646766</v>
      </c>
      <c r="H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11516.6002900305</v>
      </c>
    </row>
    <row r="70" ht="15" customHeight="1">
      <c r="B70" s="20">
        <v>63</v>
      </c>
      <c r="C70" s="21">
        <f t="shared" si="0"/>
        <v>135518.914679062</v>
      </c>
      <c r="D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75539.9523233491</v>
      </c>
      <c r="E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31018.543384413</v>
      </c>
      <c r="F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12659.7221892782</v>
      </c>
      <c r="G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3446.32186798428</v>
      </c>
      <c r="H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12854.3749140377</v>
      </c>
    </row>
    <row r="71" ht="15" customHeight="1">
      <c r="B71" s="20">
        <v>64</v>
      </c>
      <c r="C71" s="21">
        <f t="shared" si="0"/>
        <v>151712.944756478</v>
      </c>
      <c r="D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81217.9244824831</v>
      </c>
      <c r="E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30922.73832467</v>
      </c>
      <c r="F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14862.3324392553</v>
      </c>
      <c r="G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7230.10378991392</v>
      </c>
      <c r="H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17479.8457201556</v>
      </c>
    </row>
    <row r="72" ht="15" customHeight="1">
      <c r="B72" s="20">
        <v>65</v>
      </c>
      <c r="C72" s="21">
        <f t="shared" si="0"/>
        <v>159870.254656909</v>
      </c>
      <c r="D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89604.9927477577</v>
      </c>
      <c r="E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31006.2189001033</v>
      </c>
      <c r="F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15327.6619242525</v>
      </c>
      <c r="G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6109.2589285572</v>
      </c>
      <c r="H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17822.1221562381</v>
      </c>
    </row>
    <row r="73" ht="15" customHeight="1">
      <c r="B73" s="20">
        <v>66</v>
      </c>
      <c r="C73" s="21">
        <f t="shared" si="0"/>
        <v>131960.911539175</v>
      </c>
      <c r="D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71718.109423113</v>
      </c>
      <c r="E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27574.7248206023</v>
      </c>
      <c r="F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11552.2578957647</v>
      </c>
      <c r="G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4968.97472930988</v>
      </c>
      <c r="H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16146.8446703856</v>
      </c>
    </row>
    <row r="74" ht="15" customHeight="1">
      <c r="B74" s="20">
        <v>67</v>
      </c>
      <c r="C74" s="21">
        <f t="shared" si="0"/>
        <v>167883.556775069</v>
      </c>
      <c r="D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100795.236233911</v>
      </c>
      <c r="E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30782.542062861</v>
      </c>
      <c r="F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15290.4367235544</v>
      </c>
      <c r="G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4964.56999330202</v>
      </c>
      <c r="H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16050.7717614402</v>
      </c>
    </row>
    <row r="75" ht="15" customHeight="1">
      <c r="B75" s="20">
        <v>68</v>
      </c>
      <c r="C75" s="21">
        <f t="shared" si="0"/>
        <v>144689.702821317</v>
      </c>
      <c r="D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74919.1243391578</v>
      </c>
      <c r="E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36915.3966163386</v>
      </c>
      <c r="F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12260.512912672</v>
      </c>
      <c r="G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3819.01519655911</v>
      </c>
      <c r="H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16775.6537565894</v>
      </c>
    </row>
    <row r="76" ht="15" customHeight="1">
      <c r="B76" s="20">
        <v>69</v>
      </c>
      <c r="C76" s="21">
        <f t="shared" si="0"/>
        <v>141519.875713248</v>
      </c>
      <c r="D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77758.2574209588</v>
      </c>
      <c r="E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31739.6208341324</v>
      </c>
      <c r="F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13675.160353398</v>
      </c>
      <c r="G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7364.23077744842</v>
      </c>
      <c r="H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10982.6063273102</v>
      </c>
    </row>
    <row r="77" ht="15" customHeight="1">
      <c r="B77" s="20">
        <v>70</v>
      </c>
      <c r="C77" s="21">
        <f t="shared" si="0"/>
        <v>134341.063452234</v>
      </c>
      <c r="D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65686.6616457924</v>
      </c>
      <c r="E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36888.3626567721</v>
      </c>
      <c r="F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12328.2332328461</v>
      </c>
      <c r="G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6082.0032848289</v>
      </c>
      <c r="H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13355.8026319949</v>
      </c>
    </row>
    <row r="78" ht="15" customHeight="1">
      <c r="B78" s="20">
        <v>71</v>
      </c>
      <c r="C78" s="21">
        <f t="shared" si="0"/>
        <v>160104.132020251</v>
      </c>
      <c r="D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88646.1809564274</v>
      </c>
      <c r="E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31427.8974708528</v>
      </c>
      <c r="F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15132.1302503184</v>
      </c>
      <c r="G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5387.03830897595</v>
      </c>
      <c r="H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19510.8850336765</v>
      </c>
    </row>
    <row r="79" ht="15" customHeight="1">
      <c r="B79" s="20">
        <v>72</v>
      </c>
      <c r="C79" s="21">
        <f t="shared" si="0"/>
        <v>153423.154129723</v>
      </c>
      <c r="D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102549.777927932</v>
      </c>
      <c r="E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24888.2814484382</v>
      </c>
      <c r="F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11697.859400346</v>
      </c>
      <c r="G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6739.66076534548</v>
      </c>
      <c r="H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7547.57458766174</v>
      </c>
    </row>
    <row r="80" ht="15" customHeight="1">
      <c r="B80" s="20">
        <v>73</v>
      </c>
      <c r="C80" s="21">
        <f t="shared" si="0"/>
        <v>140286.926257454</v>
      </c>
      <c r="D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59929.9989762909</v>
      </c>
      <c r="E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41003.4265586125</v>
      </c>
      <c r="F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14032.0581258498</v>
      </c>
      <c r="G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5779.70275047967</v>
      </c>
      <c r="H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19541.7398462212</v>
      </c>
    </row>
    <row r="81" ht="15" customHeight="1">
      <c r="B81" s="20">
        <v>74</v>
      </c>
      <c r="C81" s="21">
        <f t="shared" si="0"/>
        <v>150426.303073508</v>
      </c>
      <c r="D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82917.6864262579</v>
      </c>
      <c r="E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34350.2524473891</v>
      </c>
      <c r="F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15976.7922938714</v>
      </c>
      <c r="G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4425.88130871135</v>
      </c>
      <c r="H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12755.6905972783</v>
      </c>
    </row>
    <row r="82" ht="15" customHeight="1">
      <c r="B82" s="20">
        <v>75</v>
      </c>
      <c r="C82" s="21">
        <f t="shared" si="0"/>
        <v>133413.875140606</v>
      </c>
      <c r="D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78222.7894823126</v>
      </c>
      <c r="E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30227.5358984928</v>
      </c>
      <c r="F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9539.8045909772</v>
      </c>
      <c r="G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4785.32636762209</v>
      </c>
      <c r="H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10638.4188012012</v>
      </c>
    </row>
    <row r="83" ht="15" customHeight="1">
      <c r="B83" s="20">
        <v>76</v>
      </c>
      <c r="C83" s="21">
        <f t="shared" si="0"/>
        <v>144494.591448894</v>
      </c>
      <c r="D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75542.1540189225</v>
      </c>
      <c r="E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35686.1484951468</v>
      </c>
      <c r="F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15912.5768210431</v>
      </c>
      <c r="G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6608.02181212134</v>
      </c>
      <c r="H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10745.6903016601</v>
      </c>
    </row>
    <row r="84" ht="15" customHeight="1">
      <c r="B84" s="20">
        <v>77</v>
      </c>
      <c r="C84" s="21">
        <f t="shared" si="0"/>
        <v>122611.286797169</v>
      </c>
      <c r="D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63057.3661137526</v>
      </c>
      <c r="E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34524.0619685216</v>
      </c>
      <c r="F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8864.68680273951</v>
      </c>
      <c r="G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4257.22856656957</v>
      </c>
      <c r="H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11907.9433455856</v>
      </c>
    </row>
    <row r="85" ht="15" customHeight="1">
      <c r="B85" s="20">
        <v>78</v>
      </c>
      <c r="C85" s="21">
        <f t="shared" si="0"/>
        <v>167924.951340066</v>
      </c>
      <c r="D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108644.198253628</v>
      </c>
      <c r="E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27108.9208432403</v>
      </c>
      <c r="F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13507.5975959013</v>
      </c>
      <c r="G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3911.25359316278</v>
      </c>
      <c r="H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14752.9810541334</v>
      </c>
    </row>
    <row r="86" ht="15" customHeight="1">
      <c r="B86" s="20">
        <v>79</v>
      </c>
      <c r="C86" s="21">
        <f t="shared" si="0"/>
        <v>129545.413817567</v>
      </c>
      <c r="D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58137.3496716113</v>
      </c>
      <c r="E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34189.0386382547</v>
      </c>
      <c r="F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13753.6645373702</v>
      </c>
      <c r="G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6874.93146821598</v>
      </c>
      <c r="H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16590.4295021148</v>
      </c>
    </row>
    <row r="87" ht="15" customHeight="1">
      <c r="B87" s="20">
        <v>80</v>
      </c>
      <c r="C87" s="21">
        <f t="shared" si="0"/>
        <v>163605.15648812</v>
      </c>
      <c r="D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102209.871455897</v>
      </c>
      <c r="E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29091.3563623958</v>
      </c>
      <c r="F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12173.9265837312</v>
      </c>
      <c r="G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3692.22042348812</v>
      </c>
      <c r="H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16437.7816626075</v>
      </c>
    </row>
    <row r="88" ht="15" customHeight="1">
      <c r="B88" s="20">
        <v>81</v>
      </c>
      <c r="C88" s="21">
        <f t="shared" si="0"/>
        <v>143799.684463427</v>
      </c>
      <c r="D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81086.8418957325</v>
      </c>
      <c r="E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30632.6114491457</v>
      </c>
      <c r="F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12734.3990355676</v>
      </c>
      <c r="G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5946.78239852911</v>
      </c>
      <c r="H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13399.0496844519</v>
      </c>
    </row>
    <row r="89" ht="15" customHeight="1">
      <c r="B89" s="20">
        <v>82</v>
      </c>
      <c r="C89" s="21">
        <f t="shared" si="0"/>
        <v>133850.109648995</v>
      </c>
      <c r="D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69862.0569094005</v>
      </c>
      <c r="E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31724.6415527647</v>
      </c>
      <c r="F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12666.9177739925</v>
      </c>
      <c r="G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5092.72011646195</v>
      </c>
      <c r="H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14503.7732963754</v>
      </c>
    </row>
    <row r="90" ht="15" customHeight="1">
      <c r="B90" s="20">
        <v>83</v>
      </c>
      <c r="C90" s="21">
        <f t="shared" si="0"/>
        <v>165839.290640685</v>
      </c>
      <c r="D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103980.848787948</v>
      </c>
      <c r="E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34430.3454966423</v>
      </c>
      <c r="F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9127.28045123428</v>
      </c>
      <c r="G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7461.38870314558</v>
      </c>
      <c r="H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10839.427201715</v>
      </c>
    </row>
    <row r="91" ht="15" customHeight="1">
      <c r="B91" s="20">
        <v>84</v>
      </c>
      <c r="C91" s="21">
        <f t="shared" si="0"/>
        <v>134791.443596349</v>
      </c>
      <c r="D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71653.2121309556</v>
      </c>
      <c r="E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33340.6769981462</v>
      </c>
      <c r="F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14107.4540829406</v>
      </c>
      <c r="G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4342.72182240385</v>
      </c>
      <c r="H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11347.3785619024</v>
      </c>
    </row>
    <row r="92" ht="15" customHeight="1">
      <c r="B92" s="20">
        <v>85</v>
      </c>
      <c r="C92" s="21">
        <f t="shared" si="0"/>
        <v>141668.859585474</v>
      </c>
      <c r="D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83617.2340542626</v>
      </c>
      <c r="E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31001.2988177988</v>
      </c>
      <c r="F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11152.373119221</v>
      </c>
      <c r="G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6190.94606518523</v>
      </c>
      <c r="H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9707.00752900593</v>
      </c>
    </row>
    <row r="93" ht="15" customHeight="1">
      <c r="B93" s="20">
        <v>86</v>
      </c>
      <c r="C93" s="21">
        <f t="shared" si="0"/>
        <v>130984.626816773</v>
      </c>
      <c r="D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71358.862143628</v>
      </c>
      <c r="E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26803.9833839559</v>
      </c>
      <c r="F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16712.2525450885</v>
      </c>
      <c r="G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3108.99695673189</v>
      </c>
      <c r="H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13000.5317873692</v>
      </c>
    </row>
    <row r="94" ht="15" customHeight="1">
      <c r="B94" s="20">
        <v>87</v>
      </c>
      <c r="C94" s="21">
        <f t="shared" si="0"/>
        <v>135582.374047157</v>
      </c>
      <c r="D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69148.4491781085</v>
      </c>
      <c r="E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40953.2211706196</v>
      </c>
      <c r="F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12001.3022109341</v>
      </c>
      <c r="G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3794.33737143463</v>
      </c>
      <c r="H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9685.06411605979</v>
      </c>
    </row>
    <row r="95" ht="15" customHeight="1">
      <c r="B95" s="20">
        <v>88</v>
      </c>
      <c r="C95" s="21">
        <f t="shared" si="0"/>
        <v>175515.591005319</v>
      </c>
      <c r="D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116359.888106039</v>
      </c>
      <c r="E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26357.2056196493</v>
      </c>
      <c r="F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14479.6910021571</v>
      </c>
      <c r="G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7056.97677831863</v>
      </c>
      <c r="H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11261.8294991546</v>
      </c>
    </row>
    <row r="96" ht="15" customHeight="1">
      <c r="B96" s="20">
        <v>89</v>
      </c>
      <c r="C96" s="21">
        <f t="shared" si="0"/>
        <v>165572.779292322</v>
      </c>
      <c r="D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105945.001130859</v>
      </c>
      <c r="E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29263.6622744492</v>
      </c>
      <c r="F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15467.1086129919</v>
      </c>
      <c r="G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5855.9750155769</v>
      </c>
      <c r="H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9041.0322584446</v>
      </c>
    </row>
    <row r="97" ht="15" customHeight="1">
      <c r="B97" s="20">
        <v>90</v>
      </c>
      <c r="C97" s="21">
        <f t="shared" si="0"/>
        <v>143912.720397772</v>
      </c>
      <c r="D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73111.7669438023</v>
      </c>
      <c r="E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32448.9784333363</v>
      </c>
      <c r="F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12724.4793128996</v>
      </c>
      <c r="G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4235.87236278728</v>
      </c>
      <c r="H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21391.6233449461</v>
      </c>
    </row>
    <row r="98" ht="15" customHeight="1">
      <c r="B98" s="20">
        <v>91</v>
      </c>
      <c r="C98" s="21">
        <f t="shared" si="0"/>
        <v>169962.41994447</v>
      </c>
      <c r="D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109895.983143612</v>
      </c>
      <c r="E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22981.0583373772</v>
      </c>
      <c r="F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13529.9952772021</v>
      </c>
      <c r="G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7503.25251757831</v>
      </c>
      <c r="H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16052.1306687005</v>
      </c>
    </row>
    <row r="99" ht="15" customHeight="1">
      <c r="B99" s="20">
        <v>92</v>
      </c>
      <c r="C99" s="21">
        <f t="shared" si="0"/>
        <v>122865.419236657</v>
      </c>
      <c r="D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64238.1859137944</v>
      </c>
      <c r="E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26047.3305822753</v>
      </c>
      <c r="F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10506.1842723312</v>
      </c>
      <c r="G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5845.62936124871</v>
      </c>
      <c r="H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16228.0891070071</v>
      </c>
    </row>
    <row r="100" ht="15" customHeight="1">
      <c r="B100" s="20">
        <v>93</v>
      </c>
      <c r="C100" s="21">
        <f t="shared" si="0"/>
        <v>138990.229953502</v>
      </c>
      <c r="D1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75193.4609391368</v>
      </c>
      <c r="E1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25685.6799370272</v>
      </c>
      <c r="F1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15026.8643862731</v>
      </c>
      <c r="G1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6802.45644117245</v>
      </c>
      <c r="H1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16281.7682498927</v>
      </c>
    </row>
    <row r="101" ht="15" customHeight="1">
      <c r="B101" s="20">
        <v>94</v>
      </c>
      <c r="C101" s="21">
        <f t="shared" si="0"/>
        <v>145352.080316387</v>
      </c>
      <c r="D1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84065.6740245239</v>
      </c>
      <c r="E1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28856.9139786486</v>
      </c>
      <c r="F1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13384.1335090078</v>
      </c>
      <c r="G1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5809.02338515878</v>
      </c>
      <c r="H1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13236.3354190475</v>
      </c>
    </row>
    <row r="102" ht="15" customHeight="1">
      <c r="B102" s="20">
        <v>95</v>
      </c>
      <c r="C102" s="21">
        <f t="shared" si="0"/>
        <v>152713.387377609</v>
      </c>
      <c r="D1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87173.62167495</v>
      </c>
      <c r="E1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27291.9375062732</v>
      </c>
      <c r="F1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12321.9431407718</v>
      </c>
      <c r="G1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5370.05724892018</v>
      </c>
      <c r="H1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20555.827806694</v>
      </c>
    </row>
    <row r="103" ht="15" customHeight="1">
      <c r="B103" s="20">
        <v>96</v>
      </c>
      <c r="C103" s="21">
        <f t="shared" si="0"/>
        <v>163344.653026283</v>
      </c>
      <c r="D1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92786.9240626449</v>
      </c>
      <c r="E1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41043.0001504632</v>
      </c>
      <c r="F1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11569.5245886055</v>
      </c>
      <c r="G1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4701.69210745297</v>
      </c>
      <c r="H1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13243.5121171169</v>
      </c>
    </row>
    <row r="104" ht="15" customHeight="1">
      <c r="B104" s="20">
        <v>97</v>
      </c>
      <c r="C104" s="21">
        <f t="shared" si="0"/>
        <v>142710.922526707</v>
      </c>
      <c r="D1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82846.1344814956</v>
      </c>
      <c r="E1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29288.0565781229</v>
      </c>
      <c r="F1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16355.9327062291</v>
      </c>
      <c r="G1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4214.1268572773</v>
      </c>
      <c r="H1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10006.6719035822</v>
      </c>
    </row>
    <row r="105" ht="15" customHeight="1">
      <c r="B105" s="20">
        <v>98</v>
      </c>
      <c r="C105" s="21">
        <f t="shared" si="0"/>
        <v>159512.963787146</v>
      </c>
      <c r="D1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89713.9013030838</v>
      </c>
      <c r="E1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39462.0766326398</v>
      </c>
      <c r="F1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11825.7274163092</v>
      </c>
      <c r="G1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5447.66999862277</v>
      </c>
      <c r="H1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13063.5884364906</v>
      </c>
    </row>
    <row r="106" ht="15" customHeight="1">
      <c r="B106" s="20">
        <v>99</v>
      </c>
      <c r="C106" s="21">
        <f t="shared" si="0"/>
        <v>146398.331201936</v>
      </c>
      <c r="D1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75004.5995699063</v>
      </c>
      <c r="E1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38005.9549434399</v>
      </c>
      <c r="F1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13599.5579444183</v>
      </c>
      <c r="G1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6133.86675024864</v>
      </c>
      <c r="H1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13654.3519939228</v>
      </c>
    </row>
    <row r="107" ht="15" customHeight="1">
      <c r="B107" s="20">
        <v>100</v>
      </c>
      <c r="C107" s="21">
        <f t="shared" si="0"/>
        <v>153175.404543724</v>
      </c>
      <c r="D1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89457.812272708</v>
      </c>
      <c r="E1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32123.5837188994</v>
      </c>
      <c r="F1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11669.1893265769</v>
      </c>
      <c r="G1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6559.78569135764</v>
      </c>
      <c r="H1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13365.0335341816</v>
      </c>
    </row>
    <row r="108" ht="15" customHeight="1">
      <c r="B108" s="20">
        <v>101</v>
      </c>
      <c r="C108" s="21">
        <f t="shared" si="0"/>
        <v>116457.050497402</v>
      </c>
      <c r="D1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62630.4883181095</v>
      </c>
      <c r="E1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26210.3495376917</v>
      </c>
      <c r="F1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14402.2754640614</v>
      </c>
      <c r="G1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5344.52546999653</v>
      </c>
      <c r="H1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7869.41170754243</v>
      </c>
    </row>
    <row r="109" ht="15" customHeight="1">
      <c r="B109" s="20">
        <v>102</v>
      </c>
      <c r="C109" s="21">
        <f t="shared" si="0"/>
        <v>155549.398527553</v>
      </c>
      <c r="D1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101379.284074638</v>
      </c>
      <c r="E1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26296.8917908979</v>
      </c>
      <c r="F1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13625.2663428146</v>
      </c>
      <c r="G1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6257.07424178484</v>
      </c>
      <c r="H1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7990.88207741792</v>
      </c>
    </row>
    <row r="110" ht="15" customHeight="1">
      <c r="B110" s="20">
        <v>103</v>
      </c>
      <c r="C110" s="21">
        <f t="shared" si="0"/>
        <v>156773.597927533</v>
      </c>
      <c r="D1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85338.4306978963</v>
      </c>
      <c r="E1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30867.0383144519</v>
      </c>
      <c r="F1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15728.5027681668</v>
      </c>
      <c r="G1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4055.8843874054</v>
      </c>
      <c r="H1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20783.7417596124</v>
      </c>
    </row>
    <row r="111" ht="15" customHeight="1">
      <c r="B111" s="20">
        <v>104</v>
      </c>
      <c r="C111" s="21">
        <f t="shared" si="0"/>
        <v>132336.620003424</v>
      </c>
      <c r="D1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71136.7019874461</v>
      </c>
      <c r="E1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32679.1137369509</v>
      </c>
      <c r="F1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12243.7560225961</v>
      </c>
      <c r="G1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5131.57909957815</v>
      </c>
      <c r="H1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11145.4691568529</v>
      </c>
    </row>
    <row r="112" ht="15" customHeight="1">
      <c r="B112" s="20">
        <v>105</v>
      </c>
      <c r="C112" s="21">
        <f t="shared" si="0"/>
        <v>164744.844741622</v>
      </c>
      <c r="D1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99679.8685544966</v>
      </c>
      <c r="E1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33003.3884410399</v>
      </c>
      <c r="F1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15965.2931538711</v>
      </c>
      <c r="G1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7443.73995923086</v>
      </c>
      <c r="H1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8652.55463298392</v>
      </c>
    </row>
    <row r="113" ht="15" customHeight="1">
      <c r="B113" s="20">
        <v>106</v>
      </c>
      <c r="C113" s="21">
        <f t="shared" si="0"/>
        <v>132858.497960421</v>
      </c>
      <c r="D1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76215.4922396547</v>
      </c>
      <c r="E1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24452.0603847065</v>
      </c>
      <c r="F1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14570.9264331241</v>
      </c>
      <c r="G1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6490.58035590917</v>
      </c>
      <c r="H1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11129.4385470266</v>
      </c>
    </row>
    <row r="114" ht="15" customHeight="1">
      <c r="B114" s="20">
        <v>107</v>
      </c>
      <c r="C114" s="21">
        <f t="shared" si="0"/>
        <v>149686.609613587</v>
      </c>
      <c r="D1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90655.5955147426</v>
      </c>
      <c r="E1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29938.9240972514</v>
      </c>
      <c r="F1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14505.2284867377</v>
      </c>
      <c r="G1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5194.42436150304</v>
      </c>
      <c r="H1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9392.43715335274</v>
      </c>
    </row>
    <row r="115" ht="15" customHeight="1">
      <c r="B115" s="20">
        <v>108</v>
      </c>
      <c r="C115" s="21">
        <f t="shared" si="0"/>
        <v>123906.315423768</v>
      </c>
      <c r="D1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57232.530114168</v>
      </c>
      <c r="E1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39506.6927863217</v>
      </c>
      <c r="F1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11010.1778802116</v>
      </c>
      <c r="G1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5559.79132079649</v>
      </c>
      <c r="H1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10597.1233222704</v>
      </c>
    </row>
    <row r="116" ht="15" customHeight="1">
      <c r="B116" s="20">
        <v>109</v>
      </c>
      <c r="C116" s="21">
        <f t="shared" si="0"/>
        <v>150415.371793065</v>
      </c>
      <c r="D1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93141.2020004137</v>
      </c>
      <c r="E1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31298.9710276208</v>
      </c>
      <c r="F1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10713.9215970315</v>
      </c>
      <c r="G1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7084.13935217379</v>
      </c>
      <c r="H1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8177.13781582553</v>
      </c>
    </row>
    <row r="117" ht="15" customHeight="1">
      <c r="B117" s="20">
        <v>110</v>
      </c>
      <c r="C117" s="21">
        <f t="shared" si="0"/>
        <v>132248.78258556</v>
      </c>
      <c r="D1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73800.4310566189</v>
      </c>
      <c r="E1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29425.2992009052</v>
      </c>
      <c r="F1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11342.6745986407</v>
      </c>
      <c r="G1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6234.9226766576</v>
      </c>
      <c r="H1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11445.4550527377</v>
      </c>
    </row>
    <row r="118" ht="15" customHeight="1">
      <c r="B118" s="20">
        <v>111</v>
      </c>
      <c r="C118" s="21">
        <f t="shared" si="0"/>
        <v>131581.050502598</v>
      </c>
      <c r="D1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65822.1394352641</v>
      </c>
      <c r="E1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34821.5270353577</v>
      </c>
      <c r="F1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17007.0878912916</v>
      </c>
      <c r="G1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4656.57620951209</v>
      </c>
      <c r="H1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9273.71993117217</v>
      </c>
    </row>
    <row r="119" ht="15" customHeight="1">
      <c r="B119" s="20">
        <v>112</v>
      </c>
      <c r="C119" s="21">
        <f t="shared" si="0"/>
        <v>136668.390173785</v>
      </c>
      <c r="D1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78099.890874652</v>
      </c>
      <c r="E1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23521.3361608294</v>
      </c>
      <c r="F1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12143.7065222951</v>
      </c>
      <c r="G1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6906.91743697586</v>
      </c>
      <c r="H1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15996.5391790323</v>
      </c>
    </row>
    <row r="120" ht="15" customHeight="1">
      <c r="B120" s="20">
        <v>113</v>
      </c>
      <c r="C120" s="21">
        <f t="shared" si="0"/>
        <v>117563.78118559</v>
      </c>
      <c r="D1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62165.097234446</v>
      </c>
      <c r="E1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27833.4143204253</v>
      </c>
      <c r="F1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9797.60386114569</v>
      </c>
      <c r="G1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5448.02990390717</v>
      </c>
      <c r="H1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12319.6358656656</v>
      </c>
    </row>
    <row r="121" ht="15" customHeight="1">
      <c r="B121" s="20">
        <v>114</v>
      </c>
      <c r="C121" s="21">
        <f t="shared" si="0"/>
        <v>158840.928521314</v>
      </c>
      <c r="D1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105324.954259263</v>
      </c>
      <c r="E1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25870.1039676438</v>
      </c>
      <c r="F1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13063.2703325921</v>
      </c>
      <c r="G1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6349.22210983012</v>
      </c>
      <c r="H1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8233.37785198519</v>
      </c>
    </row>
    <row r="122" ht="15" customHeight="1">
      <c r="B122" s="20">
        <v>115</v>
      </c>
      <c r="C122" s="21">
        <f t="shared" si="0"/>
        <v>121256.624903508</v>
      </c>
      <c r="D1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64925.95400368</v>
      </c>
      <c r="E1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24988.4694210039</v>
      </c>
      <c r="F1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12689.2386152533</v>
      </c>
      <c r="G1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4199.78653919034</v>
      </c>
      <c r="H1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14453.1763243806</v>
      </c>
    </row>
    <row r="123" ht="15" customHeight="1">
      <c r="B123" s="20">
        <v>116</v>
      </c>
      <c r="C123" s="21">
        <f t="shared" si="0"/>
        <v>115622.053297034</v>
      </c>
      <c r="D1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58637.2885207059</v>
      </c>
      <c r="E1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31932.1119958792</v>
      </c>
      <c r="F1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12160.3850624582</v>
      </c>
      <c r="G1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4144.81801159984</v>
      </c>
      <c r="H1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8747.44970639099</v>
      </c>
    </row>
    <row r="124" ht="15" customHeight="1">
      <c r="B124" s="20">
        <v>117</v>
      </c>
      <c r="C124" s="21">
        <f t="shared" si="0"/>
        <v>119753.340577276</v>
      </c>
      <c r="D1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60578.8340368668</v>
      </c>
      <c r="E1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34907.162487164</v>
      </c>
      <c r="F1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9736.39758237157</v>
      </c>
      <c r="G1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4934.32676982189</v>
      </c>
      <c r="H1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9596.6197010514</v>
      </c>
    </row>
    <row r="125" ht="15" customHeight="1">
      <c r="B125" s="20">
        <v>118</v>
      </c>
      <c r="C125" s="21">
        <f t="shared" si="0"/>
        <v>143232.050583937</v>
      </c>
      <c r="D1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76157.3969888762</v>
      </c>
      <c r="E1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31413.673945462</v>
      </c>
      <c r="F1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14256.5574975037</v>
      </c>
      <c r="G1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6873.32719101508</v>
      </c>
      <c r="H1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14531.0949610797</v>
      </c>
    </row>
    <row r="126" ht="15" customHeight="1">
      <c r="B126" s="20">
        <v>119</v>
      </c>
      <c r="C126" s="21">
        <f t="shared" si="0"/>
        <v>127118.429009806</v>
      </c>
      <c r="D1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69433.0093334228</v>
      </c>
      <c r="E1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31966.9363466877</v>
      </c>
      <c r="F1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12953.0295994888</v>
      </c>
      <c r="G1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4310.49238310976</v>
      </c>
      <c r="H1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8454.96134709674</v>
      </c>
    </row>
    <row r="127" ht="15" customHeight="1">
      <c r="B127" s="20">
        <v>120</v>
      </c>
      <c r="C127" s="21">
        <f t="shared" si="0"/>
        <v>136712.349517982</v>
      </c>
      <c r="D1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81564.3696354293</v>
      </c>
      <c r="E1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25405.0360954561</v>
      </c>
      <c r="F1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13046.4393658818</v>
      </c>
      <c r="G1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5323.12790341733</v>
      </c>
      <c r="H1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11373.3765177973</v>
      </c>
    </row>
    <row r="128" ht="15" customHeight="1">
      <c r="B128" s="20">
        <v>121</v>
      </c>
      <c r="C128" s="21">
        <f t="shared" si="0"/>
        <v>135329.440385284</v>
      </c>
      <c r="D1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80094.1484395097</v>
      </c>
      <c r="E1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29379.0060659207</v>
      </c>
      <c r="F1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9507.15277120968</v>
      </c>
      <c r="G1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5222.49552059364</v>
      </c>
      <c r="H1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11126.6375880499</v>
      </c>
    </row>
    <row r="129" ht="15" customHeight="1">
      <c r="B129" s="20">
        <v>122</v>
      </c>
      <c r="C129" s="21">
        <f t="shared" si="0"/>
        <v>153148.417286894</v>
      </c>
      <c r="D1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87170.6963570269</v>
      </c>
      <c r="E1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33228.7535526306</v>
      </c>
      <c r="F1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13961.5019477674</v>
      </c>
      <c r="G1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4905.94467317336</v>
      </c>
      <c r="H1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13881.5207562954</v>
      </c>
    </row>
    <row r="130" ht="15" customHeight="1">
      <c r="B130" s="20">
        <v>123</v>
      </c>
      <c r="C130" s="21">
        <f t="shared" si="0"/>
        <v>126663.042591274</v>
      </c>
      <c r="D1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57075.228470948</v>
      </c>
      <c r="E1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30228.5672536368</v>
      </c>
      <c r="F1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13732.5494294212</v>
      </c>
      <c r="G1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6796.92262793482</v>
      </c>
      <c r="H1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18829.7748093329</v>
      </c>
    </row>
    <row r="131" ht="15" customHeight="1">
      <c r="B131" s="20">
        <v>124</v>
      </c>
      <c r="C131" s="21">
        <f t="shared" si="0"/>
        <v>159142.400183373</v>
      </c>
      <c r="D1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95406.6306763225</v>
      </c>
      <c r="E1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33752.8976189706</v>
      </c>
      <c r="F1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12409.9924952647</v>
      </c>
      <c r="G1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5026.85954144522</v>
      </c>
      <c r="H1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12546.0198513699</v>
      </c>
    </row>
    <row r="132" ht="15" customHeight="1">
      <c r="B132" s="20">
        <v>125</v>
      </c>
      <c r="C132" s="21">
        <f t="shared" si="0"/>
        <v>136331.350214355</v>
      </c>
      <c r="D1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67605.5512296824</v>
      </c>
      <c r="E1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37446.1278159046</v>
      </c>
      <c r="F1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15422.7434023549</v>
      </c>
      <c r="G1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5492.53494809534</v>
      </c>
      <c r="H1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10364.3928183181</v>
      </c>
    </row>
    <row r="133" ht="15" customHeight="1">
      <c r="B133" s="20">
        <v>126</v>
      </c>
      <c r="C133" s="21">
        <f t="shared" si="0"/>
        <v>121383.572878685</v>
      </c>
      <c r="D1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54983.6260161076</v>
      </c>
      <c r="E1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31601.2623047696</v>
      </c>
      <c r="F1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12686.1221926891</v>
      </c>
      <c r="G1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7317.20020360856</v>
      </c>
      <c r="H1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14795.3621615104</v>
      </c>
    </row>
    <row r="134" ht="15" customHeight="1">
      <c r="B134" s="20">
        <v>127</v>
      </c>
      <c r="C134" s="21">
        <f t="shared" si="0"/>
        <v>154380.598423137</v>
      </c>
      <c r="D1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97004.0057944073</v>
      </c>
      <c r="E1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27052.7142365556</v>
      </c>
      <c r="F1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13372.9676625074</v>
      </c>
      <c r="G1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5424.36990843122</v>
      </c>
      <c r="H1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11526.540821235</v>
      </c>
    </row>
    <row r="135" ht="15" customHeight="1">
      <c r="B135" s="20">
        <v>128</v>
      </c>
      <c r="C135" s="21">
        <f t="shared" si="0"/>
        <v>135819.084556258</v>
      </c>
      <c r="D1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67797.2989356701</v>
      </c>
      <c r="E1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36855.5017902381</v>
      </c>
      <c r="F1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9700.88771260704</v>
      </c>
      <c r="G1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7314.45241244777</v>
      </c>
      <c r="H1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14150.9437052951</v>
      </c>
    </row>
    <row r="136" ht="15" customHeight="1">
      <c r="B136" s="20">
        <v>129</v>
      </c>
      <c r="C136" s="21">
        <f t="shared" si="0"/>
        <v>126996.034591538</v>
      </c>
      <c r="D1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70391.5464354592</v>
      </c>
      <c r="E1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29660.8950776627</v>
      </c>
      <c r="F1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9746.94463672808</v>
      </c>
      <c r="G1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5460.02046412666</v>
      </c>
      <c r="H1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11736.6279775615</v>
      </c>
    </row>
    <row r="137" ht="15" customHeight="1">
      <c r="B137" s="20">
        <v>130</v>
      </c>
      <c r="C137" s="21">
        <f t="shared" si="0"/>
        <v>182394.095259434</v>
      </c>
      <c r="D1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110106.50172874</v>
      </c>
      <c r="E1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32126.6022572067</v>
      </c>
      <c r="F1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12150.3172436878</v>
      </c>
      <c r="G1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5840.74190800834</v>
      </c>
      <c r="H1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22169.9321217909</v>
      </c>
    </row>
    <row r="138" ht="15" customHeight="1">
      <c r="B138" s="20">
        <v>131</v>
      </c>
      <c r="C138" s="21">
        <f t="shared" si="0"/>
        <v>119929.983102861</v>
      </c>
      <c r="D1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58355.3743006863</v>
      </c>
      <c r="E1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36035.3979499314</v>
      </c>
      <c r="F1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11286.6815904026</v>
      </c>
      <c r="G1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7572.47993698001</v>
      </c>
      <c r="H1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6680.04932486086</v>
      </c>
    </row>
    <row r="139" ht="15" customHeight="1">
      <c r="B139" s="20">
        <v>132</v>
      </c>
      <c r="C139" s="21">
        <f t="shared" si="0"/>
        <v>117159.180978672</v>
      </c>
      <c r="D1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59226.92899004</v>
      </c>
      <c r="E1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32304.0553691918</v>
      </c>
      <c r="F1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8551.73079388733</v>
      </c>
      <c r="G1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6218.44453900873</v>
      </c>
      <c r="H1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10858.0212865439</v>
      </c>
    </row>
    <row r="140" ht="15" customHeight="1">
      <c r="B140" s="20">
        <v>133</v>
      </c>
      <c r="C140" s="21">
        <f t="shared" si="0"/>
        <v>160302.053832374</v>
      </c>
      <c r="D1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84668.745257631</v>
      </c>
      <c r="E1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37041.7834882917</v>
      </c>
      <c r="F1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11242.700619012</v>
      </c>
      <c r="G1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7628.20278257964</v>
      </c>
      <c r="H1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19720.6216848599</v>
      </c>
    </row>
    <row r="141" ht="15" customHeight="1">
      <c r="B141" s="20">
        <v>134</v>
      </c>
      <c r="C141" s="21">
        <f t="shared" si="0"/>
        <v>133372.425642566</v>
      </c>
      <c r="D1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64834.5635757853</v>
      </c>
      <c r="E1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40227.2405061345</v>
      </c>
      <c r="F1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13131.122706266</v>
      </c>
      <c r="G1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6847.67646231192</v>
      </c>
      <c r="H1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8331.82239206828</v>
      </c>
    </row>
    <row r="142" ht="15" customHeight="1">
      <c r="B142" s="20">
        <v>135</v>
      </c>
      <c r="C142" s="21">
        <f t="shared" si="0"/>
        <v>137858.21985623</v>
      </c>
      <c r="D1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69943.9202483086</v>
      </c>
      <c r="E1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33657.2176070681</v>
      </c>
      <c r="F1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15317.7494991962</v>
      </c>
      <c r="G1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4017.16553316729</v>
      </c>
      <c r="H1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14922.1669684899</v>
      </c>
    </row>
    <row r="143" ht="15" customHeight="1">
      <c r="B143" s="20">
        <v>136</v>
      </c>
      <c r="C143" s="21">
        <f t="shared" si="0"/>
        <v>130075.158437916</v>
      </c>
      <c r="D1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76490.2148765115</v>
      </c>
      <c r="E1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24452.018614972</v>
      </c>
      <c r="F1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10842.091429041</v>
      </c>
      <c r="G1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4372.78482526823</v>
      </c>
      <c r="H1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13918.048692123</v>
      </c>
    </row>
    <row r="144" ht="15" customHeight="1">
      <c r="B144" s="20">
        <v>137</v>
      </c>
      <c r="C144" s="21">
        <f t="shared" si="0"/>
        <v>141910.04568903</v>
      </c>
      <c r="D1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71936.5352909592</v>
      </c>
      <c r="E1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34948.0401141047</v>
      </c>
      <c r="F1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14919.2364255196</v>
      </c>
      <c r="G1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4678.00311031294</v>
      </c>
      <c r="H1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15428.2307481336</v>
      </c>
    </row>
    <row r="145" ht="15" customHeight="1">
      <c r="B145" s="20">
        <v>138</v>
      </c>
      <c r="C145" s="21">
        <f t="shared" si="0"/>
        <v>160631.963086821</v>
      </c>
      <c r="D1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91490.2381375995</v>
      </c>
      <c r="E1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36240.8683591011</v>
      </c>
      <c r="F1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13913.855570022</v>
      </c>
      <c r="G1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6348.8996381651</v>
      </c>
      <c r="H1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12638.1013819337</v>
      </c>
    </row>
    <row r="146" ht="15" customHeight="1">
      <c r="B146" s="20">
        <v>139</v>
      </c>
      <c r="C146" s="21">
        <f t="shared" si="0"/>
        <v>120986.198429015</v>
      </c>
      <c r="D1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65075.6989611036</v>
      </c>
      <c r="E1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28721.7945132968</v>
      </c>
      <c r="F1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13839.6382774136</v>
      </c>
      <c r="G1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4406.64018496411</v>
      </c>
      <c r="H1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8942.42649223665</v>
      </c>
    </row>
    <row r="147" ht="15" customHeight="1">
      <c r="B147" s="20">
        <v>140</v>
      </c>
      <c r="C147" s="21">
        <f t="shared" si="0"/>
        <v>149938.468561402</v>
      </c>
      <c r="D1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77005.5047324984</v>
      </c>
      <c r="E1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42775.0321415676</v>
      </c>
      <c r="F1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14544.1606532028</v>
      </c>
      <c r="G1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5333.18602065012</v>
      </c>
      <c r="H1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10280.5850134832</v>
      </c>
    </row>
    <row r="148" ht="15" customHeight="1">
      <c r="B148" s="20">
        <v>141</v>
      </c>
      <c r="C148" s="21">
        <f t="shared" si="0"/>
        <v>168490.422759988</v>
      </c>
      <c r="D1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99556.6881394164</v>
      </c>
      <c r="E1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32919.1700161238</v>
      </c>
      <c r="F1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13602.5725963069</v>
      </c>
      <c r="G1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5012.38789226121</v>
      </c>
      <c r="H1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17399.6041158794</v>
      </c>
    </row>
    <row r="149" ht="15" customHeight="1">
      <c r="B149" s="20">
        <v>142</v>
      </c>
      <c r="C149" s="21">
        <f t="shared" si="0"/>
        <v>130797.931796749</v>
      </c>
      <c r="D1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72624.3981266299</v>
      </c>
      <c r="E1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27951.3701847815</v>
      </c>
      <c r="F1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11324.3263652698</v>
      </c>
      <c r="G1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6760.6943189274</v>
      </c>
      <c r="H1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12137.1428011406</v>
      </c>
    </row>
    <row r="150" ht="15" customHeight="1">
      <c r="B150" s="20">
        <v>143</v>
      </c>
      <c r="C150" s="21">
        <f t="shared" si="0"/>
        <v>156926.816452662</v>
      </c>
      <c r="D1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90740.4057823932</v>
      </c>
      <c r="E1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33525.730388468</v>
      </c>
      <c r="F1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16257.0467487369</v>
      </c>
      <c r="G1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5221.52374930737</v>
      </c>
      <c r="H1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11182.1097837563</v>
      </c>
    </row>
    <row r="151" ht="15" customHeight="1">
      <c r="B151" s="20">
        <v>144</v>
      </c>
      <c r="C151" s="21">
        <f t="shared" si="0"/>
        <v>142949.885485768</v>
      </c>
      <c r="D1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78202.9413580232</v>
      </c>
      <c r="E1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28414.6478035444</v>
      </c>
      <c r="F1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12101.9163685298</v>
      </c>
      <c r="G1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6659.81855237019</v>
      </c>
      <c r="H1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17570.5614033</v>
      </c>
    </row>
    <row r="152" ht="15" customHeight="1">
      <c r="B152" s="20">
        <v>145</v>
      </c>
      <c r="C152" s="21">
        <f t="shared" si="0"/>
        <v>160482.426936373</v>
      </c>
      <c r="D1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89857.1423212469</v>
      </c>
      <c r="E1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30088.8385446669</v>
      </c>
      <c r="F1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13775.6958892387</v>
      </c>
      <c r="G1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5267.77148267381</v>
      </c>
      <c r="H1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21492.9786985462</v>
      </c>
    </row>
    <row r="153" ht="15" customHeight="1">
      <c r="B153" s="20">
        <v>146</v>
      </c>
      <c r="C153" s="21">
        <f t="shared" si="0"/>
        <v>151972.187783434</v>
      </c>
      <c r="D1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88624.8028064774</v>
      </c>
      <c r="E1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36477.4684063584</v>
      </c>
      <c r="F1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12924.8667068602</v>
      </c>
      <c r="G1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4757.06928520081</v>
      </c>
      <c r="H1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9187.98057853762</v>
      </c>
    </row>
    <row r="154" ht="15" customHeight="1">
      <c r="B154" s="20">
        <v>147</v>
      </c>
      <c r="C154" s="21">
        <f t="shared" si="0"/>
        <v>160507.385565885</v>
      </c>
      <c r="D1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95990.9154720096</v>
      </c>
      <c r="E1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35781.8145813891</v>
      </c>
      <c r="F1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11985.8202175666</v>
      </c>
      <c r="G1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5378.78138939253</v>
      </c>
      <c r="H1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11370.0539055274</v>
      </c>
    </row>
    <row r="155" ht="15" customHeight="1">
      <c r="B155" s="20">
        <v>148</v>
      </c>
      <c r="C155" s="21">
        <f t="shared" si="0"/>
        <v>128304.959284301</v>
      </c>
      <c r="D1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76571.2570173547</v>
      </c>
      <c r="E1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26949.4555318331</v>
      </c>
      <c r="F1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10373.9466035778</v>
      </c>
      <c r="G1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5511.63100844733</v>
      </c>
      <c r="H1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8898.66912308848</v>
      </c>
    </row>
    <row r="156" ht="15" customHeight="1">
      <c r="B156" s="20">
        <v>149</v>
      </c>
      <c r="C156" s="21">
        <f t="shared" si="0"/>
        <v>167169.802659671</v>
      </c>
      <c r="D1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100445.680535915</v>
      </c>
      <c r="E1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37259.8768551575</v>
      </c>
      <c r="F1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12651.3727969408</v>
      </c>
      <c r="G1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3801.96034602577</v>
      </c>
      <c r="H1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13010.9121256319</v>
      </c>
    </row>
    <row r="157" ht="15" customHeight="1">
      <c r="B157" s="20">
        <v>150</v>
      </c>
      <c r="C157" s="21">
        <f t="shared" si="0"/>
        <v>134396.054467579</v>
      </c>
      <c r="D1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71457.1892887558</v>
      </c>
      <c r="E1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37161.877278472</v>
      </c>
      <c r="F1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12368.1027299986</v>
      </c>
      <c r="G1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3688.65728754192</v>
      </c>
      <c r="H1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9720.22788281035</v>
      </c>
    </row>
    <row r="158" ht="15" customHeight="1">
      <c r="B158" s="20">
        <v>151</v>
      </c>
      <c r="C158" s="21">
        <f t="shared" si="0"/>
        <v>148713.490398499</v>
      </c>
      <c r="D1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88094.6518946511</v>
      </c>
      <c r="E1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36347.620979134</v>
      </c>
      <c r="F1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8534.62948831194</v>
      </c>
      <c r="G1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5252.6781031791</v>
      </c>
      <c r="H1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10483.9099332232</v>
      </c>
    </row>
    <row r="159" ht="15" customHeight="1">
      <c r="B159" s="20">
        <v>152</v>
      </c>
      <c r="C159" s="21">
        <f t="shared" si="0"/>
        <v>137588.323306846</v>
      </c>
      <c r="D1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86065.8338838385</v>
      </c>
      <c r="E1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26150.2736367919</v>
      </c>
      <c r="F1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9614.03003287885</v>
      </c>
      <c r="G1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6715.07047054461</v>
      </c>
      <c r="H1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9043.11528279209</v>
      </c>
    </row>
    <row r="160" ht="15" customHeight="1">
      <c r="B160" s="20">
        <v>153</v>
      </c>
      <c r="C160" s="21">
        <f t="shared" si="0"/>
        <v>156971.329894067</v>
      </c>
      <c r="D1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96459.6298184558</v>
      </c>
      <c r="E1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29696.5465797866</v>
      </c>
      <c r="F1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11143.3105927888</v>
      </c>
      <c r="G1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6465.29825005399</v>
      </c>
      <c r="H1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13206.5446529823</v>
      </c>
    </row>
    <row r="161" ht="15" customHeight="1">
      <c r="B161" s="20">
        <v>154</v>
      </c>
      <c r="C161" s="21">
        <f t="shared" si="0"/>
        <v>154077.443110423</v>
      </c>
      <c r="D1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94210.1200480581</v>
      </c>
      <c r="E1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29232.4716675512</v>
      </c>
      <c r="F1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12712.6513221724</v>
      </c>
      <c r="G1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6087.91224699058</v>
      </c>
      <c r="H1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11834.2878256503</v>
      </c>
    </row>
    <row r="162" ht="15" customHeight="1">
      <c r="B162" s="20">
        <v>155</v>
      </c>
      <c r="C162" s="21">
        <f t="shared" si="0"/>
        <v>147337.171175186</v>
      </c>
      <c r="D1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76689.1818693373</v>
      </c>
      <c r="E1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36015.3088421159</v>
      </c>
      <c r="F1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11747.5476353406</v>
      </c>
      <c r="G1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6331.95502238832</v>
      </c>
      <c r="H1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16553.177806004</v>
      </c>
    </row>
    <row r="163" ht="15" customHeight="1">
      <c r="B163" s="20">
        <v>156</v>
      </c>
      <c r="C163" s="21">
        <f t="shared" si="0"/>
        <v>147597.362892684</v>
      </c>
      <c r="D1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76829.3771521448</v>
      </c>
      <c r="E1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40726.3031445305</v>
      </c>
      <c r="F1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14082.5657729258</v>
      </c>
      <c r="G1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3562.12734952939</v>
      </c>
      <c r="H1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12396.9894735532</v>
      </c>
    </row>
    <row r="164" ht="15" customHeight="1">
      <c r="B164" s="20">
        <v>157</v>
      </c>
      <c r="C164" s="21">
        <f t="shared" si="0"/>
        <v>152528.306226514</v>
      </c>
      <c r="D1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83029.8879694947</v>
      </c>
      <c r="E1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30135.2268360901</v>
      </c>
      <c r="F1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11833.2318001205</v>
      </c>
      <c r="G1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6353.13798101155</v>
      </c>
      <c r="H1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21176.8216397975</v>
      </c>
    </row>
    <row r="165" ht="15" customHeight="1">
      <c r="B165" s="20">
        <v>158</v>
      </c>
      <c r="C165" s="21">
        <f t="shared" si="0"/>
        <v>157194.808388171</v>
      </c>
      <c r="D1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83988.1115581845</v>
      </c>
      <c r="E1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36519.8381381972</v>
      </c>
      <c r="F1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14000.0647624927</v>
      </c>
      <c r="G1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4305.94488751872</v>
      </c>
      <c r="H1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18380.8490417779</v>
      </c>
    </row>
    <row r="166" ht="15" customHeight="1">
      <c r="B166" s="20">
        <v>159</v>
      </c>
      <c r="C166" s="21">
        <f t="shared" si="0"/>
        <v>154812.477559782</v>
      </c>
      <c r="D1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97820.7087655543</v>
      </c>
      <c r="E1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30594.321045472</v>
      </c>
      <c r="F1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10774.1538206026</v>
      </c>
      <c r="G1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5827.7081705776</v>
      </c>
      <c r="H1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9795.58575757506</v>
      </c>
    </row>
    <row r="167" ht="15" customHeight="1">
      <c r="B167" s="20">
        <v>160</v>
      </c>
      <c r="C167" s="21">
        <f t="shared" si="0"/>
        <v>135355.335446118</v>
      </c>
      <c r="D1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77804.2461552899</v>
      </c>
      <c r="E1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24394.8766174038</v>
      </c>
      <c r="F1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14783.4770200778</v>
      </c>
      <c r="G1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6352.65805718434</v>
      </c>
      <c r="H1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12020.0775961618</v>
      </c>
    </row>
    <row r="168" ht="15" customHeight="1">
      <c r="B168" s="20">
        <v>161</v>
      </c>
      <c r="C168" s="21">
        <f t="shared" si="0"/>
        <v>160194.636758273</v>
      </c>
      <c r="D1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101726.092501392</v>
      </c>
      <c r="E1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31522.0573029664</v>
      </c>
      <c r="F1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9469.11547126664</v>
      </c>
      <c r="G1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7559.41392668204</v>
      </c>
      <c r="H1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9917.95755596626</v>
      </c>
    </row>
    <row r="169" ht="15" customHeight="1">
      <c r="B169" s="20">
        <v>162</v>
      </c>
      <c r="C169" s="21">
        <f t="shared" si="0"/>
        <v>135919.037254002</v>
      </c>
      <c r="D1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68982.1979394031</v>
      </c>
      <c r="E1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33709.8133514635</v>
      </c>
      <c r="F1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16225.1286102402</v>
      </c>
      <c r="G1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4906.75972494946</v>
      </c>
      <c r="H1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12095.1376279459</v>
      </c>
    </row>
    <row r="170" ht="15" customHeight="1">
      <c r="B170" s="20">
        <v>163</v>
      </c>
      <c r="C170" s="21">
        <f t="shared" si="0"/>
        <v>172011.488145542</v>
      </c>
      <c r="D1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105769.561140724</v>
      </c>
      <c r="E1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31559.2229758021</v>
      </c>
      <c r="F1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8606.26858517946</v>
      </c>
      <c r="G1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5490.42115372987</v>
      </c>
      <c r="H1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20586.0142901066</v>
      </c>
    </row>
    <row r="171" ht="15" customHeight="1">
      <c r="B171" s="20">
        <v>164</v>
      </c>
      <c r="C171" s="21">
        <f t="shared" si="0"/>
        <v>166127.513414918</v>
      </c>
      <c r="D1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89939.7882131118</v>
      </c>
      <c r="E1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40759.7791172138</v>
      </c>
      <c r="F1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9945.78364757441</v>
      </c>
      <c r="G1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5961.84361299334</v>
      </c>
      <c r="H1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19520.3188240249</v>
      </c>
    </row>
    <row r="172" ht="15" customHeight="1">
      <c r="B172" s="20">
        <v>165</v>
      </c>
      <c r="C172" s="21">
        <f t="shared" si="0"/>
        <v>180027.454192956</v>
      </c>
      <c r="D1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105263.771358968</v>
      </c>
      <c r="E1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40515.2959825549</v>
      </c>
      <c r="F1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14299.3294934249</v>
      </c>
      <c r="G1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4913.38477192108</v>
      </c>
      <c r="H1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15035.6725860873</v>
      </c>
    </row>
    <row r="173" ht="15" customHeight="1">
      <c r="B173" s="20">
        <v>166</v>
      </c>
      <c r="C173" s="21">
        <f t="shared" si="0"/>
        <v>155741.19061542</v>
      </c>
      <c r="D1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90219.5196291221</v>
      </c>
      <c r="E1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42308.7894082476</v>
      </c>
      <c r="F1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9079.71761743386</v>
      </c>
      <c r="G1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6279.92086413796</v>
      </c>
      <c r="H1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7853.24309647863</v>
      </c>
    </row>
    <row r="174" ht="15" customHeight="1">
      <c r="B174" s="20">
        <v>167</v>
      </c>
      <c r="C174" s="21">
        <f t="shared" si="0"/>
        <v>173780.265341241</v>
      </c>
      <c r="D1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105890.226199396</v>
      </c>
      <c r="E1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30675.664193446</v>
      </c>
      <c r="F1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14720.0203352215</v>
      </c>
      <c r="G1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4243.50608186493</v>
      </c>
      <c r="H1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18250.8485313128</v>
      </c>
    </row>
    <row r="175" ht="15" customHeight="1">
      <c r="B175" s="20">
        <v>168</v>
      </c>
      <c r="C175" s="21">
        <f t="shared" si="0"/>
        <v>144440.325855535</v>
      </c>
      <c r="D1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83546.0778230148</v>
      </c>
      <c r="E1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34468.1444351032</v>
      </c>
      <c r="F1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11033.0724457829</v>
      </c>
      <c r="G1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5274.85358461162</v>
      </c>
      <c r="H1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10118.1775670221</v>
      </c>
    </row>
    <row r="176" ht="15" customHeight="1">
      <c r="B176" s="20">
        <v>169</v>
      </c>
      <c r="C176" s="21">
        <f t="shared" si="0"/>
        <v>133904.232398126</v>
      </c>
      <c r="D1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76421.479440835</v>
      </c>
      <c r="E1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27335.0931295462</v>
      </c>
      <c r="F1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17058.1968810712</v>
      </c>
      <c r="G1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5694.47210474526</v>
      </c>
      <c r="H1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7394.99084192812</v>
      </c>
    </row>
    <row r="177" ht="15" customHeight="1">
      <c r="B177" s="20">
        <v>170</v>
      </c>
      <c r="C177" s="21">
        <f t="shared" si="0"/>
        <v>150602.755154473</v>
      </c>
      <c r="D1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95769.5638459695</v>
      </c>
      <c r="E1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24468.5954363937</v>
      </c>
      <c r="F1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8802.21417953816</v>
      </c>
      <c r="G1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6700.435852749</v>
      </c>
      <c r="H1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14861.9458398226</v>
      </c>
    </row>
    <row r="178" ht="15" customHeight="1">
      <c r="B178" s="20">
        <v>171</v>
      </c>
      <c r="C178" s="21">
        <f t="shared" si="0"/>
        <v>147450.968053149</v>
      </c>
      <c r="D1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81983.1549157633</v>
      </c>
      <c r="E1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28984.5610865818</v>
      </c>
      <c r="F1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14977.0318890599</v>
      </c>
      <c r="G1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5663.41511278276</v>
      </c>
      <c r="H1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15842.805048961</v>
      </c>
    </row>
    <row r="179" ht="15" customHeight="1">
      <c r="B179" s="20">
        <v>172</v>
      </c>
      <c r="C179" s="21">
        <f t="shared" si="0"/>
        <v>144369.583779846</v>
      </c>
      <c r="D1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77451.9009693231</v>
      </c>
      <c r="E1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31766.8985877715</v>
      </c>
      <c r="F1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11566.8633435429</v>
      </c>
      <c r="G1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3950.0376369102</v>
      </c>
      <c r="H1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19633.8832422978</v>
      </c>
    </row>
    <row r="180" ht="15" customHeight="1">
      <c r="B180" s="20">
        <v>173</v>
      </c>
      <c r="C180" s="21">
        <f t="shared" si="0"/>
        <v>144142.150114552</v>
      </c>
      <c r="D1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69223.6718951317</v>
      </c>
      <c r="E1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42180.1329934967</v>
      </c>
      <c r="F1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14690.6194317715</v>
      </c>
      <c r="G1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5156.49867972504</v>
      </c>
      <c r="H1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12891.2271144269</v>
      </c>
    </row>
    <row r="181" ht="15" customHeight="1">
      <c r="B181" s="20">
        <v>174</v>
      </c>
      <c r="C181" s="21">
        <f t="shared" si="0"/>
        <v>144622.851671771</v>
      </c>
      <c r="D1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87633.952746783</v>
      </c>
      <c r="E1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30100.8541321883</v>
      </c>
      <c r="F1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12300.3427401448</v>
      </c>
      <c r="G1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4897.77415715154</v>
      </c>
      <c r="H1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9689.92789550345</v>
      </c>
    </row>
    <row r="182" ht="15" customHeight="1">
      <c r="B182" s="20">
        <v>175</v>
      </c>
      <c r="C182" s="21">
        <f t="shared" si="0"/>
        <v>136694.797049829</v>
      </c>
      <c r="D1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75793.41724547</v>
      </c>
      <c r="E1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28401.4879016842</v>
      </c>
      <c r="F1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14873.1285766178</v>
      </c>
      <c r="G1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7546.29350915489</v>
      </c>
      <c r="H1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10080.4698169024</v>
      </c>
    </row>
    <row r="183" ht="15" customHeight="1">
      <c r="B183" s="20">
        <v>176</v>
      </c>
      <c r="C183" s="21">
        <f t="shared" si="0"/>
        <v>133158.176603319</v>
      </c>
      <c r="D1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56831.2126988761</v>
      </c>
      <c r="E1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33604.511990771</v>
      </c>
      <c r="F1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15180.3173683923</v>
      </c>
      <c r="G1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4917.19878267682</v>
      </c>
      <c r="H1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22624.9357626024</v>
      </c>
    </row>
    <row r="184" ht="15" customHeight="1">
      <c r="B184" s="20">
        <v>177</v>
      </c>
      <c r="C184" s="21">
        <f t="shared" si="0"/>
        <v>159266.18652069</v>
      </c>
      <c r="D1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95877.3760943692</v>
      </c>
      <c r="E1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35319.3051032591</v>
      </c>
      <c r="F1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11927.177107538</v>
      </c>
      <c r="G1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4978.7636557088</v>
      </c>
      <c r="H1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11163.5645598152</v>
      </c>
    </row>
    <row r="185" ht="15" customHeight="1">
      <c r="B185" s="20">
        <v>178</v>
      </c>
      <c r="C185" s="21">
        <f t="shared" si="0"/>
        <v>142896.825593385</v>
      </c>
      <c r="D1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70767.1825639138</v>
      </c>
      <c r="E1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40107.8215664235</v>
      </c>
      <c r="F1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17177.3733068325</v>
      </c>
      <c r="G1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4757.17847970966</v>
      </c>
      <c r="H1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10087.2696765052</v>
      </c>
    </row>
    <row r="186" ht="15" customHeight="1">
      <c r="B186" s="20">
        <v>179</v>
      </c>
      <c r="C186" s="21">
        <f t="shared" si="0"/>
        <v>141545.976118181</v>
      </c>
      <c r="D1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77998.4886850305</v>
      </c>
      <c r="E1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32557.5955926609</v>
      </c>
      <c r="F1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14769.2729060647</v>
      </c>
      <c r="G1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4854.9053681587</v>
      </c>
      <c r="H1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11365.7135662665</v>
      </c>
    </row>
    <row r="187" ht="15" customHeight="1">
      <c r="B187" s="20">
        <v>180</v>
      </c>
      <c r="C187" s="21">
        <f t="shared" si="0"/>
        <v>149172.245699768</v>
      </c>
      <c r="D1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94011.8725426405</v>
      </c>
      <c r="E1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31657.2353452681</v>
      </c>
      <c r="F1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11954.1417389727</v>
      </c>
      <c r="G1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5514.11527436198</v>
      </c>
      <c r="H1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6034.88079852467</v>
      </c>
    </row>
    <row r="188" ht="15" customHeight="1">
      <c r="B188" s="20">
        <v>181</v>
      </c>
      <c r="C188" s="21">
        <f t="shared" si="0"/>
        <v>140764.653444814</v>
      </c>
      <c r="D1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78674.2850616234</v>
      </c>
      <c r="E1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32023.1391598996</v>
      </c>
      <c r="F1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12359.229845349</v>
      </c>
      <c r="G1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5592.30878242665</v>
      </c>
      <c r="H1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12115.6905955155</v>
      </c>
    </row>
    <row r="189" ht="15" customHeight="1">
      <c r="B189" s="20">
        <v>182</v>
      </c>
      <c r="C189" s="21">
        <f t="shared" si="0"/>
        <v>158763.591281994</v>
      </c>
      <c r="D1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90077.0182419171</v>
      </c>
      <c r="E1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33040.8589298683</v>
      </c>
      <c r="F1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16074.6978951136</v>
      </c>
      <c r="G1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7415.98798208221</v>
      </c>
      <c r="H1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12155.0282330129</v>
      </c>
    </row>
    <row r="190" ht="15" customHeight="1">
      <c r="B190" s="20">
        <v>183</v>
      </c>
      <c r="C190" s="21">
        <f t="shared" si="0"/>
        <v>142474.650796256</v>
      </c>
      <c r="D1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91341.8854686593</v>
      </c>
      <c r="E1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22613.9021857988</v>
      </c>
      <c r="F1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12121.6019223062</v>
      </c>
      <c r="G1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6467.87312077716</v>
      </c>
      <c r="H1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9929.3880987146</v>
      </c>
    </row>
    <row r="191" ht="15" customHeight="1">
      <c r="B191" s="20">
        <v>184</v>
      </c>
      <c r="C191" s="21">
        <f t="shared" si="0"/>
        <v>154764.64435861</v>
      </c>
      <c r="D1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90974.6804524329</v>
      </c>
      <c r="E1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30137.7521198447</v>
      </c>
      <c r="F1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16191.6253883776</v>
      </c>
      <c r="G1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5591.32381072221</v>
      </c>
      <c r="H1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11869.2625872322</v>
      </c>
    </row>
    <row r="192" ht="15" customHeight="1">
      <c r="B192" s="20">
        <v>185</v>
      </c>
      <c r="C192" s="21">
        <f t="shared" si="0"/>
        <v>124880.308714201</v>
      </c>
      <c r="D1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62753.636394255</v>
      </c>
      <c r="E1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35299.6808475716</v>
      </c>
      <c r="F1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11902.6355919752</v>
      </c>
      <c r="G1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4761.88618554444</v>
      </c>
      <c r="H1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10162.4696948544</v>
      </c>
    </row>
    <row r="193" ht="15" customHeight="1">
      <c r="B193" s="20">
        <v>186</v>
      </c>
      <c r="C193" s="21">
        <f t="shared" si="0"/>
        <v>167796.465917453</v>
      </c>
      <c r="D1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95021.877097591</v>
      </c>
      <c r="E1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40042.2767061481</v>
      </c>
      <c r="F1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9338.36095181242</v>
      </c>
      <c r="G1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3721.40796846533</v>
      </c>
      <c r="H1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19672.5431934362</v>
      </c>
    </row>
    <row r="194" ht="15" customHeight="1">
      <c r="B194" s="20">
        <v>187</v>
      </c>
      <c r="C194" s="21">
        <f t="shared" si="0"/>
        <v>158453.512013588</v>
      </c>
      <c r="D1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94144.0134470916</v>
      </c>
      <c r="E1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32225.8548307453</v>
      </c>
      <c r="F1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8811.77567669554</v>
      </c>
      <c r="G1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3553.28273920727</v>
      </c>
      <c r="H1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19718.585319848</v>
      </c>
    </row>
    <row r="195" ht="15" customHeight="1">
      <c r="B195" s="20">
        <v>188</v>
      </c>
      <c r="C195" s="21">
        <f t="shared" si="0"/>
        <v>128715.842068626</v>
      </c>
      <c r="D1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68390.7231368912</v>
      </c>
      <c r="E1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32360.9364157754</v>
      </c>
      <c r="F1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12045.7328345579</v>
      </c>
      <c r="G1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6306.73735300983</v>
      </c>
      <c r="H1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9611.71232839151</v>
      </c>
    </row>
    <row r="196" ht="15" customHeight="1">
      <c r="B196" s="20">
        <v>189</v>
      </c>
      <c r="C196" s="21">
        <f t="shared" si="0"/>
        <v>132662.389497718</v>
      </c>
      <c r="D1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77567.1720132665</v>
      </c>
      <c r="E1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29290.9289981597</v>
      </c>
      <c r="F1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11933.3302725751</v>
      </c>
      <c r="G1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6035.79882962581</v>
      </c>
      <c r="H1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7835.15938409046</v>
      </c>
    </row>
    <row r="197" ht="15" customHeight="1">
      <c r="B197" s="20">
        <v>190</v>
      </c>
      <c r="C197" s="21">
        <f t="shared" si="0"/>
        <v>175623.639738063</v>
      </c>
      <c r="D1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101249.094063845</v>
      </c>
      <c r="E1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34674.1548563477</v>
      </c>
      <c r="F1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11488.0631559958</v>
      </c>
      <c r="G1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5605.31897323521</v>
      </c>
      <c r="H1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22607.0086886397</v>
      </c>
    </row>
    <row r="198" ht="15" customHeight="1">
      <c r="B198" s="20">
        <v>191</v>
      </c>
      <c r="C198" s="21">
        <f t="shared" si="0"/>
        <v>129078.037082588</v>
      </c>
      <c r="D1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69946.5569916586</v>
      </c>
      <c r="E1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26401.2022842622</v>
      </c>
      <c r="F1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15784.9672823428</v>
      </c>
      <c r="G1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7637.45909176411</v>
      </c>
      <c r="H1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9307.85143256012</v>
      </c>
    </row>
    <row r="199" ht="15" customHeight="1">
      <c r="B199" s="20">
        <v>192</v>
      </c>
      <c r="C199" s="21">
        <f t="shared" si="0"/>
        <v>124308.245398303</v>
      </c>
      <c r="D1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63275.8477017752</v>
      </c>
      <c r="E1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31258.8936772811</v>
      </c>
      <c r="F1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11117.6765650376</v>
      </c>
      <c r="G1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6960.69336645882</v>
      </c>
      <c r="H1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11695.1340877501</v>
      </c>
    </row>
    <row r="200" ht="15" customHeight="1">
      <c r="B200" s="20">
        <v>193</v>
      </c>
      <c r="C200" s="21">
        <f t="shared" si="0"/>
        <v>148515.251519234</v>
      </c>
      <c r="D2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95500.418820716</v>
      </c>
      <c r="E2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29470.3360905539</v>
      </c>
      <c r="F2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11442.2385580284</v>
      </c>
      <c r="G2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6213.06924431771</v>
      </c>
      <c r="H2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5889.18880561836</v>
      </c>
    </row>
    <row r="201" ht="15" customHeight="1">
      <c r="B201" s="20">
        <v>194</v>
      </c>
      <c r="C201" s="21">
        <f t="shared" si="0"/>
        <v>166995.358113583</v>
      </c>
      <c r="D2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110118.638159093</v>
      </c>
      <c r="E2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31146.9355114128</v>
      </c>
      <c r="F2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12412.4144938379</v>
      </c>
      <c r="G2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7329.85883064868</v>
      </c>
      <c r="H2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5987.51111859069</v>
      </c>
    </row>
    <row r="202" ht="15" customHeight="1">
      <c r="B202" s="20">
        <v>195</v>
      </c>
      <c r="C202" s="21">
        <f t="shared" si="0"/>
        <v>135988.43955791</v>
      </c>
      <c r="D2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75702.4978804103</v>
      </c>
      <c r="E2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37664.8509720839</v>
      </c>
      <c r="F2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11972.7618645437</v>
      </c>
      <c r="G2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3826.99774066232</v>
      </c>
      <c r="H2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6821.33110020988</v>
      </c>
    </row>
    <row r="203" ht="15" customHeight="1">
      <c r="B203" s="20">
        <v>196</v>
      </c>
      <c r="C203" s="21">
        <f t="shared" si="0"/>
        <v>176535.085150904</v>
      </c>
      <c r="D2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100491.892526058</v>
      </c>
      <c r="E2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39814.1330368204</v>
      </c>
      <c r="F2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10153.9484613668</v>
      </c>
      <c r="G2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4842.66589477694</v>
      </c>
      <c r="H2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21232.4452318823</v>
      </c>
    </row>
    <row r="204" ht="15" customHeight="1">
      <c r="B204" s="20">
        <v>197</v>
      </c>
      <c r="C204" s="21">
        <f t="shared" si="0"/>
        <v>158961.22547622</v>
      </c>
      <c r="D2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90335.5572872641</v>
      </c>
      <c r="E2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28978.6339282598</v>
      </c>
      <c r="F2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15964.7146493419</v>
      </c>
      <c r="G2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4115.21106490069</v>
      </c>
      <c r="H2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19567.1085464536</v>
      </c>
    </row>
    <row r="205" ht="15" customHeight="1">
      <c r="B205" s="20">
        <v>198</v>
      </c>
      <c r="C205" s="21">
        <f t="shared" si="0"/>
        <v>136571.547902165</v>
      </c>
      <c r="D2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66332.2840643064</v>
      </c>
      <c r="E2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35663.6901021993</v>
      </c>
      <c r="F2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12353.5649197828</v>
      </c>
      <c r="G2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4969.88378354762</v>
      </c>
      <c r="H2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17252.1250323287</v>
      </c>
    </row>
    <row r="206" ht="15" customHeight="1">
      <c r="B206" s="20">
        <v>199</v>
      </c>
      <c r="C206" s="21">
        <f t="shared" si="0"/>
        <v>170800.314341712</v>
      </c>
      <c r="D2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108315.607661927</v>
      </c>
      <c r="E2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31188.4759537685</v>
      </c>
      <c r="F2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9259.3906254223</v>
      </c>
      <c r="G2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5915.65250762674</v>
      </c>
      <c r="H2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16121.1875929671</v>
      </c>
    </row>
    <row r="207" ht="15" customHeight="1">
      <c r="B207" s="20">
        <v>200</v>
      </c>
      <c r="C207" s="21">
        <f t="shared" si="0"/>
        <v>145959.22812033</v>
      </c>
      <c r="D2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81657.5575948543</v>
      </c>
      <c r="E2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34705.1148462845</v>
      </c>
      <c r="F2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10330.0268035548</v>
      </c>
      <c r="G2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7457.39914592835</v>
      </c>
      <c r="H2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11809.1297297078</v>
      </c>
    </row>
    <row r="208" ht="15" customHeight="1">
      <c r="B208" s="20">
        <v>201</v>
      </c>
      <c r="C208" s="21">
        <f t="shared" si="0"/>
        <v>134774.59274002</v>
      </c>
      <c r="D2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68812.5782222133</v>
      </c>
      <c r="E2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39307.8406154963</v>
      </c>
      <c r="F2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11325.8829658455</v>
      </c>
      <c r="G2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5933.13763590622</v>
      </c>
      <c r="H2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9395.15330055867</v>
      </c>
    </row>
    <row r="209" ht="15" customHeight="1">
      <c r="B209" s="20">
        <v>202</v>
      </c>
      <c r="C209" s="21">
        <f t="shared" si="0"/>
        <v>140364.368124172</v>
      </c>
      <c r="D2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79188.8786710662</v>
      </c>
      <c r="E2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29173.1458080718</v>
      </c>
      <c r="F2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13305.4488585613</v>
      </c>
      <c r="G2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4897.79446993023</v>
      </c>
      <c r="H2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13799.1003165427</v>
      </c>
    </row>
    <row r="210" ht="15" customHeight="1">
      <c r="B210" s="20">
        <v>203</v>
      </c>
      <c r="C210" s="21">
        <f t="shared" si="0"/>
        <v>131798.552113575</v>
      </c>
      <c r="D2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54040.4315774267</v>
      </c>
      <c r="E2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38403.2969086817</v>
      </c>
      <c r="F2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17096.9744510335</v>
      </c>
      <c r="G2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7560.80524070918</v>
      </c>
      <c r="H2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14697.0439357241</v>
      </c>
    </row>
    <row r="211" ht="15" customHeight="1">
      <c r="B211" s="20">
        <v>204</v>
      </c>
      <c r="C211" s="21">
        <f t="shared" si="0"/>
        <v>151775.413321967</v>
      </c>
      <c r="D2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84297.7399607681</v>
      </c>
      <c r="E2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29917.1338752982</v>
      </c>
      <c r="F2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15786.3246291752</v>
      </c>
      <c r="G2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7177.53482086904</v>
      </c>
      <c r="H2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14596.6800358567</v>
      </c>
    </row>
    <row r="212" ht="15" customHeight="1">
      <c r="B212" s="20">
        <v>205</v>
      </c>
      <c r="C212" s="21">
        <f t="shared" si="0"/>
        <v>136125.505646866</v>
      </c>
      <c r="D2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76412.0205050923</v>
      </c>
      <c r="E2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26165.322942576</v>
      </c>
      <c r="F2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10620.5128695733</v>
      </c>
      <c r="G2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5483.86298759008</v>
      </c>
      <c r="H2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17443.7863420339</v>
      </c>
    </row>
    <row r="213" ht="15" customHeight="1">
      <c r="B213" s="20">
        <v>206</v>
      </c>
      <c r="C213" s="21">
        <f t="shared" si="0"/>
        <v>164928.650075323</v>
      </c>
      <c r="D2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89944.7050320712</v>
      </c>
      <c r="E2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34190.7039631333</v>
      </c>
      <c r="F2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12696.8514314584</v>
      </c>
      <c r="G2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7350.99445782006</v>
      </c>
      <c r="H2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20745.3951908397</v>
      </c>
    </row>
    <row r="214" ht="15" customHeight="1">
      <c r="B214" s="20">
        <v>207</v>
      </c>
      <c r="C214" s="21">
        <f t="shared" si="0"/>
        <v>147522.504493164</v>
      </c>
      <c r="D2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79806.2615427728</v>
      </c>
      <c r="E2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31757.6945914565</v>
      </c>
      <c r="F2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10228.0891865603</v>
      </c>
      <c r="G2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5336.52459706211</v>
      </c>
      <c r="H2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20393.9345753122</v>
      </c>
    </row>
    <row r="215" ht="15" customHeight="1">
      <c r="B215" s="20">
        <v>208</v>
      </c>
      <c r="C215" s="21">
        <f t="shared" si="0"/>
        <v>165512.057214986</v>
      </c>
      <c r="D2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104545.173113431</v>
      </c>
      <c r="E2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28899.6093366755</v>
      </c>
      <c r="F2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12865.4205129279</v>
      </c>
      <c r="G2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5712.2262164739</v>
      </c>
      <c r="H2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13489.6280354773</v>
      </c>
    </row>
    <row r="216" ht="15" customHeight="1">
      <c r="B216" s="20">
        <v>209</v>
      </c>
      <c r="C216" s="21">
        <f t="shared" si="0"/>
        <v>121451.690476811</v>
      </c>
      <c r="D2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57829.6319877239</v>
      </c>
      <c r="E2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35543.4377383043</v>
      </c>
      <c r="F2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13796.3884631303</v>
      </c>
      <c r="G2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6279.65920928995</v>
      </c>
      <c r="H2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8002.57307836254</v>
      </c>
    </row>
    <row r="217" ht="15" customHeight="1">
      <c r="B217" s="20">
        <v>210</v>
      </c>
      <c r="C217" s="21">
        <f t="shared" si="0"/>
        <v>132667.276579873</v>
      </c>
      <c r="D2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80509.5528398349</v>
      </c>
      <c r="E2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25617.299850619</v>
      </c>
      <c r="F2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10031.9444215479</v>
      </c>
      <c r="G2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7374.38753257483</v>
      </c>
      <c r="H2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9134.09193529641</v>
      </c>
    </row>
    <row r="218" ht="15" customHeight="1">
      <c r="B218" s="20">
        <v>211</v>
      </c>
      <c r="C218" s="21">
        <f t="shared" si="0"/>
        <v>136814.54084786</v>
      </c>
      <c r="D2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75186.0997979211</v>
      </c>
      <c r="E2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34271.6825399969</v>
      </c>
      <c r="F2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14504.1974938643</v>
      </c>
      <c r="G2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4817.92155417383</v>
      </c>
      <c r="H2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8034.63946190392</v>
      </c>
    </row>
    <row r="219" ht="15" customHeight="1">
      <c r="B219" s="20">
        <v>212</v>
      </c>
      <c r="C219" s="21">
        <f t="shared" si="0"/>
        <v>135152.571841635</v>
      </c>
      <c r="D2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80668.752177205</v>
      </c>
      <c r="E2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23917.641077986</v>
      </c>
      <c r="F2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14427.8687025167</v>
      </c>
      <c r="G2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4825.2593308201</v>
      </c>
      <c r="H2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11313.0505531075</v>
      </c>
    </row>
    <row r="220" ht="15" customHeight="1">
      <c r="B220" s="20">
        <v>213</v>
      </c>
      <c r="C220" s="21">
        <f t="shared" si="0"/>
        <v>148888.061532472</v>
      </c>
      <c r="D2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72791.1339466653</v>
      </c>
      <c r="E2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33881.4631818083</v>
      </c>
      <c r="F2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12412.6234349026</v>
      </c>
      <c r="G2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7564.3984787382</v>
      </c>
      <c r="H2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22238.4424903573</v>
      </c>
    </row>
    <row r="221" ht="15" customHeight="1">
      <c r="B221" s="20">
        <v>214</v>
      </c>
      <c r="C221" s="21">
        <f t="shared" si="0"/>
        <v>151472.701727048</v>
      </c>
      <c r="D2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86472.9077587306</v>
      </c>
      <c r="E2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39866.7511574756</v>
      </c>
      <c r="F2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9271.59783120437</v>
      </c>
      <c r="G2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5192.02467073339</v>
      </c>
      <c r="H2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10669.4203089036</v>
      </c>
    </row>
    <row r="222" ht="15" customHeight="1">
      <c r="B222" s="20">
        <v>215</v>
      </c>
      <c r="C222" s="21">
        <f t="shared" si="0"/>
        <v>147302.500720259</v>
      </c>
      <c r="D2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92345.2638324027</v>
      </c>
      <c r="E2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26598.1992107897</v>
      </c>
      <c r="F2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10734.1247492789</v>
      </c>
      <c r="G2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7427.52784579471</v>
      </c>
      <c r="H2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10197.3850819928</v>
      </c>
    </row>
    <row r="223" ht="15" customHeight="1">
      <c r="B223" s="20">
        <v>216</v>
      </c>
      <c r="C223" s="21">
        <f t="shared" si="0"/>
        <v>142982.086502806</v>
      </c>
      <c r="D2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77805.6219683847</v>
      </c>
      <c r="E2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35840.3873159357</v>
      </c>
      <c r="F2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14816.2148349673</v>
      </c>
      <c r="G2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5176.4490933355</v>
      </c>
      <c r="H2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9343.41329018233</v>
      </c>
    </row>
    <row r="224" ht="15" customHeight="1">
      <c r="B224" s="20">
        <v>217</v>
      </c>
      <c r="C224" s="21">
        <f t="shared" si="0"/>
        <v>152088.876953501</v>
      </c>
      <c r="D2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87839.9193201418</v>
      </c>
      <c r="E2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33843.3213282142</v>
      </c>
      <c r="F2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10444.3610049729</v>
      </c>
      <c r="G2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4835.18407617765</v>
      </c>
      <c r="H2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15126.091223994</v>
      </c>
    </row>
    <row r="225" ht="15" customHeight="1">
      <c r="B225" s="20">
        <v>218</v>
      </c>
      <c r="C225" s="21">
        <f t="shared" si="0"/>
        <v>164502.06227092</v>
      </c>
      <c r="D2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83676.7275110567</v>
      </c>
      <c r="E2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42857.7663171583</v>
      </c>
      <c r="F2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15614.3328021022</v>
      </c>
      <c r="G2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6816.88274886327</v>
      </c>
      <c r="H2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15536.35289174</v>
      </c>
    </row>
    <row r="226" ht="15" customHeight="1">
      <c r="B226" s="20">
        <v>219</v>
      </c>
      <c r="C226" s="21">
        <f t="shared" si="0"/>
        <v>152629.188806296</v>
      </c>
      <c r="D2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81035.9287574968</v>
      </c>
      <c r="E2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39814.205242619</v>
      </c>
      <c r="F2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14411.4131775278</v>
      </c>
      <c r="G2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7071.6437043107</v>
      </c>
      <c r="H2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10295.9979243418</v>
      </c>
    </row>
    <row r="227" ht="15" customHeight="1">
      <c r="B227" s="20">
        <v>220</v>
      </c>
      <c r="C227" s="21">
        <f t="shared" si="0"/>
        <v>143261.179470867</v>
      </c>
      <c r="D2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83050.7142408111</v>
      </c>
      <c r="E2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27145.4865864049</v>
      </c>
      <c r="F2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15979.3820803551</v>
      </c>
      <c r="G2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4206.07099701291</v>
      </c>
      <c r="H2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12879.5255662828</v>
      </c>
    </row>
    <row r="228" ht="15" customHeight="1">
      <c r="B228" s="20">
        <v>221</v>
      </c>
      <c r="C228" s="21">
        <f t="shared" si="0"/>
        <v>154554.376087684</v>
      </c>
      <c r="D2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86411.145287095</v>
      </c>
      <c r="E2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36999.9034675183</v>
      </c>
      <c r="F2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14206.8560531658</v>
      </c>
      <c r="G2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6153.53993284242</v>
      </c>
      <c r="H2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10782.9313470625</v>
      </c>
    </row>
    <row r="229" ht="15" customHeight="1">
      <c r="B229" s="20">
        <v>222</v>
      </c>
      <c r="C229" s="21">
        <f t="shared" si="0"/>
        <v>143518.80067033</v>
      </c>
      <c r="D2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87969.4640501479</v>
      </c>
      <c r="E2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32156.8446110922</v>
      </c>
      <c r="F2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11187.8627506979</v>
      </c>
      <c r="G2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4937.34042096909</v>
      </c>
      <c r="H2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7267.28883742288</v>
      </c>
    </row>
    <row r="230" ht="15" customHeight="1">
      <c r="B230" s="20">
        <v>223</v>
      </c>
      <c r="C230" s="21">
        <f t="shared" si="0"/>
        <v>121042.683558688</v>
      </c>
      <c r="D2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63759.4703217768</v>
      </c>
      <c r="E2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32203.356982374</v>
      </c>
      <c r="F2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12382.3954850814</v>
      </c>
      <c r="G2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6158.7373160168</v>
      </c>
      <c r="H2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6538.72345343877</v>
      </c>
    </row>
    <row r="231" ht="15" customHeight="1">
      <c r="B231" s="20">
        <v>224</v>
      </c>
      <c r="C231" s="21">
        <f t="shared" si="0"/>
        <v>155860.975364663</v>
      </c>
      <c r="D2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93393.9570105277</v>
      </c>
      <c r="E2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26108.5052090618</v>
      </c>
      <c r="F2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14307.5432487578</v>
      </c>
      <c r="G2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5457.39761390599</v>
      </c>
      <c r="H2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16593.5722824096</v>
      </c>
    </row>
    <row r="232" ht="15" customHeight="1">
      <c r="B232" s="20">
        <v>225</v>
      </c>
      <c r="C232" s="21">
        <f t="shared" si="0"/>
        <v>167300.949600511</v>
      </c>
      <c r="D2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105071.078559737</v>
      </c>
      <c r="E2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28766.1994755366</v>
      </c>
      <c r="F2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12618.9564300755</v>
      </c>
      <c r="G2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6668.35808274714</v>
      </c>
      <c r="H2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14176.3570524146</v>
      </c>
    </row>
    <row r="233" ht="15" customHeight="1">
      <c r="B233" s="20">
        <v>226</v>
      </c>
      <c r="C233" s="21">
        <f t="shared" si="0"/>
        <v>125541.09925956</v>
      </c>
      <c r="D2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67539.5959475965</v>
      </c>
      <c r="E2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28286.2851601821</v>
      </c>
      <c r="F2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11862.5396272594</v>
      </c>
      <c r="G2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5229.70277913488</v>
      </c>
      <c r="H2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12622.9757453867</v>
      </c>
    </row>
    <row r="234" ht="15" customHeight="1">
      <c r="B234" s="20">
        <v>227</v>
      </c>
      <c r="C234" s="21">
        <f t="shared" si="0"/>
        <v>147514.396771481</v>
      </c>
      <c r="D2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84987.8122630803</v>
      </c>
      <c r="E2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35312.4581343806</v>
      </c>
      <c r="F2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8713.67001682151</v>
      </c>
      <c r="G2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5841.92351914548</v>
      </c>
      <c r="H2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12658.5328380535</v>
      </c>
    </row>
    <row r="235" ht="15" customHeight="1">
      <c r="B235" s="20">
        <v>228</v>
      </c>
      <c r="C235" s="21">
        <f t="shared" si="0"/>
        <v>170555.065718029</v>
      </c>
      <c r="D2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99937.8965397379</v>
      </c>
      <c r="E2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30384.7623537311</v>
      </c>
      <c r="F2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15866.2315249255</v>
      </c>
      <c r="G2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4033.17418470283</v>
      </c>
      <c r="H2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20333.0011149317</v>
      </c>
    </row>
    <row r="236" ht="15" customHeight="1">
      <c r="B236" s="20">
        <v>229</v>
      </c>
      <c r="C236" s="21">
        <f t="shared" si="0"/>
        <v>147652.879288769</v>
      </c>
      <c r="D2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81595.4860442857</v>
      </c>
      <c r="E2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39338.7856000015</v>
      </c>
      <c r="F2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11112.760527302</v>
      </c>
      <c r="G2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6175.67818572493</v>
      </c>
      <c r="H2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9430.16893145484</v>
      </c>
    </row>
    <row r="237" ht="15" customHeight="1">
      <c r="B237" s="20">
        <v>230</v>
      </c>
      <c r="C237" s="21">
        <f t="shared" si="0"/>
        <v>164011.146471363</v>
      </c>
      <c r="D2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91071.1029438629</v>
      </c>
      <c r="E2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35823.3225257349</v>
      </c>
      <c r="F2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15790.6957944362</v>
      </c>
      <c r="G2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4996.48148520313</v>
      </c>
      <c r="H2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16329.5437221254</v>
      </c>
    </row>
    <row r="238" ht="15" customHeight="1">
      <c r="B238" s="20">
        <v>231</v>
      </c>
      <c r="C238" s="21">
        <f t="shared" si="0"/>
        <v>123397.973034319</v>
      </c>
      <c r="D2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71601.397761946</v>
      </c>
      <c r="E2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23629.9237775298</v>
      </c>
      <c r="F2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16629.4799348962</v>
      </c>
      <c r="G2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4490.79629771794</v>
      </c>
      <c r="H2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7046.37526222902</v>
      </c>
    </row>
    <row r="239" ht="15" customHeight="1">
      <c r="B239" s="20">
        <v>232</v>
      </c>
      <c r="C239" s="21">
        <f t="shared" si="0"/>
        <v>122783.841842059</v>
      </c>
      <c r="D2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66274.3663985781</v>
      </c>
      <c r="E2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31659.7345653243</v>
      </c>
      <c r="F2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11202.8366644087</v>
      </c>
      <c r="G2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3700.61335759453</v>
      </c>
      <c r="H2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9946.29085615327</v>
      </c>
    </row>
    <row r="240" ht="15" customHeight="1">
      <c r="B240" s="20">
        <v>233</v>
      </c>
      <c r="C240" s="21">
        <f t="shared" si="0"/>
        <v>135002.652595832</v>
      </c>
      <c r="D2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60145.0966617993</v>
      </c>
      <c r="E2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37166.6469891071</v>
      </c>
      <c r="F2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15682.3392916506</v>
      </c>
      <c r="G2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6747.5298188829</v>
      </c>
      <c r="H2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15261.0398343924</v>
      </c>
    </row>
    <row r="241" ht="15" customHeight="1">
      <c r="B241" s="20">
        <v>234</v>
      </c>
      <c r="C241" s="21">
        <f t="shared" si="0"/>
        <v>152835.392979911</v>
      </c>
      <c r="D2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88118.0340841854</v>
      </c>
      <c r="E2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40603.763688103</v>
      </c>
      <c r="F2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9738.73710320782</v>
      </c>
      <c r="G2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5495.84048841988</v>
      </c>
      <c r="H2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8879.01761599503</v>
      </c>
    </row>
    <row r="242" ht="15" customHeight="1">
      <c r="B242" s="20">
        <v>235</v>
      </c>
      <c r="C242" s="21">
        <f t="shared" si="0"/>
        <v>160448.821453548</v>
      </c>
      <c r="D2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99821.0545181259</v>
      </c>
      <c r="E2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30449.1923832925</v>
      </c>
      <c r="F2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12783.7375527029</v>
      </c>
      <c r="G2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6402.41753427361</v>
      </c>
      <c r="H2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10992.4194651531</v>
      </c>
    </row>
    <row r="243" ht="15" customHeight="1">
      <c r="B243" s="20">
        <v>236</v>
      </c>
      <c r="C243" s="21">
        <f t="shared" si="0"/>
        <v>131871.659311308</v>
      </c>
      <c r="D2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68692.321023842</v>
      </c>
      <c r="E2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31270.3363421593</v>
      </c>
      <c r="F2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12661.1003185829</v>
      </c>
      <c r="G2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4707.80326143338</v>
      </c>
      <c r="H2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14540.0983652907</v>
      </c>
    </row>
    <row r="244" ht="15" customHeight="1">
      <c r="B244" s="20">
        <v>237</v>
      </c>
      <c r="C244" s="21">
        <f t="shared" si="0"/>
        <v>169618.510971741</v>
      </c>
      <c r="D2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96295.806082686</v>
      </c>
      <c r="E2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37779.9283236057</v>
      </c>
      <c r="F2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12179.3133070949</v>
      </c>
      <c r="G2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5898.94982536223</v>
      </c>
      <c r="H2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17464.5134329925</v>
      </c>
    </row>
    <row r="245" ht="15" customHeight="1">
      <c r="B245" s="20">
        <v>238</v>
      </c>
      <c r="C245" s="21">
        <f t="shared" si="0"/>
        <v>133980.689839415</v>
      </c>
      <c r="D2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74798.1987674015</v>
      </c>
      <c r="E2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30479.7540354513</v>
      </c>
      <c r="F2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10745.7350542203</v>
      </c>
      <c r="G2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6133.81139482738</v>
      </c>
      <c r="H2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11823.1905875142</v>
      </c>
    </row>
    <row r="246" ht="15" customHeight="1">
      <c r="B246" s="20">
        <v>239</v>
      </c>
      <c r="C246" s="21">
        <f t="shared" si="0"/>
        <v>139955.200325317</v>
      </c>
      <c r="D2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71475.9714747006</v>
      </c>
      <c r="E2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40080.5714149076</v>
      </c>
      <c r="F2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12948.872104946</v>
      </c>
      <c r="G2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4639.89414423633</v>
      </c>
      <c r="H2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10809.8911865268</v>
      </c>
    </row>
    <row r="247" ht="15" customHeight="1">
      <c r="B247" s="20">
        <v>240</v>
      </c>
      <c r="C247" s="21">
        <f t="shared" si="0"/>
        <v>120233.438928022</v>
      </c>
      <c r="D2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73671.0449367644</v>
      </c>
      <c r="E2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22655.1973679909</v>
      </c>
      <c r="F2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13315.6599320135</v>
      </c>
      <c r="G2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3330.22196459475</v>
      </c>
      <c r="H2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7261.31472665892</v>
      </c>
    </row>
    <row r="248" ht="15" customHeight="1">
      <c r="B248" s="20">
        <v>241</v>
      </c>
      <c r="C248" s="21">
        <f t="shared" si="0"/>
        <v>153234.959113176</v>
      </c>
      <c r="D2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94349.5406436319</v>
      </c>
      <c r="E2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31780.7832778376</v>
      </c>
      <c r="F2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13192.7170518371</v>
      </c>
      <c r="G2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3394.84640143321</v>
      </c>
      <c r="H2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10517.0717384363</v>
      </c>
    </row>
    <row r="249" ht="15" customHeight="1">
      <c r="B249" s="20">
        <v>242</v>
      </c>
      <c r="C249" s="21">
        <f t="shared" si="0"/>
        <v>150317.954220857</v>
      </c>
      <c r="D2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82287.8678948578</v>
      </c>
      <c r="E2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37474.068027743</v>
      </c>
      <c r="F2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11253.8068857524</v>
      </c>
      <c r="G2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5259.37239391652</v>
      </c>
      <c r="H2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14042.8390185874</v>
      </c>
    </row>
    <row r="250" ht="15" customHeight="1">
      <c r="B250" s="20">
        <v>243</v>
      </c>
      <c r="C250" s="21">
        <f t="shared" si="0"/>
        <v>121534.062532321</v>
      </c>
      <c r="D2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69022.6312881585</v>
      </c>
      <c r="E2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21987.0068887812</v>
      </c>
      <c r="F2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15784.9768021576</v>
      </c>
      <c r="G2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3388.8015707088</v>
      </c>
      <c r="H2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11350.6459825153</v>
      </c>
    </row>
    <row r="251" ht="15" customHeight="1">
      <c r="B251" s="20">
        <v>244</v>
      </c>
      <c r="C251" s="21">
        <f t="shared" si="0"/>
        <v>133415.945273827</v>
      </c>
      <c r="D2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79345.467202323</v>
      </c>
      <c r="E2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31582.6887064499</v>
      </c>
      <c r="F2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12006.1518783208</v>
      </c>
      <c r="G2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5233.25202503466</v>
      </c>
      <c r="H2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5248.38546169824</v>
      </c>
    </row>
    <row r="252" ht="15" customHeight="1">
      <c r="B252" s="20">
        <v>245</v>
      </c>
      <c r="C252" s="21">
        <f t="shared" si="0"/>
        <v>156473.050866579</v>
      </c>
      <c r="D2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97092.4637811089</v>
      </c>
      <c r="E2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26510.1151745973</v>
      </c>
      <c r="F2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13550.7596994768</v>
      </c>
      <c r="G2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7337.42670501503</v>
      </c>
      <c r="H2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11982.2855063813</v>
      </c>
    </row>
    <row r="253" ht="15" customHeight="1">
      <c r="B253" s="20">
        <v>246</v>
      </c>
      <c r="C253" s="21">
        <f t="shared" si="0"/>
        <v>117429.047133619</v>
      </c>
      <c r="D2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66892.9871316341</v>
      </c>
      <c r="E2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24542.3726415069</v>
      </c>
      <c r="F2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14284.1368963766</v>
      </c>
      <c r="G2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3960.61654677552</v>
      </c>
      <c r="H2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7748.9339173255</v>
      </c>
    </row>
    <row r="254" ht="15" customHeight="1">
      <c r="B254" s="20">
        <v>247</v>
      </c>
      <c r="C254" s="21">
        <f t="shared" si="0"/>
        <v>134524.708193033</v>
      </c>
      <c r="D2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77700.7306168893</v>
      </c>
      <c r="E2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28395.2483647051</v>
      </c>
      <c r="F2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12201.3455219638</v>
      </c>
      <c r="G2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4565.24813246463</v>
      </c>
      <c r="H2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11662.1355570098</v>
      </c>
    </row>
    <row r="255" ht="15" customHeight="1">
      <c r="B255" s="20">
        <v>248</v>
      </c>
      <c r="C255" s="21">
        <f t="shared" si="0"/>
        <v>161923.346418307</v>
      </c>
      <c r="D2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88823.4080875775</v>
      </c>
      <c r="E2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32259.970930428</v>
      </c>
      <c r="F2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16107.1358511598</v>
      </c>
      <c r="G2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5132.89116768462</v>
      </c>
      <c r="H2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19599.9403814566</v>
      </c>
    </row>
    <row r="256" ht="15" customHeight="1">
      <c r="B256" s="20">
        <v>249</v>
      </c>
      <c r="C256" s="21">
        <f t="shared" si="0"/>
        <v>158124.456640596</v>
      </c>
      <c r="D2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102371.704787575</v>
      </c>
      <c r="E2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26652.6351706941</v>
      </c>
      <c r="F2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11587.1971876313</v>
      </c>
      <c r="G2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6496.1979089588</v>
      </c>
      <c r="H2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11016.721585737</v>
      </c>
    </row>
    <row r="257" ht="15" customHeight="1">
      <c r="B257" s="20">
        <v>250</v>
      </c>
      <c r="C257" s="21">
        <f t="shared" si="0"/>
        <v>143512.70161935</v>
      </c>
      <c r="D2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87453.1651936139</v>
      </c>
      <c r="E2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29797.9406672828</v>
      </c>
      <c r="F2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10820.405640122</v>
      </c>
      <c r="G2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5505.28060628564</v>
      </c>
      <c r="H2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9935.90951204549</v>
      </c>
    </row>
    <row r="258" ht="15" customHeight="1">
      <c r="B258" s="20">
        <v>251</v>
      </c>
      <c r="C258" s="21">
        <f t="shared" si="0"/>
        <v>161327.302811694</v>
      </c>
      <c r="D2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86936.7287271086</v>
      </c>
      <c r="E2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41957.9067203654</v>
      </c>
      <c r="F2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14491.1428777796</v>
      </c>
      <c r="G2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5167.15535548332</v>
      </c>
      <c r="H2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12774.3691309571</v>
      </c>
    </row>
    <row r="259" ht="15" customHeight="1">
      <c r="B259" s="20">
        <v>252</v>
      </c>
      <c r="C259" s="21">
        <f t="shared" si="0"/>
        <v>126776.52444714</v>
      </c>
      <c r="D2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55509.293947406</v>
      </c>
      <c r="E2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36415.8414518482</v>
      </c>
      <c r="F2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13745.7772218659</v>
      </c>
      <c r="G2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5723.13003704935</v>
      </c>
      <c r="H2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15382.4817889702</v>
      </c>
    </row>
    <row r="260" ht="15" customHeight="1">
      <c r="B260" s="20">
        <v>253</v>
      </c>
      <c r="C260" s="21">
        <f t="shared" si="0"/>
        <v>135804.84936748</v>
      </c>
      <c r="D2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64847.3656179208</v>
      </c>
      <c r="E2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34323.24917494</v>
      </c>
      <c r="F2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15057.80164731</v>
      </c>
      <c r="G2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4611.9248693398</v>
      </c>
      <c r="H2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16964.5080579695</v>
      </c>
    </row>
    <row r="261" ht="15" customHeight="1">
      <c r="B261" s="20">
        <v>254</v>
      </c>
      <c r="C261" s="21">
        <f t="shared" si="0"/>
        <v>133914.372871844</v>
      </c>
      <c r="D2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68292.5604977489</v>
      </c>
      <c r="E2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28903.9347502869</v>
      </c>
      <c r="F2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16066.0894966953</v>
      </c>
      <c r="G2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3862.78077518539</v>
      </c>
      <c r="H2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16789.0073519274</v>
      </c>
    </row>
    <row r="262" ht="15" customHeight="1">
      <c r="B262" s="20">
        <v>255</v>
      </c>
      <c r="C262" s="21">
        <f t="shared" si="0"/>
        <v>123204.625627142</v>
      </c>
      <c r="D2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68842.0992397475</v>
      </c>
      <c r="E2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26216.6301590041</v>
      </c>
      <c r="F2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13123.1229423644</v>
      </c>
      <c r="G2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5324.06428416201</v>
      </c>
      <c r="H2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9698.70900186435</v>
      </c>
    </row>
    <row r="263" ht="15" customHeight="1">
      <c r="B263" s="20">
        <v>256</v>
      </c>
      <c r="C263" s="21">
        <f t="shared" si="0"/>
        <v>161260.227050444</v>
      </c>
      <c r="D2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88543.2135359335</v>
      </c>
      <c r="E2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34246.2565975622</v>
      </c>
      <c r="F2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13011.1708666791</v>
      </c>
      <c r="G2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7167.72797193209</v>
      </c>
      <c r="H2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18291.8580783367</v>
      </c>
    </row>
    <row r="264" ht="15" customHeight="1">
      <c r="B264" s="20">
        <v>257</v>
      </c>
      <c r="C264" s="21">
        <f t="shared" si="0"/>
        <v>120272.637130117</v>
      </c>
      <c r="D2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65331.5294382498</v>
      </c>
      <c r="E2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23585.3532402275</v>
      </c>
      <c r="F2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14813.7177839413</v>
      </c>
      <c r="G2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4267.40370836675</v>
      </c>
      <c r="H2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12274.632959332</v>
      </c>
    </row>
    <row r="265" ht="15" customHeight="1">
      <c r="B265" s="20">
        <v>258</v>
      </c>
      <c r="C265" s="21">
        <f t="shared" si="0"/>
        <v>144204.059049568</v>
      </c>
      <c r="D2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83625.0309613115</v>
      </c>
      <c r="E2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24990.6342923721</v>
      </c>
      <c r="F2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14904.8650736404</v>
      </c>
      <c r="G2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4721.63335574797</v>
      </c>
      <c r="H2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15961.8953664962</v>
      </c>
    </row>
    <row r="266" ht="15" customHeight="1">
      <c r="B266" s="20">
        <v>259</v>
      </c>
      <c r="C266" s="21">
        <f t="shared" si="0"/>
        <v>172228.617691971</v>
      </c>
      <c r="D2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102257.860229953</v>
      </c>
      <c r="E2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30894.444826233</v>
      </c>
      <c r="F2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15098.2052285698</v>
      </c>
      <c r="G2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4841.13867711566</v>
      </c>
      <c r="H2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19136.9687300997</v>
      </c>
    </row>
    <row r="267" ht="15" customHeight="1">
      <c r="B267" s="20">
        <v>260</v>
      </c>
      <c r="C267" s="21">
        <f t="shared" si="0"/>
        <v>157226.876205447</v>
      </c>
      <c r="D2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92521.3002717611</v>
      </c>
      <c r="E2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34573.3456366162</v>
      </c>
      <c r="F2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13006.0372129382</v>
      </c>
      <c r="G2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3410.17999627758</v>
      </c>
      <c r="H2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13716.0130878541</v>
      </c>
    </row>
    <row r="268" ht="15" customHeight="1">
      <c r="B268" s="20">
        <v>261</v>
      </c>
      <c r="C268" s="21">
        <f t="shared" si="0"/>
        <v>161490.039710238</v>
      </c>
      <c r="D2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98455.5744022149</v>
      </c>
      <c r="E2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38333.3365138613</v>
      </c>
      <c r="F2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11619.6151437912</v>
      </c>
      <c r="G2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5025.43132667229</v>
      </c>
      <c r="H2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8056.08232369872</v>
      </c>
    </row>
    <row r="269" ht="15" customHeight="1">
      <c r="B269" s="20">
        <v>262</v>
      </c>
      <c r="C269" s="21">
        <f t="shared" si="0"/>
        <v>154230.87196876</v>
      </c>
      <c r="D2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87473.9297100485</v>
      </c>
      <c r="E2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29528.1730450537</v>
      </c>
      <c r="F2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13123.0890675021</v>
      </c>
      <c r="G2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3473.48652265022</v>
      </c>
      <c r="H2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20632.1936235053</v>
      </c>
    </row>
    <row r="270" ht="15" customHeight="1">
      <c r="B270" s="20">
        <v>263</v>
      </c>
      <c r="C270" s="21">
        <f t="shared" si="0"/>
        <v>159793.604147416</v>
      </c>
      <c r="D2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97421.7345865509</v>
      </c>
      <c r="E2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27587.7629241366</v>
      </c>
      <c r="F2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16240.8222849306</v>
      </c>
      <c r="G2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5677.45996192815</v>
      </c>
      <c r="H2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12865.8243898699</v>
      </c>
    </row>
    <row r="271" ht="15" customHeight="1">
      <c r="B271" s="20">
        <v>264</v>
      </c>
      <c r="C271" s="21">
        <f t="shared" si="0"/>
        <v>133185.56546186</v>
      </c>
      <c r="D2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73247.1493456897</v>
      </c>
      <c r="E2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34003.5660452912</v>
      </c>
      <c r="F2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12987.4130599699</v>
      </c>
      <c r="G2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4387.5776544337</v>
      </c>
      <c r="H2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8559.85935647585</v>
      </c>
    </row>
    <row r="272" ht="15" customHeight="1">
      <c r="B272" s="20">
        <v>265</v>
      </c>
      <c r="C272" s="21">
        <f t="shared" si="0"/>
        <v>163956.716594244</v>
      </c>
      <c r="D2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100336.837056052</v>
      </c>
      <c r="E2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35534.0637044531</v>
      </c>
      <c r="F2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10632.5744598264</v>
      </c>
      <c r="G2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5054.90414783009</v>
      </c>
      <c r="H2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12398.3372260827</v>
      </c>
    </row>
    <row r="273" ht="15" customHeight="1">
      <c r="B273" s="20">
        <v>266</v>
      </c>
      <c r="C273" s="21">
        <f t="shared" si="0"/>
        <v>125462.29530614</v>
      </c>
      <c r="D2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69989.4930154822</v>
      </c>
      <c r="E2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22158.7849272182</v>
      </c>
      <c r="F2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9983.84609169616</v>
      </c>
      <c r="G2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5126.56831257707</v>
      </c>
      <c r="H2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18203.6029591668</v>
      </c>
    </row>
    <row r="274" ht="15" customHeight="1">
      <c r="B274" s="20">
        <v>267</v>
      </c>
      <c r="C274" s="21">
        <f t="shared" si="0"/>
        <v>122836.126882024</v>
      </c>
      <c r="D2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53912.9349050456</v>
      </c>
      <c r="E2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39948.118746389</v>
      </c>
      <c r="F2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11661.3494563184</v>
      </c>
      <c r="G2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6842.12269345575</v>
      </c>
      <c r="H2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10471.6010808149</v>
      </c>
    </row>
    <row r="275" ht="15" customHeight="1">
      <c r="B275" s="20">
        <v>268</v>
      </c>
      <c r="C275" s="21">
        <f t="shared" si="0"/>
        <v>150779.716961314</v>
      </c>
      <c r="D2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74159.4865789581</v>
      </c>
      <c r="E2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43281.548289606</v>
      </c>
      <c r="F2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13374.4994104225</v>
      </c>
      <c r="G2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7397.43301487415</v>
      </c>
      <c r="H2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12566.749667453</v>
      </c>
    </row>
    <row r="276" ht="15" customHeight="1">
      <c r="B276" s="20">
        <v>269</v>
      </c>
      <c r="C276" s="21">
        <f t="shared" si="0"/>
        <v>140216.395204916</v>
      </c>
      <c r="D2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81652.4596504045</v>
      </c>
      <c r="E2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32580.4735615801</v>
      </c>
      <c r="F2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11463.6632774948</v>
      </c>
      <c r="G2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4455.443111513</v>
      </c>
      <c r="H2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10064.355603924</v>
      </c>
    </row>
    <row r="277" ht="15" customHeight="1">
      <c r="B277" s="20">
        <v>270</v>
      </c>
      <c r="C277" s="21">
        <f t="shared" si="0"/>
        <v>139317.787206861</v>
      </c>
      <c r="D2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79784.4851093341</v>
      </c>
      <c r="E2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33146.3805990587</v>
      </c>
      <c r="F2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10949.09774983</v>
      </c>
      <c r="G2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4605.49487426586</v>
      </c>
      <c r="H2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10832.3288743719</v>
      </c>
    </row>
    <row r="278" ht="15" customHeight="1">
      <c r="B278" s="20">
        <v>271</v>
      </c>
      <c r="C278" s="21">
        <f t="shared" si="0"/>
        <v>164631.567115109</v>
      </c>
      <c r="D2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94966.2558789149</v>
      </c>
      <c r="E2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34048.0681637813</v>
      </c>
      <c r="F2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13142.1822839208</v>
      </c>
      <c r="G2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5643.8120898018</v>
      </c>
      <c r="H2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16831.2486986898</v>
      </c>
    </row>
    <row r="279" ht="15" customHeight="1">
      <c r="B279" s="20">
        <v>272</v>
      </c>
      <c r="C279" s="21">
        <f t="shared" si="0"/>
        <v>157192.1751383</v>
      </c>
      <c r="D2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87935.8688887184</v>
      </c>
      <c r="E2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30037.6317450171</v>
      </c>
      <c r="F2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12793.4374097235</v>
      </c>
      <c r="G2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5348.20929144188</v>
      </c>
      <c r="H2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21077.0278033989</v>
      </c>
    </row>
    <row r="280" ht="15" customHeight="1">
      <c r="B280" s="20">
        <v>273</v>
      </c>
      <c r="C280" s="21">
        <f t="shared" si="0"/>
        <v>154920.195844517</v>
      </c>
      <c r="D2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82594.4328574757</v>
      </c>
      <c r="E2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42279.586065242</v>
      </c>
      <c r="F2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12030.8112278935</v>
      </c>
      <c r="G2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4979.50993506223</v>
      </c>
      <c r="H2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13035.8557588432</v>
      </c>
    </row>
    <row r="281" ht="15" customHeight="1">
      <c r="B281" s="20">
        <v>274</v>
      </c>
      <c r="C281" s="21">
        <f t="shared" si="0"/>
        <v>143278.399344793</v>
      </c>
      <c r="D2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88284.7456844039</v>
      </c>
      <c r="E2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31868.365461127</v>
      </c>
      <c r="F2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8613.08729302675</v>
      </c>
      <c r="G2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6535.8644140691</v>
      </c>
      <c r="H2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7976.33649216654</v>
      </c>
    </row>
    <row r="282" ht="15" customHeight="1">
      <c r="B282" s="20">
        <v>275</v>
      </c>
      <c r="C282" s="21">
        <f t="shared" si="0"/>
        <v>182675.939970775</v>
      </c>
      <c r="D2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114258.579149896</v>
      </c>
      <c r="E2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35750.2192194719</v>
      </c>
      <c r="F2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11073.2120149006</v>
      </c>
      <c r="G2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5879.79931211879</v>
      </c>
      <c r="H2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15714.1302743879</v>
      </c>
    </row>
    <row r="283" ht="15" customHeight="1">
      <c r="B283" s="20">
        <v>276</v>
      </c>
      <c r="C283" s="21">
        <f t="shared" si="0"/>
        <v>112072.437975088</v>
      </c>
      <c r="D2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60680.6361856626</v>
      </c>
      <c r="E2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29874.3340925013</v>
      </c>
      <c r="F2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10625.6621373423</v>
      </c>
      <c r="G2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4075.48242671092</v>
      </c>
      <c r="H2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6816.32313287078</v>
      </c>
    </row>
    <row r="284" ht="15" customHeight="1">
      <c r="B284" s="20">
        <v>277</v>
      </c>
      <c r="C284" s="21">
        <f t="shared" si="0"/>
        <v>162101.679168263</v>
      </c>
      <c r="D2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98845.8568812672</v>
      </c>
      <c r="E2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38532.9188692689</v>
      </c>
      <c r="F2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12390.2468578006</v>
      </c>
      <c r="G2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5196.49591493048</v>
      </c>
      <c r="H2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7136.16064499591</v>
      </c>
    </row>
    <row r="285" ht="15" customHeight="1">
      <c r="B285" s="20">
        <v>278</v>
      </c>
      <c r="C285" s="21">
        <f t="shared" si="0"/>
        <v>125686.207361723</v>
      </c>
      <c r="D2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62967.2193867039</v>
      </c>
      <c r="E2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37279.3415663485</v>
      </c>
      <c r="F2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9008.91410006386</v>
      </c>
      <c r="G2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5819.21044266011</v>
      </c>
      <c r="H2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10611.5218659467</v>
      </c>
    </row>
    <row r="286" ht="15" customHeight="1">
      <c r="B286" s="20">
        <v>279</v>
      </c>
      <c r="C286" s="21">
        <f t="shared" si="0"/>
        <v>185978.843471512</v>
      </c>
      <c r="D2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108342.596864513</v>
      </c>
      <c r="E2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42200.2221279178</v>
      </c>
      <c r="F2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9033.9201955192</v>
      </c>
      <c r="G2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4910.16593017482</v>
      </c>
      <c r="H2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21491.9383533871</v>
      </c>
    </row>
    <row r="287" ht="15" customHeight="1">
      <c r="B287" s="20">
        <v>280</v>
      </c>
      <c r="C287" s="21">
        <f t="shared" si="0"/>
        <v>129730.130218534</v>
      </c>
      <c r="D2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63741.8716460264</v>
      </c>
      <c r="E2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29187.3930740844</v>
      </c>
      <c r="F2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13692.4280854302</v>
      </c>
      <c r="G2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4876.62931304249</v>
      </c>
      <c r="H2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18231.8080999501</v>
      </c>
    </row>
    <row r="288" ht="15" customHeight="1">
      <c r="B288" s="20">
        <v>281</v>
      </c>
      <c r="C288" s="21">
        <f t="shared" si="0"/>
        <v>125051.682359202</v>
      </c>
      <c r="D2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74043.8068813052</v>
      </c>
      <c r="E2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28793.7146308037</v>
      </c>
      <c r="F2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12532.171077029</v>
      </c>
      <c r="G2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3032.77954165741</v>
      </c>
      <c r="H2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6649.2102284065</v>
      </c>
    </row>
    <row r="289" ht="15" customHeight="1">
      <c r="B289" s="20">
        <v>282</v>
      </c>
      <c r="C289" s="21">
        <f t="shared" si="0"/>
        <v>146657.92087192</v>
      </c>
      <c r="D2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80701.3124965417</v>
      </c>
      <c r="E2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41217.2814791497</v>
      </c>
      <c r="F2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12467.1725431073</v>
      </c>
      <c r="G2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5142.32932179504</v>
      </c>
      <c r="H2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7129.82503132598</v>
      </c>
    </row>
    <row r="290" ht="15" customHeight="1">
      <c r="B290" s="20">
        <v>283</v>
      </c>
      <c r="C290" s="21">
        <f t="shared" si="0"/>
        <v>131463.763749773</v>
      </c>
      <c r="D2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72476.2477080509</v>
      </c>
      <c r="E2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34990.2834742731</v>
      </c>
      <c r="F2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11879.5626744653</v>
      </c>
      <c r="G2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4339.19654382049</v>
      </c>
      <c r="H2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7778.47334916272</v>
      </c>
    </row>
    <row r="291" ht="15" customHeight="1">
      <c r="B291" s="20">
        <v>284</v>
      </c>
      <c r="C291" s="21">
        <f t="shared" si="0"/>
        <v>148676.638295399</v>
      </c>
      <c r="D2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77498.8764640322</v>
      </c>
      <c r="E2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39545.9924491761</v>
      </c>
      <c r="F2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14674.4014074978</v>
      </c>
      <c r="G2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5510.45140744735</v>
      </c>
      <c r="H2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11446.9165672455</v>
      </c>
    </row>
    <row r="292" ht="15" customHeight="1">
      <c r="B292" s="20">
        <v>285</v>
      </c>
      <c r="C292" s="21">
        <f t="shared" si="0"/>
        <v>138665.208052968</v>
      </c>
      <c r="D2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74677.7722209889</v>
      </c>
      <c r="E2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29144.7172923826</v>
      </c>
      <c r="F2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15447.680570279</v>
      </c>
      <c r="G2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5955.77112290108</v>
      </c>
      <c r="H2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13439.2668464161</v>
      </c>
    </row>
    <row r="293" ht="15" customHeight="1">
      <c r="B293" s="20">
        <v>286</v>
      </c>
      <c r="C293" s="21">
        <f t="shared" si="0"/>
        <v>135870.693323044</v>
      </c>
      <c r="D2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71227.6044343163</v>
      </c>
      <c r="E2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41036.4973506775</v>
      </c>
      <c r="F2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9411.37644381922</v>
      </c>
      <c r="G2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5212.8765013845</v>
      </c>
      <c r="H2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8982.33859284641</v>
      </c>
    </row>
    <row r="294" ht="15" customHeight="1">
      <c r="B294" s="20">
        <v>287</v>
      </c>
      <c r="C294" s="21">
        <f t="shared" si="0"/>
        <v>136528.704821418</v>
      </c>
      <c r="D2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70427.0683793849</v>
      </c>
      <c r="E2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34088.6117052177</v>
      </c>
      <c r="F2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12384.1132332839</v>
      </c>
      <c r="G2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7025.14767168982</v>
      </c>
      <c r="H2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12603.7638318413</v>
      </c>
    </row>
    <row r="295" ht="15" customHeight="1">
      <c r="B295" s="20">
        <v>288</v>
      </c>
      <c r="C295" s="21">
        <f t="shared" si="0"/>
        <v>154956.948552789</v>
      </c>
      <c r="D2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93316.3162601405</v>
      </c>
      <c r="E2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31824.5318284173</v>
      </c>
      <c r="F2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15035.2372650713</v>
      </c>
      <c r="G2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4710.89554347399</v>
      </c>
      <c r="H2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10069.9676556855</v>
      </c>
    </row>
    <row r="296" ht="15" customHeight="1">
      <c r="B296" s="20">
        <v>289</v>
      </c>
      <c r="C296" s="21">
        <f t="shared" si="0"/>
        <v>137068.755148636</v>
      </c>
      <c r="D2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77655.6601941989</v>
      </c>
      <c r="E2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28014.3159742704</v>
      </c>
      <c r="F2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15904.0013821929</v>
      </c>
      <c r="G2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5754.27940408532</v>
      </c>
      <c r="H2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9740.49819388872</v>
      </c>
    </row>
    <row r="297" ht="15" customHeight="1">
      <c r="B297" s="20">
        <v>290</v>
      </c>
      <c r="C297" s="21">
        <f t="shared" si="0"/>
        <v>133673.858808835</v>
      </c>
      <c r="D2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71178.432961566</v>
      </c>
      <c r="E2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23708.6308698722</v>
      </c>
      <c r="F2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15023.8196798712</v>
      </c>
      <c r="G2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5471.04992452926</v>
      </c>
      <c r="H2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18291.925372996</v>
      </c>
    </row>
    <row r="298" ht="15" customHeight="1">
      <c r="B298" s="20">
        <v>291</v>
      </c>
      <c r="C298" s="21">
        <f t="shared" si="0"/>
        <v>175057.569661621</v>
      </c>
      <c r="D2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100898.090727902</v>
      </c>
      <c r="E2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35729.9957348178</v>
      </c>
      <c r="F2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13755.317799253</v>
      </c>
      <c r="G2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6231.93358080453</v>
      </c>
      <c r="H2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18442.2318188438</v>
      </c>
    </row>
    <row r="299" ht="15" customHeight="1">
      <c r="B299" s="20">
        <v>292</v>
      </c>
      <c r="C299" s="21">
        <f t="shared" si="0"/>
        <v>151367.237237698</v>
      </c>
      <c r="D2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94859.9746241996</v>
      </c>
      <c r="E2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27162.9231174982</v>
      </c>
      <c r="F2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10290.1539900443</v>
      </c>
      <c r="G2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5096.05219932473</v>
      </c>
      <c r="H2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13958.1333066308</v>
      </c>
    </row>
    <row r="300" ht="15" customHeight="1">
      <c r="B300" s="20">
        <v>293</v>
      </c>
      <c r="C300" s="21">
        <f t="shared" si="0"/>
        <v>149002.603217112</v>
      </c>
      <c r="D3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88476.9574004145</v>
      </c>
      <c r="E3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31492.8940046654</v>
      </c>
      <c r="F3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11223.4520498485</v>
      </c>
      <c r="G3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4924.93850335284</v>
      </c>
      <c r="H3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12884.361258831</v>
      </c>
    </row>
    <row r="301" ht="15" customHeight="1">
      <c r="B301" s="20">
        <v>294</v>
      </c>
      <c r="C301" s="21">
        <f t="shared" si="0"/>
        <v>135666.708843633</v>
      </c>
      <c r="D3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74146.9172619296</v>
      </c>
      <c r="E3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30555.8325559773</v>
      </c>
      <c r="F3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12923.6449477468</v>
      </c>
      <c r="G3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3922.64018069047</v>
      </c>
      <c r="H3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14117.673897289</v>
      </c>
    </row>
    <row r="302" ht="15" customHeight="1">
      <c r="B302" s="20">
        <v>295</v>
      </c>
      <c r="C302" s="21">
        <f t="shared" si="0"/>
        <v>127944.82781253</v>
      </c>
      <c r="D3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57001.5206121047</v>
      </c>
      <c r="E3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31251.1346961981</v>
      </c>
      <c r="F3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12977.5293716833</v>
      </c>
      <c r="G3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6460.60129190017</v>
      </c>
      <c r="H3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20254.0418406442</v>
      </c>
    </row>
    <row r="303" ht="15" customHeight="1">
      <c r="B303" s="20">
        <v>296</v>
      </c>
      <c r="C303" s="21">
        <f t="shared" si="0"/>
        <v>166366.632580382</v>
      </c>
      <c r="D3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97154.3708069175</v>
      </c>
      <c r="E3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34792.3775173619</v>
      </c>
      <c r="F3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14273.0327216867</v>
      </c>
      <c r="G3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4853.86562360751</v>
      </c>
      <c r="H3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15292.9859108082</v>
      </c>
    </row>
    <row r="304" ht="15" customHeight="1">
      <c r="B304" s="20">
        <v>297</v>
      </c>
      <c r="C304" s="21">
        <f t="shared" si="0"/>
        <v>138076.165492635</v>
      </c>
      <c r="D3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73706.1032529955</v>
      </c>
      <c r="E3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35173.9416047311</v>
      </c>
      <c r="F3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14230.170443139</v>
      </c>
      <c r="G3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5154.61299645718</v>
      </c>
      <c r="H3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9811.33719531256</v>
      </c>
    </row>
    <row r="305" ht="15" customHeight="1">
      <c r="B305" s="20">
        <v>298</v>
      </c>
      <c r="C305" s="21">
        <f t="shared" si="0"/>
        <v>150240.631795995</v>
      </c>
      <c r="D3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79470.2672898828</v>
      </c>
      <c r="E3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29521.6442053655</v>
      </c>
      <c r="F3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15943.6311436494</v>
      </c>
      <c r="G3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5132.35586216024</v>
      </c>
      <c r="H3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20172.7332949367</v>
      </c>
    </row>
    <row r="306" ht="15" customHeight="1">
      <c r="B306" s="20">
        <v>299</v>
      </c>
      <c r="C306" s="21">
        <f t="shared" si="0"/>
        <v>142903.75137231</v>
      </c>
      <c r="D3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83145.9567647244</v>
      </c>
      <c r="E3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26694.3772327958</v>
      </c>
      <c r="F3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13583.8211623264</v>
      </c>
      <c r="G3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4897.20048495297</v>
      </c>
      <c r="H3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14582.3957275106</v>
      </c>
    </row>
    <row r="307" ht="15" customHeight="1">
      <c r="B307" s="20">
        <v>300</v>
      </c>
      <c r="C307" s="21">
        <f t="shared" si="0"/>
        <v>150948.813961318</v>
      </c>
      <c r="D3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79615.7524985375</v>
      </c>
      <c r="E3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43818.6721803167</v>
      </c>
      <c r="F3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13644.6212635564</v>
      </c>
      <c r="G3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4023.5402376118</v>
      </c>
      <c r="H3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9846.22778129571</v>
      </c>
    </row>
    <row r="308" ht="15" customHeight="1">
      <c r="B308" s="20">
        <v>301</v>
      </c>
      <c r="C308" s="21">
        <f t="shared" si="0"/>
        <v>157013.107409422</v>
      </c>
      <c r="D3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89492.0640420678</v>
      </c>
      <c r="E3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31891.6819961256</v>
      </c>
      <c r="F3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13643.1582444422</v>
      </c>
      <c r="G3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5118.854574072</v>
      </c>
      <c r="H3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16867.3485527147</v>
      </c>
    </row>
    <row r="309" ht="15" customHeight="1">
      <c r="B309" s="20">
        <v>302</v>
      </c>
      <c r="C309" s="21">
        <f t="shared" si="0"/>
        <v>142807.749816406</v>
      </c>
      <c r="D3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81063.4933096606</v>
      </c>
      <c r="E3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32179.222366353</v>
      </c>
      <c r="F3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13823.4311330653</v>
      </c>
      <c r="G3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5030.42878036946</v>
      </c>
      <c r="H3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10711.1742269575</v>
      </c>
    </row>
    <row r="310" ht="15" customHeight="1">
      <c r="B310" s="20">
        <v>303</v>
      </c>
      <c r="C310" s="21">
        <f t="shared" si="0"/>
        <v>149107.737573328</v>
      </c>
      <c r="D3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86804.4068659959</v>
      </c>
      <c r="E3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34331.5956864184</v>
      </c>
      <c r="F3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11620.717794038</v>
      </c>
      <c r="G3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5054.3878347659</v>
      </c>
      <c r="H3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11296.6293921102</v>
      </c>
    </row>
    <row r="311" ht="15" customHeight="1">
      <c r="B311" s="20">
        <v>304</v>
      </c>
      <c r="C311" s="21">
        <f t="shared" si="0"/>
        <v>166258.214685924</v>
      </c>
      <c r="D3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88587.1117274227</v>
      </c>
      <c r="E3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39756.1401776233</v>
      </c>
      <c r="F3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14852.5387971105</v>
      </c>
      <c r="G3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6785.31519798633</v>
      </c>
      <c r="H3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16277.1087857809</v>
      </c>
    </row>
    <row r="312" ht="15" customHeight="1">
      <c r="B312" s="20">
        <v>305</v>
      </c>
      <c r="C312" s="21">
        <f t="shared" si="0"/>
        <v>141780.353535581</v>
      </c>
      <c r="D3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87777.048603533</v>
      </c>
      <c r="E3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25593.2490527787</v>
      </c>
      <c r="F3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14861.762225281</v>
      </c>
      <c r="G3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6967.12946488024</v>
      </c>
      <c r="H3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6581.16418910798</v>
      </c>
    </row>
    <row r="313" ht="15" customHeight="1">
      <c r="B313" s="20">
        <v>306</v>
      </c>
      <c r="C313" s="21">
        <f t="shared" si="0"/>
        <v>147366.356327618</v>
      </c>
      <c r="D3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80203.7190355234</v>
      </c>
      <c r="E3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32945.7607276272</v>
      </c>
      <c r="F3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13815.6759076403</v>
      </c>
      <c r="G3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5547.84925024006</v>
      </c>
      <c r="H3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14853.3514065874</v>
      </c>
    </row>
    <row r="314" ht="15" customHeight="1">
      <c r="B314" s="20">
        <v>307</v>
      </c>
      <c r="C314" s="21">
        <f t="shared" si="0"/>
        <v>132084.842030424</v>
      </c>
      <c r="D3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77884.1922765793</v>
      </c>
      <c r="E3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25362.1027941832</v>
      </c>
      <c r="F3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11890.2960900873</v>
      </c>
      <c r="G3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5497.56984518977</v>
      </c>
      <c r="H3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11450.6810243841</v>
      </c>
    </row>
    <row r="315" ht="15" customHeight="1">
      <c r="B315" s="20">
        <v>308</v>
      </c>
      <c r="C315" s="21">
        <f t="shared" si="0"/>
        <v>158846.080345619</v>
      </c>
      <c r="D3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105157.03266435</v>
      </c>
      <c r="E3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27874.0577103156</v>
      </c>
      <c r="F3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10778.762497928</v>
      </c>
      <c r="G3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5149.53503547949</v>
      </c>
      <c r="H3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9886.6924375456</v>
      </c>
    </row>
    <row r="316" ht="15" customHeight="1">
      <c r="B316" s="20">
        <v>309</v>
      </c>
      <c r="C316" s="21">
        <f t="shared" si="0"/>
        <v>137066.687000351</v>
      </c>
      <c r="D3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83887.8112715104</v>
      </c>
      <c r="E3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29210.5011210215</v>
      </c>
      <c r="F3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11225.2508069891</v>
      </c>
      <c r="G3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6369.87073257688</v>
      </c>
      <c r="H3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6373.25306825285</v>
      </c>
    </row>
    <row r="317" ht="15" customHeight="1">
      <c r="B317" s="20">
        <v>310</v>
      </c>
      <c r="C317" s="21">
        <f t="shared" si="0"/>
        <v>143550.359930187</v>
      </c>
      <c r="D3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84193.7804989327</v>
      </c>
      <c r="E3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25869.0117805841</v>
      </c>
      <c r="F3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16907.2213827794</v>
      </c>
      <c r="G3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4591.89304342413</v>
      </c>
      <c r="H3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11988.4532244668</v>
      </c>
    </row>
    <row r="318" ht="15" customHeight="1">
      <c r="B318" s="20">
        <v>311</v>
      </c>
      <c r="C318" s="21">
        <f t="shared" si="0"/>
        <v>175780.990287904</v>
      </c>
      <c r="D3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115018.643052984</v>
      </c>
      <c r="E3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35029.6608409561</v>
      </c>
      <c r="F3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11384.8817761088</v>
      </c>
      <c r="G3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4024.37011230305</v>
      </c>
      <c r="H3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10323.4345055522</v>
      </c>
    </row>
    <row r="319" ht="15" customHeight="1">
      <c r="B319" s="20">
        <v>312</v>
      </c>
      <c r="C319" s="21">
        <f t="shared" si="0"/>
        <v>145313.073504827</v>
      </c>
      <c r="D3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94047.9651445785</v>
      </c>
      <c r="E3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22343.2503079383</v>
      </c>
      <c r="F3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11147.7220429199</v>
      </c>
      <c r="G3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5209.51090361853</v>
      </c>
      <c r="H3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12564.6251057717</v>
      </c>
    </row>
    <row r="320" ht="15" customHeight="1">
      <c r="B320" s="20">
        <v>313</v>
      </c>
      <c r="C320" s="21">
        <f t="shared" si="0"/>
        <v>125314.911418562</v>
      </c>
      <c r="D3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66252.099662891</v>
      </c>
      <c r="E3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29286.9873770654</v>
      </c>
      <c r="F3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12511.696881934</v>
      </c>
      <c r="G3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4754.78480749866</v>
      </c>
      <c r="H3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12509.342689173</v>
      </c>
    </row>
    <row r="321" ht="15" customHeight="1">
      <c r="B321" s="20">
        <v>314</v>
      </c>
      <c r="C321" s="21">
        <f t="shared" si="0"/>
        <v>131165.892098171</v>
      </c>
      <c r="D3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60341.5259562674</v>
      </c>
      <c r="E3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38742.9352147136</v>
      </c>
      <c r="F3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16850.8915508015</v>
      </c>
      <c r="G3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4925.7287050975</v>
      </c>
      <c r="H3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10304.8106712911</v>
      </c>
    </row>
    <row r="322" ht="15" customHeight="1">
      <c r="B322" s="20">
        <v>315</v>
      </c>
      <c r="C322" s="21">
        <f t="shared" si="0"/>
        <v>148181.489843857</v>
      </c>
      <c r="D3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73962.542487255</v>
      </c>
      <c r="E3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42581.2001770078</v>
      </c>
      <c r="F3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14222.1125471878</v>
      </c>
      <c r="G3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4693.13969788506</v>
      </c>
      <c r="H3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12722.4949345212</v>
      </c>
    </row>
    <row r="323" ht="15" customHeight="1">
      <c r="B323" s="20">
        <v>316</v>
      </c>
      <c r="C323" s="21">
        <f t="shared" si="0"/>
        <v>144099.157540706</v>
      </c>
      <c r="D3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73924.3315781932</v>
      </c>
      <c r="E3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25801.0773505835</v>
      </c>
      <c r="F3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16058.0663392732</v>
      </c>
      <c r="G3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6753.3477114523</v>
      </c>
      <c r="H3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21562.3345612037</v>
      </c>
    </row>
    <row r="324" ht="15" customHeight="1">
      <c r="B324" s="20">
        <v>317</v>
      </c>
      <c r="C324" s="21">
        <f t="shared" si="0"/>
        <v>158566.542232852</v>
      </c>
      <c r="D3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86112.5444243785</v>
      </c>
      <c r="E3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42421.2521077799</v>
      </c>
      <c r="F3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12101.9747854441</v>
      </c>
      <c r="G3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7047.03935554246</v>
      </c>
      <c r="H3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10883.731559707</v>
      </c>
    </row>
    <row r="325" ht="15" customHeight="1">
      <c r="B325" s="20">
        <v>318</v>
      </c>
      <c r="C325" s="21">
        <f t="shared" si="0"/>
        <v>174240.228770467</v>
      </c>
      <c r="D3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103789.929243493</v>
      </c>
      <c r="E3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34962.4776167239</v>
      </c>
      <c r="F3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14981.0807663796</v>
      </c>
      <c r="G3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7108.63627205753</v>
      </c>
      <c r="H3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13398.1048718134</v>
      </c>
    </row>
    <row r="326" ht="15" customHeight="1">
      <c r="B326" s="20">
        <v>319</v>
      </c>
      <c r="C326" s="21">
        <f t="shared" si="0"/>
        <v>170401.279120187</v>
      </c>
      <c r="D3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93463.2387901834</v>
      </c>
      <c r="E3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40946.3592821051</v>
      </c>
      <c r="F3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13569.8957357946</v>
      </c>
      <c r="G3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4750.28633490933</v>
      </c>
      <c r="H3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17671.4989771942</v>
      </c>
    </row>
    <row r="327" ht="15" customHeight="1">
      <c r="B327" s="20">
        <v>320</v>
      </c>
      <c r="C327" s="21">
        <f t="shared" si="0"/>
        <v>129888.805663938</v>
      </c>
      <c r="D3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69745.3400163003</v>
      </c>
      <c r="E3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33443.3412376043</v>
      </c>
      <c r="F3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11383.9501161097</v>
      </c>
      <c r="G3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5624.89786468292</v>
      </c>
      <c r="H3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9691.27642924099</v>
      </c>
    </row>
    <row r="328" ht="15" customHeight="1">
      <c r="B328" s="20">
        <v>321</v>
      </c>
      <c r="C328" s="21">
        <f t="shared" si="0"/>
        <v>131132.260418869</v>
      </c>
      <c r="D3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70097.4052653964</v>
      </c>
      <c r="E3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23500.8249359788</v>
      </c>
      <c r="F3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12656.3865089995</v>
      </c>
      <c r="G3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4285.6779645767</v>
      </c>
      <c r="H3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20591.9657439177</v>
      </c>
    </row>
    <row r="329" ht="15" customHeight="1">
      <c r="B329" s="20">
        <v>322</v>
      </c>
      <c r="C329" s="21">
        <f t="shared" si="0"/>
        <v>117451.331742321</v>
      </c>
      <c r="D3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53905.5709950368</v>
      </c>
      <c r="E3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33568.6309795127</v>
      </c>
      <c r="F3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11936.1038133004</v>
      </c>
      <c r="G3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6741.56552368367</v>
      </c>
      <c r="H3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11299.4604307877</v>
      </c>
    </row>
    <row r="330" ht="15" customHeight="1">
      <c r="B330" s="20">
        <v>323</v>
      </c>
      <c r="C330" s="21">
        <f t="shared" si="0"/>
        <v>163604.598748109</v>
      </c>
      <c r="D3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107021.321901152</v>
      </c>
      <c r="E3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26928.1678396078</v>
      </c>
      <c r="F3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13302.8509803497</v>
      </c>
      <c r="G3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5882.84123943798</v>
      </c>
      <c r="H3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10469.4167875612</v>
      </c>
    </row>
    <row r="331" ht="15" customHeight="1">
      <c r="B331" s="20">
        <v>324</v>
      </c>
      <c r="C331" s="21">
        <f t="shared" si="0"/>
        <v>141234.991302618</v>
      </c>
      <c r="D3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82563.9588051334</v>
      </c>
      <c r="E3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32511.9831220548</v>
      </c>
      <c r="F3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8614.41860483432</v>
      </c>
      <c r="G3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6766.38123356837</v>
      </c>
      <c r="H3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10778.2495370274</v>
      </c>
    </row>
    <row r="332" ht="15" customHeight="1">
      <c r="B332" s="20">
        <v>325</v>
      </c>
      <c r="C332" s="21">
        <f t="shared" si="0"/>
        <v>153422.535582573</v>
      </c>
      <c r="D3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86417.4271071399</v>
      </c>
      <c r="E3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38283.3101039002</v>
      </c>
      <c r="F3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14085.5325055688</v>
      </c>
      <c r="G3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5580.8424003299</v>
      </c>
      <c r="H3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9055.42346563443</v>
      </c>
    </row>
    <row r="333" ht="15" customHeight="1">
      <c r="B333" s="20">
        <v>326</v>
      </c>
      <c r="C333" s="21">
        <f t="shared" si="0"/>
        <v>166249.064877823</v>
      </c>
      <c r="D3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97656.4976960609</v>
      </c>
      <c r="E3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34083.7267170509</v>
      </c>
      <c r="F3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14057.0468313387</v>
      </c>
      <c r="G3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6035.94786116958</v>
      </c>
      <c r="H3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14415.8457722025</v>
      </c>
    </row>
    <row r="334" ht="15" customHeight="1">
      <c r="B334" s="20">
        <v>327</v>
      </c>
      <c r="C334" s="21">
        <f t="shared" si="0"/>
        <v>157591.257894737</v>
      </c>
      <c r="D3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96677.2955879537</v>
      </c>
      <c r="E3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28525.137024108</v>
      </c>
      <c r="F3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9332.61264423096</v>
      </c>
      <c r="G3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7666.04446800948</v>
      </c>
      <c r="H3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15390.1681704347</v>
      </c>
    </row>
    <row r="335" ht="15" customHeight="1">
      <c r="B335" s="20">
        <v>328</v>
      </c>
      <c r="C335" s="21">
        <f t="shared" si="0"/>
        <v>162577.51864482</v>
      </c>
      <c r="D3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100634.971386843</v>
      </c>
      <c r="E3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32622.3934422613</v>
      </c>
      <c r="F3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12910.4856577222</v>
      </c>
      <c r="G3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4710.80400704284</v>
      </c>
      <c r="H3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11698.8641509507</v>
      </c>
    </row>
    <row r="336" ht="15" customHeight="1">
      <c r="B336" s="20">
        <v>329</v>
      </c>
      <c r="C336" s="21">
        <f t="shared" si="0"/>
        <v>150843.113331003</v>
      </c>
      <c r="D3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98632.5208305846</v>
      </c>
      <c r="E3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28437.2653149281</v>
      </c>
      <c r="F3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10171.3846323816</v>
      </c>
      <c r="G3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4234.99553066639</v>
      </c>
      <c r="H3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9366.94702244214</v>
      </c>
    </row>
    <row r="337" ht="15" customHeight="1">
      <c r="B337" s="20">
        <v>330</v>
      </c>
      <c r="C337" s="21">
        <f t="shared" si="0"/>
        <v>142866.344894577</v>
      </c>
      <c r="D3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75910.2133146417</v>
      </c>
      <c r="E3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37274.0763561494</v>
      </c>
      <c r="F3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10345.7757006174</v>
      </c>
      <c r="G3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5627.11635774981</v>
      </c>
      <c r="H3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13709.163165419</v>
      </c>
    </row>
    <row r="338" ht="15" customHeight="1">
      <c r="B338" s="20">
        <v>331</v>
      </c>
      <c r="C338" s="21">
        <f t="shared" si="0"/>
        <v>159012.346180658</v>
      </c>
      <c r="D3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98842.1974995338</v>
      </c>
      <c r="E3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30279.1596854576</v>
      </c>
      <c r="F3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11969.6998571106</v>
      </c>
      <c r="G3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5417.55876613826</v>
      </c>
      <c r="H3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12503.7303724177</v>
      </c>
    </row>
    <row r="339" ht="15" customHeight="1">
      <c r="B339" s="20">
        <v>332</v>
      </c>
      <c r="C339" s="21">
        <f t="shared" si="0"/>
        <v>133273.348840532</v>
      </c>
      <c r="D3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70666.117549977</v>
      </c>
      <c r="E3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29145.8591032373</v>
      </c>
      <c r="F3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12171.6069532357</v>
      </c>
      <c r="G3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4871.96122152225</v>
      </c>
      <c r="H3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16417.8040125596</v>
      </c>
    </row>
    <row r="340" ht="15" customHeight="1">
      <c r="B340" s="20">
        <v>333</v>
      </c>
      <c r="C340" s="21">
        <f t="shared" si="0"/>
        <v>129860.303565073</v>
      </c>
      <c r="D3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59935.9437864897</v>
      </c>
      <c r="E3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35335.0361083279</v>
      </c>
      <c r="F3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12173.335143792</v>
      </c>
      <c r="G3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4446.6567431438</v>
      </c>
      <c r="H3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17969.3317833191</v>
      </c>
    </row>
    <row r="341" ht="15" customHeight="1">
      <c r="B341" s="20">
        <v>334</v>
      </c>
      <c r="C341" s="21">
        <f t="shared" si="0"/>
        <v>137621.734145899</v>
      </c>
      <c r="D3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82330.0687929783</v>
      </c>
      <c r="E3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28585.3893507415</v>
      </c>
      <c r="F3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11754.6694483007</v>
      </c>
      <c r="G3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4708.978701144</v>
      </c>
      <c r="H3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10242.6278527345</v>
      </c>
    </row>
    <row r="342" ht="15" customHeight="1">
      <c r="B342" s="20">
        <v>335</v>
      </c>
      <c r="C342" s="21">
        <f t="shared" si="0"/>
        <v>133220.838237872</v>
      </c>
      <c r="D3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60184.197175914</v>
      </c>
      <c r="E3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43123.7127761282</v>
      </c>
      <c r="F3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12253.5556641751</v>
      </c>
      <c r="G3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5265.25459863085</v>
      </c>
      <c r="H3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12394.1180230235</v>
      </c>
    </row>
    <row r="343" ht="15" customHeight="1">
      <c r="B343" s="20">
        <v>336</v>
      </c>
      <c r="C343" s="21">
        <f t="shared" si="0"/>
        <v>140753.858224647</v>
      </c>
      <c r="D3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88518.0747576981</v>
      </c>
      <c r="E3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21502.2231977031</v>
      </c>
      <c r="F3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16509.2883574834</v>
      </c>
      <c r="G3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3899.66353298883</v>
      </c>
      <c r="H3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10324.6083787732</v>
      </c>
    </row>
    <row r="344" ht="15" customHeight="1">
      <c r="B344" s="20">
        <v>337</v>
      </c>
      <c r="C344" s="21">
        <f t="shared" si="0"/>
        <v>145649.814021938</v>
      </c>
      <c r="D3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75377.5238135116</v>
      </c>
      <c r="E3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29848.6497469945</v>
      </c>
      <c r="F3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13965.4208572633</v>
      </c>
      <c r="G3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7119.92026002777</v>
      </c>
      <c r="H3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19338.2993441408</v>
      </c>
    </row>
    <row r="345" ht="15" customHeight="1">
      <c r="B345" s="20">
        <v>338</v>
      </c>
      <c r="C345" s="21">
        <f t="shared" si="0"/>
        <v>136188.315981335</v>
      </c>
      <c r="D3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73099.9577334772</v>
      </c>
      <c r="E3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32847.5420939736</v>
      </c>
      <c r="F3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12406.0183650977</v>
      </c>
      <c r="G3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4104.53900254374</v>
      </c>
      <c r="H3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13730.2587862432</v>
      </c>
    </row>
    <row r="346" ht="15" customHeight="1">
      <c r="B346" s="20">
        <v>339</v>
      </c>
      <c r="C346" s="21">
        <f t="shared" si="0"/>
        <v>123931.711703434</v>
      </c>
      <c r="D3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60737.7275228801</v>
      </c>
      <c r="E3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34209.7640095484</v>
      </c>
      <c r="F3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14158.3101946376</v>
      </c>
      <c r="G3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4484.90192754364</v>
      </c>
      <c r="H3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10341.008048824</v>
      </c>
    </row>
    <row r="347" ht="15" customHeight="1">
      <c r="B347" s="20">
        <v>340</v>
      </c>
      <c r="C347" s="21">
        <f t="shared" si="0"/>
        <v>139263.295266691</v>
      </c>
      <c r="D3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83490.0274752606</v>
      </c>
      <c r="E3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24050.9652462756</v>
      </c>
      <c r="F3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13103.9821258249</v>
      </c>
      <c r="G3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5900.7505193507</v>
      </c>
      <c r="H3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12717.569899979</v>
      </c>
    </row>
    <row r="348" ht="15" customHeight="1">
      <c r="B348" s="20">
        <v>341</v>
      </c>
      <c r="C348" s="21">
        <f t="shared" si="0"/>
        <v>125188.85157934</v>
      </c>
      <c r="D3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66940.4800695153</v>
      </c>
      <c r="E3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35242.1075232522</v>
      </c>
      <c r="F3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11177.5314976154</v>
      </c>
      <c r="G3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5996.44230067286</v>
      </c>
      <c r="H3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5832.29018828411</v>
      </c>
    </row>
    <row r="349" ht="15" customHeight="1">
      <c r="B349" s="20">
        <v>342</v>
      </c>
      <c r="C349" s="21">
        <f t="shared" si="0"/>
        <v>177236.683778103</v>
      </c>
      <c r="D3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99768.6035072262</v>
      </c>
      <c r="E3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40746.3242468497</v>
      </c>
      <c r="F3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17085.8105216965</v>
      </c>
      <c r="G3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6236.50574710292</v>
      </c>
      <c r="H3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13399.4397552273</v>
      </c>
    </row>
    <row r="350" ht="15" customHeight="1">
      <c r="B350" s="20">
        <v>343</v>
      </c>
      <c r="C350" s="21">
        <f t="shared" si="0"/>
        <v>128858.221911137</v>
      </c>
      <c r="D3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78069.5828872261</v>
      </c>
      <c r="E3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28739.0247639784</v>
      </c>
      <c r="F3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8781.48873456023</v>
      </c>
      <c r="G3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3986.0168805821</v>
      </c>
      <c r="H3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9282.10864478971</v>
      </c>
    </row>
    <row r="351" ht="15" customHeight="1">
      <c r="B351" s="20">
        <v>344</v>
      </c>
      <c r="C351" s="21">
        <f t="shared" si="0"/>
        <v>153144.019326765</v>
      </c>
      <c r="D3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89842.2153695442</v>
      </c>
      <c r="E3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29534.1739465971</v>
      </c>
      <c r="F3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11743.4322381187</v>
      </c>
      <c r="G3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3154.73565899821</v>
      </c>
      <c r="H3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18869.4621135067</v>
      </c>
    </row>
    <row r="352" ht="15" customHeight="1">
      <c r="B352" s="20">
        <v>345</v>
      </c>
      <c r="C352" s="21">
        <f t="shared" si="0"/>
        <v>142738.395527032</v>
      </c>
      <c r="D3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70562.0797095459</v>
      </c>
      <c r="E3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38671.8734582519</v>
      </c>
      <c r="F3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11231.5071653779</v>
      </c>
      <c r="G3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3200.72223017048</v>
      </c>
      <c r="H3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19072.2129636858</v>
      </c>
    </row>
    <row r="353" ht="15" customHeight="1">
      <c r="B353" s="20">
        <v>346</v>
      </c>
      <c r="C353" s="21">
        <f t="shared" si="0"/>
        <v>137680.804308885</v>
      </c>
      <c r="D3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80004.1043273201</v>
      </c>
      <c r="E3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32028.0031820274</v>
      </c>
      <c r="F3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10723.9591675301</v>
      </c>
      <c r="G3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5946.84730714034</v>
      </c>
      <c r="H3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8977.89032486688</v>
      </c>
    </row>
    <row r="354" ht="15" customHeight="1">
      <c r="B354" s="20">
        <v>347</v>
      </c>
      <c r="C354" s="21">
        <f t="shared" si="0"/>
        <v>127040.757568643</v>
      </c>
      <c r="D3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70179.0046382664</v>
      </c>
      <c r="E3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24921.3847125359</v>
      </c>
      <c r="F3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11793.7332861127</v>
      </c>
      <c r="G3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4667.39464130922</v>
      </c>
      <c r="H3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15479.2402904192</v>
      </c>
    </row>
    <row r="355" ht="15" customHeight="1">
      <c r="B355" s="20">
        <v>348</v>
      </c>
      <c r="C355" s="21">
        <f t="shared" si="0"/>
        <v>164721.357421425</v>
      </c>
      <c r="D3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102357.627741661</v>
      </c>
      <c r="E3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30761.6136412101</v>
      </c>
      <c r="F3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11486.471438347</v>
      </c>
      <c r="G3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6729.66869215018</v>
      </c>
      <c r="H3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13385.9759080569</v>
      </c>
    </row>
    <row r="356" ht="15" customHeight="1">
      <c r="B356" s="20">
        <v>349</v>
      </c>
      <c r="C356" s="21">
        <f t="shared" si="0"/>
        <v>149241.163048545</v>
      </c>
      <c r="D3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98693.6776170018</v>
      </c>
      <c r="E3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22512.2986927763</v>
      </c>
      <c r="F3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14261.0329231459</v>
      </c>
      <c r="G3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4072.00428288255</v>
      </c>
      <c r="H3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9702.14953273882</v>
      </c>
    </row>
    <row r="357" ht="15" customHeight="1">
      <c r="B357" s="20">
        <v>350</v>
      </c>
      <c r="C357" s="21">
        <f t="shared" si="0"/>
        <v>144806.959804349</v>
      </c>
      <c r="D3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83126.0642798296</v>
      </c>
      <c r="E3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32662.388224326</v>
      </c>
      <c r="F3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9154.34915808579</v>
      </c>
      <c r="G3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6832.98515709669</v>
      </c>
      <c r="H3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13031.1729850108</v>
      </c>
    </row>
    <row r="358" ht="15" customHeight="1">
      <c r="B358" s="20">
        <v>351</v>
      </c>
      <c r="C358" s="21">
        <f t="shared" si="0"/>
        <v>155928.426018106</v>
      </c>
      <c r="D3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95670.5781208366</v>
      </c>
      <c r="E3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29884.2586959441</v>
      </c>
      <c r="F3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12591.7225915926</v>
      </c>
      <c r="G3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5015.92727464182</v>
      </c>
      <c r="H3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12765.9393350914</v>
      </c>
    </row>
    <row r="359" ht="15" customHeight="1">
      <c r="B359" s="20">
        <v>352</v>
      </c>
      <c r="C359" s="21">
        <f t="shared" si="0"/>
        <v>133558.342891414</v>
      </c>
      <c r="D3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77510.241138084</v>
      </c>
      <c r="E3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28130.7498095291</v>
      </c>
      <c r="F3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12422.3413261321</v>
      </c>
      <c r="G3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7673.93143586416</v>
      </c>
      <c r="H3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7821.07918180473</v>
      </c>
    </row>
    <row r="360" ht="15" customHeight="1">
      <c r="B360" s="20">
        <v>353</v>
      </c>
      <c r="C360" s="21">
        <f t="shared" si="0"/>
        <v>140517.896583463</v>
      </c>
      <c r="D3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76664.4239644837</v>
      </c>
      <c r="E3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29089.2351641139</v>
      </c>
      <c r="F3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12372.8679820101</v>
      </c>
      <c r="G3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5887.42274275973</v>
      </c>
      <c r="H3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16503.9467300957</v>
      </c>
    </row>
    <row r="361" ht="15" customHeight="1">
      <c r="B361" s="20">
        <v>354</v>
      </c>
      <c r="C361" s="21">
        <f t="shared" si="0"/>
        <v>123040.472059481</v>
      </c>
      <c r="D3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62270.9446024013</v>
      </c>
      <c r="E3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33325.5972691792</v>
      </c>
      <c r="F3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14009.5175438395</v>
      </c>
      <c r="G3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5099.57125701924</v>
      </c>
      <c r="H3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8334.84138704161</v>
      </c>
    </row>
    <row r="362" ht="15" customHeight="1">
      <c r="B362" s="20">
        <v>355</v>
      </c>
      <c r="C362" s="21">
        <f t="shared" si="0"/>
        <v>134066.036890422</v>
      </c>
      <c r="D3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71579.4455223993</v>
      </c>
      <c r="E3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35599.9716604251</v>
      </c>
      <c r="F3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13310.3201077368</v>
      </c>
      <c r="G3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3822.66902568269</v>
      </c>
      <c r="H3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9753.63057417789</v>
      </c>
    </row>
    <row r="363" ht="15" customHeight="1">
      <c r="B363" s="20">
        <v>356</v>
      </c>
      <c r="C363" s="21">
        <f t="shared" si="0"/>
        <v>143039.525773237</v>
      </c>
      <c r="D3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86222.0343615529</v>
      </c>
      <c r="E3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29537.0410422839</v>
      </c>
      <c r="F3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9483.69021306079</v>
      </c>
      <c r="G3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6026.74638485237</v>
      </c>
      <c r="H3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11770.0137714875</v>
      </c>
    </row>
    <row r="364" ht="15" customHeight="1">
      <c r="B364" s="20">
        <v>357</v>
      </c>
      <c r="C364" s="21">
        <f t="shared" si="0"/>
        <v>133955.620374065</v>
      </c>
      <c r="D3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83812.7871960323</v>
      </c>
      <c r="E3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26696.9135905877</v>
      </c>
      <c r="F3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10628.9654533011</v>
      </c>
      <c r="G3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4596.67310111827</v>
      </c>
      <c r="H3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8220.28103302567</v>
      </c>
    </row>
    <row r="365" ht="15" customHeight="1">
      <c r="B365" s="20">
        <v>358</v>
      </c>
      <c r="C365" s="21">
        <f t="shared" si="0"/>
        <v>156707.752859183</v>
      </c>
      <c r="D3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92383.5917760159</v>
      </c>
      <c r="E3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35150.9746118662</v>
      </c>
      <c r="F3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12261.9115211404</v>
      </c>
      <c r="G3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4899.64938058474</v>
      </c>
      <c r="H3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12011.6255695758</v>
      </c>
    </row>
    <row r="366" ht="15" customHeight="1">
      <c r="B366" s="20">
        <v>359</v>
      </c>
      <c r="C366" s="21">
        <f t="shared" si="0"/>
        <v>120131.756112805</v>
      </c>
      <c r="D3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56883.8788388668</v>
      </c>
      <c r="E3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37127.93759231</v>
      </c>
      <c r="F3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12436.0443859515</v>
      </c>
      <c r="G3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4789.51911574745</v>
      </c>
      <c r="H3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8894.37617992959</v>
      </c>
    </row>
    <row r="367" ht="15" customHeight="1">
      <c r="B367" s="20">
        <v>360</v>
      </c>
      <c r="C367" s="21">
        <f t="shared" si="0"/>
        <v>135260.745008578</v>
      </c>
      <c r="D3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79633.5159671998</v>
      </c>
      <c r="E3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31989.7001042148</v>
      </c>
      <c r="F3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9551.19455963182</v>
      </c>
      <c r="G3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6077.27296434156</v>
      </c>
      <c r="H3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8009.06141319029</v>
      </c>
    </row>
    <row r="368" ht="15" customHeight="1">
      <c r="B368" s="20">
        <v>361</v>
      </c>
      <c r="C368" s="21">
        <f t="shared" si="0"/>
        <v>140655.085511726</v>
      </c>
      <c r="D3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81252.5562784063</v>
      </c>
      <c r="E3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33045.3785445777</v>
      </c>
      <c r="F3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10356.4405289407</v>
      </c>
      <c r="G3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5863.61557185639</v>
      </c>
      <c r="H3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10137.0945879449</v>
      </c>
    </row>
    <row r="369" ht="15" customHeight="1">
      <c r="B369" s="20">
        <v>362</v>
      </c>
      <c r="C369" s="21">
        <f t="shared" si="0"/>
        <v>156392.596757753</v>
      </c>
      <c r="D3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89908.3539699521</v>
      </c>
      <c r="E3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29478.2085021475</v>
      </c>
      <c r="F3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16269.8743092969</v>
      </c>
      <c r="G3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5217.24642659354</v>
      </c>
      <c r="H3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15518.9135497625</v>
      </c>
    </row>
    <row r="370" ht="15" customHeight="1">
      <c r="B370" s="20">
        <v>363</v>
      </c>
      <c r="C370" s="21">
        <f t="shared" si="0"/>
        <v>133560.975646244</v>
      </c>
      <c r="D3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70803.6185030713</v>
      </c>
      <c r="E3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24668.2132497841</v>
      </c>
      <c r="F3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14479.210576542</v>
      </c>
      <c r="G3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4708.90869507001</v>
      </c>
      <c r="H3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18901.0246217767</v>
      </c>
    </row>
    <row r="371" ht="15" customHeight="1">
      <c r="B371" s="20">
        <v>364</v>
      </c>
      <c r="C371" s="21">
        <f t="shared" si="0"/>
        <v>133473.202493045</v>
      </c>
      <c r="D3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82650.8384755673</v>
      </c>
      <c r="E3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25077.5567214199</v>
      </c>
      <c r="F3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12371.2187174658</v>
      </c>
      <c r="G3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4914.99023208039</v>
      </c>
      <c r="H3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8458.59834651136</v>
      </c>
    </row>
    <row r="372" ht="15" customHeight="1">
      <c r="B372" s="20">
        <v>365</v>
      </c>
      <c r="C372" s="21">
        <f t="shared" si="0"/>
        <v>120023.329667788</v>
      </c>
      <c r="D3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57451.7827890138</v>
      </c>
      <c r="E3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26131.6457169185</v>
      </c>
      <c r="F3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12737.370995971</v>
      </c>
      <c r="G3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5016.82733267013</v>
      </c>
      <c r="H3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18685.7028332148</v>
      </c>
    </row>
    <row r="373" ht="15" customHeight="1">
      <c r="B373" s="20">
        <v>366</v>
      </c>
      <c r="C373" s="21">
        <f t="shared" si="0"/>
        <v>146514.488742973</v>
      </c>
      <c r="D3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72286.1323711819</v>
      </c>
      <c r="E3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36798.3182706478</v>
      </c>
      <c r="F3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15337.955111917</v>
      </c>
      <c r="G3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7481.81161785675</v>
      </c>
      <c r="H3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14610.27137137</v>
      </c>
    </row>
    <row r="374" ht="15" customHeight="1">
      <c r="B374" s="20">
        <v>367</v>
      </c>
      <c r="C374" s="21">
        <f t="shared" si="0"/>
        <v>147152.817443538</v>
      </c>
      <c r="D3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93010.9534852083</v>
      </c>
      <c r="E3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28829.3544197751</v>
      </c>
      <c r="F3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12391.6781594207</v>
      </c>
      <c r="G3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5509.86822108777</v>
      </c>
      <c r="H3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7410.96315804636</v>
      </c>
    </row>
    <row r="375" ht="15" customHeight="1">
      <c r="B375" s="20">
        <v>368</v>
      </c>
      <c r="C375" s="21">
        <f t="shared" si="0"/>
        <v>166022.635073552</v>
      </c>
      <c r="D3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92252.4717452852</v>
      </c>
      <c r="E3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40072.5412375009</v>
      </c>
      <c r="F3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10006.1801116155</v>
      </c>
      <c r="G3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4681.93590778281</v>
      </c>
      <c r="H3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19009.5060713679</v>
      </c>
    </row>
    <row r="376" ht="15" customHeight="1">
      <c r="B376" s="20">
        <v>369</v>
      </c>
      <c r="C376" s="21">
        <f t="shared" si="0"/>
        <v>130929.066351697</v>
      </c>
      <c r="D3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63187.193265342</v>
      </c>
      <c r="E3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33974.1868380008</v>
      </c>
      <c r="F3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17078.644686481</v>
      </c>
      <c r="G3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5085.52025442485</v>
      </c>
      <c r="H3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11603.5213074483</v>
      </c>
    </row>
    <row r="377" ht="15" customHeight="1">
      <c r="B377" s="20">
        <v>370</v>
      </c>
      <c r="C377" s="21">
        <f t="shared" si="0"/>
        <v>135853.975723562</v>
      </c>
      <c r="D3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65488.4053290059</v>
      </c>
      <c r="E3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42086.6392458462</v>
      </c>
      <c r="F3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11571.0033096448</v>
      </c>
      <c r="G3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6830.89322510751</v>
      </c>
      <c r="H3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9877.03461395718</v>
      </c>
    </row>
    <row r="378" ht="15" customHeight="1">
      <c r="B378" s="20">
        <v>371</v>
      </c>
      <c r="C378" s="21">
        <f t="shared" si="0"/>
        <v>167935.810435713</v>
      </c>
      <c r="D3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109287.477108875</v>
      </c>
      <c r="E3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31184.2895177806</v>
      </c>
      <c r="F3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14310.2823228252</v>
      </c>
      <c r="G3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5412.46595864336</v>
      </c>
      <c r="H3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7741.295527589</v>
      </c>
    </row>
    <row r="379" ht="15" customHeight="1">
      <c r="B379" s="20">
        <v>372</v>
      </c>
      <c r="C379" s="21">
        <f t="shared" si="0"/>
        <v>174958.455624096</v>
      </c>
      <c r="D3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109373.385361169</v>
      </c>
      <c r="E3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37650.518954378</v>
      </c>
      <c r="F3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12553.8552571986</v>
      </c>
      <c r="G3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4587.50285500863</v>
      </c>
      <c r="H3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10793.1931963415</v>
      </c>
    </row>
    <row r="380" ht="15" customHeight="1">
      <c r="B380" s="20">
        <v>373</v>
      </c>
      <c r="C380" s="21">
        <f t="shared" si="0"/>
        <v>157913.278727001</v>
      </c>
      <c r="D3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91079.5176899745</v>
      </c>
      <c r="E3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36854.0706955429</v>
      </c>
      <c r="F3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10759.2264886829</v>
      </c>
      <c r="G3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4786.89176781464</v>
      </c>
      <c r="H3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14433.5720849856</v>
      </c>
    </row>
    <row r="381" ht="15" customHeight="1">
      <c r="B381" s="20">
        <v>374</v>
      </c>
      <c r="C381" s="21">
        <f t="shared" si="0"/>
        <v>115226.976912937</v>
      </c>
      <c r="D3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61570.3250826902</v>
      </c>
      <c r="E3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29845.3004158016</v>
      </c>
      <c r="F3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10155.7788355856</v>
      </c>
      <c r="G3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3184.55109029634</v>
      </c>
      <c r="H3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10471.0214885632</v>
      </c>
    </row>
    <row r="382" ht="15" customHeight="1">
      <c r="B382" s="20">
        <v>375</v>
      </c>
      <c r="C382" s="21">
        <f t="shared" si="0"/>
        <v>131616.247187676</v>
      </c>
      <c r="D3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65858.7958633084</v>
      </c>
      <c r="E3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26941.1385969107</v>
      </c>
      <c r="F3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13589.916391515</v>
      </c>
      <c r="G3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4148.84949124025</v>
      </c>
      <c r="H3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21077.5468447016</v>
      </c>
    </row>
    <row r="383" ht="15" customHeight="1">
      <c r="B383" s="20">
        <v>376</v>
      </c>
      <c r="C383" s="21">
        <f t="shared" si="0"/>
        <v>180716.70215805</v>
      </c>
      <c r="D3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110666.281700252</v>
      </c>
      <c r="E3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32200.6829630862</v>
      </c>
      <c r="F3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12551.5851380763</v>
      </c>
      <c r="G3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5400.95749834819</v>
      </c>
      <c r="H3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19897.1948582869</v>
      </c>
    </row>
    <row r="384" ht="15" customHeight="1">
      <c r="B384" s="20">
        <v>377</v>
      </c>
      <c r="C384" s="21">
        <f t="shared" si="0"/>
        <v>119275.127162531</v>
      </c>
      <c r="D3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57498.028231547</v>
      </c>
      <c r="E3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25608.4593920904</v>
      </c>
      <c r="F3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13042.2397473113</v>
      </c>
      <c r="G3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3798.31589277381</v>
      </c>
      <c r="H3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19328.0838988081</v>
      </c>
    </row>
    <row r="385" ht="15" customHeight="1">
      <c r="B385" s="20">
        <v>378</v>
      </c>
      <c r="C385" s="21">
        <f t="shared" si="0"/>
        <v>157300.477063754</v>
      </c>
      <c r="D3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101831.461070995</v>
      </c>
      <c r="E3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25542.5647866749</v>
      </c>
      <c r="F3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9136.84762288749</v>
      </c>
      <c r="G3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5609.54866963197</v>
      </c>
      <c r="H3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15180.0549135642</v>
      </c>
    </row>
    <row r="386" ht="15" customHeight="1">
      <c r="B386" s="20">
        <v>379</v>
      </c>
      <c r="C386" s="21">
        <f t="shared" si="0"/>
        <v>157975.066759457</v>
      </c>
      <c r="D3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101652.494337375</v>
      </c>
      <c r="E3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32412.4221534894</v>
      </c>
      <c r="F3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11150.1187085235</v>
      </c>
      <c r="G3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3777.07886515559</v>
      </c>
      <c r="H3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8982.95269491323</v>
      </c>
    </row>
    <row r="387" ht="15" customHeight="1">
      <c r="B387" s="20">
        <v>380</v>
      </c>
      <c r="C387" s="21">
        <f t="shared" si="0"/>
        <v>131310.290245652</v>
      </c>
      <c r="D3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80260.4138668844</v>
      </c>
      <c r="E3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24135.3332416677</v>
      </c>
      <c r="F3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12139.9080880119</v>
      </c>
      <c r="G3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5516.00586275425</v>
      </c>
      <c r="H3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9258.62918633388</v>
      </c>
    </row>
    <row r="388" ht="15" customHeight="1">
      <c r="B388" s="20">
        <v>381</v>
      </c>
      <c r="C388" s="21">
        <f t="shared" si="0"/>
        <v>148150.541562875</v>
      </c>
      <c r="D3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85630.4536177141</v>
      </c>
      <c r="E3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26887.4164932789</v>
      </c>
      <c r="F3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15800.1668743647</v>
      </c>
      <c r="G3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5791.31427477234</v>
      </c>
      <c r="H3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14041.1903027452</v>
      </c>
    </row>
    <row r="389" ht="15" customHeight="1">
      <c r="B389" s="20">
        <v>382</v>
      </c>
      <c r="C389" s="21">
        <f t="shared" si="0"/>
        <v>131815.59559023</v>
      </c>
      <c r="D3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76414.0638334686</v>
      </c>
      <c r="E3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27731.9571359187</v>
      </c>
      <c r="F3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10489.9950082429</v>
      </c>
      <c r="G3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4566.73391628182</v>
      </c>
      <c r="H3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12612.8456963183</v>
      </c>
    </row>
    <row r="390" ht="15" customHeight="1">
      <c r="B390" s="20">
        <v>383</v>
      </c>
      <c r="C390" s="21">
        <f t="shared" si="0"/>
        <v>147250.694854031</v>
      </c>
      <c r="D3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87417.8591574506</v>
      </c>
      <c r="E3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35504.1592523004</v>
      </c>
      <c r="F3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12800.2920839027</v>
      </c>
      <c r="G3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4518.85256301353</v>
      </c>
      <c r="H3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7009.53179736346</v>
      </c>
    </row>
    <row r="391" ht="15" customHeight="1">
      <c r="B391" s="20">
        <v>384</v>
      </c>
      <c r="C391" s="21">
        <f t="shared" si="0"/>
        <v>164255.332145694</v>
      </c>
      <c r="D3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103457.539622486</v>
      </c>
      <c r="E3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29024.4244390289</v>
      </c>
      <c r="F3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16326.5894408526</v>
      </c>
      <c r="G3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5169.97772074765</v>
      </c>
      <c r="H3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10276.8009225787</v>
      </c>
    </row>
    <row r="392" ht="15" customHeight="1">
      <c r="B392" s="20">
        <v>385</v>
      </c>
      <c r="C392" s="21">
        <f t="shared" si="0"/>
        <v>147564.738714723</v>
      </c>
      <c r="D3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82736.8536788687</v>
      </c>
      <c r="E3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33307.4742812866</v>
      </c>
      <c r="F3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12487.218678075</v>
      </c>
      <c r="G3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5880.11195485111</v>
      </c>
      <c r="H3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13153.0801216413</v>
      </c>
    </row>
    <row r="393" ht="15" customHeight="1">
      <c r="B393" s="20">
        <v>386</v>
      </c>
      <c r="C393" s="21">
        <f t="shared" si="0"/>
        <v>124050.175929676</v>
      </c>
      <c r="D3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52435.5515261995</v>
      </c>
      <c r="E3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36412.2500618393</v>
      </c>
      <c r="F3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11111.5485770733</v>
      </c>
      <c r="G3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5368.78912896262</v>
      </c>
      <c r="H3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18722.036635601</v>
      </c>
    </row>
    <row r="394" ht="15" customHeight="1">
      <c r="B394" s="20">
        <v>387</v>
      </c>
      <c r="C394" s="21">
        <f t="shared" si="0"/>
        <v>163963.509724584</v>
      </c>
      <c r="D3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100472.26813078</v>
      </c>
      <c r="E3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29467.4013395818</v>
      </c>
      <c r="F3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15684.7346583945</v>
      </c>
      <c r="G3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6181.6964097371</v>
      </c>
      <c r="H3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12157.4091860903</v>
      </c>
    </row>
    <row r="395" ht="15" customHeight="1">
      <c r="B395" s="20">
        <v>388</v>
      </c>
      <c r="C395" s="21">
        <f t="shared" si="0"/>
        <v>142739.875363969</v>
      </c>
      <c r="D3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88827.2771772545</v>
      </c>
      <c r="E3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24841.2219782718</v>
      </c>
      <c r="F3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12370.8771890783</v>
      </c>
      <c r="G3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5151.9782176648</v>
      </c>
      <c r="H3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11548.5208017</v>
      </c>
    </row>
    <row r="396" ht="15" customHeight="1">
      <c r="B396" s="20">
        <v>389</v>
      </c>
      <c r="C396" s="21">
        <f t="shared" si="0"/>
        <v>138513.32467046</v>
      </c>
      <c r="D3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76276.4174728667</v>
      </c>
      <c r="E3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31221.5368692627</v>
      </c>
      <c r="F3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10649.1316159167</v>
      </c>
      <c r="G3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4714.17642393819</v>
      </c>
      <c r="H3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15652.062288476</v>
      </c>
    </row>
    <row r="397" ht="15" customHeight="1">
      <c r="B397" s="20">
        <v>390</v>
      </c>
      <c r="C397" s="21">
        <f t="shared" si="0"/>
        <v>187805.346965183</v>
      </c>
      <c r="D3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111530.779534203</v>
      </c>
      <c r="E3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35199.1835686321</v>
      </c>
      <c r="F3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14760.5140071111</v>
      </c>
      <c r="G3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5985.97825860627</v>
      </c>
      <c r="H3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20328.8915966301</v>
      </c>
    </row>
    <row r="398" ht="15" customHeight="1">
      <c r="B398" s="20">
        <v>391</v>
      </c>
      <c r="C398" s="21">
        <f t="shared" si="0"/>
        <v>150881.839190204</v>
      </c>
      <c r="D3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86236.6585505171</v>
      </c>
      <c r="E3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38796.3649787179</v>
      </c>
      <c r="F3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10717.5402555476</v>
      </c>
      <c r="G3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4229.11144021918</v>
      </c>
      <c r="H3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10902.163965202</v>
      </c>
    </row>
    <row r="399" ht="15" customHeight="1">
      <c r="B399" s="20">
        <v>392</v>
      </c>
      <c r="C399" s="21">
        <f t="shared" si="0"/>
        <v>153649.317358381</v>
      </c>
      <c r="D3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84998.5766972727</v>
      </c>
      <c r="E3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30095.1441927112</v>
      </c>
      <c r="F3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12999.6351933083</v>
      </c>
      <c r="G3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5842.22892097027</v>
      </c>
      <c r="H3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19713.7323541189</v>
      </c>
    </row>
    <row r="400" ht="15" customHeight="1">
      <c r="B400" s="20">
        <v>393</v>
      </c>
      <c r="C400" s="21">
        <f t="shared" si="0"/>
        <v>148083.2960321</v>
      </c>
      <c r="D4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85349.6862929719</v>
      </c>
      <c r="E4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28230.3205173572</v>
      </c>
      <c r="F4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16823.6745333885</v>
      </c>
      <c r="G4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5914.14417563968</v>
      </c>
      <c r="H4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11765.4705127424</v>
      </c>
    </row>
    <row r="401" ht="15" customHeight="1">
      <c r="B401" s="20">
        <v>394</v>
      </c>
      <c r="C401" s="21">
        <f t="shared" si="0"/>
        <v>161172.37003427</v>
      </c>
      <c r="D4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109373.747654887</v>
      </c>
      <c r="E4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25784.0599777367</v>
      </c>
      <c r="F4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10765.7702350467</v>
      </c>
      <c r="G4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5096.55709555608</v>
      </c>
      <c r="H4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10152.2350710434</v>
      </c>
    </row>
    <row r="402" ht="15" customHeight="1">
      <c r="B402" s="20">
        <v>395</v>
      </c>
      <c r="C402" s="21">
        <f t="shared" si="0"/>
        <v>141754.597074752</v>
      </c>
      <c r="D4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83194.3907037833</v>
      </c>
      <c r="E4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26896.3326169767</v>
      </c>
      <c r="F4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14925.0602258699</v>
      </c>
      <c r="G4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4276.02467353399</v>
      </c>
      <c r="H4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12462.7888545884</v>
      </c>
    </row>
    <row r="403" ht="15" customHeight="1">
      <c r="B403" s="20">
        <v>396</v>
      </c>
      <c r="C403" s="21">
        <f t="shared" si="0"/>
        <v>133876.777916395</v>
      </c>
      <c r="D4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71158.21734976</v>
      </c>
      <c r="E4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32066.6424665088</v>
      </c>
      <c r="F4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12125.7808837456</v>
      </c>
      <c r="G4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3987.49187076019</v>
      </c>
      <c r="H4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14538.6453456209</v>
      </c>
    </row>
    <row r="404" ht="15" customHeight="1">
      <c r="B404" s="20">
        <v>397</v>
      </c>
      <c r="C404" s="21">
        <f t="shared" si="0"/>
        <v>142752.897660182</v>
      </c>
      <c r="D4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85188.7415969688</v>
      </c>
      <c r="E4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22640.6953486868</v>
      </c>
      <c r="F4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14559.7254775255</v>
      </c>
      <c r="G4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4360.6602365622</v>
      </c>
      <c r="H4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16003.075000439</v>
      </c>
    </row>
    <row r="405" ht="15" customHeight="1">
      <c r="B405" s="20">
        <v>398</v>
      </c>
      <c r="C405" s="21">
        <f t="shared" si="0"/>
        <v>115161.315826933</v>
      </c>
      <c r="D4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61679.0185038898</v>
      </c>
      <c r="E4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25523.7929141554</v>
      </c>
      <c r="F4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11034.5769319473</v>
      </c>
      <c r="G4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4466.69157845998</v>
      </c>
      <c r="H4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12457.2358984804</v>
      </c>
    </row>
    <row r="406" ht="15" customHeight="1">
      <c r="B406" s="20">
        <v>399</v>
      </c>
      <c r="C406" s="21">
        <f t="shared" si="0"/>
        <v>161578.672029341</v>
      </c>
      <c r="D4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97189.4618160563</v>
      </c>
      <c r="E4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26477.3702689942</v>
      </c>
      <c r="F4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11783.3494234014</v>
      </c>
      <c r="G4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6559.04670636255</v>
      </c>
      <c r="H4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19569.4438145263</v>
      </c>
    </row>
    <row r="407" ht="15" customHeight="1">
      <c r="B407" s="20">
        <v>400</v>
      </c>
      <c r="C407" s="21">
        <f t="shared" si="0"/>
        <v>161114.483420509</v>
      </c>
      <c r="D4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91269.2284499071</v>
      </c>
      <c r="E4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40226.3056729852</v>
      </c>
      <c r="F4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11624.5346763522</v>
      </c>
      <c r="G4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4134.69766993273</v>
      </c>
      <c r="H4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13859.7169513318</v>
      </c>
    </row>
    <row r="408" ht="15" customHeight="1">
      <c r="B408" s="20">
        <v>401</v>
      </c>
      <c r="C408" s="21">
        <f t="shared" si="0"/>
        <v>139702.004946663</v>
      </c>
      <c r="D4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79297.5506896515</v>
      </c>
      <c r="E4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28204.3930347939</v>
      </c>
      <c r="F4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16825.8186415288</v>
      </c>
      <c r="G4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4481.10661536991</v>
      </c>
      <c r="H4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10893.1359653188</v>
      </c>
    </row>
    <row r="409" ht="15" customHeight="1">
      <c r="B409" s="20">
        <v>402</v>
      </c>
      <c r="C409" s="21">
        <f t="shared" si="0"/>
        <v>124532.562794649</v>
      </c>
      <c r="D4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76159.1072968643</v>
      </c>
      <c r="E4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23915.927360887</v>
      </c>
      <c r="F4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8493.63707626528</v>
      </c>
      <c r="G4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4961.78684011991</v>
      </c>
      <c r="H4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11002.1042205122</v>
      </c>
    </row>
    <row r="410" ht="15" customHeight="1">
      <c r="B410" s="20">
        <v>403</v>
      </c>
      <c r="C410" s="21">
        <f t="shared" si="0"/>
        <v>141649.715399796</v>
      </c>
      <c r="D4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77995.8193140561</v>
      </c>
      <c r="E4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33324.3251989441</v>
      </c>
      <c r="F4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10772.8170284795</v>
      </c>
      <c r="G4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6139.38154325634</v>
      </c>
      <c r="H4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13417.3723150604</v>
      </c>
    </row>
    <row r="411" ht="15" customHeight="1">
      <c r="B411" s="20">
        <v>404</v>
      </c>
      <c r="C411" s="21">
        <f t="shared" si="0"/>
        <v>125208.220658796</v>
      </c>
      <c r="D4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68242.4103541559</v>
      </c>
      <c r="E4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26533.1643244129</v>
      </c>
      <c r="F4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10016.2538123367</v>
      </c>
      <c r="G4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5949.13728113682</v>
      </c>
      <c r="H4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14467.2548867535</v>
      </c>
    </row>
    <row r="412" ht="15" customHeight="1">
      <c r="B412" s="20">
        <v>405</v>
      </c>
      <c r="C412" s="21">
        <f t="shared" si="0"/>
        <v>133508.473495895</v>
      </c>
      <c r="D4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79207.0399731952</v>
      </c>
      <c r="E4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28380.8714976373</v>
      </c>
      <c r="F4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13251.2597562281</v>
      </c>
      <c r="G4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4718.6304401492</v>
      </c>
      <c r="H4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7950.67182868547</v>
      </c>
    </row>
    <row r="413" ht="15" customHeight="1">
      <c r="B413" s="20">
        <v>406</v>
      </c>
      <c r="C413" s="21">
        <f t="shared" si="0"/>
        <v>164339.779426306</v>
      </c>
      <c r="D4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102521.497197288</v>
      </c>
      <c r="E4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27136.6397166884</v>
      </c>
      <c r="F4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12281.1489650114</v>
      </c>
      <c r="G4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4653.64881161892</v>
      </c>
      <c r="H4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17746.844735699</v>
      </c>
    </row>
    <row r="414" ht="15" customHeight="1">
      <c r="B414" s="20">
        <v>407</v>
      </c>
      <c r="C414" s="21">
        <f t="shared" si="0"/>
        <v>120131.10666543</v>
      </c>
      <c r="D4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70515.1157886676</v>
      </c>
      <c r="E4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24077.6748565795</v>
      </c>
      <c r="F4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12894.9167530527</v>
      </c>
      <c r="G4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5247.7536666143</v>
      </c>
      <c r="H4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7395.64560051613</v>
      </c>
    </row>
    <row r="415" ht="15" customHeight="1">
      <c r="B415" s="20">
        <v>408</v>
      </c>
      <c r="C415" s="21">
        <f t="shared" si="0"/>
        <v>133791.952973167</v>
      </c>
      <c r="D4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78045.1968161338</v>
      </c>
      <c r="E4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29707.1253084045</v>
      </c>
      <c r="F4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11406.9909811841</v>
      </c>
      <c r="G4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5233.5957397971</v>
      </c>
      <c r="H4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9399.04412764707</v>
      </c>
    </row>
    <row r="416" ht="15" customHeight="1">
      <c r="B416" s="20">
        <v>409</v>
      </c>
      <c r="C416" s="21">
        <f t="shared" si="0"/>
        <v>161887.141229454</v>
      </c>
      <c r="D4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98682.5739897997</v>
      </c>
      <c r="E4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27756.8523701719</v>
      </c>
      <c r="F4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15707.9612006232</v>
      </c>
      <c r="G4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4394.14432751621</v>
      </c>
      <c r="H4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15345.6093413431</v>
      </c>
    </row>
    <row r="417" ht="15" customHeight="1">
      <c r="B417" s="20">
        <v>410</v>
      </c>
      <c r="C417" s="21">
        <f t="shared" si="0"/>
        <v>149942.014209908</v>
      </c>
      <c r="D4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74907.0504449456</v>
      </c>
      <c r="E4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40083.2857215293</v>
      </c>
      <c r="F4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16627.2554776872</v>
      </c>
      <c r="G4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5909.98958905157</v>
      </c>
      <c r="H4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12414.4329766939</v>
      </c>
    </row>
    <row r="418" ht="15" customHeight="1">
      <c r="B418" s="20">
        <v>411</v>
      </c>
      <c r="C418" s="21">
        <f t="shared" si="0"/>
        <v>162177.390578823</v>
      </c>
      <c r="D4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93156.0637910833</v>
      </c>
      <c r="E4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33200.5610526507</v>
      </c>
      <c r="F4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10640.1691529688</v>
      </c>
      <c r="G4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5951.43697061341</v>
      </c>
      <c r="H4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19229.1596115073</v>
      </c>
    </row>
    <row r="419" ht="15" customHeight="1">
      <c r="B419" s="20">
        <v>412</v>
      </c>
      <c r="C419" s="21">
        <f t="shared" si="0"/>
        <v>164133.570545547</v>
      </c>
      <c r="D4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86435.3429855235</v>
      </c>
      <c r="E4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40876.4086434282</v>
      </c>
      <c r="F4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11883.9951534957</v>
      </c>
      <c r="G4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5604.94379171734</v>
      </c>
      <c r="H4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19332.8799713826</v>
      </c>
    </row>
    <row r="420" ht="15" customHeight="1">
      <c r="B420" s="20">
        <v>413</v>
      </c>
      <c r="C420" s="21">
        <f t="shared" si="0"/>
        <v>151934.847588607</v>
      </c>
      <c r="D4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80258.8602487491</v>
      </c>
      <c r="E4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36079.1805397844</v>
      </c>
      <c r="F4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15141.993914421</v>
      </c>
      <c r="G4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3931.03151891832</v>
      </c>
      <c r="H4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16523.7813667346</v>
      </c>
    </row>
    <row r="421" ht="15" customHeight="1">
      <c r="B421" s="20">
        <v>414</v>
      </c>
      <c r="C421" s="21">
        <f t="shared" si="0"/>
        <v>136553.784361896</v>
      </c>
      <c r="D4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68570.1314659154</v>
      </c>
      <c r="E4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27980.2998055823</v>
      </c>
      <c r="F4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16266.933791714</v>
      </c>
      <c r="G4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5966.61898428808</v>
      </c>
      <c r="H4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17769.8003143967</v>
      </c>
    </row>
    <row r="422" ht="15" customHeight="1">
      <c r="B422" s="20">
        <v>415</v>
      </c>
      <c r="C422" s="21">
        <f t="shared" si="0"/>
        <v>139592.936030884</v>
      </c>
      <c r="D4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81165.8505907478</v>
      </c>
      <c r="E4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30513.8735431013</v>
      </c>
      <c r="F4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10543.9397459509</v>
      </c>
      <c r="G4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5009.51369675238</v>
      </c>
      <c r="H4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12359.7584543317</v>
      </c>
    </row>
    <row r="423" ht="15" customHeight="1">
      <c r="B423" s="20">
        <v>416</v>
      </c>
      <c r="C423" s="21">
        <f t="shared" si="0"/>
        <v>114849.466194426</v>
      </c>
      <c r="D4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55557.9045438159</v>
      </c>
      <c r="E4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21921.1600757773</v>
      </c>
      <c r="F4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12051.5993252675</v>
      </c>
      <c r="G4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6792.98705805637</v>
      </c>
      <c r="H4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18525.8151915092</v>
      </c>
    </row>
    <row r="424" ht="15" customHeight="1">
      <c r="B424" s="20">
        <v>417</v>
      </c>
      <c r="C424" s="21">
        <f t="shared" si="0"/>
        <v>129140.432822202</v>
      </c>
      <c r="D4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72179.4018539816</v>
      </c>
      <c r="E4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24340.7422735621</v>
      </c>
      <c r="F4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14503.4265685908</v>
      </c>
      <c r="G4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4704.55197017996</v>
      </c>
      <c r="H4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13412.3101558873</v>
      </c>
    </row>
    <row r="425" ht="15" customHeight="1">
      <c r="B425" s="20">
        <v>418</v>
      </c>
      <c r="C425" s="21">
        <f t="shared" si="0"/>
        <v>143792.716855722</v>
      </c>
      <c r="D4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90876.5502379231</v>
      </c>
      <c r="E4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26892.718193594</v>
      </c>
      <c r="F4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12052.6273369786</v>
      </c>
      <c r="G4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7192.56872239364</v>
      </c>
      <c r="H4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6778.25236483313</v>
      </c>
    </row>
    <row r="426" ht="15" customHeight="1">
      <c r="B426" s="20">
        <v>419</v>
      </c>
      <c r="C426" s="21">
        <f t="shared" si="0"/>
        <v>145694.379490181</v>
      </c>
      <c r="D4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98442.7597454506</v>
      </c>
      <c r="E4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25192.1593601595</v>
      </c>
      <c r="F4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8798.41391809525</v>
      </c>
      <c r="G4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5321.66714898409</v>
      </c>
      <c r="H4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7939.37931749123</v>
      </c>
    </row>
    <row r="427" ht="15" customHeight="1">
      <c r="B427" s="20">
        <v>420</v>
      </c>
      <c r="C427" s="21">
        <f t="shared" si="0"/>
        <v>140220.914630824</v>
      </c>
      <c r="D4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76157.5486742674</v>
      </c>
      <c r="E4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27106.267726988</v>
      </c>
      <c r="F4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15136.9203792816</v>
      </c>
      <c r="G4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3896.45504573107</v>
      </c>
      <c r="H4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17923.7228045561</v>
      </c>
    </row>
    <row r="428" ht="15" customHeight="1">
      <c r="B428" s="20">
        <v>421</v>
      </c>
      <c r="C428" s="21">
        <f t="shared" si="0"/>
        <v>126783.646554464</v>
      </c>
      <c r="D4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65082.523084985</v>
      </c>
      <c r="E4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24214.4865075426</v>
      </c>
      <c r="F4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13788.7052566826</v>
      </c>
      <c r="G4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5442.16772596611</v>
      </c>
      <c r="H4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18255.7639792875</v>
      </c>
    </row>
    <row r="429" ht="15" customHeight="1">
      <c r="B429" s="20">
        <v>422</v>
      </c>
      <c r="C429" s="21">
        <f t="shared" si="0"/>
        <v>188994.542744401</v>
      </c>
      <c r="D4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115904.441203961</v>
      </c>
      <c r="E4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40206.11389356</v>
      </c>
      <c r="F4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16966.252979885</v>
      </c>
      <c r="G4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3944.86550938715</v>
      </c>
      <c r="H4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11972.8691576077</v>
      </c>
    </row>
    <row r="430" ht="15" customHeight="1">
      <c r="B430" s="20">
        <v>423</v>
      </c>
      <c r="C430" s="21">
        <f t="shared" si="0"/>
        <v>154308.752750305</v>
      </c>
      <c r="D4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89098.6227235038</v>
      </c>
      <c r="E4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37683.8482186969</v>
      </c>
      <c r="F4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14500.1891840071</v>
      </c>
      <c r="G4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6015.43232445497</v>
      </c>
      <c r="H4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7010.66029964202</v>
      </c>
    </row>
    <row r="431" ht="15" customHeight="1">
      <c r="B431" s="20">
        <v>424</v>
      </c>
      <c r="C431" s="21">
        <f t="shared" si="0"/>
        <v>141568.951674004</v>
      </c>
      <c r="D4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77231.656886234</v>
      </c>
      <c r="E4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42756.2563577585</v>
      </c>
      <c r="F4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9007.31889568889</v>
      </c>
      <c r="G4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3738.57561183316</v>
      </c>
      <c r="H4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8835.14392248956</v>
      </c>
    </row>
    <row r="432" ht="15" customHeight="1">
      <c r="B432" s="20">
        <v>425</v>
      </c>
      <c r="C432" s="21">
        <f t="shared" si="0"/>
        <v>151019.822797175</v>
      </c>
      <c r="D4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76217.0339527256</v>
      </c>
      <c r="E4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37730.2880181856</v>
      </c>
      <c r="F4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14765.6510229229</v>
      </c>
      <c r="G4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5209.24978806175</v>
      </c>
      <c r="H4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17097.6000152796</v>
      </c>
    </row>
    <row r="433" ht="15" customHeight="1">
      <c r="B433" s="20">
        <v>426</v>
      </c>
      <c r="C433" s="21">
        <f t="shared" si="0"/>
        <v>145412.749308693</v>
      </c>
      <c r="D4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83073.0890926266</v>
      </c>
      <c r="E4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28761.3363096183</v>
      </c>
      <c r="F4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16866.5258496072</v>
      </c>
      <c r="G4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5518.61772464719</v>
      </c>
      <c r="H4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11193.1803321942</v>
      </c>
    </row>
    <row r="434" ht="15" customHeight="1">
      <c r="B434" s="20">
        <v>427</v>
      </c>
      <c r="C434" s="21">
        <f t="shared" si="0"/>
        <v>123372.510873863</v>
      </c>
      <c r="D4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63495.3990304365</v>
      </c>
      <c r="E4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34804.1229379398</v>
      </c>
      <c r="F4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10515.8364179183</v>
      </c>
      <c r="G4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5987.99989970387</v>
      </c>
      <c r="H4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8569.15258786451</v>
      </c>
    </row>
    <row r="435" ht="15" customHeight="1">
      <c r="B435" s="20">
        <v>428</v>
      </c>
      <c r="C435" s="21">
        <f t="shared" si="0"/>
        <v>143085.368287361</v>
      </c>
      <c r="D4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76994.3694499921</v>
      </c>
      <c r="E4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34881.7696588214</v>
      </c>
      <c r="F4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13369.5538673505</v>
      </c>
      <c r="G4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4618.7335658627</v>
      </c>
      <c r="H4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13220.9417453339</v>
      </c>
    </row>
    <row r="436" ht="15" customHeight="1">
      <c r="B436" s="20">
        <v>429</v>
      </c>
      <c r="C436" s="21">
        <f t="shared" si="0"/>
        <v>128340.627431355</v>
      </c>
      <c r="D4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79973.1007370713</v>
      </c>
      <c r="E4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25368.0050102935</v>
      </c>
      <c r="F4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9527.87677258521</v>
      </c>
      <c r="G4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4261.5967168754</v>
      </c>
      <c r="H4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9210.04819452938</v>
      </c>
    </row>
    <row r="437" ht="15" customHeight="1">
      <c r="B437" s="20">
        <v>430</v>
      </c>
      <c r="C437" s="21">
        <f t="shared" si="0"/>
        <v>128086.108419889</v>
      </c>
      <c r="D4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74914.4340236779</v>
      </c>
      <c r="E4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25476.8534974195</v>
      </c>
      <c r="F4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13146.3148732093</v>
      </c>
      <c r="G4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5027.09741962948</v>
      </c>
      <c r="H4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9521.40860595294</v>
      </c>
    </row>
    <row r="438" ht="15" customHeight="1">
      <c r="B438" s="20">
        <v>431</v>
      </c>
      <c r="C438" s="21">
        <f t="shared" si="0"/>
        <v>131344.561794712</v>
      </c>
      <c r="D4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62336.7190252041</v>
      </c>
      <c r="E4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31593.4124889204</v>
      </c>
      <c r="F4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12844.0184256591</v>
      </c>
      <c r="G4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7367.05752694107</v>
      </c>
      <c r="H4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17203.3543279873</v>
      </c>
    </row>
    <row r="439" ht="15" customHeight="1">
      <c r="B439" s="20">
        <v>432</v>
      </c>
      <c r="C439" s="21">
        <f t="shared" si="0"/>
        <v>128314.404181844</v>
      </c>
      <c r="D4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66681.2892067701</v>
      </c>
      <c r="E4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26075.9072328319</v>
      </c>
      <c r="F4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13971.4274746166</v>
      </c>
      <c r="G4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4284.80649674277</v>
      </c>
      <c r="H4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17300.9737708823</v>
      </c>
    </row>
    <row r="440" ht="15" customHeight="1">
      <c r="B440" s="20">
        <v>433</v>
      </c>
      <c r="C440" s="21">
        <f t="shared" si="0"/>
        <v>125721.714543052</v>
      </c>
      <c r="D4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73145.3807272117</v>
      </c>
      <c r="E4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27493.354119886</v>
      </c>
      <c r="F4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9672.91842387408</v>
      </c>
      <c r="G4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5619.75298431941</v>
      </c>
      <c r="H4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9790.30828776046</v>
      </c>
    </row>
    <row r="441" ht="15" customHeight="1">
      <c r="B441" s="20">
        <v>434</v>
      </c>
      <c r="C441" s="21">
        <f t="shared" si="0"/>
        <v>154589.403536981</v>
      </c>
      <c r="D4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85603.6653263122</v>
      </c>
      <c r="E4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39924.8822985694</v>
      </c>
      <c r="F4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14446.1052245185</v>
      </c>
      <c r="G4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3984.01863670884</v>
      </c>
      <c r="H4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10630.7320508716</v>
      </c>
    </row>
    <row r="442" ht="15" customHeight="1">
      <c r="B442" s="20">
        <v>435</v>
      </c>
      <c r="C442" s="21">
        <f t="shared" si="0"/>
        <v>143315.951530292</v>
      </c>
      <c r="D4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73506.3712431712</v>
      </c>
      <c r="E4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37598.1703265808</v>
      </c>
      <c r="F4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17190.4807303816</v>
      </c>
      <c r="G4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6001.55359112697</v>
      </c>
      <c r="H4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9019.37563903153</v>
      </c>
    </row>
    <row r="443" ht="15" customHeight="1">
      <c r="B443" s="20">
        <v>436</v>
      </c>
      <c r="C443" s="21">
        <f t="shared" si="0"/>
        <v>176635.337195072</v>
      </c>
      <c r="D4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99514.107978624</v>
      </c>
      <c r="E4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36274.9190934639</v>
      </c>
      <c r="F4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15795.196570324</v>
      </c>
      <c r="G4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3703.46536949883</v>
      </c>
      <c r="H4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21347.6481831612</v>
      </c>
    </row>
    <row r="444" ht="15" customHeight="1">
      <c r="B444" s="20">
        <v>437</v>
      </c>
      <c r="C444" s="21">
        <f t="shared" si="0"/>
        <v>153783.416099929</v>
      </c>
      <c r="D4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80757.700713208</v>
      </c>
      <c r="E4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35930.6540573808</v>
      </c>
      <c r="F4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10942.0185297807</v>
      </c>
      <c r="G4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5587.84191535471</v>
      </c>
      <c r="H4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20565.2008842043</v>
      </c>
    </row>
    <row r="445" ht="15" customHeight="1">
      <c r="B445" s="20">
        <v>438</v>
      </c>
      <c r="C445" s="21">
        <f t="shared" si="0"/>
        <v>162716.494583054</v>
      </c>
      <c r="D4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84625.6604067493</v>
      </c>
      <c r="E4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34208.9012259959</v>
      </c>
      <c r="F4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14429.6572891471</v>
      </c>
      <c r="G4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5697.942200398</v>
      </c>
      <c r="H4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23754.333460764</v>
      </c>
    </row>
    <row r="446" ht="15" customHeight="1">
      <c r="B446" s="20">
        <v>439</v>
      </c>
      <c r="C446" s="21">
        <f t="shared" si="0"/>
        <v>123843.818748674</v>
      </c>
      <c r="D4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70455.9783161231</v>
      </c>
      <c r="E4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25329.363966773</v>
      </c>
      <c r="F4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11211.2912609665</v>
      </c>
      <c r="G4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3625.19653797316</v>
      </c>
      <c r="H4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13221.9886668381</v>
      </c>
    </row>
    <row r="447" ht="15" customHeight="1">
      <c r="B447" s="20">
        <v>440</v>
      </c>
      <c r="C447" s="21">
        <f t="shared" si="0"/>
        <v>130009.390351736</v>
      </c>
      <c r="D4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65175.8122585125</v>
      </c>
      <c r="E4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32206.261255212</v>
      </c>
      <c r="F4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15628.1375783458</v>
      </c>
      <c r="G4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6248.12901679333</v>
      </c>
      <c r="H4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10751.0502428721</v>
      </c>
    </row>
    <row r="448" ht="15" customHeight="1">
      <c r="B448" s="20">
        <v>441</v>
      </c>
      <c r="C448" s="21">
        <f t="shared" si="0"/>
        <v>159232.491590236</v>
      </c>
      <c r="D4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88909.4428661638</v>
      </c>
      <c r="E4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40019.0084012129</v>
      </c>
      <c r="F4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12890.555228971</v>
      </c>
      <c r="G4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7216.00787830495</v>
      </c>
      <c r="H4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10197.4772155836</v>
      </c>
    </row>
    <row r="449" ht="15" customHeight="1">
      <c r="B449" s="20">
        <v>442</v>
      </c>
      <c r="C449" s="21">
        <f t="shared" si="0"/>
        <v>141967.136547391</v>
      </c>
      <c r="D4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70956.1665390038</v>
      </c>
      <c r="E4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31226.3317144113</v>
      </c>
      <c r="F4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15002.8353253178</v>
      </c>
      <c r="G4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4588.13138659764</v>
      </c>
      <c r="H4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20193.6715820607</v>
      </c>
    </row>
    <row r="450" ht="15" customHeight="1">
      <c r="B450" s="20">
        <v>443</v>
      </c>
      <c r="C450" s="21">
        <f t="shared" si="0"/>
        <v>155658.559202</v>
      </c>
      <c r="D4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89857.1847506201</v>
      </c>
      <c r="E4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32491.2878108794</v>
      </c>
      <c r="F4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12323.8682830776</v>
      </c>
      <c r="G4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7168.94756042913</v>
      </c>
      <c r="H4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13817.2707969941</v>
      </c>
    </row>
    <row r="451" ht="15" customHeight="1">
      <c r="B451" s="20">
        <v>444</v>
      </c>
      <c r="C451" s="21">
        <f t="shared" si="0"/>
        <v>141433.29198481</v>
      </c>
      <c r="D4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80611.2358828116</v>
      </c>
      <c r="E4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38147.6255567583</v>
      </c>
      <c r="F4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10185.7304088011</v>
      </c>
      <c r="G4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4325.11323156249</v>
      </c>
      <c r="H4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8163.58690487639</v>
      </c>
    </row>
    <row r="452" ht="15" customHeight="1">
      <c r="B452" s="20">
        <v>445</v>
      </c>
      <c r="C452" s="21">
        <f t="shared" si="0"/>
        <v>155588.627026845</v>
      </c>
      <c r="D4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81760.1678195767</v>
      </c>
      <c r="E4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36762.7084986054</v>
      </c>
      <c r="F4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16355.633922115</v>
      </c>
      <c r="G4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4669.95987894495</v>
      </c>
      <c r="H4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16040.1569076033</v>
      </c>
    </row>
    <row r="453" ht="15" customHeight="1">
      <c r="B453" s="20">
        <v>446</v>
      </c>
      <c r="C453" s="21">
        <f t="shared" si="0"/>
        <v>132242.808864512</v>
      </c>
      <c r="D4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74735.138859527</v>
      </c>
      <c r="E4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29792.982487711</v>
      </c>
      <c r="F4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14620.7914063942</v>
      </c>
      <c r="G4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4331.23578758556</v>
      </c>
      <c r="H4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8762.66032329449</v>
      </c>
    </row>
    <row r="454" ht="15" customHeight="1">
      <c r="B454" s="20">
        <v>447</v>
      </c>
      <c r="C454" s="21">
        <f t="shared" si="0"/>
        <v>142054.044736932</v>
      </c>
      <c r="D4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72698.9564638055</v>
      </c>
      <c r="E4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42830.189678594</v>
      </c>
      <c r="F4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10294.5850393335</v>
      </c>
      <c r="G4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5850.57898611583</v>
      </c>
      <c r="H4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10379.7345690831</v>
      </c>
    </row>
    <row r="455" ht="15" customHeight="1">
      <c r="B455" s="20">
        <v>448</v>
      </c>
      <c r="C455" s="21">
        <f t="shared" si="0"/>
        <v>144715.201330979</v>
      </c>
      <c r="D4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73709.6809845344</v>
      </c>
      <c r="E4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36800.8704669401</v>
      </c>
      <c r="F4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10661.8883301542</v>
      </c>
      <c r="G4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4139.86533135637</v>
      </c>
      <c r="H4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19402.8962179942</v>
      </c>
    </row>
    <row r="456" ht="15" customHeight="1">
      <c r="B456" s="20">
        <v>449</v>
      </c>
      <c r="C456" s="21">
        <f t="shared" si="0"/>
        <v>150871.930009252</v>
      </c>
      <c r="D4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88550.0186654039</v>
      </c>
      <c r="E4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30336.7456706312</v>
      </c>
      <c r="F4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12058.7204270157</v>
      </c>
      <c r="G4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3351.6542998182</v>
      </c>
      <c r="H4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16574.7909463827</v>
      </c>
    </row>
    <row r="457" ht="15" customHeight="1">
      <c r="B457" s="20">
        <v>450</v>
      </c>
      <c r="C457" s="21">
        <f t="shared" si="0"/>
        <v>159140.113798821</v>
      </c>
      <c r="D4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105144.04116309</v>
      </c>
      <c r="E4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26248.5858776395</v>
      </c>
      <c r="F4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13284.4309473773</v>
      </c>
      <c r="G4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3666.94892294665</v>
      </c>
      <c r="H4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10796.1068877677</v>
      </c>
    </row>
    <row r="458" ht="15" customHeight="1">
      <c r="B458" s="20">
        <v>451</v>
      </c>
      <c r="C458" s="21">
        <f t="shared" si="0"/>
        <v>161181.768931039</v>
      </c>
      <c r="D4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101897.277234574</v>
      </c>
      <c r="E4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30807.1427905138</v>
      </c>
      <c r="F4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13167.8700538676</v>
      </c>
      <c r="G4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4095.30250406998</v>
      </c>
      <c r="H4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11214.1763480137</v>
      </c>
    </row>
    <row r="459" ht="15" customHeight="1">
      <c r="B459" s="20">
        <v>452</v>
      </c>
      <c r="C459" s="21">
        <f t="shared" si="0"/>
        <v>160521.803322606</v>
      </c>
      <c r="D4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84927.7247657803</v>
      </c>
      <c r="E4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35852.0472212056</v>
      </c>
      <c r="F4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15038.5923965095</v>
      </c>
      <c r="G4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4337.20471307937</v>
      </c>
      <c r="H4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20366.2342260312</v>
      </c>
    </row>
    <row r="460" ht="15" customHeight="1">
      <c r="B460" s="20">
        <v>453</v>
      </c>
      <c r="C460" s="21">
        <f t="shared" si="0"/>
        <v>131070.843523838</v>
      </c>
      <c r="D4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70556.4225713537</v>
      </c>
      <c r="E4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26707.9589156411</v>
      </c>
      <c r="F4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15624.9601565563</v>
      </c>
      <c r="G4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5830.18659054448</v>
      </c>
      <c r="H4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12351.3152897429</v>
      </c>
    </row>
    <row r="461" ht="15" customHeight="1">
      <c r="B461" s="20">
        <v>454</v>
      </c>
      <c r="C461" s="21">
        <f t="shared" si="0"/>
        <v>130516.619526843</v>
      </c>
      <c r="D4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71435.265883831</v>
      </c>
      <c r="E4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32012.1828655365</v>
      </c>
      <c r="F4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14476.4893985599</v>
      </c>
      <c r="G4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5505.70457540389</v>
      </c>
      <c r="H4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7086.97680351185</v>
      </c>
    </row>
    <row r="462" ht="15" customHeight="1">
      <c r="B462" s="20">
        <v>455</v>
      </c>
      <c r="C462" s="21">
        <f t="shared" si="0"/>
        <v>129064.07121155</v>
      </c>
      <c r="D4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58420.8640892321</v>
      </c>
      <c r="E4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39481.5549017901</v>
      </c>
      <c r="F4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8321.65744639026</v>
      </c>
      <c r="G4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4213.95846552867</v>
      </c>
      <c r="H4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18626.0363086093</v>
      </c>
    </row>
    <row r="463" ht="15" customHeight="1">
      <c r="B463" s="20">
        <v>456</v>
      </c>
      <c r="C463" s="21">
        <f t="shared" si="0"/>
        <v>183949.04965169</v>
      </c>
      <c r="D4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110589.485942959</v>
      </c>
      <c r="E4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38426.6993382384</v>
      </c>
      <c r="F4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8416.06773088091</v>
      </c>
      <c r="G4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6896.46236932504</v>
      </c>
      <c r="H4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19620.3342702871</v>
      </c>
    </row>
    <row r="464" ht="15" customHeight="1">
      <c r="B464" s="20">
        <v>457</v>
      </c>
      <c r="C464" s="21">
        <f t="shared" si="0"/>
        <v>122229.312531866</v>
      </c>
      <c r="D4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68170.0434247011</v>
      </c>
      <c r="E4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28369.1579053844</v>
      </c>
      <c r="F4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8342.68310217114</v>
      </c>
      <c r="G4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6111.11227042326</v>
      </c>
      <c r="H4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11236.315829186</v>
      </c>
    </row>
    <row r="465" ht="15" customHeight="1">
      <c r="B465" s="20">
        <v>458</v>
      </c>
      <c r="C465" s="21">
        <f t="shared" si="0"/>
        <v>162361.755116013</v>
      </c>
      <c r="D4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99796.2062694504</v>
      </c>
      <c r="E4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32947.3392697993</v>
      </c>
      <c r="F4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13817.6470570929</v>
      </c>
      <c r="G4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3583.64155874865</v>
      </c>
      <c r="H4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12216.9209609213</v>
      </c>
    </row>
    <row r="466" ht="15" customHeight="1">
      <c r="B466" s="20">
        <v>459</v>
      </c>
      <c r="C466" s="21">
        <f t="shared" si="0"/>
        <v>137411.681444382</v>
      </c>
      <c r="D4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75221.8045739522</v>
      </c>
      <c r="E4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26315.1582264404</v>
      </c>
      <c r="F4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12769.571385686</v>
      </c>
      <c r="G4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4637.43767022454</v>
      </c>
      <c r="H4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18467.7095880793</v>
      </c>
    </row>
    <row r="467" ht="15" customHeight="1">
      <c r="B467" s="20">
        <v>460</v>
      </c>
      <c r="C467" s="21">
        <f t="shared" si="0"/>
        <v>142645.334281614</v>
      </c>
      <c r="D4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84330.6791517962</v>
      </c>
      <c r="E4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31897.8108145023</v>
      </c>
      <c r="F4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12351.748531986</v>
      </c>
      <c r="G4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3212.52674698322</v>
      </c>
      <c r="H4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10852.5690363459</v>
      </c>
    </row>
    <row r="468" ht="15" customHeight="1">
      <c r="B468" s="20">
        <v>461</v>
      </c>
      <c r="C468" s="21">
        <f t="shared" si="0"/>
        <v>139748.469872516</v>
      </c>
      <c r="D4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80923.9356718911</v>
      </c>
      <c r="E4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30884.6428108081</v>
      </c>
      <c r="F4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9432.43084902047</v>
      </c>
      <c r="G4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6615.86563029009</v>
      </c>
      <c r="H4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11891.5949105065</v>
      </c>
    </row>
    <row r="469" ht="15" customHeight="1">
      <c r="B469" s="20">
        <v>462</v>
      </c>
      <c r="C469" s="21">
        <f t="shared" si="0"/>
        <v>147615.017865148</v>
      </c>
      <c r="D4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81227.3422054895</v>
      </c>
      <c r="E4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36468.9192165777</v>
      </c>
      <c r="F4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15973.1820953222</v>
      </c>
      <c r="G4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5098.41811573903</v>
      </c>
      <c r="H4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8847.15623201983</v>
      </c>
    </row>
    <row r="470" ht="15" customHeight="1">
      <c r="B470" s="20">
        <v>463</v>
      </c>
      <c r="C470" s="21">
        <f t="shared" si="0"/>
        <v>179433.302882909</v>
      </c>
      <c r="D4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103285.720702501</v>
      </c>
      <c r="E4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40198.8601298596</v>
      </c>
      <c r="F4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14566.153495414</v>
      </c>
      <c r="G4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6831.96843606391</v>
      </c>
      <c r="H4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14550.6001190709</v>
      </c>
    </row>
    <row r="471" ht="15" customHeight="1">
      <c r="B471" s="20">
        <v>464</v>
      </c>
      <c r="C471" s="21">
        <f t="shared" si="0"/>
        <v>118367.646558315</v>
      </c>
      <c r="D4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56973.5748667688</v>
      </c>
      <c r="E4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32391.0897504494</v>
      </c>
      <c r="F4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15144.9569277478</v>
      </c>
      <c r="G4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4068.41439009958</v>
      </c>
      <c r="H4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9789.61062324921</v>
      </c>
    </row>
    <row r="472" ht="15" customHeight="1">
      <c r="B472" s="20">
        <v>465</v>
      </c>
      <c r="C472" s="21">
        <f t="shared" si="0"/>
        <v>159278.958608768</v>
      </c>
      <c r="D4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97552.2552595158</v>
      </c>
      <c r="E4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30445.3473797547</v>
      </c>
      <c r="F4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16130.3799010587</v>
      </c>
      <c r="G4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5852.46671440923</v>
      </c>
      <c r="H4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9298.50935403001</v>
      </c>
    </row>
    <row r="473" ht="15" customHeight="1">
      <c r="B473" s="20">
        <v>466</v>
      </c>
      <c r="C473" s="21">
        <f t="shared" si="0"/>
        <v>123553.220191632</v>
      </c>
      <c r="D4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53276.5506679882</v>
      </c>
      <c r="E4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39084.6399371817</v>
      </c>
      <c r="F4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10919.4218092059</v>
      </c>
      <c r="G4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6885.362245595</v>
      </c>
      <c r="H4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13387.2455316608</v>
      </c>
    </row>
    <row r="474" ht="15" customHeight="1">
      <c r="B474" s="20">
        <v>467</v>
      </c>
      <c r="C474" s="21">
        <f t="shared" si="0"/>
        <v>167594.878882782</v>
      </c>
      <c r="D4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106905.670853266</v>
      </c>
      <c r="E4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29377.2278028957</v>
      </c>
      <c r="F4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14548.22330224</v>
      </c>
      <c r="G4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6874.30908452682</v>
      </c>
      <c r="H4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9889.44783985382</v>
      </c>
    </row>
    <row r="475" ht="15" customHeight="1">
      <c r="B475" s="20">
        <v>468</v>
      </c>
      <c r="C475" s="21">
        <f t="shared" si="0"/>
        <v>174497.765959042</v>
      </c>
      <c r="D4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107794.858394321</v>
      </c>
      <c r="E4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37581.1088718406</v>
      </c>
      <c r="F4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12565.9018046685</v>
      </c>
      <c r="G4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4948.45734772646</v>
      </c>
      <c r="H4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11607.4395404858</v>
      </c>
    </row>
    <row r="476" ht="15" customHeight="1">
      <c r="B476" s="20">
        <v>469</v>
      </c>
      <c r="C476" s="21">
        <f t="shared" si="0"/>
        <v>151301.339961552</v>
      </c>
      <c r="D4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81367.5219874606</v>
      </c>
      <c r="E4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31458.639938051</v>
      </c>
      <c r="F4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15241.072215748</v>
      </c>
      <c r="G4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4912.87186857124</v>
      </c>
      <c r="H4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18321.2339517215</v>
      </c>
    </row>
    <row r="477" ht="15" customHeight="1">
      <c r="B477" s="20">
        <v>470</v>
      </c>
      <c r="C477" s="21">
        <f t="shared" si="0"/>
        <v>149452.53537032</v>
      </c>
      <c r="D4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83156.1366453858</v>
      </c>
      <c r="E4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29618.0437916256</v>
      </c>
      <c r="F4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15192.3699736987</v>
      </c>
      <c r="G4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6357.2453105291</v>
      </c>
      <c r="H4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15128.7396490804</v>
      </c>
    </row>
    <row r="478" ht="15" customHeight="1">
      <c r="B478" s="20">
        <v>471</v>
      </c>
      <c r="C478" s="21">
        <f t="shared" si="0"/>
        <v>133516.990012358</v>
      </c>
      <c r="D4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72756.1650279698</v>
      </c>
      <c r="E4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28664.810010368</v>
      </c>
      <c r="F4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12084.8447642201</v>
      </c>
      <c r="G4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7266.64345818914</v>
      </c>
      <c r="H4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12744.5267516114</v>
      </c>
    </row>
    <row r="479" ht="15" customHeight="1">
      <c r="B479" s="20">
        <v>472</v>
      </c>
      <c r="C479" s="21">
        <f t="shared" si="0"/>
        <v>154764.112213951</v>
      </c>
      <c r="D4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90740.6040664109</v>
      </c>
      <c r="E4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34579.825555144</v>
      </c>
      <c r="F4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13423.3038317109</v>
      </c>
      <c r="G4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5362.37519607903</v>
      </c>
      <c r="H4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10658.0035646064</v>
      </c>
    </row>
    <row r="480" ht="15" customHeight="1">
      <c r="B480" s="20">
        <v>473</v>
      </c>
      <c r="C480" s="21">
        <f t="shared" si="0"/>
        <v>135012.104348707</v>
      </c>
      <c r="D4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55280.2531467565</v>
      </c>
      <c r="E4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39862.9901114129</v>
      </c>
      <c r="F4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15255.7183549412</v>
      </c>
      <c r="G4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3849.34805059283</v>
      </c>
      <c r="H4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20763.7946850034</v>
      </c>
    </row>
    <row r="481" ht="15" customHeight="1">
      <c r="B481" s="20">
        <v>474</v>
      </c>
      <c r="C481" s="21">
        <f t="shared" si="0"/>
        <v>163798.277483983</v>
      </c>
      <c r="D4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89482.2527692724</v>
      </c>
      <c r="E4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34261.9901998641</v>
      </c>
      <c r="F4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12625.7013030069</v>
      </c>
      <c r="G4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6284.60717561482</v>
      </c>
      <c r="H4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21143.7260362249</v>
      </c>
    </row>
    <row r="482" ht="15" customHeight="1">
      <c r="B482" s="20">
        <v>475</v>
      </c>
      <c r="C482" s="21">
        <f t="shared" si="0"/>
        <v>126147.894849004</v>
      </c>
      <c r="D4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61755.5233736763</v>
      </c>
      <c r="E4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31470.9548092565</v>
      </c>
      <c r="F4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13845.0856363696</v>
      </c>
      <c r="G4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5094.23950896543</v>
      </c>
      <c r="H4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13982.0915207359</v>
      </c>
    </row>
    <row r="483" ht="15" customHeight="1">
      <c r="B483" s="20">
        <v>476</v>
      </c>
      <c r="C483" s="21">
        <f t="shared" si="0"/>
        <v>153611.103682978</v>
      </c>
      <c r="D4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88812.1232886893</v>
      </c>
      <c r="E4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31526.0545532049</v>
      </c>
      <c r="F4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12295.244623073</v>
      </c>
      <c r="G4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6328.21586119346</v>
      </c>
      <c r="H4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14649.4653568172</v>
      </c>
    </row>
    <row r="484" ht="15" customHeight="1">
      <c r="B484" s="20">
        <v>477</v>
      </c>
      <c r="C484" s="21">
        <f t="shared" si="0"/>
        <v>151930.588682229</v>
      </c>
      <c r="D4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76729.5986522984</v>
      </c>
      <c r="E4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39970.7682026326</v>
      </c>
      <c r="F4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15656.9387517815</v>
      </c>
      <c r="G4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5598.09505669785</v>
      </c>
      <c r="H4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13975.1880188188</v>
      </c>
    </row>
    <row r="485" ht="15" customHeight="1">
      <c r="B485" s="20">
        <v>478</v>
      </c>
      <c r="C485" s="21">
        <f t="shared" si="0"/>
        <v>169608.86363182</v>
      </c>
      <c r="D4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98134.8858940345</v>
      </c>
      <c r="E4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41123.7451556737</v>
      </c>
      <c r="F4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15638.3760849311</v>
      </c>
      <c r="G4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4924.79255420779</v>
      </c>
      <c r="H4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9787.0639429732</v>
      </c>
    </row>
    <row r="486" ht="15" customHeight="1">
      <c r="B486" s="20">
        <v>479</v>
      </c>
      <c r="C486" s="21">
        <f t="shared" si="0"/>
        <v>138347.047565452</v>
      </c>
      <c r="D4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73050.5490515922</v>
      </c>
      <c r="E4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35620.4691150139</v>
      </c>
      <c r="F4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14203.5505924729</v>
      </c>
      <c r="G4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4075.70552764523</v>
      </c>
      <c r="H4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11396.7732787275</v>
      </c>
    </row>
    <row r="487" ht="15" customHeight="1">
      <c r="B487" s="20">
        <v>480</v>
      </c>
      <c r="C487" s="21">
        <f t="shared" si="0"/>
        <v>137683.744346164</v>
      </c>
      <c r="D4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65624.4393856659</v>
      </c>
      <c r="E4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35446.5493405792</v>
      </c>
      <c r="F4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14919.008486669</v>
      </c>
      <c r="G4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4894.48201742561</v>
      </c>
      <c r="H4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16799.2651158241</v>
      </c>
    </row>
    <row r="488" ht="15" customHeight="1">
      <c r="B488" s="20">
        <v>481</v>
      </c>
      <c r="C488" s="21">
        <f t="shared" si="0"/>
        <v>159576.006172665</v>
      </c>
      <c r="D4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94411.0968315382</v>
      </c>
      <c r="E4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37204.2376995839</v>
      </c>
      <c r="F4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9434.1140704737</v>
      </c>
      <c r="G4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5291.35929547937</v>
      </c>
      <c r="H4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13235.1982755897</v>
      </c>
    </row>
    <row r="489" ht="15" customHeight="1">
      <c r="B489" s="20">
        <v>482</v>
      </c>
      <c r="C489" s="21">
        <f t="shared" si="0"/>
        <v>128273.116819408</v>
      </c>
      <c r="D4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68388.4520215231</v>
      </c>
      <c r="E4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33365.8768616479</v>
      </c>
      <c r="F4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12371.6544901026</v>
      </c>
      <c r="G4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6241.3817418129</v>
      </c>
      <c r="H4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7905.75170432175</v>
      </c>
    </row>
    <row r="490" ht="15" customHeight="1">
      <c r="B490" s="20">
        <v>483</v>
      </c>
      <c r="C490" s="21">
        <f t="shared" si="0"/>
        <v>152397.578192682</v>
      </c>
      <c r="D4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90912.0060651465</v>
      </c>
      <c r="E4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32242.6721197352</v>
      </c>
      <c r="F4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11292.5930148337</v>
      </c>
      <c r="G4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6049.80615545112</v>
      </c>
      <c r="H4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11900.5008375154</v>
      </c>
    </row>
    <row r="491" ht="15" customHeight="1">
      <c r="B491" s="20">
        <v>484</v>
      </c>
      <c r="C491" s="21">
        <f t="shared" si="0"/>
        <v>162634.048444949</v>
      </c>
      <c r="D4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87052.9761254847</v>
      </c>
      <c r="E4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40245.758559098</v>
      </c>
      <c r="F4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8608.74645406076</v>
      </c>
      <c r="G4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5105.39009592528</v>
      </c>
      <c r="H4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21621.1772103806</v>
      </c>
    </row>
    <row r="492" ht="15" customHeight="1">
      <c r="B492" s="20">
        <v>485</v>
      </c>
      <c r="C492" s="21">
        <f t="shared" si="0"/>
        <v>113731.046930422</v>
      </c>
      <c r="D4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54011.8039931493</v>
      </c>
      <c r="E4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31304.6536604301</v>
      </c>
      <c r="F4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12173.4632466012</v>
      </c>
      <c r="G4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4997.0635973863</v>
      </c>
      <c r="H4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11244.0624328548</v>
      </c>
    </row>
    <row r="493" ht="15" customHeight="1">
      <c r="B493" s="20">
        <v>486</v>
      </c>
      <c r="C493" s="21">
        <f t="shared" si="0"/>
        <v>156838.239391812</v>
      </c>
      <c r="D4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93072.897783334</v>
      </c>
      <c r="E4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31695.25841953</v>
      </c>
      <c r="F4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15725.700171786</v>
      </c>
      <c r="G4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5611.38527557665</v>
      </c>
      <c r="H4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10732.9977415852</v>
      </c>
    </row>
    <row r="494" ht="15" customHeight="1">
      <c r="B494" s="20">
        <v>487</v>
      </c>
      <c r="C494" s="21">
        <f t="shared" si="0"/>
        <v>177179.827501021</v>
      </c>
      <c r="D4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104712.454044435</v>
      </c>
      <c r="E4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31801.3735382459</v>
      </c>
      <c r="F4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14310.7156301758</v>
      </c>
      <c r="G4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6431.35514294464</v>
      </c>
      <c r="H4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19923.9291452195</v>
      </c>
    </row>
    <row r="495" ht="15" customHeight="1">
      <c r="B495" s="20">
        <v>488</v>
      </c>
      <c r="C495" s="21">
        <f t="shared" si="0"/>
        <v>126247.098425911</v>
      </c>
      <c r="D4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65390.5934515438</v>
      </c>
      <c r="E4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30692.0029128475</v>
      </c>
      <c r="F4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14547.7868273756</v>
      </c>
      <c r="G4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5702.50733008541</v>
      </c>
      <c r="H4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9914.20790405871</v>
      </c>
    </row>
    <row r="496" ht="15" customHeight="1">
      <c r="B496" s="20">
        <v>489</v>
      </c>
      <c r="C496" s="21">
        <f t="shared" si="0"/>
        <v>143599.272810565</v>
      </c>
      <c r="D4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71529.7895265896</v>
      </c>
      <c r="E4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29790.6100197958</v>
      </c>
      <c r="F4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11853.9384750864</v>
      </c>
      <c r="G4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5930.09418673964</v>
      </c>
      <c r="H4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24494.8406023539</v>
      </c>
    </row>
    <row r="497" ht="15" customHeight="1">
      <c r="B497" s="20">
        <v>490</v>
      </c>
      <c r="C497" s="21">
        <f t="shared" si="0"/>
        <v>152996.326446735</v>
      </c>
      <c r="D4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82446.3664681469</v>
      </c>
      <c r="E4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39512.5049939304</v>
      </c>
      <c r="F4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12496.7646136674</v>
      </c>
      <c r="G4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6021.44214646259</v>
      </c>
      <c r="H4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12519.2482245273</v>
      </c>
    </row>
    <row r="498" ht="15" customHeight="1">
      <c r="B498" s="20">
        <v>491</v>
      </c>
      <c r="C498" s="21">
        <f t="shared" si="0"/>
        <v>149790.434273232</v>
      </c>
      <c r="D4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82447.4829072033</v>
      </c>
      <c r="E4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41714.074177421</v>
      </c>
      <c r="F4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10632.4726287538</v>
      </c>
      <c r="G4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7646.05028751375</v>
      </c>
      <c r="H4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7350.35427234002</v>
      </c>
    </row>
    <row r="499" ht="15" customHeight="1">
      <c r="B499" s="20">
        <v>492</v>
      </c>
      <c r="C499" s="21">
        <f t="shared" si="0"/>
        <v>126307.101938368</v>
      </c>
      <c r="D4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65364.2334346285</v>
      </c>
      <c r="E4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34367.0241802016</v>
      </c>
      <c r="F4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9101.68305376101</v>
      </c>
      <c r="G4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5505.57452581157</v>
      </c>
      <c r="H4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11968.5867439651</v>
      </c>
    </row>
    <row r="500" ht="15" customHeight="1">
      <c r="B500" s="20">
        <v>493</v>
      </c>
      <c r="C500" s="21">
        <f t="shared" si="0"/>
        <v>120797.724141028</v>
      </c>
      <c r="D5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58208.2027790449</v>
      </c>
      <c r="E5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27218.8067795217</v>
      </c>
      <c r="F5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10260.7721683578</v>
      </c>
      <c r="G5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6983.98656355014</v>
      </c>
      <c r="H5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18125.9558505533</v>
      </c>
    </row>
    <row r="501" ht="15" customHeight="1">
      <c r="B501" s="20">
        <v>494</v>
      </c>
      <c r="C501" s="21">
        <f t="shared" si="0"/>
        <v>134502.344153832</v>
      </c>
      <c r="D5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66534.9537677576</v>
      </c>
      <c r="E5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23530.182106836</v>
      </c>
      <c r="F5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14608.1973307408</v>
      </c>
      <c r="G5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6512.6237686626</v>
      </c>
      <c r="H5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23316.387179835</v>
      </c>
    </row>
    <row r="502" ht="15" customHeight="1">
      <c r="B502" s="20">
        <v>495</v>
      </c>
      <c r="C502" s="21">
        <f t="shared" si="0"/>
        <v>154197.759907082</v>
      </c>
      <c r="D5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91592.8830219069</v>
      </c>
      <c r="E5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30668.227823855</v>
      </c>
      <c r="F5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12617.3320971297</v>
      </c>
      <c r="G5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3409.92044657642</v>
      </c>
      <c r="H5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15909.396517614</v>
      </c>
    </row>
    <row r="503" ht="15" customHeight="1">
      <c r="B503" s="20">
        <v>496</v>
      </c>
      <c r="C503" s="21">
        <f t="shared" si="0"/>
        <v>151185.051370965</v>
      </c>
      <c r="D5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95427.7956214767</v>
      </c>
      <c r="E5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28463.0603045849</v>
      </c>
      <c r="F5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13218.6907540831</v>
      </c>
      <c r="G5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5035.40263352648</v>
      </c>
      <c r="H5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9040.10205729411</v>
      </c>
    </row>
    <row r="504" ht="15" customHeight="1">
      <c r="B504" s="20">
        <v>497</v>
      </c>
      <c r="C504" s="21">
        <f t="shared" si="0"/>
        <v>138551.059048944</v>
      </c>
      <c r="D5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85608.6293133301</v>
      </c>
      <c r="E5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25799.3228487617</v>
      </c>
      <c r="F5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14318.5155945935</v>
      </c>
      <c r="G5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4683.54145109784</v>
      </c>
      <c r="H5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8141.04984116096</v>
      </c>
    </row>
    <row r="505" ht="15" customHeight="1">
      <c r="B505" s="20">
        <v>498</v>
      </c>
      <c r="C505" s="21">
        <f t="shared" si="0"/>
        <v>142927.927036368</v>
      </c>
      <c r="D5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70897.2092281894</v>
      </c>
      <c r="E5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29556.3848981105</v>
      </c>
      <c r="F5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15499.1194491568</v>
      </c>
      <c r="G5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6143.48624647189</v>
      </c>
      <c r="H5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20831.727214439</v>
      </c>
    </row>
    <row r="506" ht="15" customHeight="1">
      <c r="B506" s="20">
        <v>499</v>
      </c>
      <c r="C506" s="21">
        <f t="shared" si="0"/>
        <v>139543.109507812</v>
      </c>
      <c r="D5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78826.9016767096</v>
      </c>
      <c r="E5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29076.4338232464</v>
      </c>
      <c r="F5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14348.2495564154</v>
      </c>
      <c r="G5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6139.93965488756</v>
      </c>
      <c r="H5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11151.5847965535</v>
      </c>
    </row>
    <row r="507" ht="15" customHeight="1">
      <c r="B507" s="20">
        <v>500</v>
      </c>
      <c r="C507" s="21">
        <f t="shared" si="0"/>
        <v>147558.580189351</v>
      </c>
      <c r="D5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82507.8391103249</v>
      </c>
      <c r="E5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26761.003869458</v>
      </c>
      <c r="F5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11792.0270853263</v>
      </c>
      <c r="G5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6362.43984210682</v>
      </c>
      <c r="H5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20135.2702821351</v>
      </c>
    </row>
    <row r="508" ht="15" customHeight="1">
      <c r="B508" s="20">
        <v>501</v>
      </c>
      <c r="C508" s="21">
        <f t="shared" si="0"/>
        <v>146983.443958827</v>
      </c>
      <c r="D5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91999.959686634</v>
      </c>
      <c r="E5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27092.7200894169</v>
      </c>
      <c r="F5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12171.4207890293</v>
      </c>
      <c r="G5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5754.61441339348</v>
      </c>
      <c r="H5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9964.7289803536</v>
      </c>
    </row>
    <row r="509" ht="15" customHeight="1">
      <c r="B509" s="20">
        <v>502</v>
      </c>
      <c r="C509" s="21">
        <f t="shared" si="0"/>
        <v>122479.042544661</v>
      </c>
      <c r="D5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65169.4718851782</v>
      </c>
      <c r="E5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32735.8762739077</v>
      </c>
      <c r="F5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9927.2607892693</v>
      </c>
      <c r="G5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5088.06466726942</v>
      </c>
      <c r="H5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9558.36892903644</v>
      </c>
    </row>
    <row r="510" ht="15" customHeight="1">
      <c r="B510" s="20">
        <v>503</v>
      </c>
      <c r="C510" s="21">
        <f t="shared" si="0"/>
        <v>140401.017425889</v>
      </c>
      <c r="D5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75098.7421694178</v>
      </c>
      <c r="E5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32571.1528180176</v>
      </c>
      <c r="F5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15329.1259598519</v>
      </c>
      <c r="G5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7002.31809011344</v>
      </c>
      <c r="H5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10399.6783884883</v>
      </c>
    </row>
    <row r="511" ht="15" customHeight="1">
      <c r="B511" s="20">
        <v>504</v>
      </c>
      <c r="C511" s="21">
        <f t="shared" si="0"/>
        <v>136877.89707004</v>
      </c>
      <c r="D5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70733.2162265011</v>
      </c>
      <c r="E5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36603.4770649123</v>
      </c>
      <c r="F5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15444.1037355011</v>
      </c>
      <c r="G5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5344.87604512317</v>
      </c>
      <c r="H5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8752.22399800234</v>
      </c>
    </row>
    <row r="512" ht="15" customHeight="1">
      <c r="B512" s="20">
        <v>505</v>
      </c>
      <c r="C512" s="21">
        <f t="shared" si="0"/>
        <v>169720.525212451</v>
      </c>
      <c r="D5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103487.412585249</v>
      </c>
      <c r="E5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34645.3308529661</v>
      </c>
      <c r="F5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11704.9875790135</v>
      </c>
      <c r="G5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4896.90255328165</v>
      </c>
      <c r="H5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14985.891641941</v>
      </c>
    </row>
    <row r="513" ht="15" customHeight="1">
      <c r="B513" s="20">
        <v>506</v>
      </c>
      <c r="C513" s="21">
        <f t="shared" si="0"/>
        <v>143121.496307337</v>
      </c>
      <c r="D5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71484.7308225119</v>
      </c>
      <c r="E5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41459.9605313758</v>
      </c>
      <c r="F5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14508.5441902904</v>
      </c>
      <c r="G5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6025.97923970626</v>
      </c>
      <c r="H5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9642.28152345288</v>
      </c>
    </row>
    <row r="514" ht="15" customHeight="1">
      <c r="B514" s="20">
        <v>507</v>
      </c>
      <c r="C514" s="21">
        <f t="shared" si="0"/>
        <v>108161.022296626</v>
      </c>
      <c r="D5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62504.6231646713</v>
      </c>
      <c r="E5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23739.8055229407</v>
      </c>
      <c r="F5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9289.10641363415</v>
      </c>
      <c r="G5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5548.45591363127</v>
      </c>
      <c r="H5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7079.03128174825</v>
      </c>
    </row>
    <row r="515" ht="15" customHeight="1">
      <c r="B515" s="20">
        <v>508</v>
      </c>
      <c r="C515" s="21">
        <f t="shared" si="0"/>
        <v>123449.920763356</v>
      </c>
      <c r="D5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63645.2301084035</v>
      </c>
      <c r="E5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32505.3290228558</v>
      </c>
      <c r="F5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13790.3281200284</v>
      </c>
      <c r="G5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5174.67559592869</v>
      </c>
      <c r="H5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8334.3579161398</v>
      </c>
    </row>
    <row r="516" ht="15" customHeight="1">
      <c r="B516" s="20">
        <v>509</v>
      </c>
      <c r="C516" s="21">
        <f t="shared" si="0"/>
        <v>123832.570952951</v>
      </c>
      <c r="D5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73909.5079753964</v>
      </c>
      <c r="E5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21696.556295651</v>
      </c>
      <c r="F5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14154.6957476984</v>
      </c>
      <c r="G5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4289.58056250595</v>
      </c>
      <c r="H5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9782.23037169956</v>
      </c>
    </row>
    <row r="517" ht="15" customHeight="1">
      <c r="B517" s="20">
        <v>510</v>
      </c>
      <c r="C517" s="21">
        <f t="shared" si="0"/>
        <v>114056.876184964</v>
      </c>
      <c r="D5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61874.4125997314</v>
      </c>
      <c r="E5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28317.6871532833</v>
      </c>
      <c r="F5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10989.592688552</v>
      </c>
      <c r="G5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5452.80735364368</v>
      </c>
      <c r="H5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7422.37638975355</v>
      </c>
    </row>
    <row r="518" ht="15" customHeight="1">
      <c r="B518" s="20">
        <v>511</v>
      </c>
      <c r="C518" s="21">
        <f t="shared" si="0"/>
        <v>133239.844013972</v>
      </c>
      <c r="D5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54933.1606646247</v>
      </c>
      <c r="E5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37518.983898226</v>
      </c>
      <c r="F5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13237.6484656391</v>
      </c>
      <c r="G5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6004.85156394684</v>
      </c>
      <c r="H5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21545.199421535</v>
      </c>
    </row>
    <row r="519" ht="15" customHeight="1">
      <c r="B519" s="20">
        <v>512</v>
      </c>
      <c r="C519" s="21">
        <f t="shared" si="0"/>
        <v>140428.888659176</v>
      </c>
      <c r="D5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78835.6420001107</v>
      </c>
      <c r="E5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34595.2649966094</v>
      </c>
      <c r="F5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10802.2860985102</v>
      </c>
      <c r="G5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4902.58963436356</v>
      </c>
      <c r="H5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11293.1059295819</v>
      </c>
    </row>
    <row r="520" ht="15" customHeight="1">
      <c r="B520" s="20">
        <v>513</v>
      </c>
      <c r="C520" s="21">
        <f t="shared" si="0"/>
        <v>121893.545797838</v>
      </c>
      <c r="D5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60532.2951326093</v>
      </c>
      <c r="E5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24599.4232017133</v>
      </c>
      <c r="F5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12679.8689360051</v>
      </c>
      <c r="G5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4370.2781131265</v>
      </c>
      <c r="H5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19711.680414384</v>
      </c>
    </row>
    <row r="521" ht="15" customHeight="1">
      <c r="B521" s="20">
        <v>514</v>
      </c>
      <c r="C521" s="21">
        <f t="shared" si="0"/>
        <v>160076.162192744</v>
      </c>
      <c r="D5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95793.4133842931</v>
      </c>
      <c r="E5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28315.1530912942</v>
      </c>
      <c r="F5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16339.8353929952</v>
      </c>
      <c r="G5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6912.25536066313</v>
      </c>
      <c r="H5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12715.5049634988</v>
      </c>
    </row>
    <row r="522" ht="15" customHeight="1">
      <c r="B522" s="20">
        <v>515</v>
      </c>
      <c r="C522" s="21">
        <f t="shared" si="0"/>
        <v>151137.97380771</v>
      </c>
      <c r="D5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80659.1573225613</v>
      </c>
      <c r="E5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36154.7846333429</v>
      </c>
      <c r="F5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12290.2380383234</v>
      </c>
      <c r="G5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4819.80021570226</v>
      </c>
      <c r="H5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17213.9935977804</v>
      </c>
    </row>
    <row r="523" ht="15" customHeight="1">
      <c r="B523" s="20">
        <v>516</v>
      </c>
      <c r="C523" s="21">
        <f t="shared" si="0"/>
        <v>170438.057196656</v>
      </c>
      <c r="D5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105941.009213698</v>
      </c>
      <c r="E5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32769.8279517629</v>
      </c>
      <c r="F5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9910.39159025473</v>
      </c>
      <c r="G5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3885.19242088833</v>
      </c>
      <c r="H5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17931.6360200524</v>
      </c>
    </row>
    <row r="524" ht="15" customHeight="1">
      <c r="B524" s="20">
        <v>517</v>
      </c>
      <c r="C524" s="21">
        <f t="shared" si="0"/>
        <v>154539.562936325</v>
      </c>
      <c r="D5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78725.7174627298</v>
      </c>
      <c r="E5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36844.6988616396</v>
      </c>
      <c r="F5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15519.6870668313</v>
      </c>
      <c r="G5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5014.09921036083</v>
      </c>
      <c r="H5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18435.3603347637</v>
      </c>
    </row>
    <row r="525" ht="15" customHeight="1">
      <c r="B525" s="20">
        <v>518</v>
      </c>
      <c r="C525" s="21">
        <f t="shared" si="0"/>
        <v>132462.840502666</v>
      </c>
      <c r="D5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78571.0576468239</v>
      </c>
      <c r="E5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27808.7876066848</v>
      </c>
      <c r="F5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13479.9776256663</v>
      </c>
      <c r="G5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6374.37285035058</v>
      </c>
      <c r="H5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6228.64477314029</v>
      </c>
    </row>
    <row r="526" ht="15" customHeight="1">
      <c r="B526" s="20">
        <v>519</v>
      </c>
      <c r="C526" s="21">
        <f t="shared" si="0"/>
        <v>150811.949170079</v>
      </c>
      <c r="D5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87650.6058904264</v>
      </c>
      <c r="E5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31048.1774462389</v>
      </c>
      <c r="F5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10992.5375502408</v>
      </c>
      <c r="G5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6153.56102696466</v>
      </c>
      <c r="H5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14967.0672562082</v>
      </c>
    </row>
    <row r="527" ht="15" customHeight="1">
      <c r="B527" s="20">
        <v>520</v>
      </c>
      <c r="C527" s="21">
        <f t="shared" si="0"/>
        <v>147157.977246483</v>
      </c>
      <c r="D5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85898.1975575531</v>
      </c>
      <c r="E5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27086.1693295978</v>
      </c>
      <c r="F5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10756.5837222342</v>
      </c>
      <c r="G5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5226.97316816443</v>
      </c>
      <c r="H5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18190.0534689334</v>
      </c>
    </row>
    <row r="528" ht="15" customHeight="1">
      <c r="B528" s="20">
        <v>521</v>
      </c>
      <c r="C528" s="21">
        <f t="shared" si="0"/>
        <v>137913.58749664</v>
      </c>
      <c r="D5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86478.3122985889</v>
      </c>
      <c r="E5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23926.0625707107</v>
      </c>
      <c r="F5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10695.3192387464</v>
      </c>
      <c r="G5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6529.38093782</v>
      </c>
      <c r="H5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10284.5124507736</v>
      </c>
    </row>
    <row r="529" ht="15" customHeight="1">
      <c r="B529" s="20">
        <v>522</v>
      </c>
      <c r="C529" s="21">
        <f t="shared" si="0"/>
        <v>129038.921745089</v>
      </c>
      <c r="D5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63553.0171131633</v>
      </c>
      <c r="E5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29170.5786252384</v>
      </c>
      <c r="F5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10221.290808975</v>
      </c>
      <c r="G5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4870.02048632388</v>
      </c>
      <c r="H5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21224.0147113884</v>
      </c>
    </row>
    <row r="530" ht="15" customHeight="1">
      <c r="B530" s="20">
        <v>523</v>
      </c>
      <c r="C530" s="21">
        <f t="shared" si="0"/>
        <v>126913.444183219</v>
      </c>
      <c r="D5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56093.2774666089</v>
      </c>
      <c r="E5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36395.541266178</v>
      </c>
      <c r="F5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17229.978975017</v>
      </c>
      <c r="G5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4803.26438842556</v>
      </c>
      <c r="H5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12391.3820869896</v>
      </c>
    </row>
    <row r="531" ht="15" customHeight="1">
      <c r="B531" s="20">
        <v>524</v>
      </c>
      <c r="C531" s="21">
        <f t="shared" si="0"/>
        <v>140891.133851721</v>
      </c>
      <c r="D5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79913.0846435725</v>
      </c>
      <c r="E5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25975.7567731877</v>
      </c>
      <c r="F5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14454.7983134815</v>
      </c>
      <c r="G5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5837.57861471417</v>
      </c>
      <c r="H5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14709.9155067647</v>
      </c>
    </row>
    <row r="532" ht="15" customHeight="1">
      <c r="B532" s="20">
        <v>525</v>
      </c>
      <c r="C532" s="21">
        <f t="shared" si="0"/>
        <v>139974.075394842</v>
      </c>
      <c r="D5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80244.4062381006</v>
      </c>
      <c r="E5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29791.6362807337</v>
      </c>
      <c r="F5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12276.6166979866</v>
      </c>
      <c r="G5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4176.25992275057</v>
      </c>
      <c r="H5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13485.1562552707</v>
      </c>
    </row>
    <row r="533" ht="15" customHeight="1">
      <c r="B533" s="20">
        <v>526</v>
      </c>
      <c r="C533" s="21">
        <f t="shared" si="0"/>
        <v>136601.682922617</v>
      </c>
      <c r="D5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79428.8479579898</v>
      </c>
      <c r="E5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26556.8473869103</v>
      </c>
      <c r="F5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13572.0374812738</v>
      </c>
      <c r="G5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4421.80335669137</v>
      </c>
      <c r="H5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12622.146739752</v>
      </c>
    </row>
    <row r="534" ht="15" customHeight="1">
      <c r="B534" s="20">
        <v>527</v>
      </c>
      <c r="C534" s="21">
        <f t="shared" si="0"/>
        <v>163121.244510586</v>
      </c>
      <c r="D5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107958.290526464</v>
      </c>
      <c r="E5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28733.9031212507</v>
      </c>
      <c r="F5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12468.0124672136</v>
      </c>
      <c r="G5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5274.01580977613</v>
      </c>
      <c r="H5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8687.02258588177</v>
      </c>
    </row>
    <row r="535" ht="15" customHeight="1">
      <c r="B535" s="20">
        <v>528</v>
      </c>
      <c r="C535" s="21">
        <f t="shared" si="0"/>
        <v>126405.071881655</v>
      </c>
      <c r="D5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74971.4484493609</v>
      </c>
      <c r="E5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24456.6611714211</v>
      </c>
      <c r="F5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13083.5407751609</v>
      </c>
      <c r="G5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5162.33864670606</v>
      </c>
      <c r="H5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8731.08283900609</v>
      </c>
    </row>
    <row r="536" ht="15" customHeight="1">
      <c r="B536" s="20">
        <v>529</v>
      </c>
      <c r="C536" s="21">
        <f t="shared" si="0"/>
        <v>165182.113795958</v>
      </c>
      <c r="D5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101657.616578692</v>
      </c>
      <c r="E5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33312.1999472474</v>
      </c>
      <c r="F5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10744.8925708604</v>
      </c>
      <c r="G5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5688.9213758106</v>
      </c>
      <c r="H5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13778.4833233477</v>
      </c>
    </row>
    <row r="537" ht="15" customHeight="1">
      <c r="B537" s="20">
        <v>530</v>
      </c>
      <c r="C537" s="21">
        <f t="shared" si="0"/>
        <v>128828.587223535</v>
      </c>
      <c r="D5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73094.2626150165</v>
      </c>
      <c r="E5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23041.0324450618</v>
      </c>
      <c r="F5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14012.533226361</v>
      </c>
      <c r="G5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6890.31876422134</v>
      </c>
      <c r="H5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11790.4401728741</v>
      </c>
    </row>
    <row r="538" ht="15" customHeight="1">
      <c r="B538" s="20">
        <v>531</v>
      </c>
      <c r="C538" s="21">
        <f t="shared" si="0"/>
        <v>158174.747884236</v>
      </c>
      <c r="D5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90936.4902020318</v>
      </c>
      <c r="E5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35053.4976688941</v>
      </c>
      <c r="F5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14801.1464272829</v>
      </c>
      <c r="G5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5438.15485649618</v>
      </c>
      <c r="H5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11945.4587295308</v>
      </c>
    </row>
    <row r="539" ht="15" customHeight="1">
      <c r="B539" s="20">
        <v>532</v>
      </c>
      <c r="C539" s="21">
        <f t="shared" si="0"/>
        <v>187368.434351212</v>
      </c>
      <c r="D5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116323.895024789</v>
      </c>
      <c r="E5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33040.2077369831</v>
      </c>
      <c r="F5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12905.6708694044</v>
      </c>
      <c r="G5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6003.47570002443</v>
      </c>
      <c r="H5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19095.1850200113</v>
      </c>
    </row>
    <row r="540" ht="15" customHeight="1">
      <c r="B540" s="20">
        <v>533</v>
      </c>
      <c r="C540" s="21">
        <f t="shared" si="0"/>
        <v>138513.798068329</v>
      </c>
      <c r="D5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79439.4108394431</v>
      </c>
      <c r="E5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32046.7610781413</v>
      </c>
      <c r="F5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10280.6404720098</v>
      </c>
      <c r="G5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6312.76628531258</v>
      </c>
      <c r="H5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10434.2193934223</v>
      </c>
    </row>
    <row r="541" ht="15" customHeight="1">
      <c r="B541" s="20">
        <v>534</v>
      </c>
      <c r="C541" s="21">
        <f t="shared" si="0"/>
        <v>141000.843230529</v>
      </c>
      <c r="D5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75575.3695695096</v>
      </c>
      <c r="E5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28685.2900732963</v>
      </c>
      <c r="F5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13261.9543513417</v>
      </c>
      <c r="G5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5802.5814214734</v>
      </c>
      <c r="H5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17675.6478149082</v>
      </c>
    </row>
    <row r="542" ht="15" customHeight="1">
      <c r="B542" s="20">
        <v>535</v>
      </c>
      <c r="C542" s="21">
        <f t="shared" si="0"/>
        <v>158729.438104214</v>
      </c>
      <c r="D5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86678.7782794223</v>
      </c>
      <c r="E5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32261.1063244506</v>
      </c>
      <c r="F5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13865.8450795803</v>
      </c>
      <c r="G5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5499.7790498646</v>
      </c>
      <c r="H5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20423.9293708967</v>
      </c>
    </row>
    <row r="543" ht="15" customHeight="1">
      <c r="B543" s="20">
        <v>536</v>
      </c>
      <c r="C543" s="21">
        <f t="shared" si="0"/>
        <v>130060.179673523</v>
      </c>
      <c r="D5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62333.3494840297</v>
      </c>
      <c r="E5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31417.7077655168</v>
      </c>
      <c r="F5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16288.9273145667</v>
      </c>
      <c r="G5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5123.75497380093</v>
      </c>
      <c r="H5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14896.4401356084</v>
      </c>
    </row>
    <row r="544" ht="15" customHeight="1">
      <c r="B544" s="20">
        <v>537</v>
      </c>
      <c r="C544" s="21">
        <f t="shared" si="0"/>
        <v>140593.525215945</v>
      </c>
      <c r="D5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84942.8282437857</v>
      </c>
      <c r="E5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27635.516422893</v>
      </c>
      <c r="F5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11989.2972316858</v>
      </c>
      <c r="G5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5135.27415511491</v>
      </c>
      <c r="H5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10890.6091624653</v>
      </c>
    </row>
    <row r="545" ht="15" customHeight="1">
      <c r="B545" s="20">
        <v>538</v>
      </c>
      <c r="C545" s="21">
        <f t="shared" si="0"/>
        <v>177853.833460065</v>
      </c>
      <c r="D5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103628.717240736</v>
      </c>
      <c r="E5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32079.6767192342</v>
      </c>
      <c r="F5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13666.4628571492</v>
      </c>
      <c r="G5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4702.07462224569</v>
      </c>
      <c r="H5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23776.9020207003</v>
      </c>
    </row>
    <row r="546" ht="15" customHeight="1">
      <c r="B546" s="20">
        <v>539</v>
      </c>
      <c r="C546" s="21">
        <f t="shared" si="0"/>
        <v>153969.819609749</v>
      </c>
      <c r="D5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83763.4838375634</v>
      </c>
      <c r="E5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30146.8611535201</v>
      </c>
      <c r="F5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17308.4505650616</v>
      </c>
      <c r="G5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5061.61901579979</v>
      </c>
      <c r="H5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17689.4050378044</v>
      </c>
    </row>
    <row r="547" ht="15" customHeight="1">
      <c r="B547" s="20">
        <v>540</v>
      </c>
      <c r="C547" s="21">
        <f t="shared" si="0"/>
        <v>146975.991839614</v>
      </c>
      <c r="D5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80721.9304312184</v>
      </c>
      <c r="E5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37849.6823172521</v>
      </c>
      <c r="F5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11888.2524421257</v>
      </c>
      <c r="G5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6285.46148820753</v>
      </c>
      <c r="H5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10230.66516081</v>
      </c>
    </row>
    <row r="548" ht="15" customHeight="1">
      <c r="B548" s="20">
        <v>541</v>
      </c>
      <c r="C548" s="21">
        <f t="shared" si="0"/>
        <v>177742.991556691</v>
      </c>
      <c r="D5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110576.111924643</v>
      </c>
      <c r="E5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40927.975379282</v>
      </c>
      <c r="F5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12345.9187667717</v>
      </c>
      <c r="G5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5149.63348805226</v>
      </c>
      <c r="H5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8743.35199794208</v>
      </c>
    </row>
    <row r="549" ht="15" customHeight="1">
      <c r="B549" s="20">
        <v>542</v>
      </c>
      <c r="C549" s="21">
        <f t="shared" si="0"/>
        <v>154270.146390222</v>
      </c>
      <c r="D5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98498.1879436367</v>
      </c>
      <c r="E5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29671.7438888868</v>
      </c>
      <c r="F5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13575.7285625149</v>
      </c>
      <c r="G5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5474.57829844466</v>
      </c>
      <c r="H5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7049.90769673886</v>
      </c>
    </row>
    <row r="550" ht="15" customHeight="1">
      <c r="B550" s="20">
        <v>543</v>
      </c>
      <c r="C550" s="21">
        <f t="shared" si="0"/>
        <v>172011.589385904</v>
      </c>
      <c r="D5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106602.549896877</v>
      </c>
      <c r="E5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31435.2937250338</v>
      </c>
      <c r="F5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17094.6256834918</v>
      </c>
      <c r="G5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6830.58251756061</v>
      </c>
      <c r="H5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10048.5375629412</v>
      </c>
    </row>
    <row r="551" ht="15" customHeight="1">
      <c r="B551" s="20">
        <v>544</v>
      </c>
      <c r="C551" s="21">
        <f t="shared" si="0"/>
        <v>125312.005653557</v>
      </c>
      <c r="D5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61570.7045135092</v>
      </c>
      <c r="E5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35873.7075204183</v>
      </c>
      <c r="F5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14701.0545662204</v>
      </c>
      <c r="G5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4464.26010392939</v>
      </c>
      <c r="H5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8702.27894947962</v>
      </c>
    </row>
    <row r="552" ht="15" customHeight="1">
      <c r="B552" s="20">
        <v>545</v>
      </c>
      <c r="C552" s="21">
        <f t="shared" si="0"/>
        <v>165576.777978442</v>
      </c>
      <c r="D5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97779.2173011253</v>
      </c>
      <c r="E5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33649.0882965509</v>
      </c>
      <c r="F5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14188.3195541118</v>
      </c>
      <c r="G5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5649.66230729883</v>
      </c>
      <c r="H5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14310.4905193548</v>
      </c>
    </row>
    <row r="553" ht="15" customHeight="1">
      <c r="B553" s="20">
        <v>546</v>
      </c>
      <c r="C553" s="21">
        <f t="shared" si="0"/>
        <v>150984.358041775</v>
      </c>
      <c r="D5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87852.8461495777</v>
      </c>
      <c r="E5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39644.0139574887</v>
      </c>
      <c r="F5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11204.5752168539</v>
      </c>
      <c r="G5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3338.48820891539</v>
      </c>
      <c r="H5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8944.43450893901</v>
      </c>
    </row>
    <row r="554" ht="15" customHeight="1">
      <c r="B554" s="20">
        <v>547</v>
      </c>
      <c r="C554" s="21">
        <f t="shared" si="0"/>
        <v>167062.525085866</v>
      </c>
      <c r="D5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108532.926200218</v>
      </c>
      <c r="E5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27320.1052722196</v>
      </c>
      <c r="F5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11052.2078643021</v>
      </c>
      <c r="G5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6174.40568711533</v>
      </c>
      <c r="H5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13982.8800620109</v>
      </c>
    </row>
    <row r="555" ht="15" customHeight="1">
      <c r="B555" s="20">
        <v>548</v>
      </c>
      <c r="C555" s="21">
        <f t="shared" si="0"/>
        <v>126356.959399405</v>
      </c>
      <c r="D5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71557.8277308012</v>
      </c>
      <c r="E5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23275.4751474695</v>
      </c>
      <c r="F5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12584.4659649389</v>
      </c>
      <c r="G5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5850.69215605677</v>
      </c>
      <c r="H5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13088.4984001383</v>
      </c>
    </row>
    <row r="556" ht="15" customHeight="1">
      <c r="B556" s="20">
        <v>549</v>
      </c>
      <c r="C556" s="21">
        <f t="shared" si="0"/>
        <v>127098.583663955</v>
      </c>
      <c r="D5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60600.5642728774</v>
      </c>
      <c r="E5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39865.2211055162</v>
      </c>
      <c r="F5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11070.7002389435</v>
      </c>
      <c r="G5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4749.26923501057</v>
      </c>
      <c r="H5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10812.8288116078</v>
      </c>
    </row>
    <row r="557" ht="15" customHeight="1">
      <c r="B557" s="20">
        <v>550</v>
      </c>
      <c r="C557" s="21">
        <f t="shared" si="0"/>
        <v>130440.938791323</v>
      </c>
      <c r="D5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83641.3616105339</v>
      </c>
      <c r="E5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21972.4448488505</v>
      </c>
      <c r="F5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9243.26828009201</v>
      </c>
      <c r="G5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5520.63974781713</v>
      </c>
      <c r="H5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10063.2243040295</v>
      </c>
    </row>
    <row r="558" ht="15" customHeight="1">
      <c r="B558" s="20">
        <v>551</v>
      </c>
      <c r="C558" s="21">
        <f t="shared" si="0"/>
        <v>140309.887557341</v>
      </c>
      <c r="D5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76937.5311995033</v>
      </c>
      <c r="E5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34008.4075145552</v>
      </c>
      <c r="F5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11945.6885000088</v>
      </c>
      <c r="G5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7113.0595518129</v>
      </c>
      <c r="H5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10305.2007914612</v>
      </c>
    </row>
    <row r="559" ht="15" customHeight="1">
      <c r="B559" s="20">
        <v>552</v>
      </c>
      <c r="C559" s="21">
        <f t="shared" si="0"/>
        <v>177825.294206509</v>
      </c>
      <c r="D5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111176.195445942</v>
      </c>
      <c r="E5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32453.8945249356</v>
      </c>
      <c r="F5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14551.0822698051</v>
      </c>
      <c r="G5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5918.79599696896</v>
      </c>
      <c r="H5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13725.325968857</v>
      </c>
    </row>
    <row r="560" ht="15" customHeight="1">
      <c r="B560" s="20">
        <v>553</v>
      </c>
      <c r="C560" s="21">
        <f t="shared" si="0"/>
        <v>167194.866016796</v>
      </c>
      <c r="D5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97734.6211269664</v>
      </c>
      <c r="E5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39389.3253761067</v>
      </c>
      <c r="F5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12060.9132872528</v>
      </c>
      <c r="G5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5641.16572860673</v>
      </c>
      <c r="H5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12368.8404978634</v>
      </c>
    </row>
    <row r="561" ht="15" customHeight="1">
      <c r="B561" s="20">
        <v>554</v>
      </c>
      <c r="C561" s="21">
        <f t="shared" si="0"/>
        <v>137267.165682777</v>
      </c>
      <c r="D5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71176.9776697287</v>
      </c>
      <c r="E5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32277.8195907444</v>
      </c>
      <c r="F5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12134.8207135123</v>
      </c>
      <c r="G5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7440.0405212831</v>
      </c>
      <c r="H5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14237.5071875085</v>
      </c>
    </row>
    <row r="562" ht="15" customHeight="1">
      <c r="B562" s="20">
        <v>555</v>
      </c>
      <c r="C562" s="21">
        <f t="shared" si="0"/>
        <v>122755.892660643</v>
      </c>
      <c r="D5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61114.1328400662</v>
      </c>
      <c r="E5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31185.6035727624</v>
      </c>
      <c r="F5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13212.2695265749</v>
      </c>
      <c r="G5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4733.61719643313</v>
      </c>
      <c r="H5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12510.269524806</v>
      </c>
    </row>
    <row r="563" ht="15" customHeight="1">
      <c r="B563" s="20">
        <v>556</v>
      </c>
      <c r="C563" s="21">
        <f t="shared" si="0"/>
        <v>117504.958812218</v>
      </c>
      <c r="D5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63811.3316225035</v>
      </c>
      <c r="E5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22937.475315354</v>
      </c>
      <c r="F5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14072.6377744193</v>
      </c>
      <c r="G5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5670.52967508985</v>
      </c>
      <c r="H5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11012.9844248515</v>
      </c>
    </row>
    <row r="564" ht="15" customHeight="1">
      <c r="B564" s="20">
        <v>557</v>
      </c>
      <c r="C564" s="21">
        <f t="shared" si="0"/>
        <v>151303.686048279</v>
      </c>
      <c r="D5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91632.7050435734</v>
      </c>
      <c r="E5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33904.9849364667</v>
      </c>
      <c r="F5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11958.7435552815</v>
      </c>
      <c r="G5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5266.00729674687</v>
      </c>
      <c r="H5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8541.24521621088</v>
      </c>
    </row>
    <row r="565" ht="15" customHeight="1">
      <c r="B565" s="20">
        <v>558</v>
      </c>
      <c r="C565" s="21">
        <f t="shared" si="0"/>
        <v>133126.655451898</v>
      </c>
      <c r="D5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75838.0770475602</v>
      </c>
      <c r="E5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25334.2031959971</v>
      </c>
      <c r="F5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16771.4817418165</v>
      </c>
      <c r="G5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4463.45320708993</v>
      </c>
      <c r="H5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10719.4402594342</v>
      </c>
    </row>
    <row r="566" ht="15" customHeight="1">
      <c r="B566" s="20">
        <v>559</v>
      </c>
      <c r="C566" s="21">
        <f t="shared" si="0"/>
        <v>149506.088120028</v>
      </c>
      <c r="D5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89447.2518010724</v>
      </c>
      <c r="E5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30251.5140693563</v>
      </c>
      <c r="F5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12526.1298055908</v>
      </c>
      <c r="G5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7057.44177192219</v>
      </c>
      <c r="H5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10223.7506720862</v>
      </c>
    </row>
    <row r="567" ht="15" customHeight="1">
      <c r="B567" s="20">
        <v>560</v>
      </c>
      <c r="C567" s="21">
        <f t="shared" si="0"/>
        <v>138295.472145371</v>
      </c>
      <c r="D5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74590.1205314595</v>
      </c>
      <c r="E5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37231.2581040721</v>
      </c>
      <c r="F5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14786.0897126798</v>
      </c>
      <c r="G5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4725.76528015894</v>
      </c>
      <c r="H5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6962.23851700102</v>
      </c>
    </row>
    <row r="568" ht="15" customHeight="1">
      <c r="B568" s="20">
        <v>561</v>
      </c>
      <c r="C568" s="21">
        <f t="shared" si="0"/>
        <v>150759.207940254</v>
      </c>
      <c r="D5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84855.2632763025</v>
      </c>
      <c r="E5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30780.192339465</v>
      </c>
      <c r="F5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13295.7031226925</v>
      </c>
      <c r="G5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5129.02594927814</v>
      </c>
      <c r="H5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16699.0232525155</v>
      </c>
    </row>
    <row r="569" ht="15" customHeight="1">
      <c r="B569" s="20">
        <v>562</v>
      </c>
      <c r="C569" s="21">
        <f t="shared" si="0"/>
        <v>136320.365844124</v>
      </c>
      <c r="D5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81424.0285230281</v>
      </c>
      <c r="E5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30540.0435240288</v>
      </c>
      <c r="F5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12178.5386784669</v>
      </c>
      <c r="G5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5271.69889662069</v>
      </c>
      <c r="H5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6906.05622197978</v>
      </c>
    </row>
    <row r="570" ht="15" customHeight="1">
      <c r="B570" s="20">
        <v>563</v>
      </c>
      <c r="C570" s="21">
        <f t="shared" si="0"/>
        <v>146548.108171692</v>
      </c>
      <c r="D5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86083.9982523071</v>
      </c>
      <c r="E5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30703.8681494267</v>
      </c>
      <c r="F5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10065.4648984122</v>
      </c>
      <c r="G5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6900.43713658753</v>
      </c>
      <c r="H5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12794.3397349582</v>
      </c>
    </row>
    <row r="571" ht="15" customHeight="1">
      <c r="B571" s="20">
        <v>564</v>
      </c>
      <c r="C571" s="21">
        <f t="shared" si="0"/>
        <v>142159.424241417</v>
      </c>
      <c r="D5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77998.1703253755</v>
      </c>
      <c r="E5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24507.8090221173</v>
      </c>
      <c r="F5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16964.5105188561</v>
      </c>
      <c r="G5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4892.79550992479</v>
      </c>
      <c r="H5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17796.138865143</v>
      </c>
    </row>
    <row r="572" ht="15" customHeight="1">
      <c r="B572" s="20">
        <v>565</v>
      </c>
      <c r="C572" s="21">
        <f t="shared" si="0"/>
        <v>121890.888481172</v>
      </c>
      <c r="D5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66277.4914877801</v>
      </c>
      <c r="E5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23194.2690580707</v>
      </c>
      <c r="F5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11737.4797354107</v>
      </c>
      <c r="G5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4746.62395268878</v>
      </c>
      <c r="H5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15935.0242472215</v>
      </c>
    </row>
    <row r="573" ht="15" customHeight="1">
      <c r="B573" s="20">
        <v>566</v>
      </c>
      <c r="C573" s="21">
        <f t="shared" si="0"/>
        <v>161034.579048552</v>
      </c>
      <c r="D5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81087.7874011625</v>
      </c>
      <c r="E5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38520.7174474283</v>
      </c>
      <c r="F5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14628.3284951566</v>
      </c>
      <c r="G5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5554.62650758599</v>
      </c>
      <c r="H5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21243.1191972182</v>
      </c>
    </row>
    <row r="574" ht="15" customHeight="1">
      <c r="B574" s="20">
        <v>567</v>
      </c>
      <c r="C574" s="21">
        <f t="shared" si="0"/>
        <v>143365.252369466</v>
      </c>
      <c r="D5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80136.7621384783</v>
      </c>
      <c r="E5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22436.1421188976</v>
      </c>
      <c r="F5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14490.8757805549</v>
      </c>
      <c r="G5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6861.13256233919</v>
      </c>
      <c r="H5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19440.3397691962</v>
      </c>
    </row>
    <row r="575" ht="15" customHeight="1">
      <c r="B575" s="20">
        <v>568</v>
      </c>
      <c r="C575" s="21">
        <f t="shared" si="0"/>
        <v>156954.03542291</v>
      </c>
      <c r="D5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90918.7796352739</v>
      </c>
      <c r="E5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31874.799044319</v>
      </c>
      <c r="F5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12901.1689986337</v>
      </c>
      <c r="G5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5450.95448766306</v>
      </c>
      <c r="H5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15808.3332570202</v>
      </c>
    </row>
    <row r="576" ht="15" customHeight="1">
      <c r="B576" s="20">
        <v>569</v>
      </c>
      <c r="C576" s="21">
        <f t="shared" si="0"/>
        <v>143500.131464745</v>
      </c>
      <c r="D5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91172.7574743292</v>
      </c>
      <c r="E5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24529.1310804828</v>
      </c>
      <c r="F5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10908.1202614953</v>
      </c>
      <c r="G5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3824.94278017628</v>
      </c>
      <c r="H5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13065.1798682611</v>
      </c>
    </row>
    <row r="577" ht="15" customHeight="1">
      <c r="B577" s="20">
        <v>570</v>
      </c>
      <c r="C577" s="21">
        <f t="shared" si="0"/>
        <v>162308.380734846</v>
      </c>
      <c r="D5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96575.9251418859</v>
      </c>
      <c r="E5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23796.8015619388</v>
      </c>
      <c r="F5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11310.0627707412</v>
      </c>
      <c r="G5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7081.45184135808</v>
      </c>
      <c r="H5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23544.1394189219</v>
      </c>
    </row>
    <row r="578" ht="15" customHeight="1">
      <c r="B578" s="20">
        <v>571</v>
      </c>
      <c r="C578" s="21">
        <f t="shared" si="0"/>
        <v>134827.107356163</v>
      </c>
      <c r="D5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86726.2662467301</v>
      </c>
      <c r="E5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20538.9019654927</v>
      </c>
      <c r="F5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11270.7836069071</v>
      </c>
      <c r="G5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6153.35275536559</v>
      </c>
      <c r="H5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10137.8027816673</v>
      </c>
    </row>
    <row r="579" ht="15" customHeight="1">
      <c r="B579" s="20">
        <v>572</v>
      </c>
      <c r="C579" s="21">
        <f t="shared" si="0"/>
        <v>158010.669823355</v>
      </c>
      <c r="D5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91558.4888474611</v>
      </c>
      <c r="E5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33027.414230581</v>
      </c>
      <c r="F5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13091.209125104</v>
      </c>
      <c r="G5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7046.37472055283</v>
      </c>
      <c r="H5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13287.1828996557</v>
      </c>
    </row>
    <row r="580" ht="15" customHeight="1">
      <c r="B580" s="20">
        <v>573</v>
      </c>
      <c r="C580" s="21">
        <f t="shared" si="0"/>
        <v>180715.457335423</v>
      </c>
      <c r="D5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111658.455440774</v>
      </c>
      <c r="E5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30733.9251910003</v>
      </c>
      <c r="F5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15217.5959028468</v>
      </c>
      <c r="G5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3893.18019818944</v>
      </c>
      <c r="H5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19212.3006026122</v>
      </c>
    </row>
    <row r="581" ht="15" customHeight="1">
      <c r="B581" s="20">
        <v>574</v>
      </c>
      <c r="C581" s="21">
        <f t="shared" si="0"/>
        <v>133516.213409081</v>
      </c>
      <c r="D5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65328.5718780364</v>
      </c>
      <c r="E5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33505.4288715857</v>
      </c>
      <c r="F5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8576.86696660679</v>
      </c>
      <c r="G5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3752.30646449251</v>
      </c>
      <c r="H5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22353.0392283599</v>
      </c>
    </row>
    <row r="582" ht="15" customHeight="1">
      <c r="B582" s="20">
        <v>575</v>
      </c>
      <c r="C582" s="21">
        <f t="shared" si="0"/>
        <v>128556.420843428</v>
      </c>
      <c r="D5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73778.7879697438</v>
      </c>
      <c r="E5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27713.0417593084</v>
      </c>
      <c r="F5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10080.7101930655</v>
      </c>
      <c r="G5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5743.09400292667</v>
      </c>
      <c r="H5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11240.7869183836</v>
      </c>
    </row>
    <row r="583" ht="15" customHeight="1">
      <c r="B583" s="20">
        <v>576</v>
      </c>
      <c r="C583" s="21">
        <f t="shared" si="0"/>
        <v>113492.532084076</v>
      </c>
      <c r="D5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53343.1556869077</v>
      </c>
      <c r="E5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28914.5166276487</v>
      </c>
      <c r="F5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11927.8667042537</v>
      </c>
      <c r="G5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7953.55591170578</v>
      </c>
      <c r="H5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11353.4371535597</v>
      </c>
    </row>
    <row r="584" ht="15" customHeight="1">
      <c r="B584" s="20">
        <v>577</v>
      </c>
      <c r="C584" s="21">
        <f t="shared" si="0"/>
        <v>156579.639900281</v>
      </c>
      <c r="D5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99046.8456539447</v>
      </c>
      <c r="E5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34094.1951930708</v>
      </c>
      <c r="F5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11999.0719750992</v>
      </c>
      <c r="G5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4634.30785255759</v>
      </c>
      <c r="H5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6805.21922560858</v>
      </c>
    </row>
    <row r="585" ht="15" customHeight="1">
      <c r="B585" s="20">
        <v>578</v>
      </c>
      <c r="C585" s="21">
        <f t="shared" si="0"/>
        <v>141255.049008418</v>
      </c>
      <c r="D5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70834.4052183251</v>
      </c>
      <c r="E5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33756.0109054834</v>
      </c>
      <c r="F5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14533.8454416286</v>
      </c>
      <c r="G5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5080.2517449271</v>
      </c>
      <c r="H5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17050.5356980537</v>
      </c>
    </row>
    <row r="586" ht="15" customHeight="1">
      <c r="B586" s="20">
        <v>579</v>
      </c>
      <c r="C586" s="21">
        <f t="shared" si="0"/>
        <v>154731.360338226</v>
      </c>
      <c r="D5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99167.5947318439</v>
      </c>
      <c r="E5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28920.109574063</v>
      </c>
      <c r="F5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12607.0672315518</v>
      </c>
      <c r="G5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3493.98195502116</v>
      </c>
      <c r="H5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10542.6068457461</v>
      </c>
    </row>
    <row r="587" ht="15" customHeight="1">
      <c r="B587" s="20">
        <v>580</v>
      </c>
      <c r="C587" s="21">
        <f t="shared" si="0"/>
        <v>132902.429019682</v>
      </c>
      <c r="D5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62231.9097569252</v>
      </c>
      <c r="E5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40919.6042073146</v>
      </c>
      <c r="F5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11096.7611957613</v>
      </c>
      <c r="G5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6652.00213475449</v>
      </c>
      <c r="H5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12002.151724926</v>
      </c>
    </row>
    <row r="588" ht="15" customHeight="1">
      <c r="B588" s="20">
        <v>581</v>
      </c>
      <c r="C588" s="21">
        <f t="shared" si="0"/>
        <v>161295.718870159</v>
      </c>
      <c r="D5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98257.5485471528</v>
      </c>
      <c r="E5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29676.8782269346</v>
      </c>
      <c r="F5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15947.7954496066</v>
      </c>
      <c r="G5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5294.26508243518</v>
      </c>
      <c r="H5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12119.2315640295</v>
      </c>
    </row>
    <row r="589" ht="15" customHeight="1">
      <c r="B589" s="20">
        <v>582</v>
      </c>
      <c r="C589" s="21">
        <f t="shared" si="0"/>
        <v>161732.250695238</v>
      </c>
      <c r="D5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107972.680450703</v>
      </c>
      <c r="E5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26099.6875315864</v>
      </c>
      <c r="F5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9392.0648865676</v>
      </c>
      <c r="G5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7506.06184853608</v>
      </c>
      <c r="H5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10761.7559778446</v>
      </c>
    </row>
    <row r="590" ht="15" customHeight="1">
      <c r="B590" s="20">
        <v>583</v>
      </c>
      <c r="C590" s="21">
        <f t="shared" si="0"/>
        <v>114739.142240904</v>
      </c>
      <c r="D5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57533.7090633954</v>
      </c>
      <c r="E5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27274.895414024</v>
      </c>
      <c r="F5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15376.1759539464</v>
      </c>
      <c r="G5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6280.0107847586</v>
      </c>
      <c r="H5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8274.35102477937</v>
      </c>
    </row>
    <row r="591" ht="15" customHeight="1">
      <c r="B591" s="20">
        <v>584</v>
      </c>
      <c r="C591" s="21">
        <f t="shared" si="0"/>
        <v>156539.907479902</v>
      </c>
      <c r="D5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99860.3944042423</v>
      </c>
      <c r="E5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29401.6029108088</v>
      </c>
      <c r="F5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13188.4637399197</v>
      </c>
      <c r="G5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7028.57430003062</v>
      </c>
      <c r="H5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7060.87212490056</v>
      </c>
    </row>
    <row r="592" ht="15" customHeight="1">
      <c r="B592" s="20">
        <v>585</v>
      </c>
      <c r="C592" s="21">
        <f t="shared" si="0"/>
        <v>146727.697518456</v>
      </c>
      <c r="D5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85332.4064256895</v>
      </c>
      <c r="E5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24533.6585872045</v>
      </c>
      <c r="F5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14572.3818220579</v>
      </c>
      <c r="G5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5964.41153614365</v>
      </c>
      <c r="H5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16324.8391473608</v>
      </c>
    </row>
    <row r="593" ht="15" customHeight="1">
      <c r="B593" s="20">
        <v>586</v>
      </c>
      <c r="C593" s="21">
        <f t="shared" si="0"/>
        <v>170475.279197953</v>
      </c>
      <c r="D5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102620.486273161</v>
      </c>
      <c r="E5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38490.7766506104</v>
      </c>
      <c r="F5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10695.1244562315</v>
      </c>
      <c r="G5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5037.16993818197</v>
      </c>
      <c r="H5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13631.7218797677</v>
      </c>
    </row>
    <row r="594" ht="15" customHeight="1">
      <c r="B594" s="20">
        <v>587</v>
      </c>
      <c r="C594" s="21">
        <f t="shared" si="0"/>
        <v>113021.282193076</v>
      </c>
      <c r="D5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61841.1788985515</v>
      </c>
      <c r="E5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24748.6815107565</v>
      </c>
      <c r="F5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11993.3438370528</v>
      </c>
      <c r="G5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5087.83131659502</v>
      </c>
      <c r="H5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9350.24663011993</v>
      </c>
    </row>
    <row r="595" ht="15" customHeight="1">
      <c r="B595" s="20">
        <v>588</v>
      </c>
      <c r="C595" s="21">
        <f t="shared" si="0"/>
        <v>148383.423860991</v>
      </c>
      <c r="D5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78644.804170451</v>
      </c>
      <c r="E5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31159.2145835562</v>
      </c>
      <c r="F5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12912.4828531227</v>
      </c>
      <c r="G5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5447.1948236431</v>
      </c>
      <c r="H5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20219.7274302178</v>
      </c>
    </row>
    <row r="596" ht="15" customHeight="1">
      <c r="B596" s="20">
        <v>589</v>
      </c>
      <c r="C596" s="21">
        <f t="shared" si="0"/>
        <v>143503.7657374</v>
      </c>
      <c r="D5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75864.5404438511</v>
      </c>
      <c r="E5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41030.2234354344</v>
      </c>
      <c r="F5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15161.2129352803</v>
      </c>
      <c r="G5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4601.70464797172</v>
      </c>
      <c r="H5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6846.08427486254</v>
      </c>
    </row>
    <row r="597" ht="15" customHeight="1">
      <c r="B597" s="20">
        <v>590</v>
      </c>
      <c r="C597" s="21">
        <f t="shared" si="0"/>
        <v>135308.443959789</v>
      </c>
      <c r="D5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76346.6218129162</v>
      </c>
      <c r="E5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29634.4904374907</v>
      </c>
      <c r="F5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14563.9807911333</v>
      </c>
      <c r="G5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5917.77956057544</v>
      </c>
      <c r="H5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8845.57135767313</v>
      </c>
    </row>
    <row r="598" ht="15" customHeight="1">
      <c r="B598" s="20">
        <v>591</v>
      </c>
      <c r="C598" s="21">
        <f t="shared" si="0"/>
        <v>150805.394184284</v>
      </c>
      <c r="D5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79278.9821489469</v>
      </c>
      <c r="E5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37223.5206405598</v>
      </c>
      <c r="F5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12687.233871071</v>
      </c>
      <c r="G5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6909.27166205032</v>
      </c>
      <c r="H5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14706.3858616558</v>
      </c>
    </row>
    <row r="599" ht="15" customHeight="1">
      <c r="B599" s="20">
        <v>592</v>
      </c>
      <c r="C599" s="21">
        <f t="shared" si="0"/>
        <v>162509.269174741</v>
      </c>
      <c r="D5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98012.2418402204</v>
      </c>
      <c r="E5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34870.7889972832</v>
      </c>
      <c r="F5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12695.4660636821</v>
      </c>
      <c r="G5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4631.86896900155</v>
      </c>
      <c r="H5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12298.9033045535</v>
      </c>
    </row>
    <row r="600" ht="15" customHeight="1">
      <c r="B600" s="20">
        <v>593</v>
      </c>
      <c r="C600" s="21">
        <f t="shared" si="0"/>
        <v>135090.299584865</v>
      </c>
      <c r="D6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74334.9433831549</v>
      </c>
      <c r="E6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28080.7814544187</v>
      </c>
      <c r="F6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11873.3590064286</v>
      </c>
      <c r="G6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6740.31636101371</v>
      </c>
      <c r="H6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14060.8993798487</v>
      </c>
    </row>
    <row r="601" ht="15" customHeight="1">
      <c r="B601" s="20">
        <v>594</v>
      </c>
      <c r="C601" s="21">
        <f t="shared" si="0"/>
        <v>177227.272295413</v>
      </c>
      <c r="D6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108198.117940416</v>
      </c>
      <c r="E6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32300.6494977998</v>
      </c>
      <c r="F6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13069.1981777105</v>
      </c>
      <c r="G6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4159.75183402547</v>
      </c>
      <c r="H6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19499.5548454616</v>
      </c>
    </row>
    <row r="602" ht="15" customHeight="1">
      <c r="B602" s="20">
        <v>595</v>
      </c>
      <c r="C602" s="21">
        <f t="shared" si="0"/>
        <v>168317.161320411</v>
      </c>
      <c r="D6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97297.4831273499</v>
      </c>
      <c r="E6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38737.1737077428</v>
      </c>
      <c r="F6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12479.2308472155</v>
      </c>
      <c r="G6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5819.98794560725</v>
      </c>
      <c r="H6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13983.2856924957</v>
      </c>
    </row>
    <row r="603" ht="15" customHeight="1">
      <c r="B603" s="20">
        <v>596</v>
      </c>
      <c r="C603" s="21">
        <f t="shared" si="0"/>
        <v>135592.821971369</v>
      </c>
      <c r="D6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74541.872658652</v>
      </c>
      <c r="E6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31106.1028397189</v>
      </c>
      <c r="F6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13475.1774960377</v>
      </c>
      <c r="G6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4484.46720494536</v>
      </c>
      <c r="H6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11985.2017720146</v>
      </c>
    </row>
    <row r="604" ht="15" customHeight="1">
      <c r="B604" s="20">
        <v>597</v>
      </c>
      <c r="C604" s="21">
        <f t="shared" si="0"/>
        <v>150229.423727037</v>
      </c>
      <c r="D6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82642.9378496856</v>
      </c>
      <c r="E6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34923.5340932277</v>
      </c>
      <c r="F6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13827.9406483449</v>
      </c>
      <c r="G6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5503.28583056801</v>
      </c>
      <c r="H6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13331.7253052106</v>
      </c>
    </row>
    <row r="605" ht="15" customHeight="1">
      <c r="B605" s="20">
        <v>598</v>
      </c>
      <c r="C605" s="21">
        <f t="shared" si="0"/>
        <v>126466.141523341</v>
      </c>
      <c r="D6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69972.1860549371</v>
      </c>
      <c r="E6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31611.4815875716</v>
      </c>
      <c r="F6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10462.9922204685</v>
      </c>
      <c r="G6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4350.21347240264</v>
      </c>
      <c r="H6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10069.2681879608</v>
      </c>
    </row>
    <row r="606" ht="15" customHeight="1">
      <c r="B606" s="20">
        <v>599</v>
      </c>
      <c r="C606" s="21">
        <f t="shared" si="0"/>
        <v>133705.332952038</v>
      </c>
      <c r="D6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72994.6286537058</v>
      </c>
      <c r="E6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36439.4388141196</v>
      </c>
      <c r="F6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11780.7806698019</v>
      </c>
      <c r="G6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4298.62414096411</v>
      </c>
      <c r="H6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8191.86067344676</v>
      </c>
    </row>
    <row r="607" ht="15" customHeight="1">
      <c r="B607" s="20">
        <v>600</v>
      </c>
      <c r="C607" s="21">
        <f t="shared" si="0"/>
        <v>155985.23824582</v>
      </c>
      <c r="D6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92757.8853417835</v>
      </c>
      <c r="E6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30594.5106486273</v>
      </c>
      <c r="F6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14353.9131244149</v>
      </c>
      <c r="G6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4376.54677992869</v>
      </c>
      <c r="H6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13902.3823510652</v>
      </c>
    </row>
    <row r="608" ht="15" customHeight="1">
      <c r="B608" s="20">
        <v>601</v>
      </c>
      <c r="C608" s="21">
        <f t="shared" si="0"/>
        <v>124868.715347909</v>
      </c>
      <c r="D6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62674.3484521167</v>
      </c>
      <c r="E6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29822.0065632848</v>
      </c>
      <c r="F6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17616.8571324173</v>
      </c>
      <c r="G6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4068.61562665847</v>
      </c>
      <c r="H6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10686.8875734316</v>
      </c>
    </row>
    <row r="609" ht="15" customHeight="1">
      <c r="B609" s="20">
        <v>602</v>
      </c>
      <c r="C609" s="21">
        <f t="shared" si="0"/>
        <v>129248.621069857</v>
      </c>
      <c r="D6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73415.2501223605</v>
      </c>
      <c r="E6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30718.3261835607</v>
      </c>
      <c r="F6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11061.0812068375</v>
      </c>
      <c r="G6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4809.44524004653</v>
      </c>
      <c r="H6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9244.51831705221</v>
      </c>
    </row>
    <row r="610" ht="15" customHeight="1">
      <c r="B610" s="20">
        <v>603</v>
      </c>
      <c r="C610" s="21">
        <f t="shared" si="0"/>
        <v>129648.277158166</v>
      </c>
      <c r="D6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69324.69179299</v>
      </c>
      <c r="E6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21247.8127280086</v>
      </c>
      <c r="F6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17759.7873346884</v>
      </c>
      <c r="G6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4586.30636340705</v>
      </c>
      <c r="H6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16729.6789390722</v>
      </c>
    </row>
    <row r="611" ht="15" customHeight="1">
      <c r="B611" s="20">
        <v>604</v>
      </c>
      <c r="C611" s="21">
        <f t="shared" si="0"/>
        <v>154520.138001872</v>
      </c>
      <c r="D6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91507.9785436545</v>
      </c>
      <c r="E6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30844.8830174577</v>
      </c>
      <c r="F6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14973.8239310078</v>
      </c>
      <c r="G6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5787.84017943764</v>
      </c>
      <c r="H6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11405.6123303148</v>
      </c>
    </row>
    <row r="612" ht="15" customHeight="1">
      <c r="B612" s="20">
        <v>605</v>
      </c>
      <c r="C612" s="21">
        <f t="shared" si="0"/>
        <v>153374.50326906</v>
      </c>
      <c r="D6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93056.849721882</v>
      </c>
      <c r="E6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29389.3302817116</v>
      </c>
      <c r="F6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9769.27249369815</v>
      </c>
      <c r="G6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4571.38893455868</v>
      </c>
      <c r="H6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16587.6618372092</v>
      </c>
    </row>
    <row r="613" ht="15" customHeight="1">
      <c r="B613" s="20">
        <v>606</v>
      </c>
      <c r="C613" s="21">
        <f t="shared" si="0"/>
        <v>136073.177580738</v>
      </c>
      <c r="D6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61432.6418549667</v>
      </c>
      <c r="E6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35571.7414017171</v>
      </c>
      <c r="F6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15631.3836349231</v>
      </c>
      <c r="G6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3458.23386467712</v>
      </c>
      <c r="H6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19979.1768244539</v>
      </c>
    </row>
    <row r="614" ht="15" customHeight="1">
      <c r="B614" s="20">
        <v>607</v>
      </c>
      <c r="C614" s="21">
        <f t="shared" si="0"/>
        <v>134703.098848864</v>
      </c>
      <c r="D6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76850.6955728264</v>
      </c>
      <c r="E6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25557.8711017768</v>
      </c>
      <c r="F6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11966.5703996217</v>
      </c>
      <c r="G6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3707.89636574182</v>
      </c>
      <c r="H6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16620.0654088968</v>
      </c>
    </row>
    <row r="615" ht="15" customHeight="1">
      <c r="B615" s="20">
        <v>608</v>
      </c>
      <c r="C615" s="21">
        <f t="shared" si="0"/>
        <v>151561.571191611</v>
      </c>
      <c r="D6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81600.4107398354</v>
      </c>
      <c r="E6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25621.048716682</v>
      </c>
      <c r="F6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13124.4731450812</v>
      </c>
      <c r="G6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6885.98102258601</v>
      </c>
      <c r="H6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24329.6575674263</v>
      </c>
    </row>
    <row r="616" ht="15" customHeight="1">
      <c r="B616" s="20">
        <v>609</v>
      </c>
      <c r="C616" s="21">
        <f t="shared" si="0"/>
        <v>140289.866243186</v>
      </c>
      <c r="D6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68943.7557811186</v>
      </c>
      <c r="E6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32633.9368828673</v>
      </c>
      <c r="F6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12879.0999383903</v>
      </c>
      <c r="G6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4977.96360303078</v>
      </c>
      <c r="H6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20855.1100377793</v>
      </c>
    </row>
    <row r="617" ht="15" customHeight="1">
      <c r="B617" s="20">
        <v>610</v>
      </c>
      <c r="C617" s="21">
        <f t="shared" si="0"/>
        <v>131645.83809235</v>
      </c>
      <c r="D6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64179.8347567842</v>
      </c>
      <c r="E6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41015.9897720637</v>
      </c>
      <c r="F6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14546.6492073566</v>
      </c>
      <c r="G6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5489.03036799071</v>
      </c>
      <c r="H6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6414.33398815439</v>
      </c>
    </row>
    <row r="618" ht="15" customHeight="1">
      <c r="B618" s="20">
        <v>611</v>
      </c>
      <c r="C618" s="21">
        <f t="shared" si="0"/>
        <v>135262.210306905</v>
      </c>
      <c r="D6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78340.3811996515</v>
      </c>
      <c r="E6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29579.2827803544</v>
      </c>
      <c r="F6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12844.5347243545</v>
      </c>
      <c r="G6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5781.60410271316</v>
      </c>
      <c r="H6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8716.40749983164</v>
      </c>
    </row>
    <row r="619" ht="15" customHeight="1">
      <c r="B619" s="20">
        <v>612</v>
      </c>
      <c r="C619" s="21">
        <f t="shared" si="0"/>
        <v>140739.974372443</v>
      </c>
      <c r="D6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71518.305667793</v>
      </c>
      <c r="E6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34257.3933535371</v>
      </c>
      <c r="F6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13744.9988753889</v>
      </c>
      <c r="G6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6279.77973853137</v>
      </c>
      <c r="H6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14939.4967371924</v>
      </c>
    </row>
    <row r="620" ht="15" customHeight="1">
      <c r="B620" s="20">
        <v>613</v>
      </c>
      <c r="C620" s="21">
        <f t="shared" si="0"/>
        <v>162185.158304906</v>
      </c>
      <c r="D6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94855.6156716593</v>
      </c>
      <c r="E6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28838.0506776486</v>
      </c>
      <c r="F6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13561.6878351803</v>
      </c>
      <c r="G6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6137.29137995141</v>
      </c>
      <c r="H6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18792.5127404665</v>
      </c>
    </row>
    <row r="621" ht="15" customHeight="1">
      <c r="B621" s="20">
        <v>614</v>
      </c>
      <c r="C621" s="21">
        <f t="shared" si="0"/>
        <v>148856.384124193</v>
      </c>
      <c r="D6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86382.1942093835</v>
      </c>
      <c r="E6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36960.8347816701</v>
      </c>
      <c r="F6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10188.7057343474</v>
      </c>
      <c r="G6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4966.10472240978</v>
      </c>
      <c r="H6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10358.5446763821</v>
      </c>
    </row>
    <row r="622" ht="15" customHeight="1">
      <c r="B622" s="20">
        <v>615</v>
      </c>
      <c r="C622" s="21">
        <f t="shared" si="0"/>
        <v>155186.865587259</v>
      </c>
      <c r="D6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88700.1755211964</v>
      </c>
      <c r="E6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39510.1536810812</v>
      </c>
      <c r="F6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12687.3436910396</v>
      </c>
      <c r="G6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5017.556831121</v>
      </c>
      <c r="H6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9271.63586282084</v>
      </c>
    </row>
    <row r="623" ht="15" customHeight="1">
      <c r="B623" s="20">
        <v>616</v>
      </c>
      <c r="C623" s="21">
        <f t="shared" si="0"/>
        <v>154521.73032052</v>
      </c>
      <c r="D6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84735.0918167742</v>
      </c>
      <c r="E6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29346.1059443244</v>
      </c>
      <c r="F6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12109.8972009425</v>
      </c>
      <c r="G6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6215.73408427833</v>
      </c>
      <c r="H6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22114.9012742007</v>
      </c>
    </row>
    <row r="624" ht="15" customHeight="1">
      <c r="B624" s="20">
        <v>617</v>
      </c>
      <c r="C624" s="21">
        <f t="shared" si="0"/>
        <v>147443.500561008</v>
      </c>
      <c r="D6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81945.4073082852</v>
      </c>
      <c r="E6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25272.769029755</v>
      </c>
      <c r="F6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13475.2548739652</v>
      </c>
      <c r="G6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4592.96968646675</v>
      </c>
      <c r="H6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22157.0996625361</v>
      </c>
    </row>
    <row r="625" ht="15" customHeight="1">
      <c r="B625" s="20">
        <v>618</v>
      </c>
      <c r="C625" s="21">
        <f t="shared" si="0"/>
        <v>157574.910611788</v>
      </c>
      <c r="D6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88292.5639015546</v>
      </c>
      <c r="E6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39716.8011054252</v>
      </c>
      <c r="F6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14004.2428905893</v>
      </c>
      <c r="G6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3970.39344968587</v>
      </c>
      <c r="H6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11590.9092645329</v>
      </c>
    </row>
    <row r="626" ht="15" customHeight="1">
      <c r="B626" s="20">
        <v>619</v>
      </c>
      <c r="C626" s="21">
        <f t="shared" si="0"/>
        <v>168874.388078685</v>
      </c>
      <c r="D6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97414.103349643</v>
      </c>
      <c r="E6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33205.9114060549</v>
      </c>
      <c r="F6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15800.7404659218</v>
      </c>
      <c r="G6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5253.75858557388</v>
      </c>
      <c r="H6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17199.8742714911</v>
      </c>
    </row>
    <row r="627" ht="15" customHeight="1">
      <c r="B627" s="20">
        <v>620</v>
      </c>
      <c r="C627" s="21">
        <f t="shared" si="0"/>
        <v>124975.488683716</v>
      </c>
      <c r="D6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68509.4461179718</v>
      </c>
      <c r="E6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24848.2755735988</v>
      </c>
      <c r="F6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17531.1785438544</v>
      </c>
      <c r="G6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4350.53799327914</v>
      </c>
      <c r="H6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9736.05045501163</v>
      </c>
    </row>
    <row r="628" ht="15" customHeight="1">
      <c r="B628" s="20">
        <v>621</v>
      </c>
      <c r="C628" s="21">
        <f t="shared" si="0"/>
        <v>159197.563322653</v>
      </c>
      <c r="D6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93858.8477431804</v>
      </c>
      <c r="E6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26097.3226342642</v>
      </c>
      <c r="F6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15107.7842434154</v>
      </c>
      <c r="G6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4597.66516362129</v>
      </c>
      <c r="H6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19535.9435381713</v>
      </c>
    </row>
    <row r="629" ht="15" customHeight="1">
      <c r="B629" s="20">
        <v>622</v>
      </c>
      <c r="C629" s="21">
        <f t="shared" si="0"/>
        <v>138664.337661209</v>
      </c>
      <c r="D6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78196.2754334331</v>
      </c>
      <c r="E6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31134.7573028812</v>
      </c>
      <c r="F6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11215.4621321631</v>
      </c>
      <c r="G6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5894.14669721467</v>
      </c>
      <c r="H6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12223.6960955171</v>
      </c>
    </row>
    <row r="630" ht="15" customHeight="1">
      <c r="B630" s="20">
        <v>623</v>
      </c>
      <c r="C630" s="21">
        <f t="shared" si="0"/>
        <v>134510.624333516</v>
      </c>
      <c r="D6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68294.3484556473</v>
      </c>
      <c r="E6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35460.0082788938</v>
      </c>
      <c r="F6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13576.526780691</v>
      </c>
      <c r="G6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6631.93931846892</v>
      </c>
      <c r="H6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10547.8014998148</v>
      </c>
    </row>
    <row r="631" ht="15" customHeight="1">
      <c r="B631" s="20">
        <v>624</v>
      </c>
      <c r="C631" s="21">
        <f t="shared" si="0"/>
        <v>177737.541217576</v>
      </c>
      <c r="D6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106758.001431429</v>
      </c>
      <c r="E6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32376.4289327408</v>
      </c>
      <c r="F6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11394.7941022735</v>
      </c>
      <c r="G6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6266.30288219084</v>
      </c>
      <c r="H6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20942.0138689421</v>
      </c>
    </row>
    <row r="632" ht="15" customHeight="1">
      <c r="B632" s="20">
        <v>625</v>
      </c>
      <c r="C632" s="21">
        <f t="shared" si="0"/>
        <v>178466.394648762</v>
      </c>
      <c r="D6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102548.078761226</v>
      </c>
      <c r="E6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40710.2470243072</v>
      </c>
      <c r="F6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10165.569818455</v>
      </c>
      <c r="G6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5315.00922377792</v>
      </c>
      <c r="H6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19727.4898209955</v>
      </c>
    </row>
    <row r="633" ht="15" customHeight="1">
      <c r="B633" s="20">
        <v>626</v>
      </c>
      <c r="C633" s="21">
        <f t="shared" si="0"/>
        <v>174223.620743596</v>
      </c>
      <c r="D6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104129.180321999</v>
      </c>
      <c r="E6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29348.4901319775</v>
      </c>
      <c r="F6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11896.4437239003</v>
      </c>
      <c r="G6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4885.28784946675</v>
      </c>
      <c r="H6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23964.2187162529</v>
      </c>
    </row>
    <row r="634" ht="15" customHeight="1">
      <c r="B634" s="20">
        <v>627</v>
      </c>
      <c r="C634" s="21">
        <f t="shared" si="0"/>
        <v>133571.9340818</v>
      </c>
      <c r="D6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67320.4637351425</v>
      </c>
      <c r="E6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29887.7195931816</v>
      </c>
      <c r="F6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15226.638697853</v>
      </c>
      <c r="G6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4369.65725566598</v>
      </c>
      <c r="H6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16767.4547999567</v>
      </c>
    </row>
    <row r="635" ht="15" customHeight="1">
      <c r="B635" s="20">
        <v>628</v>
      </c>
      <c r="C635" s="21">
        <f t="shared" si="0"/>
        <v>157479.393448749</v>
      </c>
      <c r="D6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92316.4283091775</v>
      </c>
      <c r="E6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43534.138840295</v>
      </c>
      <c r="F6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12576.8123531547</v>
      </c>
      <c r="G6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3969.72691081263</v>
      </c>
      <c r="H6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5082.28703530932</v>
      </c>
    </row>
    <row r="636" ht="15" customHeight="1">
      <c r="B636" s="20">
        <v>629</v>
      </c>
      <c r="C636" s="21">
        <f t="shared" si="0"/>
        <v>124726.797544224</v>
      </c>
      <c r="D6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64902.4658279034</v>
      </c>
      <c r="E6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29502.4706646715</v>
      </c>
      <c r="F6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10559.5269519289</v>
      </c>
      <c r="G6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6075.27251651987</v>
      </c>
      <c r="H6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13687.0615832006</v>
      </c>
    </row>
    <row r="637" ht="15" customHeight="1">
      <c r="B637" s="20">
        <v>630</v>
      </c>
      <c r="C637" s="21">
        <f t="shared" si="0"/>
        <v>151575.53107684</v>
      </c>
      <c r="D6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88335.8026128473</v>
      </c>
      <c r="E6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27913.4037500367</v>
      </c>
      <c r="F6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16172.2787354531</v>
      </c>
      <c r="G6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6871.79122120107</v>
      </c>
      <c r="H6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12282.2547573016</v>
      </c>
    </row>
    <row r="638" ht="15" customHeight="1">
      <c r="B638" s="20">
        <v>631</v>
      </c>
      <c r="C638" s="21">
        <f t="shared" si="0"/>
        <v>128360.725406767</v>
      </c>
      <c r="D6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75417.8006501999</v>
      </c>
      <c r="E6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25262.583237001</v>
      </c>
      <c r="F6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10151.4086469305</v>
      </c>
      <c r="G6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4013.7797294518</v>
      </c>
      <c r="H6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13515.1531431837</v>
      </c>
    </row>
    <row r="639" ht="15" customHeight="1">
      <c r="B639" s="20">
        <v>632</v>
      </c>
      <c r="C639" s="21">
        <f t="shared" si="0"/>
        <v>121065.112270279</v>
      </c>
      <c r="D6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71751.3198387948</v>
      </c>
      <c r="E6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25046.4353946372</v>
      </c>
      <c r="F6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9767.47818611003</v>
      </c>
      <c r="G6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6788.22725441057</v>
      </c>
      <c r="H6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7711.65159632607</v>
      </c>
    </row>
    <row r="640" ht="15" customHeight="1">
      <c r="B640" s="20">
        <v>633</v>
      </c>
      <c r="C640" s="21">
        <f t="shared" si="0"/>
        <v>131540.259271647</v>
      </c>
      <c r="D6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68326.5401934639</v>
      </c>
      <c r="E6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34339.9398780252</v>
      </c>
      <c r="F6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11611.6060652773</v>
      </c>
      <c r="G6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5849.07317904727</v>
      </c>
      <c r="H6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11413.0999558334</v>
      </c>
    </row>
    <row r="641" ht="15" customHeight="1">
      <c r="B641" s="20">
        <v>634</v>
      </c>
      <c r="C641" s="21">
        <f t="shared" si="0"/>
        <v>162876.552615427</v>
      </c>
      <c r="D6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97906.0430364163</v>
      </c>
      <c r="E6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40321.6498795223</v>
      </c>
      <c r="F6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8813.26316702271</v>
      </c>
      <c r="G6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5793.76873105877</v>
      </c>
      <c r="H6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10041.8278014071</v>
      </c>
    </row>
    <row r="642" ht="15" customHeight="1">
      <c r="B642" s="20">
        <v>635</v>
      </c>
      <c r="C642" s="21">
        <f t="shared" si="0"/>
        <v>156411.663704031</v>
      </c>
      <c r="D6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93092.5244159042</v>
      </c>
      <c r="E6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30908.2123782268</v>
      </c>
      <c r="F6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16939.6465431317</v>
      </c>
      <c r="G6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3891.13902603427</v>
      </c>
      <c r="H6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11580.1413407344</v>
      </c>
    </row>
    <row r="643" ht="15" customHeight="1">
      <c r="B643" s="20">
        <v>636</v>
      </c>
      <c r="C643" s="21">
        <f t="shared" si="0"/>
        <v>127361.589704413</v>
      </c>
      <c r="D6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61751.737478853</v>
      </c>
      <c r="E6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35873.0662274974</v>
      </c>
      <c r="F6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9525.71322580827</v>
      </c>
      <c r="G6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3917.87873431543</v>
      </c>
      <c r="H6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16293.194037939</v>
      </c>
    </row>
    <row r="644" ht="15" customHeight="1">
      <c r="B644" s="20">
        <v>637</v>
      </c>
      <c r="C644" s="21">
        <f t="shared" si="0"/>
        <v>174836.61059923</v>
      </c>
      <c r="D6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100979.542065209</v>
      </c>
      <c r="E6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35399.3461977522</v>
      </c>
      <c r="F6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14567.5161153192</v>
      </c>
      <c r="G6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4296.69096257541</v>
      </c>
      <c r="H6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19593.5152583742</v>
      </c>
    </row>
    <row r="645" ht="15" customHeight="1">
      <c r="B645" s="20">
        <v>638</v>
      </c>
      <c r="C645" s="21">
        <f t="shared" si="0"/>
        <v>130606.07850608</v>
      </c>
      <c r="D6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71528.9285449072</v>
      </c>
      <c r="E6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30418.30435385</v>
      </c>
      <c r="F6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15380.7272156435</v>
      </c>
      <c r="G6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4378.42776096536</v>
      </c>
      <c r="H6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8899.69063071416</v>
      </c>
    </row>
    <row r="646" ht="15" customHeight="1">
      <c r="B646" s="20">
        <v>639</v>
      </c>
      <c r="C646" s="21">
        <f t="shared" si="0"/>
        <v>117320.951906481</v>
      </c>
      <c r="D6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56260.5245791944</v>
      </c>
      <c r="E6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38222.9042567927</v>
      </c>
      <c r="F6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11891.6390810835</v>
      </c>
      <c r="G6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4651.93811655985</v>
      </c>
      <c r="H6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6293.94587285089</v>
      </c>
    </row>
    <row r="647" ht="15" customHeight="1">
      <c r="B647" s="20">
        <v>640</v>
      </c>
      <c r="C647" s="21">
        <f t="shared" si="0"/>
        <v>167662.303832059</v>
      </c>
      <c r="D6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100127.218053868</v>
      </c>
      <c r="E6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37835.4883223629</v>
      </c>
      <c r="F6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13431.6148889251</v>
      </c>
      <c r="G6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4948.5028574867</v>
      </c>
      <c r="H6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11319.4797094159</v>
      </c>
    </row>
    <row r="648" ht="15" customHeight="1">
      <c r="B648" s="20">
        <v>641</v>
      </c>
      <c r="C648" s="21">
        <f t="shared" si="0"/>
        <v>143913.089917567</v>
      </c>
      <c r="D6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97454.5857364384</v>
      </c>
      <c r="E6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22844.2407905248</v>
      </c>
      <c r="F6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12308.2451852897</v>
      </c>
      <c r="G6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5439.97939880043</v>
      </c>
      <c r="H6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5866.03880651346</v>
      </c>
    </row>
    <row r="649" ht="15" customHeight="1">
      <c r="B649" s="20">
        <v>642</v>
      </c>
      <c r="C649" s="21">
        <f t="shared" si="0"/>
        <v>141146.847961126</v>
      </c>
      <c r="D6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78210.7890965873</v>
      </c>
      <c r="E6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26353.3313167849</v>
      </c>
      <c r="F6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8603.47702221194</v>
      </c>
      <c r="G6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5689.02513334239</v>
      </c>
      <c r="H6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22290.2253921993</v>
      </c>
    </row>
    <row r="650" ht="15" customHeight="1">
      <c r="B650" s="20">
        <v>643</v>
      </c>
      <c r="C650" s="21">
        <f t="shared" si="0"/>
        <v>129645.135520027</v>
      </c>
      <c r="D6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70826.9154784018</v>
      </c>
      <c r="E6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31706.2667890181</v>
      </c>
      <c r="F6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12318.4166589109</v>
      </c>
      <c r="G6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4067.03814361374</v>
      </c>
      <c r="H6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10726.4984500825</v>
      </c>
    </row>
    <row r="651" ht="15" customHeight="1">
      <c r="B651" s="20">
        <v>644</v>
      </c>
      <c r="C651" s="21">
        <f t="shared" si="0"/>
        <v>132170.143818289</v>
      </c>
      <c r="D6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71933.5726501061</v>
      </c>
      <c r="E6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26725.1957777548</v>
      </c>
      <c r="F6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8257.95912460559</v>
      </c>
      <c r="G6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6529.03883603918</v>
      </c>
      <c r="H6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18724.3774297835</v>
      </c>
    </row>
    <row r="652" ht="15" customHeight="1">
      <c r="B652" s="20">
        <v>645</v>
      </c>
      <c r="C652" s="21">
        <f t="shared" si="0"/>
        <v>168557.125576131</v>
      </c>
      <c r="D6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95440.7111735986</v>
      </c>
      <c r="E6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38725.8102608233</v>
      </c>
      <c r="F6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13211.0845830422</v>
      </c>
      <c r="G6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4306.34943926177</v>
      </c>
      <c r="H6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16873.1701194052</v>
      </c>
    </row>
    <row r="653" ht="15" customHeight="1">
      <c r="B653" s="20">
        <v>646</v>
      </c>
      <c r="C653" s="21">
        <f t="shared" si="0"/>
        <v>128057.74238007</v>
      </c>
      <c r="D6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65542.1431929025</v>
      </c>
      <c r="E6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34542.1093311952</v>
      </c>
      <c r="F6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13345.7561175718</v>
      </c>
      <c r="G6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5101.35093368135</v>
      </c>
      <c r="H6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9526.38280471932</v>
      </c>
    </row>
    <row r="654" ht="15" customHeight="1">
      <c r="B654" s="20">
        <v>647</v>
      </c>
      <c r="C654" s="21">
        <f t="shared" si="0"/>
        <v>145371.476035695</v>
      </c>
      <c r="D6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80007.6178548957</v>
      </c>
      <c r="E6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36372.0561741092</v>
      </c>
      <c r="F6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14440.1703622414</v>
      </c>
      <c r="G6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5151.85117296484</v>
      </c>
      <c r="H6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9399.78047148409</v>
      </c>
    </row>
    <row r="655" ht="15" customHeight="1">
      <c r="B655" s="20">
        <v>648</v>
      </c>
      <c r="C655" s="21">
        <f t="shared" si="0"/>
        <v>149778.751105804</v>
      </c>
      <c r="D6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86241.9086951328</v>
      </c>
      <c r="E6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38268.8106581537</v>
      </c>
      <c r="F6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11018.837714639</v>
      </c>
      <c r="G6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6362.36060532659</v>
      </c>
      <c r="H6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7886.83343255231</v>
      </c>
    </row>
    <row r="656" ht="15" customHeight="1">
      <c r="B656" s="20">
        <v>649</v>
      </c>
      <c r="C656" s="21">
        <f t="shared" si="0"/>
        <v>123805.041432378</v>
      </c>
      <c r="D6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62815.1976062936</v>
      </c>
      <c r="E6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33667.0344477618</v>
      </c>
      <c r="F6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11732.8538801307</v>
      </c>
      <c r="G6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4052.76532749211</v>
      </c>
      <c r="H6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11537.1901707</v>
      </c>
    </row>
    <row r="657" ht="15" customHeight="1">
      <c r="B657" s="20">
        <v>650</v>
      </c>
      <c r="C657" s="21">
        <f t="shared" si="0"/>
        <v>142776.511068018</v>
      </c>
      <c r="D6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73756.1384574541</v>
      </c>
      <c r="E6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32404.6572145293</v>
      </c>
      <c r="F6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12990.3665151369</v>
      </c>
      <c r="G6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4437.14929423388</v>
      </c>
      <c r="H6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19188.1995866641</v>
      </c>
    </row>
    <row r="658" ht="15" customHeight="1">
      <c r="B658" s="20">
        <v>651</v>
      </c>
      <c r="C658" s="21">
        <f t="shared" si="0"/>
        <v>148357.550885884</v>
      </c>
      <c r="D6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98918.8796544204</v>
      </c>
      <c r="E6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26101.2603934153</v>
      </c>
      <c r="F6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9771.64592841409</v>
      </c>
      <c r="G6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5039.96224033338</v>
      </c>
      <c r="H6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8525.80266930082</v>
      </c>
    </row>
    <row r="659" ht="15" customHeight="1">
      <c r="B659" s="20">
        <v>652</v>
      </c>
      <c r="C659" s="21">
        <f t="shared" si="0"/>
        <v>151241.893413739</v>
      </c>
      <c r="D6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98733.6687819352</v>
      </c>
      <c r="E6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27274.1874377343</v>
      </c>
      <c r="F6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9738.55099027159</v>
      </c>
      <c r="G6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5143.54073723354</v>
      </c>
      <c r="H6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10351.9454665648</v>
      </c>
    </row>
    <row r="660" ht="15" customHeight="1">
      <c r="B660" s="20">
        <v>653</v>
      </c>
      <c r="C660" s="21">
        <f t="shared" si="0"/>
        <v>125948.548122703</v>
      </c>
      <c r="D6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75941.5882019412</v>
      </c>
      <c r="E6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24379.2355729837</v>
      </c>
      <c r="F6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12625.2929101003</v>
      </c>
      <c r="G6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6209.33459670324</v>
      </c>
      <c r="H6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6793.09684097486</v>
      </c>
    </row>
    <row r="661" ht="15" customHeight="1">
      <c r="B661" s="20">
        <v>654</v>
      </c>
      <c r="C661" s="21">
        <f t="shared" si="0"/>
        <v>170788.965251781</v>
      </c>
      <c r="D6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88247.8432347393</v>
      </c>
      <c r="E6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41456.0502627667</v>
      </c>
      <c r="F6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12520.9087602434</v>
      </c>
      <c r="G6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5365.20797887473</v>
      </c>
      <c r="H6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23198.9550151565</v>
      </c>
    </row>
    <row r="662" ht="15" customHeight="1">
      <c r="B662" s="20">
        <v>655</v>
      </c>
      <c r="C662" s="21">
        <f t="shared" si="0"/>
        <v>124621.957196242</v>
      </c>
      <c r="D6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67378.6341514746</v>
      </c>
      <c r="E6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33852.3033768849</v>
      </c>
      <c r="F6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9904.87816969387</v>
      </c>
      <c r="G6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4971.36462775944</v>
      </c>
      <c r="H6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8514.77687042965</v>
      </c>
    </row>
    <row r="663" ht="15" customHeight="1">
      <c r="B663" s="20">
        <v>656</v>
      </c>
      <c r="C663" s="21">
        <f t="shared" si="0"/>
        <v>149658.218484065</v>
      </c>
      <c r="D6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93788.4254008939</v>
      </c>
      <c r="E6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31539.1015810222</v>
      </c>
      <c r="F6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10149.2238696319</v>
      </c>
      <c r="G6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3512.79457606527</v>
      </c>
      <c r="H6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10668.6730564521</v>
      </c>
    </row>
    <row r="664" ht="15" customHeight="1">
      <c r="B664" s="20">
        <v>657</v>
      </c>
      <c r="C664" s="21">
        <f t="shared" si="0"/>
        <v>146299.366288783</v>
      </c>
      <c r="D6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71507.5648042251</v>
      </c>
      <c r="E6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37770.0461692417</v>
      </c>
      <c r="F6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13885.6221341894</v>
      </c>
      <c r="G6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6451.15744953181</v>
      </c>
      <c r="H6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16684.9757315952</v>
      </c>
    </row>
    <row r="665" ht="15" customHeight="1">
      <c r="B665" s="20">
        <v>658</v>
      </c>
      <c r="C665" s="21">
        <f t="shared" si="0"/>
        <v>138195.445211271</v>
      </c>
      <c r="D6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68195.313156249</v>
      </c>
      <c r="E6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41977.3405549906</v>
      </c>
      <c r="F6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8301.97228352738</v>
      </c>
      <c r="G6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6027.26084156692</v>
      </c>
      <c r="H6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13693.5583749366</v>
      </c>
    </row>
    <row r="666" ht="15" customHeight="1">
      <c r="B666" s="20">
        <v>659</v>
      </c>
      <c r="C666" s="21">
        <f t="shared" si="0"/>
        <v>116053.398585877</v>
      </c>
      <c r="D6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63352.5001779792</v>
      </c>
      <c r="E6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29326.9913394205</v>
      </c>
      <c r="F6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11742.3585481299</v>
      </c>
      <c r="G6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4495.65352459964</v>
      </c>
      <c r="H6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7135.89499574735</v>
      </c>
    </row>
    <row r="667" ht="15" customHeight="1">
      <c r="B667" s="20">
        <v>660</v>
      </c>
      <c r="C667" s="21">
        <f t="shared" si="0"/>
        <v>138886.556926826</v>
      </c>
      <c r="D6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77804.181729331</v>
      </c>
      <c r="E6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23343.8097781458</v>
      </c>
      <c r="F6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12468.3335299644</v>
      </c>
      <c r="G6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5668.95262161517</v>
      </c>
      <c r="H6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19601.2792677697</v>
      </c>
    </row>
    <row r="668" ht="15" customHeight="1">
      <c r="B668" s="20">
        <v>661</v>
      </c>
      <c r="C668" s="21">
        <f t="shared" si="0"/>
        <v>134662.638684136</v>
      </c>
      <c r="D6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75390.0686938298</v>
      </c>
      <c r="E6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23100.8030012798</v>
      </c>
      <c r="F6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10325.8721008295</v>
      </c>
      <c r="G6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5491.36018285757</v>
      </c>
      <c r="H6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20354.5347053391</v>
      </c>
    </row>
    <row r="669" ht="15" customHeight="1">
      <c r="B669" s="20">
        <v>662</v>
      </c>
      <c r="C669" s="21">
        <f t="shared" si="0"/>
        <v>160348.671821468</v>
      </c>
      <c r="D6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95689.7263568586</v>
      </c>
      <c r="E6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38966.2756634389</v>
      </c>
      <c r="F6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9958.80160342776</v>
      </c>
      <c r="G6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5572.05199662529</v>
      </c>
      <c r="H6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10161.8162011173</v>
      </c>
    </row>
    <row r="670" ht="15" customHeight="1">
      <c r="B670" s="20">
        <v>663</v>
      </c>
      <c r="C670" s="21">
        <f t="shared" si="0"/>
        <v>148528.746052235</v>
      </c>
      <c r="D6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95782.1335340355</v>
      </c>
      <c r="E6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30068.0295107904</v>
      </c>
      <c r="F6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10016.2436351093</v>
      </c>
      <c r="G6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3949.28273721631</v>
      </c>
      <c r="H6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8713.05663508381</v>
      </c>
    </row>
    <row r="671" ht="15" customHeight="1">
      <c r="B671" s="20">
        <v>664</v>
      </c>
      <c r="C671" s="21">
        <f t="shared" si="0"/>
        <v>124408.390218606</v>
      </c>
      <c r="D6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72683.9248471699</v>
      </c>
      <c r="E6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25753.2402704759</v>
      </c>
      <c r="F6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12147.1811502975</v>
      </c>
      <c r="G6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5196.79349916343</v>
      </c>
      <c r="H6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8627.25045149956</v>
      </c>
    </row>
    <row r="672" ht="15" customHeight="1">
      <c r="B672" s="20">
        <v>665</v>
      </c>
      <c r="C672" s="21">
        <f t="shared" si="0"/>
        <v>152515.363843172</v>
      </c>
      <c r="D6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98441.3574446275</v>
      </c>
      <c r="E6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32017.5138765059</v>
      </c>
      <c r="F6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8786.24005603315</v>
      </c>
      <c r="G6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4082.46111440483</v>
      </c>
      <c r="H6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9187.79135160043</v>
      </c>
    </row>
    <row r="673" ht="15" customHeight="1">
      <c r="B673" s="20">
        <v>666</v>
      </c>
      <c r="C673" s="21">
        <f t="shared" si="0"/>
        <v>158880.250394224</v>
      </c>
      <c r="D6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96585.1136437178</v>
      </c>
      <c r="E6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29349.5680103363</v>
      </c>
      <c r="F6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13177.2291964744</v>
      </c>
      <c r="G6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4066.06122666569</v>
      </c>
      <c r="H6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15702.27831703</v>
      </c>
    </row>
    <row r="674" ht="15" customHeight="1">
      <c r="B674" s="20">
        <v>667</v>
      </c>
      <c r="C674" s="21">
        <f t="shared" si="0"/>
        <v>143905.167957626</v>
      </c>
      <c r="D6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85973.3593483472</v>
      </c>
      <c r="E6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25032.6466025108</v>
      </c>
      <c r="F6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13618.9292351563</v>
      </c>
      <c r="G6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3971.86676641542</v>
      </c>
      <c r="H6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15308.3660051965</v>
      </c>
    </row>
    <row r="675" ht="15" customHeight="1">
      <c r="B675" s="20">
        <v>668</v>
      </c>
      <c r="C675" s="21">
        <f t="shared" si="0"/>
        <v>158046.574329444</v>
      </c>
      <c r="D6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92901.2014264162</v>
      </c>
      <c r="E6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31149.8417250401</v>
      </c>
      <c r="F6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15498.5830181755</v>
      </c>
      <c r="G6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5259.23362594599</v>
      </c>
      <c r="H6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13237.7145338662</v>
      </c>
    </row>
    <row r="676" ht="15" customHeight="1">
      <c r="B676" s="20">
        <v>669</v>
      </c>
      <c r="C676" s="21">
        <f t="shared" si="0"/>
        <v>161466.084218301</v>
      </c>
      <c r="D6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93566.9910969891</v>
      </c>
      <c r="E6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34667.7772977231</v>
      </c>
      <c r="F6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10932.2559116541</v>
      </c>
      <c r="G6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5653.96697220297</v>
      </c>
      <c r="H6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16645.0929397321</v>
      </c>
    </row>
    <row r="677" ht="15" customHeight="1">
      <c r="B677" s="20">
        <v>670</v>
      </c>
      <c r="C677" s="21">
        <f t="shared" si="0"/>
        <v>162590.579795523</v>
      </c>
      <c r="D6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88298.0745452628</v>
      </c>
      <c r="E6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37320.5922907364</v>
      </c>
      <c r="F6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12348.6546984156</v>
      </c>
      <c r="G6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3576.70198421477</v>
      </c>
      <c r="H6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21046.5562768936</v>
      </c>
    </row>
    <row r="678" ht="15" customHeight="1">
      <c r="B678" s="20">
        <v>671</v>
      </c>
      <c r="C678" s="21">
        <f t="shared" si="0"/>
        <v>153126.768643694</v>
      </c>
      <c r="D6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69119.6844346517</v>
      </c>
      <c r="E6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39068.2763293721</v>
      </c>
      <c r="F6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14110.6451681876</v>
      </c>
      <c r="G6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7120.20258960188</v>
      </c>
      <c r="H6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23707.9601218804</v>
      </c>
    </row>
    <row r="679" ht="15" customHeight="1">
      <c r="B679" s="20">
        <v>672</v>
      </c>
      <c r="C679" s="21">
        <f t="shared" si="0"/>
        <v>156627.91219274</v>
      </c>
      <c r="D6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93611.4996370623</v>
      </c>
      <c r="E6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29297.4553851097</v>
      </c>
      <c r="F6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15219.4745050365</v>
      </c>
      <c r="G6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4980.51104099054</v>
      </c>
      <c r="H6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13518.9716245414</v>
      </c>
    </row>
    <row r="680" ht="15" customHeight="1">
      <c r="B680" s="20">
        <v>673</v>
      </c>
      <c r="C680" s="21">
        <f t="shared" si="0"/>
        <v>142701.910633623</v>
      </c>
      <c r="D6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65948.4251933975</v>
      </c>
      <c r="E6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34926.2086030369</v>
      </c>
      <c r="F6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16659.7805525159</v>
      </c>
      <c r="G6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4779.26429423448</v>
      </c>
      <c r="H6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20388.2319904385</v>
      </c>
    </row>
    <row r="681" ht="15" customHeight="1">
      <c r="B681" s="20">
        <v>674</v>
      </c>
      <c r="C681" s="21">
        <f t="shared" si="0"/>
        <v>148199.890365878</v>
      </c>
      <c r="D6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91189.0194164284</v>
      </c>
      <c r="E6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30847.0178984057</v>
      </c>
      <c r="F6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11174.975357445</v>
      </c>
      <c r="G6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4485.42442804969</v>
      </c>
      <c r="H6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10503.453265549</v>
      </c>
    </row>
    <row r="682" ht="15" customHeight="1">
      <c r="B682" s="20">
        <v>675</v>
      </c>
      <c r="C682" s="21">
        <f t="shared" si="0"/>
        <v>151028.804245215</v>
      </c>
      <c r="D6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82185.9428185907</v>
      </c>
      <c r="E6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36088.2034869075</v>
      </c>
      <c r="F6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8675.81207853773</v>
      </c>
      <c r="G6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5235.15467036899</v>
      </c>
      <c r="H6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18843.69119081</v>
      </c>
    </row>
    <row r="683" ht="15" customHeight="1">
      <c r="B683" s="20">
        <v>676</v>
      </c>
      <c r="C683" s="21">
        <f t="shared" si="0"/>
        <v>161666.391489178</v>
      </c>
      <c r="D6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96966.9127852641</v>
      </c>
      <c r="E6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39274.2943726731</v>
      </c>
      <c r="F6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14650.2509226975</v>
      </c>
      <c r="G6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4188.55961116079</v>
      </c>
      <c r="H6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6586.37379738266</v>
      </c>
    </row>
    <row r="684" ht="15" customHeight="1">
      <c r="B684" s="20">
        <v>677</v>
      </c>
      <c r="C684" s="21">
        <f t="shared" si="0"/>
        <v>160452.875815162</v>
      </c>
      <c r="D6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95067.523816941</v>
      </c>
      <c r="E6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23889.0138681356</v>
      </c>
      <c r="F6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17736.9310514218</v>
      </c>
      <c r="G6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6660.04275314647</v>
      </c>
      <c r="H6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17099.3643255171</v>
      </c>
    </row>
    <row r="685" ht="15" customHeight="1">
      <c r="B685" s="20">
        <v>678</v>
      </c>
      <c r="C685" s="21">
        <f t="shared" si="0"/>
        <v>142050.435232909</v>
      </c>
      <c r="D6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77783.4292709268</v>
      </c>
      <c r="E6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36424.5885329375</v>
      </c>
      <c r="F6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14425.6806945044</v>
      </c>
      <c r="G6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4917.39427509975</v>
      </c>
      <c r="H6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8499.34245944044</v>
      </c>
    </row>
    <row r="686" ht="15" customHeight="1">
      <c r="B686" s="20">
        <v>679</v>
      </c>
      <c r="C686" s="21">
        <f t="shared" si="0"/>
        <v>150449.754024576</v>
      </c>
      <c r="D6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76450.6943743369</v>
      </c>
      <c r="E6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37315.4246649972</v>
      </c>
      <c r="F6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14540.439656329</v>
      </c>
      <c r="G6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5763.03302334732</v>
      </c>
      <c r="H6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16380.1623055656</v>
      </c>
    </row>
    <row r="687" ht="15" customHeight="1">
      <c r="B687" s="20">
        <v>680</v>
      </c>
      <c r="C687" s="21">
        <f t="shared" si="0"/>
        <v>131082.970138876</v>
      </c>
      <c r="D6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69659.5918031073</v>
      </c>
      <c r="E6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30621.278231511</v>
      </c>
      <c r="F6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11994.0816257153</v>
      </c>
      <c r="G6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6007.00111733024</v>
      </c>
      <c r="H6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12801.0173612121</v>
      </c>
    </row>
    <row r="688" ht="15" customHeight="1">
      <c r="B688" s="20">
        <v>681</v>
      </c>
      <c r="C688" s="21">
        <f t="shared" si="0"/>
        <v>137544.281686428</v>
      </c>
      <c r="D6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79523.9829610448</v>
      </c>
      <c r="E6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28197.9048612411</v>
      </c>
      <c r="F6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10444.9555668381</v>
      </c>
      <c r="G6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5402.38143431813</v>
      </c>
      <c r="H6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13975.056862986</v>
      </c>
    </row>
    <row r="689" ht="15" customHeight="1">
      <c r="B689" s="20">
        <v>682</v>
      </c>
      <c r="C689" s="21">
        <f t="shared" si="0"/>
        <v>132685.80112458</v>
      </c>
      <c r="D6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71562.8131561376</v>
      </c>
      <c r="E6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33227.1591722088</v>
      </c>
      <c r="F6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12093.9670405013</v>
      </c>
      <c r="G6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4962.18838718403</v>
      </c>
      <c r="H6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10839.6733685481</v>
      </c>
    </row>
    <row r="690" ht="15" customHeight="1">
      <c r="B690" s="20">
        <v>683</v>
      </c>
      <c r="C690" s="21">
        <f t="shared" si="0"/>
        <v>148075.35731564</v>
      </c>
      <c r="D6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88291.6011804201</v>
      </c>
      <c r="E6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27017.9152817838</v>
      </c>
      <c r="F6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12701.6459712479</v>
      </c>
      <c r="G6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7375.49226795736</v>
      </c>
      <c r="H6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12688.7026142309</v>
      </c>
    </row>
    <row r="691" ht="15" customHeight="1">
      <c r="B691" s="20">
        <v>684</v>
      </c>
      <c r="C691" s="21">
        <f t="shared" si="0"/>
        <v>128130.426937096</v>
      </c>
      <c r="D6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69347.0764963574</v>
      </c>
      <c r="E6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30622.1565960768</v>
      </c>
      <c r="F6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11427.5847454262</v>
      </c>
      <c r="G6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6117.92921501689</v>
      </c>
      <c r="H6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10615.6798842186</v>
      </c>
    </row>
    <row r="692" ht="15" customHeight="1">
      <c r="B692" s="20">
        <v>685</v>
      </c>
      <c r="C692" s="21">
        <f t="shared" si="0"/>
        <v>151742.859905851</v>
      </c>
      <c r="D6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85403.1606580423</v>
      </c>
      <c r="E6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39587.5959945963</v>
      </c>
      <c r="F6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12307.2128505204</v>
      </c>
      <c r="G6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6273.50787291227</v>
      </c>
      <c r="H6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8171.3825297797</v>
      </c>
    </row>
    <row r="693" ht="15" customHeight="1">
      <c r="B693" s="20">
        <v>686</v>
      </c>
      <c r="C693" s="21">
        <f t="shared" si="0"/>
        <v>160959.771558547</v>
      </c>
      <c r="D6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92964.2762620144</v>
      </c>
      <c r="E6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31383.8527443739</v>
      </c>
      <c r="F6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13159.9019638905</v>
      </c>
      <c r="G6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4957.15726019692</v>
      </c>
      <c r="H6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18494.5833280708</v>
      </c>
    </row>
    <row r="694" ht="15" customHeight="1">
      <c r="B694" s="20">
        <v>687</v>
      </c>
      <c r="C694" s="21">
        <f t="shared" si="0"/>
        <v>151846.568114875</v>
      </c>
      <c r="D6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87496.8418905487</v>
      </c>
      <c r="E6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39232.7063909294</v>
      </c>
      <c r="F6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11340.7966393856</v>
      </c>
      <c r="G6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6284.2117315983</v>
      </c>
      <c r="H6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7492.01146241315</v>
      </c>
    </row>
    <row r="695" ht="15" customHeight="1">
      <c r="B695" s="20">
        <v>688</v>
      </c>
      <c r="C695" s="21">
        <f t="shared" si="0"/>
        <v>147309.540288453</v>
      </c>
      <c r="D6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74532.423479098</v>
      </c>
      <c r="E6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39866.8736656691</v>
      </c>
      <c r="F6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11745.8960086716</v>
      </c>
      <c r="G6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5672.75834756023</v>
      </c>
      <c r="H6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15491.5887874545</v>
      </c>
    </row>
    <row r="696" ht="15" customHeight="1">
      <c r="B696" s="20">
        <v>689</v>
      </c>
      <c r="C696" s="21">
        <f t="shared" si="0"/>
        <v>159908.843036159</v>
      </c>
      <c r="D6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92237.4968401266</v>
      </c>
      <c r="E6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30469.9997564106</v>
      </c>
      <c r="F6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16847.9550633323</v>
      </c>
      <c r="G6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4119.76236157296</v>
      </c>
      <c r="H6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16233.6290147164</v>
      </c>
    </row>
    <row r="697" ht="15" customHeight="1">
      <c r="B697" s="20">
        <v>690</v>
      </c>
      <c r="C697" s="21">
        <f t="shared" si="0"/>
        <v>155071.179968871</v>
      </c>
      <c r="D6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89625.6276374111</v>
      </c>
      <c r="E6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33118.60442887</v>
      </c>
      <c r="F6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13971.0607971272</v>
      </c>
      <c r="G6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5090.65294536244</v>
      </c>
      <c r="H6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13265.2341601007</v>
      </c>
    </row>
    <row r="698" ht="15" customHeight="1">
      <c r="B698" s="20">
        <v>691</v>
      </c>
      <c r="C698" s="21">
        <f t="shared" si="0"/>
        <v>131707.011155418</v>
      </c>
      <c r="D6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69973.9360878215</v>
      </c>
      <c r="E6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31845.6283340813</v>
      </c>
      <c r="F6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12404.9960551574</v>
      </c>
      <c r="G6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4399.86547660664</v>
      </c>
      <c r="H6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13082.5852017513</v>
      </c>
    </row>
    <row r="699" ht="15" customHeight="1">
      <c r="B699" s="20">
        <v>692</v>
      </c>
      <c r="C699" s="21">
        <f t="shared" si="0"/>
        <v>122187.789031799</v>
      </c>
      <c r="D6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68787.3000983089</v>
      </c>
      <c r="E6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25702.4181133561</v>
      </c>
      <c r="F6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11259.6774302173</v>
      </c>
      <c r="G6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3921.96107417675</v>
      </c>
      <c r="H6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12516.4323157395</v>
      </c>
    </row>
    <row r="700" ht="15" customHeight="1">
      <c r="B700" s="20">
        <v>693</v>
      </c>
      <c r="C700" s="21">
        <f t="shared" si="0"/>
        <v>145393.645219481</v>
      </c>
      <c r="D7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89148.4888039002</v>
      </c>
      <c r="E7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31129.8089155074</v>
      </c>
      <c r="F7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11768.1073601168</v>
      </c>
      <c r="G7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6145.56562105367</v>
      </c>
      <c r="H7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7201.67451890275</v>
      </c>
    </row>
    <row r="701" ht="15" customHeight="1">
      <c r="B701" s="20">
        <v>694</v>
      </c>
      <c r="C701" s="21">
        <f t="shared" si="0"/>
        <v>115210.534861415</v>
      </c>
      <c r="D7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67999.5410654551</v>
      </c>
      <c r="E7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21173.6996086204</v>
      </c>
      <c r="F7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15113.2684550133</v>
      </c>
      <c r="G7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4608.26415975321</v>
      </c>
      <c r="H7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6315.7615725726</v>
      </c>
    </row>
    <row r="702" ht="15" customHeight="1">
      <c r="B702" s="20">
        <v>695</v>
      </c>
      <c r="C702" s="21">
        <f t="shared" si="0"/>
        <v>140827.542095782</v>
      </c>
      <c r="D7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72389.1103624116</v>
      </c>
      <c r="E7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37319.529008835</v>
      </c>
      <c r="F7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14209.7353526748</v>
      </c>
      <c r="G7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4694.44814706038</v>
      </c>
      <c r="H7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12214.7192248001</v>
      </c>
    </row>
    <row r="703" ht="15" customHeight="1">
      <c r="B703" s="20">
        <v>696</v>
      </c>
      <c r="C703" s="21">
        <f t="shared" si="0"/>
        <v>180941.250180076</v>
      </c>
      <c r="D7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105943.684569248</v>
      </c>
      <c r="E7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40528.9858369076</v>
      </c>
      <c r="F7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16959.2768271705</v>
      </c>
      <c r="G7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5572.30223728481</v>
      </c>
      <c r="H7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11937.0007094647</v>
      </c>
    </row>
    <row r="704" ht="15" customHeight="1">
      <c r="B704" s="20">
        <v>697</v>
      </c>
      <c r="C704" s="21">
        <f t="shared" si="0"/>
        <v>141576.139838566</v>
      </c>
      <c r="D7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88640.8005819817</v>
      </c>
      <c r="E7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30684.8242036638</v>
      </c>
      <c r="F7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10392.5130484947</v>
      </c>
      <c r="G7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4059.24338148501</v>
      </c>
      <c r="H7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7798.7586229403</v>
      </c>
    </row>
    <row r="705" ht="15" customHeight="1">
      <c r="B705" s="20">
        <v>698</v>
      </c>
      <c r="C705" s="21">
        <f t="shared" si="0"/>
        <v>136539.187063427</v>
      </c>
      <c r="D7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64086.7907243207</v>
      </c>
      <c r="E7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37364.8928674521</v>
      </c>
      <c r="F7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11839.296289539</v>
      </c>
      <c r="G7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6950.87567966322</v>
      </c>
      <c r="H7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16297.3315024519</v>
      </c>
    </row>
    <row r="706" ht="15" customHeight="1">
      <c r="B706" s="20">
        <v>699</v>
      </c>
      <c r="C706" s="21">
        <f t="shared" si="0"/>
        <v>130931.736017331</v>
      </c>
      <c r="D7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74404.9216871558</v>
      </c>
      <c r="E7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29909.5784980052</v>
      </c>
      <c r="F7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13211.904206483</v>
      </c>
      <c r="G7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3446.67165557049</v>
      </c>
      <c r="H7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9958.65997011651</v>
      </c>
    </row>
    <row r="707" ht="15" customHeight="1">
      <c r="B707" s="20">
        <v>700</v>
      </c>
      <c r="C707" s="21">
        <f t="shared" si="0"/>
        <v>138522.00260907</v>
      </c>
      <c r="D7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78533.9965159876</v>
      </c>
      <c r="E7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25412.2415491059</v>
      </c>
      <c r="F7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14984.900322895</v>
      </c>
      <c r="G7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6116.48300833898</v>
      </c>
      <c r="H7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13474.3812127425</v>
      </c>
    </row>
    <row r="708" ht="15" customHeight="1">
      <c r="B708" s="20">
        <v>701</v>
      </c>
      <c r="C708" s="21">
        <f t="shared" si="0"/>
        <v>156913.763562972</v>
      </c>
      <c r="D7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98367.1227669238</v>
      </c>
      <c r="E7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32746.7635262992</v>
      </c>
      <c r="F7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11877.931309891</v>
      </c>
      <c r="G7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4614.98147430734</v>
      </c>
      <c r="H7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9306.964485551</v>
      </c>
    </row>
    <row r="709" ht="15" customHeight="1">
      <c r="B709" s="20">
        <v>702</v>
      </c>
      <c r="C709" s="21">
        <f t="shared" si="0"/>
        <v>147452.71963093</v>
      </c>
      <c r="D7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88656.8220025488</v>
      </c>
      <c r="E7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27536.8650222767</v>
      </c>
      <c r="F7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15850.2096641536</v>
      </c>
      <c r="G7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4018.59384324143</v>
      </c>
      <c r="H7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11390.2290987096</v>
      </c>
    </row>
    <row r="710" ht="15" customHeight="1">
      <c r="B710" s="20">
        <v>703</v>
      </c>
      <c r="C710" s="21">
        <f t="shared" si="0"/>
        <v>135306.357428684</v>
      </c>
      <c r="D7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75429.8906605081</v>
      </c>
      <c r="E7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29191.2455347458</v>
      </c>
      <c r="F7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10538.9463256839</v>
      </c>
      <c r="G7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5012.42622664213</v>
      </c>
      <c r="H7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15133.8486811037</v>
      </c>
    </row>
    <row r="711" ht="15" customHeight="1">
      <c r="B711" s="20">
        <v>704</v>
      </c>
      <c r="C711" s="21">
        <f t="shared" si="0"/>
        <v>137731.445166935</v>
      </c>
      <c r="D7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88548.9467451174</v>
      </c>
      <c r="E7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26079.9121659345</v>
      </c>
      <c r="F7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10415.2078699028</v>
      </c>
      <c r="G7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4410.72001104413</v>
      </c>
      <c r="H7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8276.65837493649</v>
      </c>
    </row>
    <row r="712" ht="15" customHeight="1">
      <c r="B712" s="20">
        <v>705</v>
      </c>
      <c r="C712" s="21">
        <f t="shared" si="0"/>
        <v>145585.251027581</v>
      </c>
      <c r="D7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82828.6274147151</v>
      </c>
      <c r="E7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26733.605799348</v>
      </c>
      <c r="F7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13364.5493837427</v>
      </c>
      <c r="G7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5399.98568930935</v>
      </c>
      <c r="H7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17258.4827404661</v>
      </c>
    </row>
    <row r="713" ht="15" customHeight="1">
      <c r="B713" s="20">
        <v>706</v>
      </c>
      <c r="C713" s="21">
        <f t="shared" si="0"/>
        <v>118067.792072715</v>
      </c>
      <c r="D7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66435.4370913839</v>
      </c>
      <c r="E7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25243.7717163445</v>
      </c>
      <c r="F7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9704.17486398321</v>
      </c>
      <c r="G7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6292.12956947185</v>
      </c>
      <c r="H7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10392.2788315316</v>
      </c>
    </row>
    <row r="714" ht="15" customHeight="1">
      <c r="B714" s="20">
        <v>707</v>
      </c>
      <c r="C714" s="21">
        <f t="shared" si="0"/>
        <v>118267.376314386</v>
      </c>
      <c r="D7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53633.3054338503</v>
      </c>
      <c r="E7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32122.6197714909</v>
      </c>
      <c r="F7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12675.3976524968</v>
      </c>
      <c r="G7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3329.07077244976</v>
      </c>
      <c r="H7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16506.9826840986</v>
      </c>
    </row>
    <row r="715" ht="15" customHeight="1">
      <c r="B715" s="20">
        <v>708</v>
      </c>
      <c r="C715" s="21">
        <f t="shared" si="0"/>
        <v>140046.438103998</v>
      </c>
      <c r="D7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77403.3204873923</v>
      </c>
      <c r="E7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34766.6376042606</v>
      </c>
      <c r="F7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14605.0174353002</v>
      </c>
      <c r="G7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5610.95316330611</v>
      </c>
      <c r="H7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7660.5094137388</v>
      </c>
    </row>
    <row r="716" ht="15" customHeight="1">
      <c r="B716" s="20">
        <v>709</v>
      </c>
      <c r="C716" s="21">
        <f t="shared" si="0"/>
        <v>164913.5657487</v>
      </c>
      <c r="D7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103002.928427511</v>
      </c>
      <c r="E7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32110.9611972156</v>
      </c>
      <c r="F7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9816.0287141908</v>
      </c>
      <c r="G7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7245.64315012606</v>
      </c>
      <c r="H7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12738.0042596562</v>
      </c>
    </row>
    <row r="717" ht="15" customHeight="1">
      <c r="B717" s="20">
        <v>710</v>
      </c>
      <c r="C717" s="21">
        <f t="shared" si="0"/>
        <v>144951.666865271</v>
      </c>
      <c r="D7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64590.0652527378</v>
      </c>
      <c r="E7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41407.3283652775</v>
      </c>
      <c r="F7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15523.6456684932</v>
      </c>
      <c r="G7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5438.80496286928</v>
      </c>
      <c r="H7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17991.822615893</v>
      </c>
    </row>
    <row r="718" ht="15" customHeight="1">
      <c r="B718" s="20">
        <v>711</v>
      </c>
      <c r="C718" s="21">
        <f t="shared" si="0"/>
        <v>126019.079217829</v>
      </c>
      <c r="D7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61123.8739054072</v>
      </c>
      <c r="E7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32432.0180099075</v>
      </c>
      <c r="F7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16368.1128039972</v>
      </c>
      <c r="G7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6179.06249856046</v>
      </c>
      <c r="H7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9916.01199995669</v>
      </c>
    </row>
    <row r="719" ht="15" customHeight="1">
      <c r="B719" s="20">
        <v>712</v>
      </c>
      <c r="C719" s="21">
        <f t="shared" si="0"/>
        <v>158700.295549222</v>
      </c>
      <c r="D7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79526.1641084162</v>
      </c>
      <c r="E7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41306.0511061266</v>
      </c>
      <c r="F7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15105.1848927754</v>
      </c>
      <c r="G7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3846.20798872016</v>
      </c>
      <c r="H7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18916.6874531838</v>
      </c>
    </row>
    <row r="720" ht="15" customHeight="1">
      <c r="B720" s="20">
        <v>713</v>
      </c>
      <c r="C720" s="21">
        <f t="shared" si="0"/>
        <v>150806.634169952</v>
      </c>
      <c r="D7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87699.6234674664</v>
      </c>
      <c r="E7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34190.0398266125</v>
      </c>
      <c r="F7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15762.0792651504</v>
      </c>
      <c r="G7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5012.55736242796</v>
      </c>
      <c r="H7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8142.3342482945</v>
      </c>
    </row>
    <row r="721" ht="15" customHeight="1">
      <c r="B721" s="20">
        <v>714</v>
      </c>
      <c r="C721" s="21">
        <f t="shared" si="0"/>
        <v>119786.540642737</v>
      </c>
      <c r="D7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58124.3869575724</v>
      </c>
      <c r="E7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31936.8992202278</v>
      </c>
      <c r="F7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13349.2253911057</v>
      </c>
      <c r="G7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6388.30679307019</v>
      </c>
      <c r="H7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9987.72228076123</v>
      </c>
    </row>
    <row r="722" ht="15" customHeight="1">
      <c r="B722" s="20">
        <v>715</v>
      </c>
      <c r="C722" s="21">
        <f t="shared" si="0"/>
        <v>153768.092023552</v>
      </c>
      <c r="D7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97266.6705510954</v>
      </c>
      <c r="E7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29600.6335323139</v>
      </c>
      <c r="F7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12418.3812656311</v>
      </c>
      <c r="G7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6832.21141176378</v>
      </c>
      <c r="H7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7650.19526274735</v>
      </c>
    </row>
    <row r="723" ht="15" customHeight="1">
      <c r="B723" s="20">
        <v>716</v>
      </c>
      <c r="C723" s="21">
        <f t="shared" si="0"/>
        <v>170927.132946209</v>
      </c>
      <c r="D7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110243.792314704</v>
      </c>
      <c r="E7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26264.755772178</v>
      </c>
      <c r="F7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15982.4957743182</v>
      </c>
      <c r="G7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5809.33798839615</v>
      </c>
      <c r="H7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12626.7510966128</v>
      </c>
    </row>
    <row r="724" ht="15" customHeight="1">
      <c r="B724" s="20">
        <v>717</v>
      </c>
      <c r="C724" s="21">
        <f t="shared" si="0"/>
        <v>160445.796009459</v>
      </c>
      <c r="D7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108099.633358058</v>
      </c>
      <c r="E7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23144.9083411632</v>
      </c>
      <c r="F7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11688.5654233614</v>
      </c>
      <c r="G7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3337.80603803178</v>
      </c>
      <c r="H7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14174.8828488444</v>
      </c>
    </row>
    <row r="725" ht="15" customHeight="1">
      <c r="B725" s="20">
        <v>718</v>
      </c>
      <c r="C725" s="21">
        <f t="shared" si="0"/>
        <v>137171.129637634</v>
      </c>
      <c r="D7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78385.9411070448</v>
      </c>
      <c r="E7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33088.4637128889</v>
      </c>
      <c r="F7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11549.0527324907</v>
      </c>
      <c r="G7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5219.12126447148</v>
      </c>
      <c r="H7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8928.5508207377</v>
      </c>
    </row>
    <row r="726" ht="15" customHeight="1">
      <c r="B726" s="20">
        <v>719</v>
      </c>
      <c r="C726" s="21">
        <f t="shared" si="0"/>
        <v>174638.112220864</v>
      </c>
      <c r="D7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113205.100992219</v>
      </c>
      <c r="E7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33786.2018904698</v>
      </c>
      <c r="F7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12675.8578788451</v>
      </c>
      <c r="G7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5519.05227116112</v>
      </c>
      <c r="H7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9451.89918816922</v>
      </c>
    </row>
    <row r="727" ht="15" customHeight="1">
      <c r="B727" s="20">
        <v>720</v>
      </c>
      <c r="C727" s="21">
        <f t="shared" si="0"/>
        <v>134434.189395085</v>
      </c>
      <c r="D7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73052.7874142692</v>
      </c>
      <c r="E7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32919.243659738</v>
      </c>
      <c r="F7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11040.4217018412</v>
      </c>
      <c r="G7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5297.77189615943</v>
      </c>
      <c r="H7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12123.964723077</v>
      </c>
    </row>
    <row r="728" ht="15" customHeight="1">
      <c r="B728" s="20">
        <v>721</v>
      </c>
      <c r="C728" s="21">
        <f t="shared" si="0"/>
        <v>138285.649485714</v>
      </c>
      <c r="D7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71114.3894223207</v>
      </c>
      <c r="E7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35092.5063292185</v>
      </c>
      <c r="F7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12622.6341458835</v>
      </c>
      <c r="G7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4996.14748999987</v>
      </c>
      <c r="H7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14459.9720982911</v>
      </c>
    </row>
    <row r="729" ht="15" customHeight="1">
      <c r="B729" s="20">
        <v>722</v>
      </c>
      <c r="C729" s="21">
        <f t="shared" si="0"/>
        <v>150145.176065462</v>
      </c>
      <c r="D7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88136.8572906571</v>
      </c>
      <c r="E7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33753.6209421418</v>
      </c>
      <c r="F7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13838.4952203707</v>
      </c>
      <c r="G7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5455.98726939935</v>
      </c>
      <c r="H7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8960.21534289291</v>
      </c>
    </row>
    <row r="730" ht="15" customHeight="1">
      <c r="B730" s="20">
        <v>723</v>
      </c>
      <c r="C730" s="21">
        <f t="shared" si="0"/>
        <v>128159.547837699</v>
      </c>
      <c r="D7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64425.8563900431</v>
      </c>
      <c r="E7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30689.9394791557</v>
      </c>
      <c r="F7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9555.29673260937</v>
      </c>
      <c r="G7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6854.96277627135</v>
      </c>
      <c r="H7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16633.4924596198</v>
      </c>
    </row>
    <row r="731" ht="15" customHeight="1">
      <c r="B731" s="20">
        <v>724</v>
      </c>
      <c r="C731" s="21">
        <f t="shared" si="0"/>
        <v>162452.673710332</v>
      </c>
      <c r="D7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95900.4030816428</v>
      </c>
      <c r="E7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29644.2322251011</v>
      </c>
      <c r="F7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12563.1521598741</v>
      </c>
      <c r="G7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7192.31040004779</v>
      </c>
      <c r="H7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17152.5758436662</v>
      </c>
    </row>
    <row r="732" ht="15" customHeight="1">
      <c r="B732" s="20">
        <v>725</v>
      </c>
      <c r="C732" s="21">
        <f t="shared" si="0"/>
        <v>121163.266254334</v>
      </c>
      <c r="D7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68612.7087349807</v>
      </c>
      <c r="E7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24358.7238756561</v>
      </c>
      <c r="F7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11658.992291739</v>
      </c>
      <c r="G7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6208.84281826395</v>
      </c>
      <c r="H7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10323.9985336943</v>
      </c>
    </row>
    <row r="733" ht="15" customHeight="1">
      <c r="B733" s="20">
        <v>726</v>
      </c>
      <c r="C733" s="21">
        <f t="shared" si="0"/>
        <v>169322.772740423</v>
      </c>
      <c r="D7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104501.272026241</v>
      </c>
      <c r="E7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32159.1032370645</v>
      </c>
      <c r="F7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9482.47152059103</v>
      </c>
      <c r="G7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7009.09564394437</v>
      </c>
      <c r="H7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16170.8303125822</v>
      </c>
    </row>
    <row r="734" ht="15" customHeight="1">
      <c r="B734" s="20">
        <v>727</v>
      </c>
      <c r="C734" s="21">
        <f t="shared" si="0"/>
        <v>121240.576299084</v>
      </c>
      <c r="D7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69706.7194151623</v>
      </c>
      <c r="E7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28459.4316168931</v>
      </c>
      <c r="F7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9442.6228917376</v>
      </c>
      <c r="G7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4480.80348190635</v>
      </c>
      <c r="H7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9150.99889338514</v>
      </c>
    </row>
    <row r="735" ht="15" customHeight="1">
      <c r="B735" s="20">
        <v>728</v>
      </c>
      <c r="C735" s="21">
        <f t="shared" si="0"/>
        <v>110632.560474623</v>
      </c>
      <c r="D7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61676.2252734557</v>
      </c>
      <c r="E7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25886.1233694233</v>
      </c>
      <c r="F7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8391.05941421526</v>
      </c>
      <c r="G7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4460.9379446893</v>
      </c>
      <c r="H7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10218.214472839</v>
      </c>
    </row>
    <row r="736" ht="15" customHeight="1">
      <c r="B736" s="20">
        <v>729</v>
      </c>
      <c r="C736" s="21">
        <f t="shared" si="0"/>
        <v>142353.418999145</v>
      </c>
      <c r="D7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76097.3218766541</v>
      </c>
      <c r="E7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27455.7037138593</v>
      </c>
      <c r="F7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12040.4684906773</v>
      </c>
      <c r="G7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5768.0545246368</v>
      </c>
      <c r="H7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20991.8703933171</v>
      </c>
    </row>
    <row r="737" ht="15" customHeight="1">
      <c r="B737" s="20">
        <v>730</v>
      </c>
      <c r="C737" s="21">
        <f t="shared" si="0"/>
        <v>186569.929987407</v>
      </c>
      <c r="D7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106355.519921843</v>
      </c>
      <c r="E7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41960.9201155128</v>
      </c>
      <c r="F7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10236.0266044173</v>
      </c>
      <c r="G7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4830.2112415926</v>
      </c>
      <c r="H7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23187.252104041</v>
      </c>
    </row>
    <row r="738" ht="15" customHeight="1">
      <c r="B738" s="20">
        <v>731</v>
      </c>
      <c r="C738" s="21">
        <f t="shared" si="0"/>
        <v>145736.069887141</v>
      </c>
      <c r="D7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75604.2849907833</v>
      </c>
      <c r="E7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32934.3391020137</v>
      </c>
      <c r="F7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12661.0631215863</v>
      </c>
      <c r="G7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5858.5180020258</v>
      </c>
      <c r="H7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18677.8646707321</v>
      </c>
    </row>
    <row r="739" ht="15" customHeight="1">
      <c r="B739" s="20">
        <v>732</v>
      </c>
      <c r="C739" s="21">
        <f t="shared" si="0"/>
        <v>174057.309314489</v>
      </c>
      <c r="D7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103588.837515996</v>
      </c>
      <c r="E7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32219.5155923921</v>
      </c>
      <c r="F7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14416.8617288225</v>
      </c>
      <c r="G7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6562.59006546179</v>
      </c>
      <c r="H7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17269.5044118169</v>
      </c>
    </row>
    <row r="740" ht="15" customHeight="1">
      <c r="B740" s="20">
        <v>733</v>
      </c>
      <c r="C740" s="21">
        <f t="shared" si="0"/>
        <v>134643.324126583</v>
      </c>
      <c r="D7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71184.3836596746</v>
      </c>
      <c r="E7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35267.9394844573</v>
      </c>
      <c r="F7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11832.2398257879</v>
      </c>
      <c r="G7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4742.06800143028</v>
      </c>
      <c r="H7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11616.693155233</v>
      </c>
    </row>
    <row r="741" ht="15" customHeight="1">
      <c r="B741" s="20">
        <v>734</v>
      </c>
      <c r="C741" s="21">
        <f t="shared" si="0"/>
        <v>166871.363188673</v>
      </c>
      <c r="D7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88182.8236286513</v>
      </c>
      <c r="E7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35428.6954493337</v>
      </c>
      <c r="F7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14352.008576251</v>
      </c>
      <c r="G7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6956.31789596845</v>
      </c>
      <c r="H7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21951.5176384685</v>
      </c>
    </row>
    <row r="742" ht="15" customHeight="1">
      <c r="B742" s="20">
        <v>735</v>
      </c>
      <c r="C742" s="21">
        <f t="shared" si="0"/>
        <v>124288.378307677</v>
      </c>
      <c r="D7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57768.768549536</v>
      </c>
      <c r="E7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31207.8611131376</v>
      </c>
      <c r="F7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14521.5480869152</v>
      </c>
      <c r="G7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4976.43858885734</v>
      </c>
      <c r="H7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15813.7619692312</v>
      </c>
    </row>
    <row r="743" ht="15" customHeight="1">
      <c r="B743" s="20">
        <v>736</v>
      </c>
      <c r="C743" s="21">
        <f t="shared" si="0"/>
        <v>114992.935609434</v>
      </c>
      <c r="D7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51517.6340941085</v>
      </c>
      <c r="E7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32888.0537277152</v>
      </c>
      <c r="F7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12391.8117635953</v>
      </c>
      <c r="G7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3598.29024784595</v>
      </c>
      <c r="H7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14597.145776169</v>
      </c>
    </row>
    <row r="744" ht="15" customHeight="1">
      <c r="B744" s="20">
        <v>737</v>
      </c>
      <c r="C744" s="21">
        <f t="shared" si="0"/>
        <v>177793.62789896</v>
      </c>
      <c r="D7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104797.622636596</v>
      </c>
      <c r="E7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34248.7831066329</v>
      </c>
      <c r="F7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13438.0845937047</v>
      </c>
      <c r="G7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7066.51964157594</v>
      </c>
      <c r="H7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18242.6179204509</v>
      </c>
    </row>
    <row r="745" ht="15" customHeight="1">
      <c r="B745" s="20">
        <v>738</v>
      </c>
      <c r="C745" s="21">
        <f t="shared" si="0"/>
        <v>174272.946934649</v>
      </c>
      <c r="D7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111332.950512823</v>
      </c>
      <c r="E7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24545.2313655175</v>
      </c>
      <c r="F7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15986.3061765449</v>
      </c>
      <c r="G7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5734.26434600371</v>
      </c>
      <c r="H7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16674.1945337601</v>
      </c>
    </row>
    <row r="746" ht="15" customHeight="1">
      <c r="B746" s="20">
        <v>739</v>
      </c>
      <c r="C746" s="21">
        <f t="shared" si="0"/>
        <v>173460.634823498</v>
      </c>
      <c r="D7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102927.625945931</v>
      </c>
      <c r="E7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35883.448043305</v>
      </c>
      <c r="F7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11156.7193427616</v>
      </c>
      <c r="G7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5054.65360172073</v>
      </c>
      <c r="H7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18438.1878897794</v>
      </c>
    </row>
    <row r="747" ht="15" customHeight="1">
      <c r="B747" s="20">
        <v>740</v>
      </c>
      <c r="C747" s="21">
        <f t="shared" si="0"/>
        <v>139313.985719468</v>
      </c>
      <c r="D7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76054.5123202975</v>
      </c>
      <c r="E7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33118.9117444465</v>
      </c>
      <c r="F7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13504.9566747792</v>
      </c>
      <c r="G7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5493.65803255954</v>
      </c>
      <c r="H7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11141.946947385</v>
      </c>
    </row>
    <row r="748" ht="15" customHeight="1">
      <c r="B748" s="20">
        <v>741</v>
      </c>
      <c r="C748" s="21">
        <f t="shared" si="0"/>
        <v>129374.435942529</v>
      </c>
      <c r="D7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73283.382828155</v>
      </c>
      <c r="E7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25342.3385800871</v>
      </c>
      <c r="F7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14565.2792148419</v>
      </c>
      <c r="G7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7378.31775644156</v>
      </c>
      <c r="H7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8805.11756300391</v>
      </c>
    </row>
    <row r="749" ht="15" customHeight="1">
      <c r="B749" s="20">
        <v>742</v>
      </c>
      <c r="C749" s="21">
        <f t="shared" si="0"/>
        <v>138602.339453734</v>
      </c>
      <c r="D7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60168.9598180929</v>
      </c>
      <c r="E7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35543.5233167424</v>
      </c>
      <c r="F7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15293.8519981969</v>
      </c>
      <c r="G7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6149.17384234076</v>
      </c>
      <c r="H7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21446.8304783612</v>
      </c>
    </row>
    <row r="750" ht="15" customHeight="1">
      <c r="B750" s="20">
        <v>743</v>
      </c>
      <c r="C750" s="21">
        <f t="shared" si="0"/>
        <v>144573.659990025</v>
      </c>
      <c r="D7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72434.560937459</v>
      </c>
      <c r="E7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36455.1090797287</v>
      </c>
      <c r="F7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15881.587369993</v>
      </c>
      <c r="G7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5903.87146830164</v>
      </c>
      <c r="H7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13898.531134543</v>
      </c>
    </row>
    <row r="751" ht="15" customHeight="1">
      <c r="B751" s="20">
        <v>744</v>
      </c>
      <c r="C751" s="21">
        <f t="shared" si="0"/>
        <v>165415.0375118</v>
      </c>
      <c r="D7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103581.958313665</v>
      </c>
      <c r="E7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36076.2105185102</v>
      </c>
      <c r="F7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12023.6575094699</v>
      </c>
      <c r="G7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5066.37368912198</v>
      </c>
      <c r="H7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8666.83748103341</v>
      </c>
    </row>
    <row r="752" ht="15" customHeight="1">
      <c r="B752" s="20">
        <v>745</v>
      </c>
      <c r="C752" s="21">
        <f t="shared" si="0"/>
        <v>166975.308259811</v>
      </c>
      <c r="D7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92632.1176716799</v>
      </c>
      <c r="E7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41341.8577609164</v>
      </c>
      <c r="F7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14288.0383625993</v>
      </c>
      <c r="G7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4617.66060642917</v>
      </c>
      <c r="H7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14095.6338581858</v>
      </c>
    </row>
    <row r="753" ht="15" customHeight="1">
      <c r="B753" s="20">
        <v>746</v>
      </c>
      <c r="C753" s="21">
        <f t="shared" si="0"/>
        <v>138890.249323714</v>
      </c>
      <c r="D7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67015.3961451988</v>
      </c>
      <c r="E7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39238.0366075639</v>
      </c>
      <c r="F7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12534.3183281478</v>
      </c>
      <c r="G7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4783.70551299246</v>
      </c>
      <c r="H7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15318.7927298113</v>
      </c>
    </row>
    <row r="754" ht="15" customHeight="1">
      <c r="B754" s="20">
        <v>747</v>
      </c>
      <c r="C754" s="21">
        <f t="shared" si="0"/>
        <v>152724.979217629</v>
      </c>
      <c r="D7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86360.9873646097</v>
      </c>
      <c r="E7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32702.9528955591</v>
      </c>
      <c r="F7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11933.5307078265</v>
      </c>
      <c r="G7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6554.15189088581</v>
      </c>
      <c r="H7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15173.3563587474</v>
      </c>
    </row>
    <row r="755" ht="15" customHeight="1">
      <c r="B755" s="20">
        <v>748</v>
      </c>
      <c r="C755" s="21">
        <f t="shared" si="0"/>
        <v>157753.879750162</v>
      </c>
      <c r="D7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87294.9566424934</v>
      </c>
      <c r="E7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32501.4048963997</v>
      </c>
      <c r="F7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9942.54371925468</v>
      </c>
      <c r="G7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4202.36200810233</v>
      </c>
      <c r="H7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23812.6124839123</v>
      </c>
    </row>
    <row r="756" ht="15" customHeight="1">
      <c r="B756" s="20">
        <v>749</v>
      </c>
      <c r="C756" s="21">
        <f t="shared" si="0"/>
        <v>162963.796435589</v>
      </c>
      <c r="D7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99289.2602987583</v>
      </c>
      <c r="E7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31421.5030543283</v>
      </c>
      <c r="F7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12854.7859375638</v>
      </c>
      <c r="G7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4265.42427118337</v>
      </c>
      <c r="H7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15132.8228737553</v>
      </c>
    </row>
    <row r="757" ht="15" customHeight="1">
      <c r="B757" s="20">
        <v>750</v>
      </c>
      <c r="C757" s="21">
        <f t="shared" si="0"/>
        <v>138257.473228697</v>
      </c>
      <c r="D7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83632.914427145</v>
      </c>
      <c r="E7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26309.2318847746</v>
      </c>
      <c r="F7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12788.3491083777</v>
      </c>
      <c r="G7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5742.29792439182</v>
      </c>
      <c r="H7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9784.67988400793</v>
      </c>
    </row>
    <row r="758" ht="15" customHeight="1">
      <c r="B758" s="20">
        <v>751</v>
      </c>
      <c r="C758" s="21">
        <f t="shared" si="0"/>
        <v>143664.653707455</v>
      </c>
      <c r="D7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81668.5293993664</v>
      </c>
      <c r="E7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31420.6097775525</v>
      </c>
      <c r="F7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10728.3712971189</v>
      </c>
      <c r="G7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5356.30703336307</v>
      </c>
      <c r="H7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14490.8362000537</v>
      </c>
    </row>
    <row r="759" ht="15" customHeight="1">
      <c r="B759" s="20">
        <v>752</v>
      </c>
      <c r="C759" s="21">
        <f t="shared" si="0"/>
        <v>136222.41491679</v>
      </c>
      <c r="D7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73133.7059595422</v>
      </c>
      <c r="E7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29284.5740546697</v>
      </c>
      <c r="F7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10136.4889075832</v>
      </c>
      <c r="G7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6680.94950777569</v>
      </c>
      <c r="H7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16986.6964872192</v>
      </c>
    </row>
    <row r="760" ht="15" customHeight="1">
      <c r="B760" s="20">
        <v>753</v>
      </c>
      <c r="C760" s="21">
        <f t="shared" si="0"/>
        <v>129707.904955442</v>
      </c>
      <c r="D7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68921.4000201748</v>
      </c>
      <c r="E7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28546.4598834418</v>
      </c>
      <c r="F7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13931.8599030514</v>
      </c>
      <c r="G7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5276.15567844338</v>
      </c>
      <c r="H7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13032.0294703302</v>
      </c>
    </row>
    <row r="761" ht="15" customHeight="1">
      <c r="B761" s="20">
        <v>754</v>
      </c>
      <c r="C761" s="21">
        <f t="shared" si="0"/>
        <v>168792.798926665</v>
      </c>
      <c r="D7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105356.66402546</v>
      </c>
      <c r="E7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36753.5676235183</v>
      </c>
      <c r="F7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11588.0621072959</v>
      </c>
      <c r="G7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4031.58386453778</v>
      </c>
      <c r="H7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11062.9213058527</v>
      </c>
    </row>
    <row r="762" ht="15" customHeight="1">
      <c r="B762" s="20">
        <v>755</v>
      </c>
      <c r="C762" s="21">
        <f t="shared" si="0"/>
        <v>123799.12870688</v>
      </c>
      <c r="D7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61262.6360090395</v>
      </c>
      <c r="E7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30589.3015403603</v>
      </c>
      <c r="F7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14958.4708638217</v>
      </c>
      <c r="G7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5553.47023458006</v>
      </c>
      <c r="H7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11435.2500590788</v>
      </c>
    </row>
    <row r="763" ht="15" customHeight="1">
      <c r="B763" s="20">
        <v>756</v>
      </c>
      <c r="C763" s="21">
        <f t="shared" si="0"/>
        <v>158833.167410717</v>
      </c>
      <c r="D7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92098.0328905987</v>
      </c>
      <c r="E7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34324.2659924064</v>
      </c>
      <c r="F7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13308.0011026214</v>
      </c>
      <c r="G7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4578.47927320406</v>
      </c>
      <c r="H7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14524.3881518866</v>
      </c>
    </row>
    <row r="764" ht="15" customHeight="1">
      <c r="B764" s="20">
        <v>757</v>
      </c>
      <c r="C764" s="21">
        <f t="shared" si="0"/>
        <v>151284.003326607</v>
      </c>
      <c r="D7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91698.8470776261</v>
      </c>
      <c r="E7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30529.8347191384</v>
      </c>
      <c r="F7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14103.3009241792</v>
      </c>
      <c r="G7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4486.60154740365</v>
      </c>
      <c r="H7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10465.4190582594</v>
      </c>
    </row>
    <row r="765" ht="15" customHeight="1">
      <c r="B765" s="20">
        <v>758</v>
      </c>
      <c r="C765" s="21">
        <f t="shared" si="0"/>
        <v>165525.570824383</v>
      </c>
      <c r="D7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94483.9106121601</v>
      </c>
      <c r="E7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35521.5389474815</v>
      </c>
      <c r="F7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13622.0554712457</v>
      </c>
      <c r="G7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6039.23675368319</v>
      </c>
      <c r="H7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15858.8290398125</v>
      </c>
    </row>
    <row r="766" ht="15" customHeight="1">
      <c r="B766" s="20">
        <v>759</v>
      </c>
      <c r="C766" s="21">
        <f t="shared" si="0"/>
        <v>159759.44723921</v>
      </c>
      <c r="D7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83206.8137177002</v>
      </c>
      <c r="E7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37366.0795755713</v>
      </c>
      <c r="F7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13898.6203789837</v>
      </c>
      <c r="G7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6523.32947152187</v>
      </c>
      <c r="H7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18764.6040954328</v>
      </c>
    </row>
    <row r="767" ht="15" customHeight="1">
      <c r="B767" s="20">
        <v>760</v>
      </c>
      <c r="C767" s="21">
        <f t="shared" si="0"/>
        <v>160148.259530627</v>
      </c>
      <c r="D7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84139.377707211</v>
      </c>
      <c r="E7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37880.8665050652</v>
      </c>
      <c r="F7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11983.3629151506</v>
      </c>
      <c r="G7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7053.53207754671</v>
      </c>
      <c r="H7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19091.1203256531</v>
      </c>
    </row>
    <row r="768" ht="15" customHeight="1">
      <c r="B768" s="20">
        <v>761</v>
      </c>
      <c r="C768" s="21">
        <f t="shared" si="0"/>
        <v>129932.228669164</v>
      </c>
      <c r="D7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67252.5701556965</v>
      </c>
      <c r="E7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27852.838093604</v>
      </c>
      <c r="F7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11673.5535620607</v>
      </c>
      <c r="G7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4854.91701823983</v>
      </c>
      <c r="H7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18298.3498395632</v>
      </c>
    </row>
    <row r="769" ht="15" customHeight="1">
      <c r="B769" s="20">
        <v>762</v>
      </c>
      <c r="C769" s="21">
        <f t="shared" si="0"/>
        <v>135813.194306342</v>
      </c>
      <c r="D7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71094.6774679039</v>
      </c>
      <c r="E7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33028.9142586252</v>
      </c>
      <c r="F7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14057.3711395641</v>
      </c>
      <c r="G7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5522.78136497396</v>
      </c>
      <c r="H7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12109.4500752751</v>
      </c>
    </row>
    <row r="770" ht="15" customHeight="1">
      <c r="B770" s="20">
        <v>763</v>
      </c>
      <c r="C770" s="21">
        <f t="shared" si="0"/>
        <v>150686.879318489</v>
      </c>
      <c r="D7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75734.927006784</v>
      </c>
      <c r="E7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35824.6039396822</v>
      </c>
      <c r="F7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14415.524644999</v>
      </c>
      <c r="G7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4294.13067117892</v>
      </c>
      <c r="H7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20417.6930558446</v>
      </c>
    </row>
    <row r="771" ht="15" customHeight="1">
      <c r="B771" s="20">
        <v>764</v>
      </c>
      <c r="C771" s="21">
        <f t="shared" si="0"/>
        <v>117528.633344138</v>
      </c>
      <c r="D7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62976.0288692496</v>
      </c>
      <c r="E7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23718.2066193432</v>
      </c>
      <c r="F7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11751.7293996299</v>
      </c>
      <c r="G7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6547.13346868956</v>
      </c>
      <c r="H7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12535.5349872257</v>
      </c>
    </row>
    <row r="772" ht="15" customHeight="1">
      <c r="B772" s="20">
        <v>765</v>
      </c>
      <c r="C772" s="21">
        <f t="shared" si="0"/>
        <v>146621.2994191</v>
      </c>
      <c r="D7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82549.8685850045</v>
      </c>
      <c r="E7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29769.1393614419</v>
      </c>
      <c r="F7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13401.8991470136</v>
      </c>
      <c r="G7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4642.38955281878</v>
      </c>
      <c r="H7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16258.0027728213</v>
      </c>
    </row>
    <row r="773" ht="15" customHeight="1">
      <c r="B773" s="20">
        <v>766</v>
      </c>
      <c r="C773" s="21">
        <f t="shared" si="0"/>
        <v>152290.281882743</v>
      </c>
      <c r="D7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95144.968545492</v>
      </c>
      <c r="E7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21172.0961503379</v>
      </c>
      <c r="F7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16877.3411016337</v>
      </c>
      <c r="G7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4017.11608477493</v>
      </c>
      <c r="H7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15078.7600005049</v>
      </c>
    </row>
    <row r="774" ht="15" customHeight="1">
      <c r="B774" s="20">
        <v>767</v>
      </c>
      <c r="C774" s="21">
        <f t="shared" si="0"/>
        <v>148591.603601762</v>
      </c>
      <c r="D7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92921.5671317516</v>
      </c>
      <c r="E7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29545.9079317069</v>
      </c>
      <c r="F7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10942.2491469015</v>
      </c>
      <c r="G7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5227.77559176075</v>
      </c>
      <c r="H7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9954.10379964092</v>
      </c>
    </row>
    <row r="775" ht="15" customHeight="1">
      <c r="B775" s="20">
        <v>768</v>
      </c>
      <c r="C775" s="21">
        <f t="shared" si="0"/>
        <v>121557.595884797</v>
      </c>
      <c r="D7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67679.2463035893</v>
      </c>
      <c r="E7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29570.8528107605</v>
      </c>
      <c r="F7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9579.96612936789</v>
      </c>
      <c r="G7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5423.35196879869</v>
      </c>
      <c r="H7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9304.17867228061</v>
      </c>
    </row>
    <row r="776" ht="15" customHeight="1">
      <c r="B776" s="20">
        <v>769</v>
      </c>
      <c r="C776" s="21">
        <f t="shared" si="0"/>
        <v>140795.157323472</v>
      </c>
      <c r="D7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80998.211986683</v>
      </c>
      <c r="E7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34550.0756561654</v>
      </c>
      <c r="F7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10315.7171892001</v>
      </c>
      <c r="G7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4605.64842873408</v>
      </c>
      <c r="H7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10325.504062689</v>
      </c>
    </row>
    <row r="777" ht="15" customHeight="1">
      <c r="B777" s="20">
        <v>770</v>
      </c>
      <c r="C777" s="21">
        <f t="shared" si="0"/>
        <v>133450.697175914</v>
      </c>
      <c r="D7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74206.5628027355</v>
      </c>
      <c r="E7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35295.0834558435</v>
      </c>
      <c r="F7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9312.3937178355</v>
      </c>
      <c r="G7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5123.99669704423</v>
      </c>
      <c r="H7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9512.6605024549</v>
      </c>
    </row>
    <row r="778" ht="15" customHeight="1">
      <c r="B778" s="20">
        <v>771</v>
      </c>
      <c r="C778" s="21">
        <f t="shared" si="0"/>
        <v>154278.59007273</v>
      </c>
      <c r="D7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85676.9953642069</v>
      </c>
      <c r="E7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36010.9252554428</v>
      </c>
      <c r="F7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12437.6099759466</v>
      </c>
      <c r="G7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6428.91362274529</v>
      </c>
      <c r="H7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13724.1458543884</v>
      </c>
    </row>
    <row r="779" ht="15" customHeight="1">
      <c r="B779" s="20">
        <v>772</v>
      </c>
      <c r="C779" s="21">
        <f t="shared" si="0"/>
        <v>138792.53788966</v>
      </c>
      <c r="D7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76367.7304624128</v>
      </c>
      <c r="E7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32694.1136945393</v>
      </c>
      <c r="F7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16619.0341554092</v>
      </c>
      <c r="G7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4251.95817457846</v>
      </c>
      <c r="H7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8859.70140271989</v>
      </c>
    </row>
    <row r="780" ht="15" customHeight="1">
      <c r="B780" s="20">
        <v>773</v>
      </c>
      <c r="C780" s="21">
        <f t="shared" si="0"/>
        <v>157638.573684396</v>
      </c>
      <c r="D7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95469.5830076919</v>
      </c>
      <c r="E7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33570.7827872022</v>
      </c>
      <c r="F7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9274.93097500761</v>
      </c>
      <c r="G7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6364.56350781926</v>
      </c>
      <c r="H7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12958.7134066754</v>
      </c>
    </row>
    <row r="781" ht="15" customHeight="1">
      <c r="B781" s="20">
        <v>774</v>
      </c>
      <c r="C781" s="21">
        <f t="shared" si="0"/>
        <v>172508.505248286</v>
      </c>
      <c r="D7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108235.091876596</v>
      </c>
      <c r="E7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27698.1010452961</v>
      </c>
      <c r="F7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13255.7601010515</v>
      </c>
      <c r="G7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5807.86797569556</v>
      </c>
      <c r="H7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17511.6842496468</v>
      </c>
    </row>
    <row r="782" ht="15" customHeight="1">
      <c r="B782" s="20">
        <v>775</v>
      </c>
      <c r="C782" s="21">
        <f t="shared" si="0"/>
        <v>176031.412959136</v>
      </c>
      <c r="D7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107250.617420751</v>
      </c>
      <c r="E7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26521.9656891917</v>
      </c>
      <c r="F7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13737.026214998</v>
      </c>
      <c r="G7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6478.17684356261</v>
      </c>
      <c r="H7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22043.6267906331</v>
      </c>
    </row>
    <row r="783" ht="15" customHeight="1">
      <c r="B783" s="20">
        <v>776</v>
      </c>
      <c r="C783" s="21">
        <f t="shared" si="0"/>
        <v>157932.585410995</v>
      </c>
      <c r="D7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90406.3686333838</v>
      </c>
      <c r="E7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35844.25856243</v>
      </c>
      <c r="F7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11473.6231859936</v>
      </c>
      <c r="G7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5875.20184612983</v>
      </c>
      <c r="H7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14333.1331830576</v>
      </c>
    </row>
    <row r="784" ht="15" customHeight="1">
      <c r="B784" s="20">
        <v>777</v>
      </c>
      <c r="C784" s="21">
        <f t="shared" si="0"/>
        <v>154730.504017992</v>
      </c>
      <c r="D7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83026.2355991246</v>
      </c>
      <c r="E7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44021.3963585755</v>
      </c>
      <c r="F7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8362.77881123721</v>
      </c>
      <c r="G7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4295.27437518966</v>
      </c>
      <c r="H7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15024.8188738648</v>
      </c>
    </row>
    <row r="785" ht="15" customHeight="1">
      <c r="B785" s="20">
        <v>778</v>
      </c>
      <c r="C785" s="21">
        <f t="shared" si="0"/>
        <v>131508.268344908</v>
      </c>
      <c r="D7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77052.1553373119</v>
      </c>
      <c r="E7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23759.6721751943</v>
      </c>
      <c r="F7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16437.8008155784</v>
      </c>
      <c r="G7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5038.3682731519</v>
      </c>
      <c r="H7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9220.27174367167</v>
      </c>
    </row>
    <row r="786" ht="15" customHeight="1">
      <c r="B786" s="20">
        <v>779</v>
      </c>
      <c r="C786" s="21">
        <f t="shared" si="0"/>
        <v>124840.464689017</v>
      </c>
      <c r="D7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72320.7975170694</v>
      </c>
      <c r="E7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25835.4529752478</v>
      </c>
      <c r="F7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12464.0278609104</v>
      </c>
      <c r="G7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4450.81881185429</v>
      </c>
      <c r="H7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9769.36752393499</v>
      </c>
    </row>
    <row r="787" ht="15" customHeight="1">
      <c r="B787" s="20">
        <v>780</v>
      </c>
      <c r="C787" s="21">
        <f t="shared" si="0"/>
        <v>138487.008904555</v>
      </c>
      <c r="D7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74279.6539732269</v>
      </c>
      <c r="E7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25791.188956739</v>
      </c>
      <c r="F7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12459.944948873</v>
      </c>
      <c r="G7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5129.94054568481</v>
      </c>
      <c r="H7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20826.2804800315</v>
      </c>
    </row>
    <row r="788" ht="15" customHeight="1">
      <c r="B788" s="20">
        <v>781</v>
      </c>
      <c r="C788" s="21">
        <f t="shared" si="0"/>
        <v>125843.078008035</v>
      </c>
      <c r="D7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67613.7824256351</v>
      </c>
      <c r="E7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26275.3678721082</v>
      </c>
      <c r="F7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10259.3309803386</v>
      </c>
      <c r="G7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6341.3875162398</v>
      </c>
      <c r="H7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15353.2092137135</v>
      </c>
    </row>
    <row r="789" ht="15" customHeight="1">
      <c r="B789" s="20">
        <v>782</v>
      </c>
      <c r="C789" s="21">
        <f t="shared" si="0"/>
        <v>158064.378097502</v>
      </c>
      <c r="D7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97588.3168469769</v>
      </c>
      <c r="E7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32950.2803205417</v>
      </c>
      <c r="F7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13288.9268891609</v>
      </c>
      <c r="G7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5274.56195189775</v>
      </c>
      <c r="H7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8962.2920889248</v>
      </c>
    </row>
    <row r="790" ht="15" customHeight="1">
      <c r="B790" s="20">
        <v>783</v>
      </c>
      <c r="C790" s="21">
        <f t="shared" si="0"/>
        <v>147095.402082696</v>
      </c>
      <c r="D7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85369.0949748131</v>
      </c>
      <c r="E7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29889.4975410349</v>
      </c>
      <c r="F7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15772.1812113401</v>
      </c>
      <c r="G7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4163.83774337628</v>
      </c>
      <c r="H7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11900.7906121316</v>
      </c>
    </row>
    <row r="791" ht="15" customHeight="1">
      <c r="B791" s="20">
        <v>784</v>
      </c>
      <c r="C791" s="21">
        <f t="shared" si="0"/>
        <v>139384.138680921</v>
      </c>
      <c r="D7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82330.409089913</v>
      </c>
      <c r="E7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27872.7280245352</v>
      </c>
      <c r="F7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12941.5595959939</v>
      </c>
      <c r="G7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5039.09737584118</v>
      </c>
      <c r="H7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11200.3445946381</v>
      </c>
    </row>
    <row r="792" ht="15" customHeight="1">
      <c r="B792" s="20">
        <v>785</v>
      </c>
      <c r="C792" s="21">
        <f t="shared" si="0"/>
        <v>139450.897490534</v>
      </c>
      <c r="D7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74385.9349803175</v>
      </c>
      <c r="E7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34514.1000138856</v>
      </c>
      <c r="F7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9305.67835766935</v>
      </c>
      <c r="G7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4258.91600713856</v>
      </c>
      <c r="H7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16986.268131523</v>
      </c>
    </row>
    <row r="793" ht="15" customHeight="1">
      <c r="B793" s="20">
        <v>786</v>
      </c>
      <c r="C793" s="21">
        <f t="shared" si="0"/>
        <v>144361.906107626</v>
      </c>
      <c r="D7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71734.4172704582</v>
      </c>
      <c r="E7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30068.0569617161</v>
      </c>
      <c r="F7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14267.6902115648</v>
      </c>
      <c r="G7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6393.52227180319</v>
      </c>
      <c r="H7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21898.2193920833</v>
      </c>
    </row>
    <row r="794" ht="15" customHeight="1">
      <c r="B794" s="20">
        <v>787</v>
      </c>
      <c r="C794" s="21">
        <f t="shared" si="0"/>
        <v>134330.715328403</v>
      </c>
      <c r="D7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79475.0535104752</v>
      </c>
      <c r="E7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31560.9047615237</v>
      </c>
      <c r="F7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11553.9229857901</v>
      </c>
      <c r="G7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5742.19254773202</v>
      </c>
      <c r="H7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5998.64152288217</v>
      </c>
    </row>
    <row r="795" ht="15" customHeight="1">
      <c r="B795" s="20">
        <v>788</v>
      </c>
      <c r="C795" s="21">
        <f t="shared" si="0"/>
        <v>145561.944628387</v>
      </c>
      <c r="D7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78248.0218192012</v>
      </c>
      <c r="E7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27307.4068927054</v>
      </c>
      <c r="F7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14063.2358155386</v>
      </c>
      <c r="G7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5600.2106727672</v>
      </c>
      <c r="H7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20343.0694281741</v>
      </c>
    </row>
    <row r="796" ht="15" customHeight="1">
      <c r="B796" s="20">
        <v>789</v>
      </c>
      <c r="C796" s="21">
        <f t="shared" si="0"/>
        <v>141118.045396613</v>
      </c>
      <c r="D7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78478.334729377</v>
      </c>
      <c r="E7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34251.742614975</v>
      </c>
      <c r="F7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11912.439427099</v>
      </c>
      <c r="G7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5464.21319304254</v>
      </c>
      <c r="H7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11011.3154321193</v>
      </c>
    </row>
    <row r="797" ht="15" customHeight="1">
      <c r="B797" s="20">
        <v>790</v>
      </c>
      <c r="C797" s="21">
        <f t="shared" si="0"/>
        <v>129528.612678042</v>
      </c>
      <c r="D7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61064.4448301624</v>
      </c>
      <c r="E7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30421.0534630182</v>
      </c>
      <c r="F7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12782.4429944696</v>
      </c>
      <c r="G7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4998.5159575098</v>
      </c>
      <c r="H7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20262.1554328818</v>
      </c>
    </row>
    <row r="798" ht="15" customHeight="1">
      <c r="B798" s="20">
        <v>791</v>
      </c>
      <c r="C798" s="21">
        <f t="shared" si="0"/>
        <v>133740.57040659</v>
      </c>
      <c r="D7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64155.842565002</v>
      </c>
      <c r="E7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30487.140387071</v>
      </c>
      <c r="F7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11680.9087205456</v>
      </c>
      <c r="G7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6960.259855992</v>
      </c>
      <c r="H7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20456.4188779794</v>
      </c>
    </row>
    <row r="799" ht="15" customHeight="1">
      <c r="B799" s="20">
        <v>792</v>
      </c>
      <c r="C799" s="21">
        <f t="shared" si="0"/>
        <v>133217.830553166</v>
      </c>
      <c r="D7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79470.7135167838</v>
      </c>
      <c r="E7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27864.7798009249</v>
      </c>
      <c r="F7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12090.1083952463</v>
      </c>
      <c r="G7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4332.62289241034</v>
      </c>
      <c r="H7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9459.60594780037</v>
      </c>
    </row>
    <row r="800" ht="15" customHeight="1">
      <c r="B800" s="20">
        <v>793</v>
      </c>
      <c r="C800" s="21">
        <f t="shared" si="0"/>
        <v>128712.657812528</v>
      </c>
      <c r="D8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66873.6424247881</v>
      </c>
      <c r="E8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22883.4334589779</v>
      </c>
      <c r="F8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16449.687386291</v>
      </c>
      <c r="G8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5607.84390963738</v>
      </c>
      <c r="H8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16898.0506328339</v>
      </c>
    </row>
    <row r="801" ht="15" customHeight="1">
      <c r="B801" s="20">
        <v>794</v>
      </c>
      <c r="C801" s="21">
        <f t="shared" si="0"/>
        <v>178811.654883941</v>
      </c>
      <c r="D8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113475.947927104</v>
      </c>
      <c r="E8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33093.4766301265</v>
      </c>
      <c r="F8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10251.7198356523</v>
      </c>
      <c r="G8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6189.4377900514</v>
      </c>
      <c r="H8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15801.0727010065</v>
      </c>
    </row>
    <row r="802" ht="15" customHeight="1">
      <c r="B802" s="20">
        <v>795</v>
      </c>
      <c r="C802" s="21">
        <f t="shared" si="0"/>
        <v>157371.065273535</v>
      </c>
      <c r="D8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95629.8386950853</v>
      </c>
      <c r="E8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26641.3941511944</v>
      </c>
      <c r="F8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11353.7964019239</v>
      </c>
      <c r="G8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5869.51353184118</v>
      </c>
      <c r="H8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17876.5224934902</v>
      </c>
    </row>
    <row r="803" ht="15" customHeight="1">
      <c r="B803" s="20">
        <v>796</v>
      </c>
      <c r="C803" s="21">
        <f t="shared" si="0"/>
        <v>137384.144334585</v>
      </c>
      <c r="D8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85928.5624236591</v>
      </c>
      <c r="E8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27339.5195926255</v>
      </c>
      <c r="F8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10939.4327835954</v>
      </c>
      <c r="G8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4238.01987963385</v>
      </c>
      <c r="H8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8938.60965507103</v>
      </c>
    </row>
    <row r="804" ht="15" customHeight="1">
      <c r="B804" s="20">
        <v>797</v>
      </c>
      <c r="C804" s="21">
        <f t="shared" si="0"/>
        <v>162494.306922408</v>
      </c>
      <c r="D8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100570.362929691</v>
      </c>
      <c r="E8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33859.5148728354</v>
      </c>
      <c r="F8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13404.9745452422</v>
      </c>
      <c r="G8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5367.24125271378</v>
      </c>
      <c r="H8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9292.21332192554</v>
      </c>
    </row>
    <row r="805" ht="15" customHeight="1">
      <c r="B805" s="20">
        <v>798</v>
      </c>
      <c r="C805" s="21">
        <f t="shared" si="0"/>
        <v>157198.756127258</v>
      </c>
      <c r="D8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94470.0310064787</v>
      </c>
      <c r="E8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32302.0355153821</v>
      </c>
      <c r="F8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14739.737550373</v>
      </c>
      <c r="G8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5114.89274064481</v>
      </c>
      <c r="H8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10572.0593143795</v>
      </c>
    </row>
    <row r="806" ht="15" customHeight="1">
      <c r="B806" s="20">
        <v>799</v>
      </c>
      <c r="C806" s="21">
        <f t="shared" si="0"/>
        <v>139570.794017001</v>
      </c>
      <c r="D8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75592.9265389887</v>
      </c>
      <c r="E8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31976.0398190819</v>
      </c>
      <c r="F8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15453.4799111666</v>
      </c>
      <c r="G8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5585.583658715</v>
      </c>
      <c r="H8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10962.7640890491</v>
      </c>
    </row>
    <row r="807" ht="15" customHeight="1">
      <c r="B807" s="20">
        <v>800</v>
      </c>
      <c r="C807" s="21">
        <f t="shared" si="0"/>
        <v>158556.491298932</v>
      </c>
      <c r="D8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99334.9632535497</v>
      </c>
      <c r="E8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26772.2868734052</v>
      </c>
      <c r="F8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11916.8196967125</v>
      </c>
      <c r="G8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5022.10336869316</v>
      </c>
      <c r="H8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15510.3181065717</v>
      </c>
    </row>
    <row r="808" ht="15" customHeight="1">
      <c r="B808" s="20">
        <v>801</v>
      </c>
      <c r="C808" s="21">
        <f t="shared" si="0"/>
        <v>124812.744092101</v>
      </c>
      <c r="D8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60717.8926199354</v>
      </c>
      <c r="E8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32549.603580857</v>
      </c>
      <c r="F8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10595.3667693339</v>
      </c>
      <c r="G8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4233.06336617168</v>
      </c>
      <c r="H8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16716.8177558031</v>
      </c>
    </row>
    <row r="809" ht="15" customHeight="1">
      <c r="B809" s="20">
        <v>802</v>
      </c>
      <c r="C809" s="21">
        <f t="shared" si="0"/>
        <v>117119.622199551</v>
      </c>
      <c r="D8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55069.6114231927</v>
      </c>
      <c r="E8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30220.3341644345</v>
      </c>
      <c r="F8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11291.132260596</v>
      </c>
      <c r="G8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5827.0298433248</v>
      </c>
      <c r="H8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14711.5145080033</v>
      </c>
    </row>
    <row r="810" ht="15" customHeight="1">
      <c r="B810" s="20">
        <v>803</v>
      </c>
      <c r="C810" s="21">
        <f t="shared" si="0"/>
        <v>140744.882080408</v>
      </c>
      <c r="D8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73644.3888309241</v>
      </c>
      <c r="E8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29567.984802822</v>
      </c>
      <c r="F8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11013.6132951832</v>
      </c>
      <c r="G8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4179.95985869464</v>
      </c>
      <c r="H8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22338.9352927839</v>
      </c>
    </row>
    <row r="811" ht="15" customHeight="1">
      <c r="B811" s="20">
        <v>804</v>
      </c>
      <c r="C811" s="21">
        <f t="shared" si="0"/>
        <v>133501.087745165</v>
      </c>
      <c r="D8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75162.5993263831</v>
      </c>
      <c r="E8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27130.9572110164</v>
      </c>
      <c r="F8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12199.8646293502</v>
      </c>
      <c r="G8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7196.41559006181</v>
      </c>
      <c r="H8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11811.2509883534</v>
      </c>
    </row>
    <row r="812" ht="15" customHeight="1">
      <c r="B812" s="20">
        <v>805</v>
      </c>
      <c r="C812" s="21">
        <f t="shared" si="0"/>
        <v>133542.016152202</v>
      </c>
      <c r="D8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71928.1636623127</v>
      </c>
      <c r="E8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29211.9837393185</v>
      </c>
      <c r="F8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16831.2147307221</v>
      </c>
      <c r="G8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7180.15456899095</v>
      </c>
      <c r="H8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8390.4994508581</v>
      </c>
    </row>
    <row r="813" ht="15" customHeight="1">
      <c r="B813" s="20">
        <v>806</v>
      </c>
      <c r="C813" s="21">
        <f t="shared" si="0"/>
        <v>145281.829927692</v>
      </c>
      <c r="D8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84454.5795173908</v>
      </c>
      <c r="E8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25874.6464278997</v>
      </c>
      <c r="F8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16016.600432973</v>
      </c>
      <c r="G8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4551.47860563896</v>
      </c>
      <c r="H8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14384.5249437895</v>
      </c>
    </row>
    <row r="814" ht="15" customHeight="1">
      <c r="B814" s="20">
        <v>807</v>
      </c>
      <c r="C814" s="21">
        <f t="shared" si="0"/>
        <v>155079.699284143</v>
      </c>
      <c r="D8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91395.6626074866</v>
      </c>
      <c r="E8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27420.3493549174</v>
      </c>
      <c r="F8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17154.7117484891</v>
      </c>
      <c r="G8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5293.06724975871</v>
      </c>
      <c r="H8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13815.9083234908</v>
      </c>
    </row>
    <row r="815" ht="15" customHeight="1">
      <c r="B815" s="20">
        <v>808</v>
      </c>
      <c r="C815" s="21">
        <f t="shared" si="0"/>
        <v>158260.981690129</v>
      </c>
      <c r="D8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98432.9476436778</v>
      </c>
      <c r="E8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21535.0046367085</v>
      </c>
      <c r="F8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15609.3707065371</v>
      </c>
      <c r="G8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4616.35323447579</v>
      </c>
      <c r="H8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18067.3054687294</v>
      </c>
    </row>
    <row r="816" ht="15" customHeight="1">
      <c r="B816" s="20">
        <v>809</v>
      </c>
      <c r="C816" s="21">
        <f t="shared" si="0"/>
        <v>163102.646997226</v>
      </c>
      <c r="D8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107271.141724652</v>
      </c>
      <c r="E8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27363.0921178602</v>
      </c>
      <c r="F8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12286.3008473366</v>
      </c>
      <c r="G8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4442.63352269525</v>
      </c>
      <c r="H8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11739.4787846818</v>
      </c>
    </row>
    <row r="817" ht="15" customHeight="1">
      <c r="B817" s="20">
        <v>810</v>
      </c>
      <c r="C817" s="21">
        <f t="shared" si="0"/>
        <v>164038.809620253</v>
      </c>
      <c r="D8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114188.446093091</v>
      </c>
      <c r="E8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22693.2659236505</v>
      </c>
      <c r="F8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12218.2702332701</v>
      </c>
      <c r="G8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5775.99259523774</v>
      </c>
      <c r="H8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9162.83477500387</v>
      </c>
    </row>
    <row r="818" ht="15" customHeight="1">
      <c r="B818" s="20">
        <v>811</v>
      </c>
      <c r="C818" s="21">
        <f t="shared" si="0"/>
        <v>162885.519168166</v>
      </c>
      <c r="D8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111907.110581371</v>
      </c>
      <c r="E8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30948.9571546789</v>
      </c>
      <c r="F8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8985.21496328999</v>
      </c>
      <c r="G8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3663.93311646785</v>
      </c>
      <c r="H8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7380.30335235804</v>
      </c>
    </row>
    <row r="819" ht="15" customHeight="1">
      <c r="B819" s="20">
        <v>812</v>
      </c>
      <c r="C819" s="21">
        <f t="shared" si="0"/>
        <v>136849.637912604</v>
      </c>
      <c r="D8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75838.5466205547</v>
      </c>
      <c r="E8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28930.5575918726</v>
      </c>
      <c r="F8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12198.6556776174</v>
      </c>
      <c r="G8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6054.47773164982</v>
      </c>
      <c r="H8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13827.400290909</v>
      </c>
    </row>
    <row r="820" ht="15" customHeight="1">
      <c r="B820" s="20">
        <v>813</v>
      </c>
      <c r="C820" s="21">
        <f t="shared" si="0"/>
        <v>150325.628992194</v>
      </c>
      <c r="D8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93963.0607505583</v>
      </c>
      <c r="E8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24070.896541806</v>
      </c>
      <c r="F8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10231.2423764446</v>
      </c>
      <c r="G8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6339.20373600722</v>
      </c>
      <c r="H8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15721.2255873774</v>
      </c>
    </row>
    <row r="821" ht="15" customHeight="1">
      <c r="B821" s="20">
        <v>814</v>
      </c>
      <c r="C821" s="21">
        <f t="shared" si="0"/>
        <v>130429.540838414</v>
      </c>
      <c r="D8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65788.8705283436</v>
      </c>
      <c r="E8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32090.0474345474</v>
      </c>
      <c r="F8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8538.81434205031</v>
      </c>
      <c r="G8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6549.54890308077</v>
      </c>
      <c r="H8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17462.2596303923</v>
      </c>
    </row>
    <row r="822" ht="15" customHeight="1">
      <c r="B822" s="20">
        <v>815</v>
      </c>
      <c r="C822" s="21">
        <f t="shared" si="0"/>
        <v>167425.803508405</v>
      </c>
      <c r="D8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102869.29127077</v>
      </c>
      <c r="E8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37689.191030855</v>
      </c>
      <c r="F8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12720.6719891205</v>
      </c>
      <c r="G8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4667.83685554945</v>
      </c>
      <c r="H8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9478.81236210978</v>
      </c>
    </row>
    <row r="823" ht="15" customHeight="1">
      <c r="B823" s="20">
        <v>816</v>
      </c>
      <c r="C823" s="21">
        <f t="shared" si="0"/>
        <v>147435.205318944</v>
      </c>
      <c r="D8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85581.269203255</v>
      </c>
      <c r="E8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29728.618965175</v>
      </c>
      <c r="F8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9597.9083938669</v>
      </c>
      <c r="G8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5861.93256917313</v>
      </c>
      <c r="H8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16665.4761874738</v>
      </c>
    </row>
    <row r="824" ht="15" customHeight="1">
      <c r="B824" s="20">
        <v>817</v>
      </c>
      <c r="C824" s="21">
        <f t="shared" si="0"/>
        <v>166852.134402231</v>
      </c>
      <c r="D8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95203.7678017484</v>
      </c>
      <c r="E8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36991.2888818459</v>
      </c>
      <c r="F8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15581.0328510083</v>
      </c>
      <c r="G8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6872.19006488038</v>
      </c>
      <c r="H8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12203.8548027478</v>
      </c>
    </row>
    <row r="825" ht="15" customHeight="1">
      <c r="B825" s="20">
        <v>818</v>
      </c>
      <c r="C825" s="21">
        <f t="shared" si="0"/>
        <v>142818.237278988</v>
      </c>
      <c r="D8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80854.2534121281</v>
      </c>
      <c r="E8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28212.0098461627</v>
      </c>
      <c r="F8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14221.200340225</v>
      </c>
      <c r="G8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5614.27933392006</v>
      </c>
      <c r="H8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13916.4943465518</v>
      </c>
    </row>
    <row r="826" ht="15" customHeight="1">
      <c r="B826" s="20">
        <v>819</v>
      </c>
      <c r="C826" s="21">
        <f t="shared" si="0"/>
        <v>149323.031907174</v>
      </c>
      <c r="D8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93543.5172733803</v>
      </c>
      <c r="E8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25746.4744665106</v>
      </c>
      <c r="F8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11923.1235889182</v>
      </c>
      <c r="G8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6036.03011493078</v>
      </c>
      <c r="H8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12073.8864634343</v>
      </c>
    </row>
    <row r="827" ht="15" customHeight="1">
      <c r="B827" s="20">
        <v>820</v>
      </c>
      <c r="C827" s="21">
        <f t="shared" si="0"/>
        <v>141236.660052504</v>
      </c>
      <c r="D8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76423.7126552009</v>
      </c>
      <c r="E8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29721.9361535032</v>
      </c>
      <c r="F8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12738.1409026182</v>
      </c>
      <c r="G8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6321.89537909376</v>
      </c>
      <c r="H8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16030.9749620883</v>
      </c>
    </row>
    <row r="828" ht="15" customHeight="1">
      <c r="B828" s="20">
        <v>821</v>
      </c>
      <c r="C828" s="21">
        <f t="shared" si="0"/>
        <v>132809.724635153</v>
      </c>
      <c r="D8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74685.9394131474</v>
      </c>
      <c r="E8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31479.7483670873</v>
      </c>
      <c r="F8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10751.3355661383</v>
      </c>
      <c r="G8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5046.27110686291</v>
      </c>
      <c r="H8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10846.4301819168</v>
      </c>
    </row>
    <row r="829" ht="15" customHeight="1">
      <c r="B829" s="20">
        <v>822</v>
      </c>
      <c r="C829" s="21">
        <f t="shared" si="0"/>
        <v>161193.220086156</v>
      </c>
      <c r="D8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103604.723164687</v>
      </c>
      <c r="E8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30485.7080783819</v>
      </c>
      <c r="F8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11527.199143685</v>
      </c>
      <c r="G8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4295.53457252648</v>
      </c>
      <c r="H8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11280.0551268757</v>
      </c>
    </row>
    <row r="830" ht="15" customHeight="1">
      <c r="B830" s="20">
        <v>823</v>
      </c>
      <c r="C830" s="21">
        <f t="shared" si="0"/>
        <v>140168.439406446</v>
      </c>
      <c r="D8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76818.914067412</v>
      </c>
      <c r="E8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29355.944212177</v>
      </c>
      <c r="F8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9879.8761709958</v>
      </c>
      <c r="G8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5696.3361770032</v>
      </c>
      <c r="H8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18417.3687788581</v>
      </c>
    </row>
    <row r="831" ht="15" customHeight="1">
      <c r="B831" s="20">
        <v>824</v>
      </c>
      <c r="C831" s="21">
        <f t="shared" si="0"/>
        <v>144507.853771169</v>
      </c>
      <c r="D8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90012.8294935166</v>
      </c>
      <c r="E8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25030.6526929252</v>
      </c>
      <c r="F8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14162.1136625968</v>
      </c>
      <c r="G8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6346.46622209071</v>
      </c>
      <c r="H8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8955.79170003987</v>
      </c>
    </row>
    <row r="832" ht="15" customHeight="1">
      <c r="B832" s="20">
        <v>825</v>
      </c>
      <c r="C832" s="21">
        <f t="shared" si="0"/>
        <v>118052.88174422</v>
      </c>
      <c r="D8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63254.6467413214</v>
      </c>
      <c r="E8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27950.1503150575</v>
      </c>
      <c r="F8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13262.9448587835</v>
      </c>
      <c r="G8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5174.92039215755</v>
      </c>
      <c r="H8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8410.21943689994</v>
      </c>
    </row>
    <row r="833" ht="15" customHeight="1">
      <c r="B833" s="20">
        <v>826</v>
      </c>
      <c r="C833" s="21">
        <f t="shared" si="0"/>
        <v>156344.428542713</v>
      </c>
      <c r="D8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88892.4698883666</v>
      </c>
      <c r="E8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24999.8969219624</v>
      </c>
      <c r="F8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15376.7437964983</v>
      </c>
      <c r="G8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5950.54603876636</v>
      </c>
      <c r="H8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21124.7718971191</v>
      </c>
    </row>
    <row r="834" ht="15" customHeight="1">
      <c r="B834" s="20">
        <v>827</v>
      </c>
      <c r="C834" s="21">
        <f t="shared" si="0"/>
        <v>147878.216975809</v>
      </c>
      <c r="D8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74441.5832326424</v>
      </c>
      <c r="E8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35942.4158617944</v>
      </c>
      <c r="F8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12339.1408038646</v>
      </c>
      <c r="G8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5654.47241217811</v>
      </c>
      <c r="H8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19500.6046653299</v>
      </c>
    </row>
    <row r="835" ht="15" customHeight="1">
      <c r="B835" s="20">
        <v>828</v>
      </c>
      <c r="C835" s="21">
        <f t="shared" si="0"/>
        <v>156018.88954117</v>
      </c>
      <c r="D8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85752.2376478368</v>
      </c>
      <c r="E8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30564.8509821063</v>
      </c>
      <c r="F8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16545.4767219964</v>
      </c>
      <c r="G8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5582.24419767706</v>
      </c>
      <c r="H8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17574.0799915537</v>
      </c>
    </row>
    <row r="836" ht="15" customHeight="1">
      <c r="B836" s="20">
        <v>829</v>
      </c>
      <c r="C836" s="21">
        <f t="shared" si="0"/>
        <v>132555.376175738</v>
      </c>
      <c r="D8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64579.8621443348</v>
      </c>
      <c r="E8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26031.3701372805</v>
      </c>
      <c r="F8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13715.6122179554</v>
      </c>
      <c r="G8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7787.82786182545</v>
      </c>
      <c r="H8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20440.7038143417</v>
      </c>
    </row>
    <row r="837" ht="15" customHeight="1">
      <c r="B837" s="20">
        <v>830</v>
      </c>
      <c r="C837" s="21">
        <f t="shared" si="0"/>
        <v>141711.47834609</v>
      </c>
      <c r="D8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73782.1508543574</v>
      </c>
      <c r="E8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28507.2925721909</v>
      </c>
      <c r="F8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13963.4346993896</v>
      </c>
      <c r="G8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5575.67073336098</v>
      </c>
      <c r="H8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19882.9294867914</v>
      </c>
    </row>
    <row r="838" ht="15" customHeight="1">
      <c r="B838" s="20">
        <v>831</v>
      </c>
      <c r="C838" s="21">
        <f t="shared" si="0"/>
        <v>143198.924056681</v>
      </c>
      <c r="D8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69488.5714629365</v>
      </c>
      <c r="E8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39652.7710176456</v>
      </c>
      <c r="F8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12106.1845333698</v>
      </c>
      <c r="G8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5969.35184780971</v>
      </c>
      <c r="H8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15982.0451949191</v>
      </c>
    </row>
    <row r="839" ht="15" customHeight="1">
      <c r="B839" s="20">
        <v>832</v>
      </c>
      <c r="C839" s="21">
        <f t="shared" si="0"/>
        <v>136606.325871492</v>
      </c>
      <c r="D8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76096.5555131591</v>
      </c>
      <c r="E8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27424.236839633</v>
      </c>
      <c r="F8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11585.5953423639</v>
      </c>
      <c r="G8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6267.78244020905</v>
      </c>
      <c r="H8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15232.1557361272</v>
      </c>
    </row>
    <row r="840" ht="15" customHeight="1">
      <c r="B840" s="20">
        <v>833</v>
      </c>
      <c r="C840" s="21">
        <f t="shared" si="0"/>
        <v>150725.053942747</v>
      </c>
      <c r="D8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96995.9185875816</v>
      </c>
      <c r="E8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24382.7577528512</v>
      </c>
      <c r="F8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13530.3860940079</v>
      </c>
      <c r="G8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6321.28564186456</v>
      </c>
      <c r="H8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9494.70586644161</v>
      </c>
    </row>
    <row r="841" ht="15" customHeight="1">
      <c r="B841" s="20">
        <v>834</v>
      </c>
      <c r="C841" s="21">
        <f t="shared" si="0"/>
        <v>152755.013325144</v>
      </c>
      <c r="D8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98167.3546298583</v>
      </c>
      <c r="E8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22692.6978248332</v>
      </c>
      <c r="F8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14161.9856313585</v>
      </c>
      <c r="G8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7134.22960227371</v>
      </c>
      <c r="H8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10598.7456368201</v>
      </c>
    </row>
    <row r="842" ht="15" customHeight="1">
      <c r="B842" s="20">
        <v>835</v>
      </c>
      <c r="C842" s="21">
        <f t="shared" si="0"/>
        <v>132979.745702376</v>
      </c>
      <c r="D8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77422.5929982383</v>
      </c>
      <c r="E8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26851.8628817549</v>
      </c>
      <c r="F8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14727.6898547541</v>
      </c>
      <c r="G8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6572.58701999672</v>
      </c>
      <c r="H8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7405.01294763233</v>
      </c>
    </row>
    <row r="843" ht="15" customHeight="1">
      <c r="B843" s="20">
        <v>836</v>
      </c>
      <c r="C843" s="21">
        <f t="shared" si="0"/>
        <v>140645.052561325</v>
      </c>
      <c r="D8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77418.7920436923</v>
      </c>
      <c r="E8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31135.9214544694</v>
      </c>
      <c r="F8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14320.4540538036</v>
      </c>
      <c r="G8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6741.08375555226</v>
      </c>
      <c r="H8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11028.8012538077</v>
      </c>
    </row>
    <row r="844" ht="15" customHeight="1">
      <c r="B844" s="20">
        <v>837</v>
      </c>
      <c r="C844" s="21">
        <f t="shared" si="0"/>
        <v>134645.447573509</v>
      </c>
      <c r="D8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61222.2214608646</v>
      </c>
      <c r="E8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40395.5941171846</v>
      </c>
      <c r="F8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12926.1126461563</v>
      </c>
      <c r="G8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6828.36561931773</v>
      </c>
      <c r="H8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13273.1537299854</v>
      </c>
    </row>
    <row r="845" ht="15" customHeight="1">
      <c r="B845" s="20">
        <v>838</v>
      </c>
      <c r="C845" s="21">
        <f t="shared" si="0"/>
        <v>172345.951003229</v>
      </c>
      <c r="D8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109623.776407901</v>
      </c>
      <c r="E8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33241.8545986856</v>
      </c>
      <c r="F8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13971.0537260185</v>
      </c>
      <c r="G8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4659.36397855278</v>
      </c>
      <c r="H8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10849.9022920712</v>
      </c>
    </row>
    <row r="846" ht="15" customHeight="1">
      <c r="B846" s="20">
        <v>839</v>
      </c>
      <c r="C846" s="21">
        <f t="shared" si="0"/>
        <v>109126.168275679</v>
      </c>
      <c r="D8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57719.0734792582</v>
      </c>
      <c r="E8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27668.0404848326</v>
      </c>
      <c r="F8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10172.5734431317</v>
      </c>
      <c r="G8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5907.9301697479</v>
      </c>
      <c r="H8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7658.55069870842</v>
      </c>
    </row>
    <row r="847" ht="15" customHeight="1">
      <c r="B847" s="20">
        <v>840</v>
      </c>
      <c r="C847" s="21">
        <f t="shared" si="0"/>
        <v>132871.561681323</v>
      </c>
      <c r="D8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63134.3911280599</v>
      </c>
      <c r="E8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40543.7960684664</v>
      </c>
      <c r="F8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12951.25239848</v>
      </c>
      <c r="G8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4943.07967114395</v>
      </c>
      <c r="H8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11299.0424151732</v>
      </c>
    </row>
    <row r="848" ht="15" customHeight="1">
      <c r="B848" s="20">
        <v>841</v>
      </c>
      <c r="C848" s="21">
        <f t="shared" si="0"/>
        <v>137354.612173077</v>
      </c>
      <c r="D8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78432.2901386721</v>
      </c>
      <c r="E8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30541.4034343608</v>
      </c>
      <c r="F8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11427.2959431671</v>
      </c>
      <c r="G8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4438.81705000587</v>
      </c>
      <c r="H8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12514.8056068713</v>
      </c>
    </row>
    <row r="849" ht="15" customHeight="1">
      <c r="B849" s="20">
        <v>842</v>
      </c>
      <c r="C849" s="21">
        <f t="shared" si="0"/>
        <v>132668.671422515</v>
      </c>
      <c r="D8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71831.8216751957</v>
      </c>
      <c r="E8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28908.3621041751</v>
      </c>
      <c r="F8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13042.6084508084</v>
      </c>
      <c r="G8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6235.88073371495</v>
      </c>
      <c r="H8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12649.9984586205</v>
      </c>
    </row>
    <row r="850" ht="15" customHeight="1">
      <c r="B850" s="20">
        <v>843</v>
      </c>
      <c r="C850" s="21">
        <f t="shared" si="0"/>
        <v>190890.386896351</v>
      </c>
      <c r="D8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111078.491313191</v>
      </c>
      <c r="E8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41152.5765594897</v>
      </c>
      <c r="F8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14651.4256088697</v>
      </c>
      <c r="G8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6593.28194208419</v>
      </c>
      <c r="H8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17414.611472716</v>
      </c>
    </row>
    <row r="851" ht="15" customHeight="1">
      <c r="B851" s="20">
        <v>844</v>
      </c>
      <c r="C851" s="21">
        <f t="shared" si="0"/>
        <v>136193.095966877</v>
      </c>
      <c r="D8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78451.1184856428</v>
      </c>
      <c r="E8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31596.4321939353</v>
      </c>
      <c r="F8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11592.5645611293</v>
      </c>
      <c r="G8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6424.51736623204</v>
      </c>
      <c r="H8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8128.46335993795</v>
      </c>
    </row>
    <row r="852" ht="15" customHeight="1">
      <c r="B852" s="20">
        <v>845</v>
      </c>
      <c r="C852" s="21">
        <f t="shared" si="0"/>
        <v>140128.602385791</v>
      </c>
      <c r="D8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82802.1636038859</v>
      </c>
      <c r="E8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30177.5086678842</v>
      </c>
      <c r="F8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9534.29767934833</v>
      </c>
      <c r="G8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5525.71045895318</v>
      </c>
      <c r="H8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12088.9219757196</v>
      </c>
    </row>
    <row r="853" ht="15" customHeight="1">
      <c r="B853" s="20">
        <v>846</v>
      </c>
      <c r="C853" s="21">
        <f t="shared" si="0"/>
        <v>148523.385287297</v>
      </c>
      <c r="D8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88566.0433917945</v>
      </c>
      <c r="E8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33656.2060725122</v>
      </c>
      <c r="F8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9261.23096123825</v>
      </c>
      <c r="G8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6002.09683699017</v>
      </c>
      <c r="H8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11037.8080247622</v>
      </c>
    </row>
    <row r="854" ht="15" customHeight="1">
      <c r="B854" s="20">
        <v>847</v>
      </c>
      <c r="C854" s="21">
        <f t="shared" si="0"/>
        <v>165768.929517588</v>
      </c>
      <c r="D8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102541.56089616</v>
      </c>
      <c r="E8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38852.6552489442</v>
      </c>
      <c r="F8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12746.0577576242</v>
      </c>
      <c r="G8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4668.17724374345</v>
      </c>
      <c r="H8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6960.478371116</v>
      </c>
    </row>
    <row r="855" ht="15" customHeight="1">
      <c r="B855" s="20">
        <v>848</v>
      </c>
      <c r="C855" s="21">
        <f t="shared" si="0"/>
        <v>156731.960890828</v>
      </c>
      <c r="D8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93725.928446188</v>
      </c>
      <c r="E8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30149.7545808321</v>
      </c>
      <c r="F8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13966.6402801428</v>
      </c>
      <c r="G8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5076.25375282553</v>
      </c>
      <c r="H8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13813.3838308399</v>
      </c>
    </row>
    <row r="856" ht="15" customHeight="1">
      <c r="B856" s="20">
        <v>849</v>
      </c>
      <c r="C856" s="21">
        <f t="shared" si="0"/>
        <v>146032.10664292</v>
      </c>
      <c r="D8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87200.5240983728</v>
      </c>
      <c r="E8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26086.0294194452</v>
      </c>
      <c r="F8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10000.5146107182</v>
      </c>
      <c r="G8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4836.64130887796</v>
      </c>
      <c r="H8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17908.3972055056</v>
      </c>
    </row>
    <row r="857" ht="15" customHeight="1">
      <c r="B857" s="20">
        <v>850</v>
      </c>
      <c r="C857" s="21">
        <f t="shared" si="0"/>
        <v>146560.387369196</v>
      </c>
      <c r="D8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87080.3963089247</v>
      </c>
      <c r="E8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31190.784861497</v>
      </c>
      <c r="F8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14589.3647211216</v>
      </c>
      <c r="G8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3929.53558588012</v>
      </c>
      <c r="H8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9770.30589177226</v>
      </c>
    </row>
    <row r="858" ht="15" customHeight="1">
      <c r="B858" s="20">
        <v>851</v>
      </c>
      <c r="C858" s="21">
        <f t="shared" si="0"/>
        <v>137979.389524186</v>
      </c>
      <c r="D8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73442.541952445</v>
      </c>
      <c r="E8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27560.5019199499</v>
      </c>
      <c r="F8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10929.9658122879</v>
      </c>
      <c r="G8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7405.81238514101</v>
      </c>
      <c r="H8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18640.5674543619</v>
      </c>
    </row>
    <row r="859" ht="15" customHeight="1">
      <c r="B859" s="20">
        <v>852</v>
      </c>
      <c r="C859" s="21">
        <f t="shared" si="0"/>
        <v>163407.429995479</v>
      </c>
      <c r="D8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104069.476197838</v>
      </c>
      <c r="E8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25885.5444757202</v>
      </c>
      <c r="F8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12567.9238488225</v>
      </c>
      <c r="G8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4346.84725972991</v>
      </c>
      <c r="H8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16537.6382133687</v>
      </c>
    </row>
    <row r="860" ht="15" customHeight="1">
      <c r="B860" s="20">
        <v>853</v>
      </c>
      <c r="C860" s="21">
        <f t="shared" si="0"/>
        <v>146248.877576815</v>
      </c>
      <c r="D8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76801.2536491677</v>
      </c>
      <c r="E8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38434.5838205258</v>
      </c>
      <c r="F8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14793.9286540539</v>
      </c>
      <c r="G8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4530.81743678438</v>
      </c>
      <c r="H8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11688.2940162829</v>
      </c>
    </row>
    <row r="861" ht="15" customHeight="1">
      <c r="B861" s="20">
        <v>854</v>
      </c>
      <c r="C861" s="21">
        <f t="shared" si="0"/>
        <v>169731.135192961</v>
      </c>
      <c r="D8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101426.492610197</v>
      </c>
      <c r="E8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34370.5984100653</v>
      </c>
      <c r="F8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10403.8435537888</v>
      </c>
      <c r="G8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4144.32893932691</v>
      </c>
      <c r="H8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19385.8716795828</v>
      </c>
    </row>
    <row r="862" ht="15" customHeight="1">
      <c r="B862" s="20">
        <v>855</v>
      </c>
      <c r="C862" s="21">
        <f t="shared" si="0"/>
        <v>153417.116995999</v>
      </c>
      <c r="D8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87602.122483999</v>
      </c>
      <c r="E8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39217.2971256658</v>
      </c>
      <c r="F8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12521.036497358</v>
      </c>
      <c r="G8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4807.41896474212</v>
      </c>
      <c r="H8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9269.2419242345</v>
      </c>
    </row>
    <row r="863" ht="15" customHeight="1">
      <c r="B863" s="20">
        <v>856</v>
      </c>
      <c r="C863" s="21">
        <f t="shared" si="0"/>
        <v>121993.822403301</v>
      </c>
      <c r="D8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64118.6911747062</v>
      </c>
      <c r="E8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34025.8848593514</v>
      </c>
      <c r="F8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11782.8255433639</v>
      </c>
      <c r="G8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5101.31931510042</v>
      </c>
      <c r="H8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6965.10151077942</v>
      </c>
    </row>
    <row r="864" ht="15" customHeight="1">
      <c r="B864" s="20">
        <v>857</v>
      </c>
      <c r="C864" s="21">
        <f t="shared" si="0"/>
        <v>128381.78008757</v>
      </c>
      <c r="D8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64901.1901590066</v>
      </c>
      <c r="E8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27604.3057001248</v>
      </c>
      <c r="F8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17400.6648505435</v>
      </c>
      <c r="G8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3445.53034086887</v>
      </c>
      <c r="H8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15030.0890370266</v>
      </c>
    </row>
    <row r="865" ht="15" customHeight="1">
      <c r="B865" s="20">
        <v>858</v>
      </c>
      <c r="C865" s="21">
        <f t="shared" si="0"/>
        <v>117806.758501297</v>
      </c>
      <c r="D8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51323.8573219535</v>
      </c>
      <c r="E8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36913.4085097211</v>
      </c>
      <c r="F8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13603.3560715865</v>
      </c>
      <c r="G8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3540.34850917434</v>
      </c>
      <c r="H8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12425.7880888611</v>
      </c>
    </row>
    <row r="866" ht="15" customHeight="1">
      <c r="B866" s="20">
        <v>859</v>
      </c>
      <c r="C866" s="21">
        <f t="shared" si="0"/>
        <v>164704.875555507</v>
      </c>
      <c r="D8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109246.322976928</v>
      </c>
      <c r="E8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30067.4384166853</v>
      </c>
      <c r="F8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10631.2537524128</v>
      </c>
      <c r="G8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4906.80219914821</v>
      </c>
      <c r="H8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9853.05821033277</v>
      </c>
    </row>
    <row r="867" ht="15" customHeight="1">
      <c r="B867" s="20">
        <v>860</v>
      </c>
      <c r="C867" s="21">
        <f t="shared" si="0"/>
        <v>133134.967184873</v>
      </c>
      <c r="D8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68741.6884871495</v>
      </c>
      <c r="E8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31026.0460748372</v>
      </c>
      <c r="F8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11244.7016467796</v>
      </c>
      <c r="G8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5529.99764432674</v>
      </c>
      <c r="H8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16592.5333317801</v>
      </c>
    </row>
    <row r="868" ht="15" customHeight="1">
      <c r="B868" s="20">
        <v>861</v>
      </c>
      <c r="C868" s="21">
        <f t="shared" si="0"/>
        <v>112132.009505789</v>
      </c>
      <c r="D8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61708.5688445861</v>
      </c>
      <c r="E8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25478.4609111641</v>
      </c>
      <c r="F8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10515.1677955968</v>
      </c>
      <c r="G8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4034.61150679432</v>
      </c>
      <c r="H8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10395.2004476474</v>
      </c>
    </row>
    <row r="869" ht="15" customHeight="1">
      <c r="B869" s="20">
        <v>862</v>
      </c>
      <c r="C869" s="21">
        <f t="shared" si="0"/>
        <v>156073.527237967</v>
      </c>
      <c r="D8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88366.7897056368</v>
      </c>
      <c r="E8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37331.2435885456</v>
      </c>
      <c r="F8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13742.3928184074</v>
      </c>
      <c r="G8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7013.493097205</v>
      </c>
      <c r="H8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9619.60802817212</v>
      </c>
    </row>
    <row r="870" ht="15" customHeight="1">
      <c r="B870" s="20">
        <v>863</v>
      </c>
      <c r="C870" s="21">
        <f t="shared" si="0"/>
        <v>141992.874128858</v>
      </c>
      <c r="D8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91379.9580503506</v>
      </c>
      <c r="E8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23616.9858962541</v>
      </c>
      <c r="F8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13048.68244813</v>
      </c>
      <c r="G8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6144.91237126518</v>
      </c>
      <c r="H8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7802.33536285846</v>
      </c>
    </row>
    <row r="871" ht="15" customHeight="1">
      <c r="B871" s="20">
        <v>864</v>
      </c>
      <c r="C871" s="21">
        <f t="shared" si="0"/>
        <v>124308.76669932</v>
      </c>
      <c r="D8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73818.4549041142</v>
      </c>
      <c r="E8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20953.9548543373</v>
      </c>
      <c r="F8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12659.5847549568</v>
      </c>
      <c r="G8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6786.80880885766</v>
      </c>
      <c r="H8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10089.9633770541</v>
      </c>
    </row>
    <row r="872" ht="15" customHeight="1">
      <c r="B872" s="20">
        <v>865</v>
      </c>
      <c r="C872" s="21">
        <f t="shared" si="0"/>
        <v>162394.966902172</v>
      </c>
      <c r="D8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101315.650957461</v>
      </c>
      <c r="E8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31099.1230277535</v>
      </c>
      <c r="F8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11330.7158955805</v>
      </c>
      <c r="G8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6042.22606617131</v>
      </c>
      <c r="H8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12607.2509552058</v>
      </c>
    </row>
    <row r="873" ht="15" customHeight="1">
      <c r="B873" s="20">
        <v>866</v>
      </c>
      <c r="C873" s="21">
        <f t="shared" si="0"/>
        <v>121106.242565255</v>
      </c>
      <c r="D8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53085.0591780377</v>
      </c>
      <c r="E8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32854.7011201225</v>
      </c>
      <c r="F8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9590.47656532899</v>
      </c>
      <c r="G8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3985.21646337514</v>
      </c>
      <c r="H8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21590.7892383902</v>
      </c>
    </row>
    <row r="874" ht="15" customHeight="1">
      <c r="B874" s="20">
        <v>867</v>
      </c>
      <c r="C874" s="21">
        <f t="shared" si="0"/>
        <v>149364.198213754</v>
      </c>
      <c r="D8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78820.9380262189</v>
      </c>
      <c r="E8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38497.1941101075</v>
      </c>
      <c r="F8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14699.9759116331</v>
      </c>
      <c r="G8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4093.00496855508</v>
      </c>
      <c r="H8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13253.0851972397</v>
      </c>
    </row>
    <row r="875" ht="15" customHeight="1">
      <c r="B875" s="20">
        <v>868</v>
      </c>
      <c r="C875" s="21">
        <f t="shared" si="0"/>
        <v>179099.56902126</v>
      </c>
      <c r="D8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105392.054985806</v>
      </c>
      <c r="E8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37399.1637209504</v>
      </c>
      <c r="F8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9761.64985725279</v>
      </c>
      <c r="G8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5332.65127283572</v>
      </c>
      <c r="H8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21214.0491844151</v>
      </c>
    </row>
    <row r="876" ht="15" customHeight="1">
      <c r="B876" s="20">
        <v>869</v>
      </c>
      <c r="C876" s="21">
        <f t="shared" si="0"/>
        <v>163487.58764574</v>
      </c>
      <c r="D8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81427.1546852659</v>
      </c>
      <c r="E8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41176.8603773397</v>
      </c>
      <c r="F8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16262.5341812868</v>
      </c>
      <c r="G8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4716.73474948836</v>
      </c>
      <c r="H8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19904.3036523591</v>
      </c>
    </row>
    <row r="877" ht="15" customHeight="1">
      <c r="B877" s="20">
        <v>870</v>
      </c>
      <c r="C877" s="21">
        <f t="shared" si="0"/>
        <v>124638.3278634</v>
      </c>
      <c r="D8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68086.8893094256</v>
      </c>
      <c r="E8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28591.0707156819</v>
      </c>
      <c r="F8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10803.6449291608</v>
      </c>
      <c r="G8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4179.49193640428</v>
      </c>
      <c r="H8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12977.2309727278</v>
      </c>
    </row>
    <row r="878" ht="15" customHeight="1">
      <c r="B878" s="20">
        <v>871</v>
      </c>
      <c r="C878" s="21">
        <f t="shared" si="0"/>
        <v>147637.218601257</v>
      </c>
      <c r="D8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89275.9641207109</v>
      </c>
      <c r="E8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31792.8599338989</v>
      </c>
      <c r="F8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11878.4878990442</v>
      </c>
      <c r="G8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7265.37611599569</v>
      </c>
      <c r="H8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7424.53053160758</v>
      </c>
    </row>
    <row r="879" ht="15" customHeight="1">
      <c r="B879" s="20">
        <v>872</v>
      </c>
      <c r="C879" s="21">
        <f t="shared" si="0"/>
        <v>147718.84567459</v>
      </c>
      <c r="D8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75206.4377767433</v>
      </c>
      <c r="E8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36064.8918983715</v>
      </c>
      <c r="F8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15848.1086191961</v>
      </c>
      <c r="G8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4862.17609928124</v>
      </c>
      <c r="H8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15737.2312809974</v>
      </c>
    </row>
    <row r="880" ht="15" customHeight="1">
      <c r="B880" s="20">
        <v>873</v>
      </c>
      <c r="C880" s="21">
        <f t="shared" si="0"/>
        <v>127010.23240323</v>
      </c>
      <c r="D8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71976.5328050903</v>
      </c>
      <c r="E8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24802.6190205197</v>
      </c>
      <c r="F8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10865.3296975347</v>
      </c>
      <c r="G8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5099.80267112366</v>
      </c>
      <c r="H8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14265.9482089621</v>
      </c>
    </row>
    <row r="881" ht="15" customHeight="1">
      <c r="B881" s="20">
        <v>874</v>
      </c>
      <c r="C881" s="21">
        <f t="shared" si="0"/>
        <v>140553.20242021</v>
      </c>
      <c r="D8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73863.9309445429</v>
      </c>
      <c r="E8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36822.9017000483</v>
      </c>
      <c r="F8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14742.4454348826</v>
      </c>
      <c r="G8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4058.58022531605</v>
      </c>
      <c r="H8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11065.3441154206</v>
      </c>
    </row>
    <row r="882" ht="15" customHeight="1">
      <c r="B882" s="20">
        <v>875</v>
      </c>
      <c r="C882" s="21">
        <f t="shared" si="0"/>
        <v>132359.836890575</v>
      </c>
      <c r="D8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76644.3347065097</v>
      </c>
      <c r="E8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26811.4533118315</v>
      </c>
      <c r="F8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11752.4203152677</v>
      </c>
      <c r="G8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3527.4227978</v>
      </c>
      <c r="H8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13624.2057591658</v>
      </c>
    </row>
    <row r="883" ht="15" customHeight="1">
      <c r="B883" s="20">
        <v>876</v>
      </c>
      <c r="C883" s="21">
        <f t="shared" si="0"/>
        <v>144778.289544285</v>
      </c>
      <c r="D8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75882.1658980468</v>
      </c>
      <c r="E8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37357.6228463437</v>
      </c>
      <c r="F8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14547.8018604992</v>
      </c>
      <c r="G8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6303.01499500898</v>
      </c>
      <c r="H8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10687.6839443863</v>
      </c>
    </row>
    <row r="884" ht="15" customHeight="1">
      <c r="B884" s="20">
        <v>877</v>
      </c>
      <c r="C884" s="21">
        <f t="shared" si="0"/>
        <v>150549.73391209</v>
      </c>
      <c r="D8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76724.3145274028</v>
      </c>
      <c r="E8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32742.6929358896</v>
      </c>
      <c r="F8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14619.8234256974</v>
      </c>
      <c r="G8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5679.31117854861</v>
      </c>
      <c r="H8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20783.5918445517</v>
      </c>
    </row>
    <row r="885" ht="15" customHeight="1">
      <c r="B885" s="20">
        <v>878</v>
      </c>
      <c r="C885" s="21">
        <f t="shared" si="0"/>
        <v>137749.118582887</v>
      </c>
      <c r="D8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77695.5124252745</v>
      </c>
      <c r="E8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32987.4210612463</v>
      </c>
      <c r="F8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11700.5530147089</v>
      </c>
      <c r="G8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5478.28475760486</v>
      </c>
      <c r="H8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9887.34732405244</v>
      </c>
    </row>
    <row r="886" ht="15" customHeight="1">
      <c r="B886" s="20">
        <v>879</v>
      </c>
      <c r="C886" s="21">
        <f t="shared" si="0"/>
        <v>137988.069032029</v>
      </c>
      <c r="D8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77720.0316333317</v>
      </c>
      <c r="E8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31421.3956786016</v>
      </c>
      <c r="F8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12655.5327439987</v>
      </c>
      <c r="G8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5514.88874740287</v>
      </c>
      <c r="H8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10676.2202286938</v>
      </c>
    </row>
    <row r="887" ht="15" customHeight="1">
      <c r="B887" s="20">
        <v>880</v>
      </c>
      <c r="C887" s="21">
        <f t="shared" si="0"/>
        <v>147491.38708025</v>
      </c>
      <c r="D8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85852.0867121506</v>
      </c>
      <c r="E8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34513.7948617322</v>
      </c>
      <c r="F8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9847.17950313042</v>
      </c>
      <c r="G8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6180.86270070679</v>
      </c>
      <c r="H8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11097.4633025298</v>
      </c>
    </row>
    <row r="888" ht="15" customHeight="1">
      <c r="B888" s="20">
        <v>881</v>
      </c>
      <c r="C888" s="21">
        <f t="shared" si="0"/>
        <v>150359.445238982</v>
      </c>
      <c r="D8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89022.050461381</v>
      </c>
      <c r="E8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24910.5479994674</v>
      </c>
      <c r="F8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15770.904683329</v>
      </c>
      <c r="G8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3699.51139882812</v>
      </c>
      <c r="H8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16956.4306959763</v>
      </c>
    </row>
    <row r="889" ht="15" customHeight="1">
      <c r="B889" s="20">
        <v>882</v>
      </c>
      <c r="C889" s="21">
        <f t="shared" si="0"/>
        <v>141289.588848387</v>
      </c>
      <c r="D8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77382.6092249294</v>
      </c>
      <c r="E8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30683.3585507174</v>
      </c>
      <c r="F8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12235.8623160738</v>
      </c>
      <c r="G8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4495.8926545218</v>
      </c>
      <c r="H8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16491.8661021443</v>
      </c>
    </row>
    <row r="890" ht="15" customHeight="1">
      <c r="B890" s="20">
        <v>883</v>
      </c>
      <c r="C890" s="21">
        <f t="shared" si="0"/>
        <v>177978.141295177</v>
      </c>
      <c r="D8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119131.122387503</v>
      </c>
      <c r="E8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30311.3732365984</v>
      </c>
      <c r="F8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11355.8532431103</v>
      </c>
      <c r="G8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5721.51780758845</v>
      </c>
      <c r="H8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11458.2746203769</v>
      </c>
    </row>
    <row r="891" ht="15" customHeight="1">
      <c r="B891" s="20">
        <v>884</v>
      </c>
      <c r="C891" s="21">
        <f t="shared" si="0"/>
        <v>123867.248996445</v>
      </c>
      <c r="D8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64118.8819920319</v>
      </c>
      <c r="E8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31189.0361901179</v>
      </c>
      <c r="F8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11280.7711588544</v>
      </c>
      <c r="G8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6783.79983078116</v>
      </c>
      <c r="H8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10494.7598246601</v>
      </c>
    </row>
    <row r="892" ht="15" customHeight="1">
      <c r="B892" s="20">
        <v>885</v>
      </c>
      <c r="C892" s="21">
        <f t="shared" si="0"/>
        <v>137459.782138472</v>
      </c>
      <c r="D8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82529.9565977973</v>
      </c>
      <c r="E8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32436.3188509534</v>
      </c>
      <c r="F8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8702.68795928679</v>
      </c>
      <c r="G8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3239.73754744775</v>
      </c>
      <c r="H8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10551.0811829871</v>
      </c>
    </row>
    <row r="893" ht="15" customHeight="1">
      <c r="B893" s="20">
        <v>886</v>
      </c>
      <c r="C893" s="21">
        <f t="shared" si="0"/>
        <v>144263.15028673</v>
      </c>
      <c r="D8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77930.7217590378</v>
      </c>
      <c r="E8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41358.4780650454</v>
      </c>
      <c r="F8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11872.1057010852</v>
      </c>
      <c r="G8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5073.88315891928</v>
      </c>
      <c r="H8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8027.96160264223</v>
      </c>
    </row>
    <row r="894" ht="15" customHeight="1">
      <c r="B894" s="20">
        <v>887</v>
      </c>
      <c r="C894" s="21">
        <f t="shared" si="0"/>
        <v>134769.546441567</v>
      </c>
      <c r="D8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83787.8750288205</v>
      </c>
      <c r="E8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26289.998809333</v>
      </c>
      <c r="F8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11563.0341025074</v>
      </c>
      <c r="G8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4778.40473002227</v>
      </c>
      <c r="H8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8350.23377088349</v>
      </c>
    </row>
    <row r="895" ht="15" customHeight="1">
      <c r="B895" s="20">
        <v>888</v>
      </c>
      <c r="C895" s="21">
        <f t="shared" si="0"/>
        <v>163447.158163639</v>
      </c>
      <c r="D8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86305.7716283724</v>
      </c>
      <c r="E8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36306.5136829723</v>
      </c>
      <c r="F8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13385.2124451893</v>
      </c>
      <c r="G8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7851.62857314763</v>
      </c>
      <c r="H8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19598.0318339578</v>
      </c>
    </row>
    <row r="896" ht="15" customHeight="1">
      <c r="B896" s="20">
        <v>889</v>
      </c>
      <c r="C896" s="21">
        <f t="shared" si="0"/>
        <v>140062.068798128</v>
      </c>
      <c r="D8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80475.2915213834</v>
      </c>
      <c r="E8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26258.3656908254</v>
      </c>
      <c r="F8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9874.90105368807</v>
      </c>
      <c r="G8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5576.28341757616</v>
      </c>
      <c r="H8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17877.227114655</v>
      </c>
    </row>
    <row r="897" ht="15" customHeight="1">
      <c r="B897" s="20">
        <v>890</v>
      </c>
      <c r="C897" s="21">
        <f t="shared" si="0"/>
        <v>132412.13372508</v>
      </c>
      <c r="D8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75092.6327706907</v>
      </c>
      <c r="E8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24434.069853466</v>
      </c>
      <c r="F8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15267.391816039</v>
      </c>
      <c r="G8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4525.58675049183</v>
      </c>
      <c r="H8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13092.4525343921</v>
      </c>
    </row>
    <row r="898" ht="15" customHeight="1">
      <c r="B898" s="20">
        <v>891</v>
      </c>
      <c r="C898" s="21">
        <f t="shared" si="0"/>
        <v>150886.97585803</v>
      </c>
      <c r="D8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81588.3243573873</v>
      </c>
      <c r="E8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39629.140303047</v>
      </c>
      <c r="F8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13253.6198575654</v>
      </c>
      <c r="G8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5829.67506569045</v>
      </c>
      <c r="H8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10586.2162743398</v>
      </c>
    </row>
    <row r="899" ht="15" customHeight="1">
      <c r="B899" s="20">
        <v>892</v>
      </c>
      <c r="C899" s="21">
        <f t="shared" si="0"/>
        <v>135516.461170505</v>
      </c>
      <c r="D8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67870.3362627942</v>
      </c>
      <c r="E8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34806.3218900195</v>
      </c>
      <c r="F8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11582.1950046845</v>
      </c>
      <c r="G8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5842.31889053068</v>
      </c>
      <c r="H8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15415.2891224763</v>
      </c>
    </row>
    <row r="900" ht="15" customHeight="1">
      <c r="B900" s="20">
        <v>893</v>
      </c>
      <c r="C900" s="21">
        <f t="shared" si="0"/>
        <v>163191.664267422</v>
      </c>
      <c r="D9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97584.075711367</v>
      </c>
      <c r="E9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30254.5155285515</v>
      </c>
      <c r="F9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13738.2520184718</v>
      </c>
      <c r="G9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4526.21144255523</v>
      </c>
      <c r="H9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17088.6095664764</v>
      </c>
    </row>
    <row r="901" ht="15" customHeight="1">
      <c r="B901" s="20">
        <v>894</v>
      </c>
      <c r="C901" s="21">
        <f t="shared" si="0"/>
        <v>144286.542478583</v>
      </c>
      <c r="D9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86969.7135093472</v>
      </c>
      <c r="E9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26809.008759696</v>
      </c>
      <c r="F9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16105.5806421011</v>
      </c>
      <c r="G9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4865.13691149615</v>
      </c>
      <c r="H9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9537.10265594306</v>
      </c>
    </row>
    <row r="902" ht="15" customHeight="1">
      <c r="B902" s="20">
        <v>895</v>
      </c>
      <c r="C902" s="21">
        <f t="shared" si="0"/>
        <v>145201.900135879</v>
      </c>
      <c r="D9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70208.4752366515</v>
      </c>
      <c r="E9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34607.592773027</v>
      </c>
      <c r="F9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15527.442368549</v>
      </c>
      <c r="G9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4058.99070062154</v>
      </c>
      <c r="H9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20799.3990570296</v>
      </c>
    </row>
    <row r="903" ht="15" customHeight="1">
      <c r="B903" s="20">
        <v>896</v>
      </c>
      <c r="C903" s="21">
        <f t="shared" si="0"/>
        <v>159097.843159667</v>
      </c>
      <c r="D9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98335.5915196913</v>
      </c>
      <c r="E9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29906.5763480729</v>
      </c>
      <c r="F9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12625.6213001154</v>
      </c>
      <c r="G9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5656.1977745425</v>
      </c>
      <c r="H9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12573.8562172451</v>
      </c>
    </row>
    <row r="904" ht="15" customHeight="1">
      <c r="B904" s="20">
        <v>897</v>
      </c>
      <c r="C904" s="21">
        <f t="shared" si="0"/>
        <v>181147.661497191</v>
      </c>
      <c r="D9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118739.319735711</v>
      </c>
      <c r="E9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41459.3875723824</v>
      </c>
      <c r="F9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9793.77870400564</v>
      </c>
      <c r="G9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4909.36099130515</v>
      </c>
      <c r="H9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6245.81449378656</v>
      </c>
    </row>
    <row r="905" ht="15" customHeight="1">
      <c r="B905" s="20">
        <v>898</v>
      </c>
      <c r="C905" s="21">
        <f t="shared" si="0"/>
        <v>113258.427517531</v>
      </c>
      <c r="D9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60353.1447582438</v>
      </c>
      <c r="E9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31765.5120735712</v>
      </c>
      <c r="F9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10155.202949175</v>
      </c>
      <c r="G9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4063.87115279696</v>
      </c>
      <c r="H9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6920.69658374368</v>
      </c>
    </row>
    <row r="906" ht="15" customHeight="1">
      <c r="B906" s="20">
        <v>899</v>
      </c>
      <c r="C906" s="21">
        <f t="shared" si="0"/>
        <v>145574.339885704</v>
      </c>
      <c r="D9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78147.2771451703</v>
      </c>
      <c r="E9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36119.4465414651</v>
      </c>
      <c r="F9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10205.9207122892</v>
      </c>
      <c r="G9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7281.18727740368</v>
      </c>
      <c r="H9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13820.5082093759</v>
      </c>
    </row>
    <row r="907" ht="15" customHeight="1">
      <c r="B907" s="20">
        <v>900</v>
      </c>
      <c r="C907" s="21">
        <f t="shared" si="0"/>
        <v>139867.632179395</v>
      </c>
      <c r="D9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72953.067627987</v>
      </c>
      <c r="E9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39598.261875096</v>
      </c>
      <c r="F9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12047.4108809043</v>
      </c>
      <c r="G9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3266.81022887496</v>
      </c>
      <c r="H9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12002.0815665332</v>
      </c>
    </row>
    <row r="908" ht="15" customHeight="1">
      <c r="B908" s="20">
        <v>901</v>
      </c>
      <c r="C908" s="21">
        <f t="shared" si="0"/>
        <v>124099.611313028</v>
      </c>
      <c r="D90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68000.0313218007</v>
      </c>
      <c r="E90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26464.2882351199</v>
      </c>
      <c r="F90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10689.3322359888</v>
      </c>
      <c r="G90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5447.51051362097</v>
      </c>
      <c r="H90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13498.4490064977</v>
      </c>
    </row>
    <row r="909" ht="15" customHeight="1">
      <c r="B909" s="20">
        <v>902</v>
      </c>
      <c r="C909" s="21">
        <f t="shared" si="0"/>
        <v>149619.819412192</v>
      </c>
      <c r="D90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92629.3848133825</v>
      </c>
      <c r="E90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25899.4433049021</v>
      </c>
      <c r="F90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11791.0952306257</v>
      </c>
      <c r="G90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4299.87244355418</v>
      </c>
      <c r="H90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15000.0236197278</v>
      </c>
    </row>
    <row r="910" ht="15" customHeight="1">
      <c r="B910" s="20">
        <v>903</v>
      </c>
      <c r="C910" s="21">
        <f t="shared" si="0"/>
        <v>176860.523615625</v>
      </c>
      <c r="D91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111271.79786607</v>
      </c>
      <c r="E91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27049.1782570824</v>
      </c>
      <c r="F91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13307.754565922</v>
      </c>
      <c r="G91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5287.07693734476</v>
      </c>
      <c r="H91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19944.7159892055</v>
      </c>
    </row>
    <row r="911" ht="15" customHeight="1">
      <c r="B911" s="20">
        <v>904</v>
      </c>
      <c r="C911" s="21">
        <f t="shared" si="0"/>
        <v>172272.721750656</v>
      </c>
      <c r="D91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106434.193091862</v>
      </c>
      <c r="E91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33978.801283748</v>
      </c>
      <c r="F91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17311.2608521512</v>
      </c>
      <c r="G91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5614.0198497065</v>
      </c>
      <c r="H91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8934.44667318825</v>
      </c>
    </row>
    <row r="912" ht="15" customHeight="1">
      <c r="B912" s="20">
        <v>905</v>
      </c>
      <c r="C912" s="21">
        <f t="shared" si="0"/>
        <v>136585.075984382</v>
      </c>
      <c r="D91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77567.7264447949</v>
      </c>
      <c r="E91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28465.620054079</v>
      </c>
      <c r="F91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12883.9794610812</v>
      </c>
      <c r="G91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5750.62459209358</v>
      </c>
      <c r="H91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11917.125432333</v>
      </c>
    </row>
    <row r="913" ht="15" customHeight="1">
      <c r="B913" s="20">
        <v>906</v>
      </c>
      <c r="C913" s="21">
        <f t="shared" si="0"/>
        <v>138819.472961482</v>
      </c>
      <c r="D91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72549.8288365427</v>
      </c>
      <c r="E91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35204.653017908</v>
      </c>
      <c r="F91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15574.6161475711</v>
      </c>
      <c r="G91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5407.33650636778</v>
      </c>
      <c r="H91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10083.0384530928</v>
      </c>
    </row>
    <row r="914" ht="15" customHeight="1">
      <c r="B914" s="20">
        <v>907</v>
      </c>
      <c r="C914" s="21">
        <f t="shared" si="0"/>
        <v>157354.240634683</v>
      </c>
      <c r="D91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92447.6649120505</v>
      </c>
      <c r="E91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31950.0974011795</v>
      </c>
      <c r="F91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12947.9117174544</v>
      </c>
      <c r="G91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5921.88104464886</v>
      </c>
      <c r="H91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14086.6855593497</v>
      </c>
    </row>
    <row r="915" ht="15" customHeight="1">
      <c r="B915" s="20">
        <v>908</v>
      </c>
      <c r="C915" s="21">
        <f t="shared" si="0"/>
        <v>142465.992081522</v>
      </c>
      <c r="D91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80987.6029615396</v>
      </c>
      <c r="E91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27932.8907424751</v>
      </c>
      <c r="F91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13828.1452604831</v>
      </c>
      <c r="G91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5191.30287167344</v>
      </c>
      <c r="H91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14526.0502453512</v>
      </c>
    </row>
    <row r="916" ht="15" customHeight="1">
      <c r="B916" s="20">
        <v>909</v>
      </c>
      <c r="C916" s="21">
        <f t="shared" si="0"/>
        <v>136207.358714691</v>
      </c>
      <c r="D91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71882.8576438758</v>
      </c>
      <c r="E91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30008.3702991426</v>
      </c>
      <c r="F91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11129.641526316</v>
      </c>
      <c r="G91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5802.90634287571</v>
      </c>
      <c r="H91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17383.5829024811</v>
      </c>
    </row>
    <row r="917" ht="15" customHeight="1">
      <c r="B917" s="20">
        <v>910</v>
      </c>
      <c r="C917" s="21">
        <f t="shared" si="0"/>
        <v>129865.955777999</v>
      </c>
      <c r="D91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71016.5690683584</v>
      </c>
      <c r="E91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30440.8900734755</v>
      </c>
      <c r="F91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11900.4767315862</v>
      </c>
      <c r="G91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4237.27833262523</v>
      </c>
      <c r="H91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12270.7415719538</v>
      </c>
    </row>
    <row r="918" ht="15" customHeight="1">
      <c r="B918" s="20">
        <v>911</v>
      </c>
      <c r="C918" s="21">
        <f t="shared" si="0"/>
        <v>134673.739308834</v>
      </c>
      <c r="D91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84648.3575935406</v>
      </c>
      <c r="E91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22455.0487808956</v>
      </c>
      <c r="F91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13990.340901296</v>
      </c>
      <c r="G91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4819.12048475914</v>
      </c>
      <c r="H91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8760.87154834251</v>
      </c>
    </row>
    <row r="919" ht="15" customHeight="1">
      <c r="B919" s="20">
        <v>912</v>
      </c>
      <c r="C919" s="21">
        <f t="shared" si="0"/>
        <v>129371.252301429</v>
      </c>
      <c r="D91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66981.1393622077</v>
      </c>
      <c r="E91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31286.9746084199</v>
      </c>
      <c r="F91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15080.6198517556</v>
      </c>
      <c r="G91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6005.39241036485</v>
      </c>
      <c r="H91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10017.1260686809</v>
      </c>
    </row>
    <row r="920" ht="15" customHeight="1">
      <c r="B920" s="20">
        <v>913</v>
      </c>
      <c r="C920" s="21">
        <f t="shared" si="0"/>
        <v>126146.096398783</v>
      </c>
      <c r="D92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73303.9815387749</v>
      </c>
      <c r="E92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26515.7573011346</v>
      </c>
      <c r="F92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13217.4121096459</v>
      </c>
      <c r="G92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4983.6156691236</v>
      </c>
      <c r="H92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8125.32978010403</v>
      </c>
    </row>
    <row r="921" ht="15" customHeight="1">
      <c r="B921" s="20">
        <v>914</v>
      </c>
      <c r="C921" s="21">
        <f t="shared" si="0"/>
        <v>169557.306462132</v>
      </c>
      <c r="D92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109638.775444575</v>
      </c>
      <c r="E92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29992.4201308842</v>
      </c>
      <c r="F92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12419.3532931101</v>
      </c>
      <c r="G92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4724.31957342355</v>
      </c>
      <c r="H92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12782.4380201394</v>
      </c>
    </row>
    <row r="922" ht="15" customHeight="1">
      <c r="B922" s="20">
        <v>915</v>
      </c>
      <c r="C922" s="21">
        <f t="shared" si="0"/>
        <v>193848.765699354</v>
      </c>
      <c r="D92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109191.765851258</v>
      </c>
      <c r="E92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43338.8445911545</v>
      </c>
      <c r="F92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14797.498865501</v>
      </c>
      <c r="G92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3677.97469520396</v>
      </c>
      <c r="H92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22842.6816962369</v>
      </c>
    </row>
    <row r="923" ht="15" customHeight="1">
      <c r="B923" s="20">
        <v>916</v>
      </c>
      <c r="C923" s="21">
        <f t="shared" si="0"/>
        <v>158270.367777396</v>
      </c>
      <c r="D92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77598.7887959237</v>
      </c>
      <c r="E92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40481.2445206639</v>
      </c>
      <c r="F92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12166.276598596</v>
      </c>
      <c r="G92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7033.91093649621</v>
      </c>
      <c r="H92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20990.1469257158</v>
      </c>
    </row>
    <row r="924" ht="15" customHeight="1">
      <c r="B924" s="20">
        <v>917</v>
      </c>
      <c r="C924" s="21">
        <f t="shared" si="0"/>
        <v>127309.437903457</v>
      </c>
      <c r="D92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73872.0209626352</v>
      </c>
      <c r="E92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21685.3816934361</v>
      </c>
      <c r="F92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10236.9535562749</v>
      </c>
      <c r="G92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6781.4913066078</v>
      </c>
      <c r="H92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14733.5903845031</v>
      </c>
    </row>
    <row r="925" ht="15" customHeight="1">
      <c r="B925" s="20">
        <v>918</v>
      </c>
      <c r="C925" s="21">
        <f t="shared" si="0"/>
        <v>160219.687867135</v>
      </c>
      <c r="D92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99841.872254586</v>
      </c>
      <c r="E92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34371.8060541369</v>
      </c>
      <c r="F92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10122.5316981419</v>
      </c>
      <c r="G92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4756.3682888367</v>
      </c>
      <c r="H92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11127.1095714336</v>
      </c>
    </row>
    <row r="926" ht="15" customHeight="1">
      <c r="B926" s="20">
        <v>919</v>
      </c>
      <c r="C926" s="21">
        <f t="shared" si="0"/>
        <v>153126.086595588</v>
      </c>
      <c r="D92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79613.6116711364</v>
      </c>
      <c r="E92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35451.0359377799</v>
      </c>
      <c r="F92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10316.2836545573</v>
      </c>
      <c r="G92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5046.90880159684</v>
      </c>
      <c r="H92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22698.2465305178</v>
      </c>
    </row>
    <row r="927" ht="15" customHeight="1">
      <c r="B927" s="20">
        <v>920</v>
      </c>
      <c r="C927" s="21">
        <f t="shared" si="0"/>
        <v>122966.058839886</v>
      </c>
      <c r="D92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58184.9652783418</v>
      </c>
      <c r="E92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33037.6047842716</v>
      </c>
      <c r="F92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10109.2690316401</v>
      </c>
      <c r="G92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5246.65982941351</v>
      </c>
      <c r="H92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16387.5599162191</v>
      </c>
    </row>
    <row r="928" ht="15" customHeight="1">
      <c r="B928" s="20">
        <v>921</v>
      </c>
      <c r="C928" s="21">
        <f t="shared" si="0"/>
        <v>136062.643819754</v>
      </c>
      <c r="D92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79390.6277318207</v>
      </c>
      <c r="E92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31024.503314324</v>
      </c>
      <c r="F92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12453.7626690506</v>
      </c>
      <c r="G92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7530.61150183909</v>
      </c>
      <c r="H92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5663.13860271999</v>
      </c>
    </row>
    <row r="929" ht="15" customHeight="1">
      <c r="B929" s="20">
        <v>922</v>
      </c>
      <c r="C929" s="21">
        <f t="shared" si="0"/>
        <v>145277.694023729</v>
      </c>
      <c r="D92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92083.1432369744</v>
      </c>
      <c r="E92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22037.8100423103</v>
      </c>
      <c r="F92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13564.0562702281</v>
      </c>
      <c r="G92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6162.31728113255</v>
      </c>
      <c r="H92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11430.3671930836</v>
      </c>
    </row>
    <row r="930" ht="15" customHeight="1">
      <c r="B930" s="20">
        <v>923</v>
      </c>
      <c r="C930" s="21">
        <f t="shared" si="0"/>
        <v>148468.486412065</v>
      </c>
      <c r="D93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82320.7835806408</v>
      </c>
      <c r="E93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31543.0150944839</v>
      </c>
      <c r="F93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9252.10710994303</v>
      </c>
      <c r="G93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6830.42370889815</v>
      </c>
      <c r="H93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18522.1569180987</v>
      </c>
    </row>
    <row r="931" ht="15" customHeight="1">
      <c r="B931" s="20">
        <v>924</v>
      </c>
      <c r="C931" s="21">
        <f t="shared" si="0"/>
        <v>111130.052822778</v>
      </c>
      <c r="D93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57647.0895034595</v>
      </c>
      <c r="E93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27406.7227875775</v>
      </c>
      <c r="F93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14482.942250562</v>
      </c>
      <c r="G93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4803.259735026</v>
      </c>
      <c r="H93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6790.03854615333</v>
      </c>
    </row>
    <row r="932" ht="15" customHeight="1">
      <c r="B932" s="20">
        <v>925</v>
      </c>
      <c r="C932" s="21">
        <f t="shared" si="0"/>
        <v>131937.674748412</v>
      </c>
      <c r="D93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66037.8890344181</v>
      </c>
      <c r="E93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26288.0067431625</v>
      </c>
      <c r="F93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14542.3505514595</v>
      </c>
      <c r="G93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5832.55344490088</v>
      </c>
      <c r="H93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19236.8749744706</v>
      </c>
    </row>
    <row r="933" ht="15" customHeight="1">
      <c r="B933" s="20">
        <v>926</v>
      </c>
      <c r="C933" s="21">
        <f t="shared" si="0"/>
        <v>155119.361641403</v>
      </c>
      <c r="D93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94621.142592418</v>
      </c>
      <c r="E93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31299.4374963418</v>
      </c>
      <c r="F93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12139.1773046999</v>
      </c>
      <c r="G93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4973.23807746152</v>
      </c>
      <c r="H93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12086.3661704821</v>
      </c>
    </row>
    <row r="934" ht="15" customHeight="1">
      <c r="B934" s="20">
        <v>927</v>
      </c>
      <c r="C934" s="21">
        <f t="shared" si="0"/>
        <v>145647.89130991</v>
      </c>
      <c r="D93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89116.4775282794</v>
      </c>
      <c r="E93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33029.6458363121</v>
      </c>
      <c r="F93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8569.75029824778</v>
      </c>
      <c r="G93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4764.78233961322</v>
      </c>
      <c r="H93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10167.2353074579</v>
      </c>
    </row>
    <row r="935" ht="15" customHeight="1">
      <c r="B935" s="20">
        <v>928</v>
      </c>
      <c r="C935" s="21">
        <f t="shared" si="0"/>
        <v>166144.487037819</v>
      </c>
      <c r="D93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89571.4893074065</v>
      </c>
      <c r="E93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35940.2671910751</v>
      </c>
      <c r="F93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14141.4865668247</v>
      </c>
      <c r="G93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4127.01790866356</v>
      </c>
      <c r="H93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22364.2260638491</v>
      </c>
    </row>
    <row r="936" ht="15" customHeight="1">
      <c r="B936" s="20">
        <v>929</v>
      </c>
      <c r="C936" s="21">
        <f t="shared" si="0"/>
        <v>129738.512047722</v>
      </c>
      <c r="D93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71741.210507616</v>
      </c>
      <c r="E93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28007.0190056764</v>
      </c>
      <c r="F93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14757.9957288381</v>
      </c>
      <c r="G93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4692.8069887905</v>
      </c>
      <c r="H93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10539.4798168006</v>
      </c>
    </row>
    <row r="937" ht="15" customHeight="1">
      <c r="B937" s="20">
        <v>930</v>
      </c>
      <c r="C937" s="21">
        <f t="shared" si="0"/>
        <v>157444.714035801</v>
      </c>
      <c r="D93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88792.7527880259</v>
      </c>
      <c r="E93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36952.3351164482</v>
      </c>
      <c r="F93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13162.3270118218</v>
      </c>
      <c r="G93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4501.9280301924</v>
      </c>
      <c r="H93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14035.3710893127</v>
      </c>
    </row>
    <row r="938" ht="15" customHeight="1">
      <c r="B938" s="20">
        <v>931</v>
      </c>
      <c r="C938" s="21">
        <f t="shared" si="0"/>
        <v>113805.886851664</v>
      </c>
      <c r="D93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54426.9833004116</v>
      </c>
      <c r="E93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22996.9135652549</v>
      </c>
      <c r="F93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12465.9177895997</v>
      </c>
      <c r="G93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3875.3799814166</v>
      </c>
      <c r="H93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20040.692214981</v>
      </c>
    </row>
    <row r="939" ht="15" customHeight="1">
      <c r="B939" s="20">
        <v>932</v>
      </c>
      <c r="C939" s="21">
        <f t="shared" si="0"/>
        <v>136894.082983963</v>
      </c>
      <c r="D93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86873.9707291934</v>
      </c>
      <c r="E93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24719.3717293707</v>
      </c>
      <c r="F93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11789.2798720427</v>
      </c>
      <c r="G93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3842.91702715992</v>
      </c>
      <c r="H93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9668.54362619676</v>
      </c>
    </row>
    <row r="940" ht="15" customHeight="1">
      <c r="B940" s="20">
        <v>933</v>
      </c>
      <c r="C940" s="21">
        <f t="shared" si="0"/>
        <v>134251.365864356</v>
      </c>
      <c r="D94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72697.9762513499</v>
      </c>
      <c r="E94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32918.9072835792</v>
      </c>
      <c r="F94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13379.0360230298</v>
      </c>
      <c r="G94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7069.92884654171</v>
      </c>
      <c r="H94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8185.51745985501</v>
      </c>
    </row>
    <row r="941" ht="15" customHeight="1">
      <c r="B941" s="20">
        <v>934</v>
      </c>
      <c r="C941" s="21">
        <f t="shared" si="0"/>
        <v>140620.160088432</v>
      </c>
      <c r="D94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88977.746712216</v>
      </c>
      <c r="E94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29034.7257060522</v>
      </c>
      <c r="F94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9852.07698691583</v>
      </c>
      <c r="G94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5539.99012078109</v>
      </c>
      <c r="H94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7215.62056246722</v>
      </c>
    </row>
    <row r="942" ht="15" customHeight="1">
      <c r="B942" s="20">
        <v>935</v>
      </c>
      <c r="C942" s="21">
        <f t="shared" si="0"/>
        <v>114095.567065571</v>
      </c>
      <c r="D94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53501.2439657186</v>
      </c>
      <c r="E94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26477.9777381767</v>
      </c>
      <c r="F94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15579.2965715275</v>
      </c>
      <c r="G94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7247.65531788419</v>
      </c>
      <c r="H94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11289.3934722636</v>
      </c>
    </row>
    <row r="943" ht="15" customHeight="1">
      <c r="B943" s="20">
        <v>936</v>
      </c>
      <c r="C943" s="21">
        <f t="shared" si="0"/>
        <v>125021.846775839</v>
      </c>
      <c r="D94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66858.9867515857</v>
      </c>
      <c r="E94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24748.137847515</v>
      </c>
      <c r="F94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13184.6042650518</v>
      </c>
      <c r="G94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3840.91277421438</v>
      </c>
      <c r="H94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16389.2051374717</v>
      </c>
    </row>
    <row r="944" ht="15" customHeight="1">
      <c r="B944" s="20">
        <v>937</v>
      </c>
      <c r="C944" s="21">
        <f t="shared" si="0"/>
        <v>141632.244717629</v>
      </c>
      <c r="D94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84246.7858674209</v>
      </c>
      <c r="E94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28053.1248917175</v>
      </c>
      <c r="F94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13244.6701619538</v>
      </c>
      <c r="G94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4719.21905342838</v>
      </c>
      <c r="H94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11368.4447431083</v>
      </c>
    </row>
    <row r="945" ht="15" customHeight="1">
      <c r="B945" s="20">
        <v>938</v>
      </c>
      <c r="C945" s="21">
        <f t="shared" si="0"/>
        <v>158213.832415878</v>
      </c>
      <c r="D94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89034.4720233539</v>
      </c>
      <c r="E94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35304.7653278218</v>
      </c>
      <c r="F94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14426.0562471648</v>
      </c>
      <c r="G94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3829.86357480778</v>
      </c>
      <c r="H94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15618.6752427299</v>
      </c>
    </row>
    <row r="946" ht="15" customHeight="1">
      <c r="B946" s="20">
        <v>939</v>
      </c>
      <c r="C946" s="21">
        <f t="shared" si="0"/>
        <v>133006.269838367</v>
      </c>
      <c r="D94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73538.9603621984</v>
      </c>
      <c r="E94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28684.2232573633</v>
      </c>
      <c r="F94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12962.3107495134</v>
      </c>
      <c r="G94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4268.28375546249</v>
      </c>
      <c r="H94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13552.4917138295</v>
      </c>
    </row>
    <row r="947" ht="15" customHeight="1">
      <c r="B947" s="20">
        <v>940</v>
      </c>
      <c r="C947" s="21">
        <f t="shared" si="0"/>
        <v>129500.856219998</v>
      </c>
      <c r="D94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71674.2479981067</v>
      </c>
      <c r="E94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29692.8598143686</v>
      </c>
      <c r="F94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9464.88223265194</v>
      </c>
      <c r="G94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7347.47214127518</v>
      </c>
      <c r="H94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11321.3940335959</v>
      </c>
    </row>
    <row r="948" ht="15" customHeight="1">
      <c r="B948" s="20">
        <v>941</v>
      </c>
      <c r="C948" s="21">
        <f t="shared" si="0"/>
        <v>157143.143238627</v>
      </c>
      <c r="D94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86165.5081931224</v>
      </c>
      <c r="E94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41612.5599735287</v>
      </c>
      <c r="F94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13377.2383595426</v>
      </c>
      <c r="G94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4855.03677392631</v>
      </c>
      <c r="H94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11132.7999385073</v>
      </c>
    </row>
    <row r="949" ht="15" customHeight="1">
      <c r="B949" s="20">
        <v>942</v>
      </c>
      <c r="C949" s="21">
        <f t="shared" si="0"/>
        <v>167327.33133805</v>
      </c>
      <c r="D94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90407.7073243576</v>
      </c>
      <c r="E94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41444.1896032196</v>
      </c>
      <c r="F94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13400.1808266357</v>
      </c>
      <c r="G94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5990.52687589275</v>
      </c>
      <c r="H94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16084.7267079443</v>
      </c>
    </row>
    <row r="950" ht="15" customHeight="1">
      <c r="B950" s="20">
        <v>943</v>
      </c>
      <c r="C950" s="21">
        <f t="shared" si="0"/>
        <v>127227.215134718</v>
      </c>
      <c r="D95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70408.5878887839</v>
      </c>
      <c r="E95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28272.7742216285</v>
      </c>
      <c r="F95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10859.7829588815</v>
      </c>
      <c r="G95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6420.41154227013</v>
      </c>
      <c r="H95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11265.6585231539</v>
      </c>
    </row>
    <row r="951" ht="15" customHeight="1">
      <c r="B951" s="20">
        <v>944</v>
      </c>
      <c r="C951" s="21">
        <f t="shared" si="0"/>
        <v>137738.302037282</v>
      </c>
      <c r="D95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69694.9426338087</v>
      </c>
      <c r="E95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30217.4536741337</v>
      </c>
      <c r="F95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17401.8630682305</v>
      </c>
      <c r="G95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5075.40807267815</v>
      </c>
      <c r="H95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15348.634588431</v>
      </c>
    </row>
    <row r="952" ht="15" customHeight="1">
      <c r="B952" s="20">
        <v>945</v>
      </c>
      <c r="C952" s="21">
        <f t="shared" si="0"/>
        <v>152315.794467123</v>
      </c>
      <c r="D95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81962.570498634</v>
      </c>
      <c r="E95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32640.1975539703</v>
      </c>
      <c r="F95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10720.9357487626</v>
      </c>
      <c r="G95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6065.73450322406</v>
      </c>
      <c r="H95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20926.3561625322</v>
      </c>
    </row>
    <row r="953" ht="15" customHeight="1">
      <c r="B953" s="20">
        <v>946</v>
      </c>
      <c r="C953" s="21">
        <f t="shared" si="0"/>
        <v>134659.7022487</v>
      </c>
      <c r="D95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71302.6988282587</v>
      </c>
      <c r="E95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28565.474912595</v>
      </c>
      <c r="F95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13180.5539658261</v>
      </c>
      <c r="G95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4514.15388553589</v>
      </c>
      <c r="H95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17096.8206564839</v>
      </c>
    </row>
    <row r="954" ht="15" customHeight="1">
      <c r="B954" s="20">
        <v>947</v>
      </c>
      <c r="C954" s="21">
        <f t="shared" si="0"/>
        <v>158807.334413228</v>
      </c>
      <c r="D95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93523.0537142722</v>
      </c>
      <c r="E95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30123.9675950072</v>
      </c>
      <c r="F95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9760.48795856553</v>
      </c>
      <c r="G95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4765.99666166585</v>
      </c>
      <c r="H95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20633.8284837169</v>
      </c>
    </row>
    <row r="955" ht="15" customHeight="1">
      <c r="B955" s="20">
        <v>948</v>
      </c>
      <c r="C955" s="21">
        <f t="shared" si="0"/>
        <v>133857.838918127</v>
      </c>
      <c r="D95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66918.0728799213</v>
      </c>
      <c r="E95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33440.0999234301</v>
      </c>
      <c r="F95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13048.6003949055</v>
      </c>
      <c r="G95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6970.03678552656</v>
      </c>
      <c r="H95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13481.0289343432</v>
      </c>
    </row>
    <row r="956" ht="15" customHeight="1">
      <c r="B956" s="20">
        <v>949</v>
      </c>
      <c r="C956" s="21">
        <f t="shared" si="0"/>
        <v>133108.863273832</v>
      </c>
      <c r="D95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73637.1173440425</v>
      </c>
      <c r="E95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29615.1022122283</v>
      </c>
      <c r="F95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12117.8552049511</v>
      </c>
      <c r="G95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4591.43234139937</v>
      </c>
      <c r="H95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13147.3561712107</v>
      </c>
    </row>
    <row r="957" ht="15" customHeight="1">
      <c r="B957" s="20">
        <v>950</v>
      </c>
      <c r="C957" s="21">
        <f t="shared" si="0"/>
        <v>139616.707467519</v>
      </c>
      <c r="D95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82159.9767218373</v>
      </c>
      <c r="E95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29789.2042749327</v>
      </c>
      <c r="F95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15087.5063375533</v>
      </c>
      <c r="G95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5667.75540809524</v>
      </c>
      <c r="H95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6912.26472510033</v>
      </c>
    </row>
    <row r="958" ht="15" customHeight="1">
      <c r="B958" s="20">
        <v>951</v>
      </c>
      <c r="C958" s="21">
        <f t="shared" si="0"/>
        <v>148540.238831029</v>
      </c>
      <c r="D95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101877.380664482</v>
      </c>
      <c r="E95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22854.9680602272</v>
      </c>
      <c r="F95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9585.23961159755</v>
      </c>
      <c r="G95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5381.8853667895</v>
      </c>
      <c r="H95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8840.76512793293</v>
      </c>
    </row>
    <row r="959" ht="15" customHeight="1">
      <c r="B959" s="20">
        <v>952</v>
      </c>
      <c r="C959" s="21">
        <f t="shared" si="0"/>
        <v>130728.783008613</v>
      </c>
      <c r="D95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68349.7422092501</v>
      </c>
      <c r="E95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35098.0626902752</v>
      </c>
      <c r="F95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11367.7714294788</v>
      </c>
      <c r="G95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3358.18092948747</v>
      </c>
      <c r="H95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12555.0257501211</v>
      </c>
    </row>
    <row r="960" ht="15" customHeight="1">
      <c r="B960" s="20">
        <v>953</v>
      </c>
      <c r="C960" s="21">
        <f t="shared" si="0"/>
        <v>126719.665280825</v>
      </c>
      <c r="D96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61444.1001467353</v>
      </c>
      <c r="E96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29662.6191033823</v>
      </c>
      <c r="F96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11977.3067096289</v>
      </c>
      <c r="G96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5360.79943536203</v>
      </c>
      <c r="H96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18274.8398857162</v>
      </c>
    </row>
    <row r="961" ht="15" customHeight="1">
      <c r="B961" s="20">
        <v>954</v>
      </c>
      <c r="C961" s="21">
        <f t="shared" si="0"/>
        <v>171349.239893338</v>
      </c>
      <c r="D96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107891.99331859</v>
      </c>
      <c r="E96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35772.0136780245</v>
      </c>
      <c r="F96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16117.2015826604</v>
      </c>
      <c r="G96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3854.33620945873</v>
      </c>
      <c r="H96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7713.69510460408</v>
      </c>
    </row>
    <row r="962" ht="15" customHeight="1">
      <c r="B962" s="20">
        <v>955</v>
      </c>
      <c r="C962" s="21">
        <f t="shared" si="0"/>
        <v>133720.831242626</v>
      </c>
      <c r="D96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58312.3379428693</v>
      </c>
      <c r="E96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34600.0717813315</v>
      </c>
      <c r="F96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12261.8771247946</v>
      </c>
      <c r="G96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5051.59198694581</v>
      </c>
      <c r="H96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23494.9524066846</v>
      </c>
    </row>
    <row r="963" ht="15" customHeight="1">
      <c r="B963" s="20">
        <v>956</v>
      </c>
      <c r="C963" s="21">
        <f t="shared" si="0"/>
        <v>141406.739902766</v>
      </c>
      <c r="D96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91119.3823378709</v>
      </c>
      <c r="E96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24945.3182284491</v>
      </c>
      <c r="F96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10853.6212851559</v>
      </c>
      <c r="G96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3849.41036555071</v>
      </c>
      <c r="H96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10639.0076857391</v>
      </c>
    </row>
    <row r="964" ht="15" customHeight="1">
      <c r="B964" s="20">
        <v>957</v>
      </c>
      <c r="C964" s="21">
        <f t="shared" si="0"/>
        <v>125328.921276161</v>
      </c>
      <c r="D96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67601.7211787703</v>
      </c>
      <c r="E96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23892.2518431857</v>
      </c>
      <c r="F96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17229.9653129043</v>
      </c>
      <c r="G96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4961.37645327125</v>
      </c>
      <c r="H96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11643.6064880293</v>
      </c>
    </row>
    <row r="965" ht="15" customHeight="1">
      <c r="B965" s="20">
        <v>958</v>
      </c>
      <c r="C965" s="21">
        <f t="shared" si="0"/>
        <v>139254.685871283</v>
      </c>
      <c r="D96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84150.8390182839</v>
      </c>
      <c r="E96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27224.2419380169</v>
      </c>
      <c r="F96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12656.1480600565</v>
      </c>
      <c r="G96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3604.09843179057</v>
      </c>
      <c r="H96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11619.3584231356</v>
      </c>
    </row>
    <row r="966" ht="15" customHeight="1">
      <c r="B966" s="20">
        <v>959</v>
      </c>
      <c r="C966" s="21">
        <f t="shared" si="0"/>
        <v>147591.143410139</v>
      </c>
      <c r="D96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89921.6366529163</v>
      </c>
      <c r="E96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25769.9259670006</v>
      </c>
      <c r="F96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12513.3549778087</v>
      </c>
      <c r="G96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5399.43958507834</v>
      </c>
      <c r="H96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13986.786227335</v>
      </c>
    </row>
    <row r="967" ht="15" customHeight="1">
      <c r="B967" s="20">
        <v>960</v>
      </c>
      <c r="C967" s="21">
        <f t="shared" si="0"/>
        <v>158625.918311976</v>
      </c>
      <c r="D96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84388.7108756545</v>
      </c>
      <c r="E96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43203.5035908415</v>
      </c>
      <c r="F96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15346.1424205824</v>
      </c>
      <c r="G96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5192.79287243576</v>
      </c>
      <c r="H96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10494.7685524623</v>
      </c>
    </row>
    <row r="968" ht="15" customHeight="1">
      <c r="B968" s="20">
        <v>961</v>
      </c>
      <c r="C968" s="21">
        <f t="shared" si="0"/>
        <v>136735.55820649</v>
      </c>
      <c r="D96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81356.260184615</v>
      </c>
      <c r="E96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22465.080081626</v>
      </c>
      <c r="F96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15038.2911436802</v>
      </c>
      <c r="G96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7200.48334843462</v>
      </c>
      <c r="H96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10675.4434481337</v>
      </c>
    </row>
    <row r="969" ht="15" customHeight="1">
      <c r="B969" s="20">
        <v>962</v>
      </c>
      <c r="C969" s="21">
        <f t="shared" si="0"/>
        <v>166367.252923889</v>
      </c>
      <c r="D96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96316.5039262625</v>
      </c>
      <c r="E96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33646.7873276799</v>
      </c>
      <c r="F96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17072.2416834833</v>
      </c>
      <c r="G96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7338.69141778457</v>
      </c>
      <c r="H96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11993.028568679</v>
      </c>
    </row>
    <row r="970" ht="15" customHeight="1">
      <c r="B970" s="20">
        <v>963</v>
      </c>
      <c r="C970" s="21">
        <f t="shared" si="0"/>
        <v>161921.584726217</v>
      </c>
      <c r="D97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95539.0202564685</v>
      </c>
      <c r="E97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32673.5063639012</v>
      </c>
      <c r="F97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10190.3773746011</v>
      </c>
      <c r="G97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4573.75841374268</v>
      </c>
      <c r="H97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18944.9223175037</v>
      </c>
    </row>
    <row r="971" ht="15" customHeight="1">
      <c r="B971" s="20">
        <v>964</v>
      </c>
      <c r="C971" s="21">
        <f t="shared" si="0"/>
        <v>152686.835674827</v>
      </c>
      <c r="D97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83798.4009591515</v>
      </c>
      <c r="E97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28660.6141200994</v>
      </c>
      <c r="F97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11130.5726601285</v>
      </c>
      <c r="G97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6324.37123912036</v>
      </c>
      <c r="H97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22772.8766963271</v>
      </c>
    </row>
    <row r="972" ht="15" customHeight="1">
      <c r="B972" s="20">
        <v>965</v>
      </c>
      <c r="C972" s="21">
        <f t="shared" si="0"/>
        <v>158788.035765617</v>
      </c>
      <c r="D97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95718.9520323638</v>
      </c>
      <c r="E97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34015.6066378635</v>
      </c>
      <c r="F97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11849.927950657</v>
      </c>
      <c r="G97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3850.34818019094</v>
      </c>
      <c r="H97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13353.2009645422</v>
      </c>
    </row>
    <row r="973" ht="15" customHeight="1">
      <c r="B973" s="20">
        <v>966</v>
      </c>
      <c r="C973" s="21">
        <f t="shared" si="0"/>
        <v>154386.684799064</v>
      </c>
      <c r="D97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76853.7118687459</v>
      </c>
      <c r="E97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40737.6531540171</v>
      </c>
      <c r="F97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11188.1154225477</v>
      </c>
      <c r="G97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4987.05062273528</v>
      </c>
      <c r="H97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20620.1537310179</v>
      </c>
    </row>
    <row r="974" ht="15" customHeight="1">
      <c r="B974" s="20">
        <v>967</v>
      </c>
      <c r="C974" s="21">
        <f t="shared" si="0"/>
        <v>140027.662561027</v>
      </c>
      <c r="D97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75010.0969419521</v>
      </c>
      <c r="E97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29384.4944000651</v>
      </c>
      <c r="F97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13298.3840165145</v>
      </c>
      <c r="G97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3914.23270488664</v>
      </c>
      <c r="H97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18420.4544976088</v>
      </c>
    </row>
    <row r="975" ht="15" customHeight="1">
      <c r="B975" s="20">
        <v>968</v>
      </c>
      <c r="C975" s="21">
        <f t="shared" si="0"/>
        <v>156970.000876199</v>
      </c>
      <c r="D97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99070.7178184453</v>
      </c>
      <c r="E97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29769.2524859943</v>
      </c>
      <c r="F97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9807.93821007895</v>
      </c>
      <c r="G97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5256.25765184942</v>
      </c>
      <c r="H97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13065.8347098309</v>
      </c>
    </row>
    <row r="976" ht="15" customHeight="1">
      <c r="B976" s="20">
        <v>969</v>
      </c>
      <c r="C976" s="21">
        <f t="shared" si="0"/>
        <v>142351.16688003</v>
      </c>
      <c r="D97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77756.8060437403</v>
      </c>
      <c r="E97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27409.1988249089</v>
      </c>
      <c r="F97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12667.4311698891</v>
      </c>
      <c r="G97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5348.68811906032</v>
      </c>
      <c r="H97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19169.0427224313</v>
      </c>
    </row>
    <row r="977" ht="15" customHeight="1">
      <c r="B977" s="20">
        <v>970</v>
      </c>
      <c r="C977" s="21">
        <f t="shared" si="0"/>
        <v>133990.719844677</v>
      </c>
      <c r="D97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61448.4973416145</v>
      </c>
      <c r="E97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38053.1729334894</v>
      </c>
      <c r="F97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15300.814691575</v>
      </c>
      <c r="G97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6826.01269101066</v>
      </c>
      <c r="H97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12362.2221869878</v>
      </c>
    </row>
    <row r="978" ht="15" customHeight="1">
      <c r="B978" s="20">
        <v>971</v>
      </c>
      <c r="C978" s="21">
        <f t="shared" si="0"/>
        <v>145153.552392162</v>
      </c>
      <c r="D97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82213.3376176077</v>
      </c>
      <c r="E97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34228.0991532776</v>
      </c>
      <c r="F97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12523.9626813742</v>
      </c>
      <c r="G97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5362.53103567752</v>
      </c>
      <c r="H97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10825.6219042249</v>
      </c>
    </row>
    <row r="979" ht="15" customHeight="1">
      <c r="B979" s="20">
        <v>972</v>
      </c>
      <c r="C979" s="21">
        <f t="shared" si="0"/>
        <v>129728.206655983</v>
      </c>
      <c r="D97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63803.5037631495</v>
      </c>
      <c r="E97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37972.3534989637</v>
      </c>
      <c r="F97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12691.510041332</v>
      </c>
      <c r="G97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3412.22764652877</v>
      </c>
      <c r="H97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11848.6117060086</v>
      </c>
    </row>
    <row r="980" ht="15" customHeight="1">
      <c r="B980" s="20">
        <v>973</v>
      </c>
      <c r="C980" s="21">
        <f t="shared" si="0"/>
        <v>148049.191565387</v>
      </c>
      <c r="D98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63270.7809644473</v>
      </c>
      <c r="E98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41650.3280997461</v>
      </c>
      <c r="F98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11165.08572345</v>
      </c>
      <c r="G98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7521.2243659414</v>
      </c>
      <c r="H98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24441.7724118022</v>
      </c>
    </row>
    <row r="981" ht="15" customHeight="1">
      <c r="B981" s="20">
        <v>974</v>
      </c>
      <c r="C981" s="21">
        <f t="shared" si="0"/>
        <v>123673.225648552</v>
      </c>
      <c r="D98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70666.6008542943</v>
      </c>
      <c r="E98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24779.5346012848</v>
      </c>
      <c r="F98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9330.61254285849</v>
      </c>
      <c r="G98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3278.5168951288</v>
      </c>
      <c r="H98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15617.9607549857</v>
      </c>
    </row>
    <row r="982" ht="15" customHeight="1">
      <c r="B982" s="20">
        <v>975</v>
      </c>
      <c r="C982" s="21">
        <f t="shared" si="0"/>
        <v>116630.619944135</v>
      </c>
      <c r="D98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54567.0221606922</v>
      </c>
      <c r="E98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35618.2980008646</v>
      </c>
      <c r="F98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10779.4515615046</v>
      </c>
      <c r="G98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5877.45354198494</v>
      </c>
      <c r="H98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9788.39467908841</v>
      </c>
    </row>
    <row r="983" ht="15" customHeight="1">
      <c r="B983" s="20">
        <v>976</v>
      </c>
      <c r="C983" s="21">
        <f t="shared" si="0"/>
        <v>156742.108634208</v>
      </c>
      <c r="D98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88444.6038612547</v>
      </c>
      <c r="E98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30135.5766726445</v>
      </c>
      <c r="F98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14770.7215464415</v>
      </c>
      <c r="G98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5138.64683859638</v>
      </c>
      <c r="H98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18252.5597152705</v>
      </c>
    </row>
    <row r="984" ht="15" customHeight="1">
      <c r="B984" s="20">
        <v>977</v>
      </c>
      <c r="C984" s="21">
        <f t="shared" si="0"/>
        <v>161404.799253232</v>
      </c>
      <c r="D98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92294.1383705913</v>
      </c>
      <c r="E98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39171.3389295165</v>
      </c>
      <c r="F98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12945.8920796016</v>
      </c>
      <c r="G98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4910.00049804989</v>
      </c>
      <c r="H98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12083.429375473</v>
      </c>
    </row>
    <row r="985" ht="15" customHeight="1">
      <c r="B985" s="20">
        <v>978</v>
      </c>
      <c r="C985" s="21">
        <f t="shared" si="0"/>
        <v>152972.556212315</v>
      </c>
      <c r="D98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85374.8834749031</v>
      </c>
      <c r="E98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32420.7873021746</v>
      </c>
      <c r="F98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14084.8671177848</v>
      </c>
      <c r="G98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5825.42789407291</v>
      </c>
      <c r="H98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15266.5904233792</v>
      </c>
    </row>
    <row r="986" ht="15" customHeight="1">
      <c r="B986" s="20">
        <v>979</v>
      </c>
      <c r="C986" s="21">
        <f t="shared" si="0"/>
        <v>143379.614448528</v>
      </c>
      <c r="D98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78464.4116617888</v>
      </c>
      <c r="E98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34397.1233859722</v>
      </c>
      <c r="F98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13767.5664984363</v>
      </c>
      <c r="G98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5268.8093437311</v>
      </c>
      <c r="H98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11481.7035585995</v>
      </c>
    </row>
    <row r="987" ht="15" customHeight="1">
      <c r="B987" s="20">
        <v>980</v>
      </c>
      <c r="C987" s="21">
        <f t="shared" si="0"/>
        <v>139387.347187263</v>
      </c>
      <c r="D98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81526.9868427203</v>
      </c>
      <c r="E98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24832.3340921283</v>
      </c>
      <c r="F98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13276.3788467301</v>
      </c>
      <c r="G98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4550.05257845746</v>
      </c>
      <c r="H98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15201.5948272267</v>
      </c>
    </row>
    <row r="988" ht="15" customHeight="1">
      <c r="B988" s="20">
        <v>981</v>
      </c>
      <c r="C988" s="21">
        <f t="shared" si="0"/>
        <v>145699.103104527</v>
      </c>
      <c r="D98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82441.4016470759</v>
      </c>
      <c r="E98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28567.1161252677</v>
      </c>
      <c r="F98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13519.3576153666</v>
      </c>
      <c r="G98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5309.16817964671</v>
      </c>
      <c r="H98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15862.0595371697</v>
      </c>
    </row>
    <row r="989" ht="15" customHeight="1">
      <c r="B989" s="20">
        <v>982</v>
      </c>
      <c r="C989" s="21">
        <f t="shared" si="0"/>
        <v>152274.286642352</v>
      </c>
      <c r="D98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81245.2822462431</v>
      </c>
      <c r="E98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39088.5725270396</v>
      </c>
      <c r="F98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11531.4462127726</v>
      </c>
      <c r="G98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6259.70958659895</v>
      </c>
      <c r="H98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14149.276069698</v>
      </c>
    </row>
    <row r="990" ht="15" customHeight="1">
      <c r="B990" s="20">
        <v>983</v>
      </c>
      <c r="C990" s="21">
        <f t="shared" si="0"/>
        <v>135086.638791493</v>
      </c>
      <c r="D99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82577.9453107626</v>
      </c>
      <c r="E99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25264.9512897056</v>
      </c>
      <c r="F99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14308.3153980178</v>
      </c>
      <c r="G99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3379.25859038543</v>
      </c>
      <c r="H99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9556.16820262147</v>
      </c>
    </row>
    <row r="991" ht="15" customHeight="1">
      <c r="B991" s="20">
        <v>984</v>
      </c>
      <c r="C991" s="21">
        <f t="shared" si="0"/>
        <v>154276.016470133</v>
      </c>
      <c r="D99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95470.730643842</v>
      </c>
      <c r="E99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33188.8988753832</v>
      </c>
      <c r="F99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11457.3984395426</v>
      </c>
      <c r="G99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5105.29650679575</v>
      </c>
      <c r="H99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9053.6920045694</v>
      </c>
    </row>
    <row r="992" ht="15" customHeight="1">
      <c r="B992" s="20">
        <v>985</v>
      </c>
      <c r="C992" s="21">
        <f t="shared" si="0"/>
        <v>128986.171300019</v>
      </c>
      <c r="D99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75064.3874064119</v>
      </c>
      <c r="E99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21006.8084407683</v>
      </c>
      <c r="F99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11548.5278364057</v>
      </c>
      <c r="G99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5946.71886208086</v>
      </c>
      <c r="H99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15419.7287543519</v>
      </c>
    </row>
    <row r="993" ht="15" customHeight="1">
      <c r="B993" s="20">
        <v>986</v>
      </c>
      <c r="C993" s="21">
        <f t="shared" si="0"/>
        <v>148350.63797415</v>
      </c>
      <c r="D99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95083.0388139186</v>
      </c>
      <c r="E99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27793.3291597588</v>
      </c>
      <c r="F99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10442.4519726918</v>
      </c>
      <c r="G99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6689.37499526647</v>
      </c>
      <c r="H99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8342.443032514</v>
      </c>
    </row>
    <row r="994" ht="15" customHeight="1">
      <c r="B994" s="20">
        <v>987</v>
      </c>
      <c r="C994" s="21">
        <f t="shared" si="0"/>
        <v>134010.625307081</v>
      </c>
      <c r="D99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65800.1785115288</v>
      </c>
      <c r="E99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36644.1821304494</v>
      </c>
      <c r="F99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16272.8230249304</v>
      </c>
      <c r="G99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6790.54674874328</v>
      </c>
      <c r="H99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8502.89489142949</v>
      </c>
    </row>
    <row r="995" ht="15" customHeight="1">
      <c r="B995" s="20">
        <v>988</v>
      </c>
      <c r="C995" s="21">
        <f t="shared" si="0"/>
        <v>139150.645219174</v>
      </c>
      <c r="D99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84212.5347269742</v>
      </c>
      <c r="E99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23526.2715577864</v>
      </c>
      <c r="F99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15114.5812432621</v>
      </c>
      <c r="G99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5269.46378804509</v>
      </c>
      <c r="H99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11027.7939031064</v>
      </c>
    </row>
    <row r="996" ht="15" customHeight="1">
      <c r="B996" s="20">
        <v>989</v>
      </c>
      <c r="C996" s="21">
        <f t="shared" si="0"/>
        <v>116021.454124409</v>
      </c>
      <c r="D99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54569.8617017073</v>
      </c>
      <c r="E99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28939.1183717932</v>
      </c>
      <c r="F99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12998.3713640803</v>
      </c>
      <c r="G99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4063.0011876829</v>
      </c>
      <c r="H99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15451.101499145</v>
      </c>
    </row>
    <row r="997" ht="15" customHeight="1">
      <c r="B997" s="20">
        <v>990</v>
      </c>
      <c r="C997" s="21">
        <f t="shared" si="0"/>
        <v>161235.515779513</v>
      </c>
      <c r="D99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89123.3539575962</v>
      </c>
      <c r="E99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36735.2788109292</v>
      </c>
      <c r="F99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10844.3582922855</v>
      </c>
      <c r="G99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7479.64393234227</v>
      </c>
      <c r="H99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17052.8807863594</v>
      </c>
    </row>
    <row r="998" ht="15" customHeight="1">
      <c r="B998" s="20">
        <v>991</v>
      </c>
      <c r="C998" s="21">
        <f t="shared" si="0"/>
        <v>114046.476371551</v>
      </c>
      <c r="D998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64290.5084901742</v>
      </c>
      <c r="E998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23863.2720620501</v>
      </c>
      <c r="F998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10555.3695854008</v>
      </c>
      <c r="G998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4899.88397163532</v>
      </c>
      <c r="H998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10437.442262291</v>
      </c>
    </row>
    <row r="999" ht="15" customHeight="1">
      <c r="B999" s="20">
        <v>992</v>
      </c>
      <c r="C999" s="21">
        <f t="shared" si="0"/>
        <v>120924.277251524</v>
      </c>
      <c r="D999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66155.2516410458</v>
      </c>
      <c r="E999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23309.0620687865</v>
      </c>
      <c r="F999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12218.1942720209</v>
      </c>
      <c r="G999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6454.5421733978</v>
      </c>
      <c r="H999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12787.227096273</v>
      </c>
    </row>
    <row r="1000" ht="15" customHeight="1">
      <c r="B1000" s="20">
        <v>993</v>
      </c>
      <c r="C1000" s="21">
        <f t="shared" si="0"/>
        <v>138246.982676059</v>
      </c>
      <c r="D1000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83505.9430126673</v>
      </c>
      <c r="E1000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28769.7236912467</v>
      </c>
      <c r="F1000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9344.77334751021</v>
      </c>
      <c r="G1000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5611.29151148398</v>
      </c>
      <c r="H1000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11015.2511131508</v>
      </c>
    </row>
    <row r="1001" ht="15" customHeight="1">
      <c r="B1001" s="20">
        <v>994</v>
      </c>
      <c r="C1001" s="21">
        <f t="shared" si="0"/>
        <v>143032.132554373</v>
      </c>
      <c r="D1001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74322.4107734177</v>
      </c>
      <c r="E1001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39180.2168687333</v>
      </c>
      <c r="F1001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15325.5276737157</v>
      </c>
      <c r="G1001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3831.47564917288</v>
      </c>
      <c r="H1001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10372.5015893333</v>
      </c>
    </row>
    <row r="1002" ht="15" customHeight="1">
      <c r="B1002" s="20">
        <v>995</v>
      </c>
      <c r="C1002" s="21">
        <f t="shared" si="0"/>
        <v>132880.023964944</v>
      </c>
      <c r="D1002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75422.4311559566</v>
      </c>
      <c r="E1002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26338.5560136135</v>
      </c>
      <c r="F1002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13782.3734972393</v>
      </c>
      <c r="G1002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6684.53355300205</v>
      </c>
      <c r="H1002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10652.1297451323</v>
      </c>
    </row>
    <row r="1003" ht="15" customHeight="1">
      <c r="B1003" s="20">
        <v>996</v>
      </c>
      <c r="C1003" s="21">
        <f t="shared" si="0"/>
        <v>141577.749437141</v>
      </c>
      <c r="D1003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87459.758533305</v>
      </c>
      <c r="E1003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30592.7735551814</v>
      </c>
      <c r="F1003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10058.6814289289</v>
      </c>
      <c r="G1003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4199.83415917653</v>
      </c>
      <c r="H1003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9266.70176054963</v>
      </c>
    </row>
    <row r="1004" ht="15" customHeight="1">
      <c r="B1004" s="20">
        <v>997</v>
      </c>
      <c r="C1004" s="21">
        <f t="shared" si="0"/>
        <v>157273.630404564</v>
      </c>
      <c r="D1004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81635.4925883938</v>
      </c>
      <c r="E1004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30605.6093054347</v>
      </c>
      <c r="F1004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15937.4976899252</v>
      </c>
      <c r="G1004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4669.25101726435</v>
      </c>
      <c r="H1004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24425.7798035457</v>
      </c>
    </row>
    <row r="1005" ht="15" customHeight="1">
      <c r="B1005" s="20">
        <v>998</v>
      </c>
      <c r="C1005" s="21">
        <f t="shared" si="0"/>
        <v>142232.116581105</v>
      </c>
      <c r="D1005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90373.0810976855</v>
      </c>
      <c r="E1005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23428.1429300141</v>
      </c>
      <c r="F1005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13188.6849769284</v>
      </c>
      <c r="G1005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7013.72698127394</v>
      </c>
      <c r="H1005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8228.48059520322</v>
      </c>
    </row>
    <row r="1006" ht="15" customHeight="1">
      <c r="B1006" s="20">
        <v>999</v>
      </c>
      <c r="C1006" s="21">
        <f t="shared" si="0"/>
        <v>161055.836382704</v>
      </c>
      <c r="D1006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82359.0814262772</v>
      </c>
      <c r="E1006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39773.3784688036</v>
      </c>
      <c r="F1006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13355.7313758784</v>
      </c>
      <c r="G1006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6341.8799851928</v>
      </c>
      <c r="H1006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19225.7651265517</v>
      </c>
    </row>
    <row r="1007" ht="15" customHeight="1">
      <c r="B1007" s="20">
        <v>1000</v>
      </c>
      <c r="C1007" s="21">
        <f t="shared" si="0"/>
        <v>155501.029823486</v>
      </c>
      <c r="D1007" s="22">
        <f>_xlfn.LET(_xlpm.u,RAND(),_xlpm.f,(Inputs!$D$7-Inputs!$C$7)/(Inputs!$E$7-Inputs!$C$7),IF(_xlpm.u&lt;_xlpm.f,Inputs!$C$7+SQRT(_xlpm.u*(Inputs!$E$7-Inputs!$C$7)*(Inputs!$D$7-Inputs!$C$7)),Inputs!$E$7-SQRT((1-_xlpm.u)*(Inputs!$E$7-Inputs!$C$7)*(Inputs!$E$7-Inputs!$D$7))))</f>
        <v>82523.5185610946</v>
      </c>
      <c r="E1007" s="22">
        <f>_xlfn.LET(_xlpm.u,RAND(),_xlpm.f,(Inputs!$D$8-Inputs!$C$8)/(Inputs!$E$8-Inputs!$C$8),IF(_xlpm.u&lt;_xlpm.f,Inputs!$C$8+SQRT(_xlpm.u*(Inputs!$E$8-Inputs!$C$8)*(Inputs!$D$8-Inputs!$C$8)),Inputs!$E$8-SQRT((1-_xlpm.u)*(Inputs!$E$8-Inputs!$C$8)*(Inputs!$E$8-Inputs!$D$8))))</f>
        <v>32484.4546656155</v>
      </c>
      <c r="F1007" s="22">
        <f>_xlfn.LET(_xlpm.u,RAND(),_xlpm.f,(Inputs!$D$9-Inputs!$C$9)/(Inputs!$E$9-Inputs!$C$9),IF(_xlpm.u&lt;_xlpm.f,Inputs!$C$9+SQRT(_xlpm.u*(Inputs!$E$9-Inputs!$C$9)*(Inputs!$D$9-Inputs!$C$9)),Inputs!$E$9-SQRT((1-_xlpm.u)*(Inputs!$E$9-Inputs!$C$9)*(Inputs!$E$9-Inputs!$D$9))))</f>
        <v>12094.2871335371</v>
      </c>
      <c r="G1007" s="22">
        <f>_xlfn.LET(_xlpm.u,RAND(),_xlpm.f,(Inputs!$D$10-Inputs!$C$10)/(Inputs!$E$10-Inputs!$C$10),IF(_xlpm.u&lt;_xlpm.f,Inputs!$C$10+SQRT(_xlpm.u*(Inputs!$E$10-Inputs!$C$10)*(Inputs!$D$10-Inputs!$C$10)),Inputs!$E$10-SQRT((1-_xlpm.u)*(Inputs!$E$10-Inputs!$C$10)*(Inputs!$E$10-Inputs!$D$10))))</f>
        <v>6051.55956819524</v>
      </c>
      <c r="H1007" s="22">
        <f>_xlfn.LET(_xlpm.u,RAND(),_xlpm.f,(Inputs!$D$11-Inputs!$C$11)/(Inputs!$E$11-Inputs!$C$11),IF(_xlpm.u&lt;_xlpm.f,Inputs!$C$11+SQRT(_xlpm.u*(Inputs!$E$11-Inputs!$C$11)*(Inputs!$D$11-Inputs!$C$11)),Inputs!$E$11-SQRT((1-_xlpm.u)*(Inputs!$E$11-Inputs!$C$11)*(Inputs!$E$11-Inputs!$D$11))))</f>
        <v>22347.2098950434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id="{a7eba59d-0012-4746-9e24-2ce001f6e9ba}" priority="2">
            <xm:f>C8&gt;Analysis!$C$21</xm:f>
            <x14:dxf>
              <fill>
                <patternFill patternType="solid">
                  <fgColor rgb="FFFCE4EC"/>
                  <bgColor rgb="FFFCE4EC"/>
                </patternFill>
              </fill>
            </x14:dxf>
          </x14:cfRule>
          <xm:sqref>C8:C1007</xm:sqref>
        </x14:conditionalFormatting>
        <x14:conditionalFormatting xmlns:xm="http://schemas.microsoft.com/office/excel/2006/main">
          <x14:cfRule type="expression" id="{8ffee8d8-407d-43a3-9cc9-41e49ba25592}" priority="1">
            <xm:f>C8&lt;Analysis!$C$17</xm:f>
            <x14:dxf>
              <fill>
                <patternFill patternType="solid">
                  <fgColor rgb="FFE8F5E9"/>
                  <bgColor rgb="FFE8F5E9"/>
                </patternFill>
              </fill>
            </x14:dxf>
          </x14:cfRule>
          <xm:sqref>C8:C1007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702D5CF-1978-7E21-9EF8-584DFA80800E}" mc:Ignorable="x14ac xr xr2 xr3">
  <dimension ref="A1:CV10000"/>
  <sheetViews>
    <sheetView showGridLines="0" zoomScale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1" sqref="A1"/>
    </sheetView>
  </sheetViews>
  <sheetFormatPr defaultRowHeight="15" defaultColWidth="7.75390625" customHeight="1"/>
  <cols>
    <col min="1" max="1" width="3.75390625" customWidth="1"/>
    <col min="2" max="2" width="24.625" customWidth="1"/>
    <col min="3" max="3" width="18.625" customWidth="1"/>
    <col min="4" max="4" width="4.625" customWidth="1"/>
    <col min="5" max="5" width="18.625" customWidth="1"/>
    <col min="6" max="6" width="12.625" customWidth="1"/>
    <col min="7" max="7" width="14.00390625" customWidth="1"/>
    <col min="8" max="8" width="8.75390625" customWidth="1"/>
  </cols>
  <sheetData>
    <row r="2" ht="24" customHeight="1">
      <c r="B2" s="1" t="s">
        <v>24</v>
      </c>
    </row>
    <row r="3" ht="15" customHeight="1">
      <c r="B3" s="2" t="s">
        <v>25</v>
      </c>
    </row>
    <row r="5" ht="16.5" customHeight="1">
      <c r="B5" s="3" t="s">
        <v>26</v>
      </c>
      <c r="C5" s="4"/>
      <c r="E5" s="3" t="s">
        <v>27</v>
      </c>
      <c r="F5" s="4"/>
      <c r="G5" s="4"/>
    </row>
    <row r="6" ht="15" customHeight="1">
      <c r="E6" s="5" t="s">
        <v>28</v>
      </c>
      <c r="F6" s="5" t="s">
        <v>29</v>
      </c>
      <c r="G6" s="6" t="s">
        <v>30</v>
      </c>
    </row>
    <row r="7" ht="15" customHeight="1">
      <c r="B7" s="23" t="s">
        <v>31</v>
      </c>
      <c r="C7" s="24">
        <f>COUNTA(Simulation!C8:C1007)</f>
        <v>1000</v>
      </c>
      <c r="E7" s="25">
        <f>$C$11+($C$12-$C$11)/20*1</f>
        <v>112445.409466762</v>
      </c>
      <c r="F7" s="26">
        <f>_xlfn.COUNTIFS(Simulation!C8:C1007,"&lt;="&amp;E7)</f>
        <v>6</v>
      </c>
      <c r="G7" s="27">
        <f>SUM(F7:F7)/SUM(F7:F26)</f>
        <v>0.006</v>
      </c>
    </row>
    <row r="8" ht="15" customHeight="1">
      <c r="B8" s="23" t="s">
        <v>32</v>
      </c>
      <c r="C8" s="19">
        <f>AVERAGE(Simulation!C8:C1007)</f>
        <v>145057.699123164</v>
      </c>
      <c r="E8" s="28">
        <f>$C$11+($C$12-$C$11)/20*2</f>
        <v>116729.796636899</v>
      </c>
      <c r="F8" s="29">
        <f>_xlfn.COUNTIFS(Simulation!C8:C1007,"&gt;"&amp;E7,Simulation!C8:C1007,"&lt;="&amp;E8)</f>
        <v>21</v>
      </c>
      <c r="G8" s="30">
        <f>SUM(F7:F8)/SUM(F7:F26)</f>
        <v>0.027</v>
      </c>
    </row>
    <row r="9" ht="15" customHeight="1">
      <c r="B9" s="23" t="s">
        <v>33</v>
      </c>
      <c r="C9" s="19">
        <f>MEDIAN(Simulation!C8:C1007)</f>
        <v>143728.685281589</v>
      </c>
      <c r="E9" s="25">
        <f>$C$11+($C$12-$C$11)/20*3</f>
        <v>121014.183807035</v>
      </c>
      <c r="F9" s="26">
        <f>_xlfn.COUNTIFS(Simulation!C8:C1007,"&gt;"&amp;E8,Simulation!C8:C1007,"&lt;="&amp;E9)</f>
        <v>25</v>
      </c>
      <c r="G9" s="27">
        <f>SUM(F7:F9)/SUM(F7:F26)</f>
        <v>0.052</v>
      </c>
    </row>
    <row r="10" ht="15" customHeight="1">
      <c r="B10" s="23" t="s">
        <v>34</v>
      </c>
      <c r="C10" s="19">
        <f>STDEV(Simulation!C8:C1007)</f>
        <v>15897.7936047772</v>
      </c>
      <c r="E10" s="28">
        <f>$C$11+($C$12-$C$11)/20*4</f>
        <v>125298.570977172</v>
      </c>
      <c r="F10" s="29">
        <f>_xlfn.COUNTIFS(Simulation!C8:C1007,"&gt;"&amp;E9,Simulation!C8:C1007,"&lt;="&amp;E10)</f>
        <v>57</v>
      </c>
      <c r="G10" s="30">
        <f>SUM(F7:F10)/SUM(F7:F26)</f>
        <v>0.109</v>
      </c>
    </row>
    <row r="11" ht="15" customHeight="1">
      <c r="B11" s="23" t="s">
        <v>4</v>
      </c>
      <c r="C11" s="19">
        <f>MIN(Simulation!C8:C1007)</f>
        <v>108161.022296626</v>
      </c>
      <c r="E11" s="25">
        <f>$C$11+($C$12-$C$11)/20*5</f>
        <v>129582.958147308</v>
      </c>
      <c r="F11" s="26">
        <f>_xlfn.COUNTIFS(Simulation!C8:C1007,"&gt;"&amp;E10,Simulation!C8:C1007,"&lt;="&amp;E11)</f>
        <v>63</v>
      </c>
      <c r="G11" s="27">
        <f>SUM(F7:F11)/SUM(F7:F26)</f>
        <v>0.172</v>
      </c>
    </row>
    <row r="12" ht="15" customHeight="1">
      <c r="B12" s="23" t="s">
        <v>6</v>
      </c>
      <c r="C12" s="19">
        <f>MAX(Simulation!C8:C1007)</f>
        <v>193848.765699354</v>
      </c>
      <c r="E12" s="28">
        <f>$C$11+($C$12-$C$11)/20*6</f>
        <v>133867.345317444</v>
      </c>
      <c r="F12" s="29">
        <f>_xlfn.COUNTIFS(Simulation!C8:C1007,"&gt;"&amp;E11,Simulation!C8:C1007,"&lt;="&amp;E12)</f>
        <v>92</v>
      </c>
      <c r="G12" s="30">
        <f>SUM(F7:F12)/SUM(F7:F26)</f>
        <v>0.264</v>
      </c>
    </row>
    <row r="13" ht="15" customHeight="1">
      <c r="B13" s="23" t="s">
        <v>35</v>
      </c>
      <c r="C13" s="14">
        <f>C12-C11</f>
        <v>85687.743402728</v>
      </c>
      <c r="E13" s="25">
        <f>$C$11+($C$12-$C$11)/20*7</f>
        <v>138151.732487581</v>
      </c>
      <c r="F13" s="26">
        <f>_xlfn.COUNTIFS(Simulation!C8:C1007,"&gt;"&amp;E12,Simulation!C8:C1007,"&lt;="&amp;E13)</f>
        <v>102</v>
      </c>
      <c r="G13" s="27">
        <f>SUM(F7:F13)/SUM(F7:F26)</f>
        <v>0.366</v>
      </c>
    </row>
    <row r="14" ht="15" customHeight="1">
      <c r="E14" s="28">
        <f>$C$11+($C$12-$C$11)/20*8</f>
        <v>142436.119657717</v>
      </c>
      <c r="F14" s="29">
        <f>_xlfn.COUNTIFS(Simulation!C8:C1007,"&gt;"&amp;E13,Simulation!C8:C1007,"&lt;="&amp;E14)</f>
        <v>95</v>
      </c>
      <c r="G14" s="30">
        <f>SUM(F7:F14)/SUM(F7:F26)</f>
        <v>0.461</v>
      </c>
    </row>
    <row r="15" ht="16.5" customHeight="1">
      <c r="B15" s="3" t="s">
        <v>36</v>
      </c>
      <c r="C15" s="4"/>
      <c r="E15" s="25">
        <f>$C$11+($C$12-$C$11)/20*9</f>
        <v>146720.506827854</v>
      </c>
      <c r="F15" s="26">
        <f>_xlfn.COUNTIFS(Simulation!C8:C1007,"&gt;"&amp;E14,Simulation!C8:C1007,"&lt;="&amp;E15)</f>
        <v>96</v>
      </c>
      <c r="G15" s="27">
        <f>SUM(F7:F15)/SUM(F7:F26)</f>
        <v>0.557</v>
      </c>
    </row>
    <row r="16" ht="15" customHeight="1">
      <c r="B16" s="23" t="s">
        <v>37</v>
      </c>
      <c r="C16" s="19">
        <f>PERCENTILE(Simulation!C8:C1007,0.05)</f>
        <v>120917.949595999</v>
      </c>
      <c r="E16" s="28">
        <f>$C$11+($C$12-$C$11)/20*10</f>
        <v>151004.89399799</v>
      </c>
      <c r="F16" s="29">
        <f>_xlfn.COUNTIFS(Simulation!C8:C1007,"&gt;"&amp;E15,Simulation!C8:C1007,"&lt;="&amp;E16)</f>
        <v>91</v>
      </c>
      <c r="G16" s="30">
        <f>SUM(F7:F16)/SUM(F7:F26)</f>
        <v>0.648</v>
      </c>
    </row>
    <row r="17" ht="15" customHeight="1">
      <c r="B17" s="23" t="s">
        <v>38</v>
      </c>
      <c r="C17" s="31">
        <f>PERCENTILE(Simulation!C8:C1007,0.1)</f>
        <v>124804.149437313</v>
      </c>
      <c r="E17" s="25">
        <f>$C$11+($C$12-$C$11)/20*11</f>
        <v>155289.281168126</v>
      </c>
      <c r="F17" s="26">
        <f>_xlfn.COUNTIFS(Simulation!C8:C1007,"&gt;"&amp;E16,Simulation!C8:C1007,"&lt;="&amp;E17)</f>
        <v>80</v>
      </c>
      <c r="G17" s="27">
        <f>SUM(F7:F17)/SUM(F7:F26)</f>
        <v>0.728</v>
      </c>
    </row>
    <row r="18" ht="15" customHeight="1">
      <c r="B18" s="23" t="s">
        <v>39</v>
      </c>
      <c r="C18" s="19">
        <f>PERCENTILE(Simulation!C8:C1007,0.25)</f>
        <v>133506.627058212</v>
      </c>
      <c r="E18" s="28">
        <f>$C$11+($C$12-$C$11)/20*12</f>
        <v>159573.668338263</v>
      </c>
      <c r="F18" s="29">
        <f>_xlfn.COUNTIFS(Simulation!C8:C1007,"&gt;"&amp;E17,Simulation!C8:C1007,"&lt;="&amp;E18)</f>
        <v>81</v>
      </c>
      <c r="G18" s="30">
        <f>SUM(F7:F18)/SUM(F7:F26)</f>
        <v>0.809</v>
      </c>
    </row>
    <row r="19" ht="15" customHeight="1">
      <c r="B19" s="23" t="s">
        <v>40</v>
      </c>
      <c r="C19" s="19">
        <f>PERCENTILE(Simulation!C8:C1007,0.5)</f>
        <v>143728.685281589</v>
      </c>
      <c r="E19" s="25">
        <f>$C$11+($C$12-$C$11)/20*13</f>
        <v>163858.055508399</v>
      </c>
      <c r="F19" s="26">
        <f>_xlfn.COUNTIFS(Simulation!C8:C1007,"&gt;"&amp;E18,Simulation!C8:C1007,"&lt;="&amp;E19)</f>
        <v>66</v>
      </c>
      <c r="G19" s="27">
        <f>SUM(F7:F19)/SUM(F7:F26)</f>
        <v>0.875</v>
      </c>
    </row>
    <row r="20" ht="15" customHeight="1">
      <c r="B20" s="23" t="s">
        <v>41</v>
      </c>
      <c r="C20" s="19">
        <f>PERCENTILE(Simulation!C8:C1007,0.75)</f>
        <v>156749.980957539</v>
      </c>
      <c r="E20" s="28">
        <f>$C$11+($C$12-$C$11)/20*14</f>
        <v>168142.442678536</v>
      </c>
      <c r="F20" s="29">
        <f>_xlfn.COUNTIFS(Simulation!C8:C1007,"&gt;"&amp;E19,Simulation!C8:C1007,"&lt;="&amp;E20)</f>
        <v>47</v>
      </c>
      <c r="G20" s="30">
        <f>SUM(F7:F20)/SUM(F7:F26)</f>
        <v>0.922</v>
      </c>
    </row>
    <row r="21" ht="15" customHeight="1">
      <c r="B21" s="23" t="s">
        <v>42</v>
      </c>
      <c r="C21" s="32">
        <f>PERCENTILE(Simulation!C8:C1007,0.9)</f>
        <v>166129.210777208</v>
      </c>
      <c r="E21" s="25">
        <f>$C$11+($C$12-$C$11)/20*15</f>
        <v>172426.829848672</v>
      </c>
      <c r="F21" s="26">
        <f>_xlfn.COUNTIFS(Simulation!C8:C1007,"&gt;"&amp;E20,Simulation!C8:C1007,"&lt;="&amp;E21)</f>
        <v>27</v>
      </c>
      <c r="G21" s="27">
        <f>SUM(F7:F21)/SUM(F7:F26)</f>
        <v>0.949</v>
      </c>
    </row>
    <row r="22" ht="15" customHeight="1">
      <c r="B22" s="23" t="s">
        <v>43</v>
      </c>
      <c r="C22" s="33">
        <f>PERCENTILE(Simulation!C8:C1007,0.95)</f>
        <v>172556.111727047</v>
      </c>
      <c r="E22" s="28">
        <f>$C$11+($C$12-$C$11)/20*16</f>
        <v>176711.217018808</v>
      </c>
      <c r="F22" s="29">
        <f>_xlfn.COUNTIFS(Simulation!C8:C1007,"&gt;"&amp;E21,Simulation!C8:C1007,"&lt;="&amp;E22)</f>
        <v>21</v>
      </c>
      <c r="G22" s="30">
        <f>SUM(F7:F22)/SUM(F7:F26)</f>
        <v>0.97</v>
      </c>
    </row>
    <row r="23" ht="15" customHeight="1">
      <c r="E23" s="25">
        <f>$C$11+($C$12-$C$11)/20*17</f>
        <v>180995.604188945</v>
      </c>
      <c r="F23" s="26">
        <f>_xlfn.COUNTIFS(Simulation!C8:C1007,"&gt;"&amp;E22,Simulation!C8:C1007,"&lt;="&amp;E23)</f>
        <v>18</v>
      </c>
      <c r="G23" s="27">
        <f>SUM(F7:F23)/SUM(F7:F26)</f>
        <v>0.988</v>
      </c>
    </row>
    <row r="24" ht="15" customHeight="1">
      <c r="E24" s="28">
        <f>$C$11+($C$12-$C$11)/20*18</f>
        <v>185279.991359081</v>
      </c>
      <c r="F24" s="29">
        <f>_xlfn.COUNTIFS(Simulation!C8:C1007,"&gt;"&amp;E23,Simulation!C8:C1007,"&lt;="&amp;E24)</f>
        <v>4</v>
      </c>
      <c r="G24" s="30">
        <f>SUM(F7:F24)/SUM(F7:F26)</f>
        <v>0.992</v>
      </c>
    </row>
    <row r="25" ht="16.5" customHeight="1">
      <c r="B25" s="3" t="s">
        <v>44</v>
      </c>
      <c r="C25" s="4"/>
      <c r="E25" s="25">
        <f>$C$11+($C$12-$C$11)/20*19</f>
        <v>189564.378529218</v>
      </c>
      <c r="F25" s="26">
        <f>_xlfn.COUNTIFS(Simulation!C8:C1007,"&gt;"&amp;E24,Simulation!C8:C1007,"&lt;="&amp;E25)</f>
        <v>5</v>
      </c>
      <c r="G25" s="27">
        <f>SUM(F7:F25)/SUM(F7:F26)</f>
        <v>0.997</v>
      </c>
    </row>
    <row r="26" ht="15" customHeight="1">
      <c r="E26" s="34">
        <f>$C$11+($C$12-$C$11)/20*20</f>
        <v>193848.765699354</v>
      </c>
      <c r="F26" s="35">
        <f>_xlfn.COUNTIFS(Simulation!C8:C1007,"&gt;"&amp;E25,Simulation!C8:C1007,"&lt;="&amp;E26)</f>
        <v>3</v>
      </c>
      <c r="G26" s="36">
        <f>SUM(F7:F26)/SUM(F7:F26)</f>
        <v>1</v>
      </c>
    </row>
    <row r="27" ht="15" customHeight="1">
      <c r="B27" s="23" t="s">
        <v>45</v>
      </c>
      <c r="C27" s="37" t="str">
        <f>TEXT(C17,"$#,##0")&amp;" — "&amp;TEXT(C21,"$#,##0")</f>
        <v>$124,804 — $166,129</v>
      </c>
    </row>
    <row r="28" ht="15" customHeight="1">
      <c r="B28" s="23" t="s">
        <v>47</v>
      </c>
      <c r="C28" s="38" t="str">
        <f>TEXT(C16,"$#,##0")&amp;" — "&amp;TEXT(C22,"$#,##0")</f>
        <v>$120,918 — $172,556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7060288a-2c88-4ed4-8fe9-9c5611be3a90</vt:lpwstr>
  </property>
</Properties>
</file>