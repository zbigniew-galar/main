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bookViews>
  <sheets>
    <sheet r:id="rId1" name="Employee-Schedule" sheetId="1"/>
  </sheets>
  <definedNames>
    <definedName name="_xlnm.Print_Area" localSheetId="0">'Employee-Schedule'!$B$2:$K$22</definedName>
  </definedNames>
  <calcPr calcId="0" iterateCount="100" iterateDelta="0.00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<sst xmlns="http://schemas.openxmlformats.org/spreadsheetml/2006/main" count="39" uniqueCount="39">
  <si>
    <t>Employee Schedule</t>
  </si>
  <si>
    <t>Department:</t>
  </si>
  <si>
    <t>Operations</t>
  </si>
  <si>
    <t>Week of:</t>
  </si>
  <si>
    <t>Manager:</t>
  </si>
  <si>
    <t>Jane Smith</t>
  </si>
  <si>
    <t>Employee Name</t>
  </si>
  <si>
    <t>Monday</t>
  </si>
  <si>
    <t>Tuesday</t>
  </si>
  <si>
    <t>Wednesday</t>
  </si>
  <si>
    <t>Thursday</t>
  </si>
  <si>
    <t>Friday</t>
  </si>
  <si>
    <t>Saturday</t>
  </si>
  <si>
    <t>Sunday</t>
  </si>
  <si>
    <t>Total Hours</t>
  </si>
  <si>
    <t>Notes</t>
  </si>
  <si>
    <t>Sarah Johnson</t>
  </si>
  <si>
    <t>8:00-4:00</t>
  </si>
  <si>
    <t>Off</t>
  </si>
  <si>
    <t>James Williams</t>
  </si>
  <si>
    <t>9:00-5:00</t>
  </si>
  <si>
    <t>Weekend rotation</t>
  </si>
  <si>
    <t>Maria Garcia</t>
  </si>
  <si>
    <t>2:00-10:00</t>
  </si>
  <si>
    <t>David Chen</t>
  </si>
  <si>
    <t>Emily Brown</t>
  </si>
  <si>
    <t>4 days/week</t>
  </si>
  <si>
    <t>Robert Taylor</t>
  </si>
  <si>
    <t>7:00-3:00</t>
  </si>
  <si>
    <t>Lisa Anderson</t>
  </si>
  <si>
    <t>Michael Lee</t>
  </si>
  <si>
    <t>10:00-6:00</t>
  </si>
  <si>
    <t>Jennifer Martinez</t>
  </si>
  <si>
    <t>Kevin Wilson</t>
  </si>
  <si>
    <t>8:00-12:00</t>
  </si>
  <si>
    <t>Part-time</t>
  </si>
  <si>
    <t>Daily Staffing Count</t>
  </si>
  <si>
    <t>Staff On Duty</t>
  </si>
  <si>
    <t>Total Scheduled Hours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</si>
</sst>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1" formatCode="mm/dd/yyyy"/>
    <numFmt numFmtId="172" formatCode="mm/dd"/>
  </numFmts>
  <fonts count="9">
    <font>
      <b val="0"/>
      <i val="0"/>
      <sz val="12"/>
      <color theme="1"/>
      <name val="Aptos Narrow"/>
      <scheme val="minor"/>
    </font>
    <font>
      <b/>
      <i val="0"/>
      <sz val="18"/>
      <color rgb="FF2A3A59"/>
      <name val="Aptos"/>
    </font>
    <font>
      <b/>
      <i val="0"/>
      <sz val="11"/>
      <color rgb="FF000000"/>
      <name val="Aptos"/>
    </font>
    <font>
      <b val="0"/>
      <i val="0"/>
      <sz val="11"/>
      <color rgb="FF0070C0"/>
      <name val="Aptos"/>
    </font>
    <font>
      <b val="0"/>
      <i val="0"/>
      <sz val="11"/>
      <color theme="1"/>
      <name val="Aptos"/>
    </font>
    <font>
      <b/>
      <i val="0"/>
      <sz val="11"/>
      <color rgb="FFFFFFFF"/>
      <name val="Aptos"/>
    </font>
    <font>
      <b val="0"/>
      <i val="0"/>
      <sz val="10"/>
      <color rgb="FF808080"/>
      <name val="Aptos"/>
    </font>
    <font>
      <b val="0"/>
      <i val="0"/>
      <sz val="11"/>
      <color rgb="FF000000"/>
      <name val="Aptos"/>
    </font>
    <font>
      <b/>
      <i val="0"/>
      <sz val="12"/>
      <color rgb="FF000000"/>
      <name val="Aptos"/>
    </font>
  </fonts>
  <fills count="7">
    <fill>
      <patternFill patternType="none"/>
    </fill>
    <fill>
      <patternFill patternType="gray125"/>
    </fill>
    <fill>
      <patternFill patternType="solid">
        <fgColor rgb="FFEFF3F7"/>
      </patternFill>
    </fill>
    <fill>
      <patternFill patternType="solid">
        <fgColor rgb="FF4E6B8B"/>
      </patternFill>
    </fill>
    <fill>
      <patternFill patternType="solid">
        <fgColor rgb="FFDAE6F0"/>
      </patternFill>
    </fill>
    <fill>
      <patternFill patternType="solid">
        <fgColor rgb="FFFFFFFF"/>
      </patternFill>
    </fill>
    <fill>
      <patternFill patternType="solid">
        <fgColor rgb="FFF4F7FA"/>
      </patternFill>
    </fill>
  </fills>
  <borders count="10">
    <border>
      <left/>
      <right/>
      <top/>
      <bottom/>
    </border>
    <border>
      <left/>
      <right/>
      <top/>
      <bottom/>
      <diagonal/>
    </border>
    <border>
      <left style="thin">
        <color rgb="FFE0E0E0"/>
      </left>
      <right/>
      <top style="thin">
        <color rgb="FFE0E0E0"/>
      </top>
      <bottom/>
      <diagonal/>
    </border>
    <border>
      <left style="thin">
        <color rgb="FFE0E0E0"/>
      </left>
      <right style="thin">
        <color rgb="FFE0E0E0"/>
      </right>
      <top style="thin">
        <color rgb="FFE0E0E0"/>
      </top>
      <bottom/>
      <diagonal/>
    </border>
    <border>
      <left style="thin">
        <color rgb="FFE0E0E0"/>
      </left>
      <right/>
      <top style="thin">
        <color rgb="FFE0E0E0"/>
      </top>
      <bottom style="thin">
        <color rgb="FFE0E0E0"/>
      </bottom>
      <diagonal/>
    </border>
    <border>
      <left style="thin">
        <color rgb="FFE0E0E0"/>
      </left>
      <right style="thin">
        <color rgb="FFE0E0E0"/>
      </right>
      <top style="thin">
        <color rgb="FFE0E0E0"/>
      </top>
      <bottom style="thin">
        <color rgb="FFE0E0E0"/>
      </bottom>
      <diagonal/>
    </border>
    <border>
      <left style="thin">
        <color rgb="FFD8D8D8"/>
      </left>
      <right/>
      <top style="thin">
        <color rgb="FFD8D8D8"/>
      </top>
      <bottom/>
      <diagonal/>
    </border>
    <border>
      <left style="thin">
        <color rgb="FFD8D8D8"/>
      </left>
      <right style="thin">
        <color rgb="FFD8D8D8"/>
      </right>
      <top style="thin">
        <color rgb="FFD8D8D8"/>
      </top>
      <bottom/>
      <diagonal/>
    </border>
    <border>
      <left style="thin">
        <color rgb="FFD8D8D8"/>
      </left>
      <right/>
      <top style="thin">
        <color rgb="FFD8D8D8"/>
      </top>
      <bottom style="thin">
        <color rgb="FFD8D8D8"/>
      </bottom>
      <diagonal/>
    </border>
    <border>
      <left style="thin">
        <color rgb="FFD8D8D8"/>
      </left>
      <right style="thin">
        <color rgb="FFD8D8D8"/>
      </right>
      <top style="thin">
        <color rgb="FFD8D8D8"/>
      </top>
      <bottom style="thin">
        <color rgb="FFD8D8D8"/>
      </bottom>
      <diagonal/>
    </border>
  </borders>
  <cellStyleXfs count="1">
    <xf numFmtId="0" fontId="0" fillId="0" borderId="1"/>
  </cellStyleXfs>
  <cellXfs count="31">
    <xf numFmtId="0" fontId="0" fillId="0" borderId="1" xfId="0"/>
    <xf numFmtId="0" fontId="1" fillId="0" borderId="1" xfId="0"/>
    <xf numFmtId="0" fontId="2" fillId="2" borderId="1" xfId="0"/>
    <xf numFmtId="0" fontId="3" fillId="2" borderId="1" xfId="0"/>
    <xf numFmtId="0" fontId="4" fillId="2" borderId="1" xfId="0"/>
    <xf numFmtId="171" fontId="3" fillId="2" borderId="1" xfId="0"/>
    <xf numFmtId="0" fontId="5" fillId="3" borderId="1" xfId="0">
      <alignment horizontal="center" vertical="bottom"/>
    </xf>
    <xf numFmtId="172" fontId="6" fillId="4" borderId="1" xfId="0">
      <alignment horizontal="center" vertical="bottom"/>
    </xf>
    <xf numFmtId="0" fontId="3" fillId="5" borderId="2" xfId="0"/>
    <xf numFmtId="49" fontId="3" fillId="5" borderId="2" xfId="0">
      <alignment horizontal="center" vertical="bottom"/>
    </xf>
    <xf numFmtId="1" fontId="7" fillId="5" borderId="2" xfId="0">
      <alignment horizontal="center" vertical="bottom"/>
    </xf>
    <xf numFmtId="0" fontId="4" fillId="5" borderId="3" xfId="0"/>
    <xf numFmtId="0" fontId="3" fillId="6" borderId="2" xfId="0"/>
    <xf numFmtId="49" fontId="3" fillId="6" borderId="2" xfId="0">
      <alignment horizontal="center" vertical="bottom"/>
    </xf>
    <xf numFmtId="1" fontId="7" fillId="6" borderId="2" xfId="0">
      <alignment horizontal="center" vertical="bottom"/>
    </xf>
    <xf numFmtId="0" fontId="3" fillId="6" borderId="3" xfId="0"/>
    <xf numFmtId="0" fontId="4" fillId="6" borderId="3" xfId="0"/>
    <xf numFmtId="0" fontId="3" fillId="5" borderId="3" xfId="0"/>
    <xf numFmtId="0" fontId="3" fillId="6" borderId="4" xfId="0"/>
    <xf numFmtId="49" fontId="3" fillId="6" borderId="4" xfId="0">
      <alignment horizontal="center" vertical="bottom"/>
    </xf>
    <xf numFmtId="1" fontId="7" fillId="6" borderId="4" xfId="0">
      <alignment horizontal="center" vertical="bottom"/>
    </xf>
    <xf numFmtId="0" fontId="3" fillId="6" borderId="5" xfId="0"/>
    <xf numFmtId="0" fontId="8" fillId="3" borderId="1" xfId="0"/>
    <xf numFmtId="0" fontId="5" fillId="3" borderId="1" xfId="0"/>
    <xf numFmtId="0" fontId="2" fillId="4" borderId="6" xfId="0"/>
    <xf numFmtId="0" fontId="2" fillId="4" borderId="6" xfId="0">
      <alignment horizontal="center" vertical="bottom"/>
    </xf>
    <xf numFmtId="0" fontId="7" fillId="4" borderId="7" xfId="0"/>
    <xf numFmtId="0" fontId="2" fillId="2" borderId="8" xfId="0"/>
    <xf numFmtId="0" fontId="4" fillId="2" borderId="8" xfId="0"/>
    <xf numFmtId="1" fontId="2" fillId="2" borderId="8" xfId="0">
      <alignment horizontal="center" vertical="bottom"/>
    </xf>
    <xf numFmtId="0" fontId="4" fillId="2" borderId="9" xfId="0"/>
  </cellXfs>
  <cellStyles count="1">
    <cellStyle name="Normal" xfId="0" builtinId="0"/>
  </cellStyles>
  <dxfs count="4">
    <dxf>
      <font>
        <color rgb="FFA0A0A0"/>
      </font>
    </dxf>
    <dxf>
      <font>
        <b/>
        <sz val="11"/>
        <color rgb="FFCC0000"/>
        <name val="Aptos"/>
      </font>
    </dxf>
    <dxf>
      <font>
        <b/>
        <sz val="11"/>
        <color rgb="FF006100"/>
        <name val="Aptos"/>
      </font>
    </dxf>
    <dxf>
      <font>
        <b/>
        <sz val="11"/>
        <color rgb="FF9C5700"/>
        <name val="Aptos"/>
      </font>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D5ED92C-5958-4BB8-5518-1F843C1F21CC}" mc:Ignorable="x14ac xr xr2 xr3">
  <dimension ref="A1:CV10000"/>
  <sheetViews>
    <sheetView showGridLines="0" zoomScale="90" workbookViewId="0" tabSelected="1">
      <pane xSplit="2" ySplit="8" topLeftCell="C9" activePane="bottomRight" state="frozen"/>
      <selection pane="bottomLeft" activeCell="A9" sqref="A9"/>
      <selection pane="topRight" activeCell="C1" sqref="C1"/>
      <selection pane="bottomRight" activeCell="D13" sqref="D13"/>
    </sheetView>
  </sheetViews>
  <sheetFormatPr defaultRowHeight="15.997499999999997" defaultColWidth="9.00390625" customHeight="1"/>
  <cols>
    <col min="1" max="1" width="3.125" customWidth="1"/>
    <col min="2" max="2" width="33.75390625" customWidth="1"/>
    <col min="3" max="9" width="14.625" customWidth="1"/>
    <col min="10" max="10" width="12.625" customWidth="1"/>
    <col min="11" max="11" width="22.625" customWidth="1"/>
  </cols>
  <sheetData>
    <row r="1" ht="16.5" customHeight="1"/>
    <row r="2" ht="22.5" customHeight="1">
      <c r="B2" s="1" t="s">
        <v>0</v>
      </c>
    </row>
    <row r="3" ht="3" customHeight="1"/>
    <row r="4" ht="15.75" customHeight="1">
      <c r="B4" s="2" t="s">
        <v>1</v>
      </c>
      <c r="C4" s="3" t="s">
        <v>2</v>
      </c>
      <c r="D4" s="4"/>
      <c r="E4" s="2" t="s">
        <v>3</v>
      </c>
      <c r="F4" s="5">
        <v>46097</v>
      </c>
      <c r="G4" s="4"/>
      <c r="H4" s="4"/>
      <c r="I4" s="4"/>
      <c r="J4" s="4"/>
      <c r="K4" s="4"/>
    </row>
    <row r="5" ht="15.75" customHeight="1">
      <c r="B5" s="2" t="s">
        <v>4</v>
      </c>
      <c r="C5" s="3" t="s">
        <v>5</v>
      </c>
      <c r="D5" s="4"/>
      <c r="E5" s="4"/>
      <c r="F5" s="4"/>
      <c r="G5" s="4"/>
      <c r="H5" s="4"/>
      <c r="I5" s="4"/>
      <c r="J5" s="4"/>
      <c r="K5" s="4"/>
    </row>
    <row r="6" ht="4.5" customHeight="1"/>
    <row r="7" ht="18" customHeight="1">
      <c r="B7" s="6" t="s">
        <v>6</v>
      </c>
      <c r="C7" s="6" t="s">
        <v>7</v>
      </c>
      <c r="D7" s="6" t="s">
        <v>8</v>
      </c>
      <c r="E7" s="6" t="s">
        <v>9</v>
      </c>
      <c r="F7" s="6" t="s">
        <v>10</v>
      </c>
      <c r="G7" s="6" t="s">
        <v>11</v>
      </c>
      <c r="H7" s="6" t="s">
        <v>12</v>
      </c>
      <c r="I7" s="6" t="s">
        <v>13</v>
      </c>
      <c r="J7" s="6" t="s">
        <v>14</v>
      </c>
      <c r="K7" s="6" t="s">
        <v>15</v>
      </c>
    </row>
    <row r="8" ht="13.5" customHeight="1">
      <c r="C8" s="7">
        <f>F4+0</f>
        <v>46097</v>
      </c>
      <c r="D8" s="7">
        <f>F4+1</f>
        <v>46098</v>
      </c>
      <c r="E8" s="7">
        <f>F4+2</f>
        <v>46099</v>
      </c>
      <c r="F8" s="7">
        <f>F4+3</f>
        <v>46100</v>
      </c>
      <c r="G8" s="7">
        <f>F4+4</f>
        <v>46101</v>
      </c>
      <c r="H8" s="7">
        <f>F4+5</f>
        <v>46102</v>
      </c>
      <c r="I8" s="7">
        <f>F4+6</f>
        <v>46103</v>
      </c>
    </row>
    <row r="9" ht="15.75" customHeight="1">
      <c r="B9" s="8" t="s">
        <v>16</v>
      </c>
      <c r="C9" s="9" t="s">
        <v>17</v>
      </c>
      <c r="D9" s="9" t="s">
        <v>17</v>
      </c>
      <c r="E9" s="9" t="s">
        <v>17</v>
      </c>
      <c r="F9" s="9" t="s">
        <v>17</v>
      </c>
      <c r="G9" s="9" t="s">
        <v>17</v>
      </c>
      <c r="H9" s="9" t="s">
        <v>18</v>
      </c>
      <c r="I9" s="9" t="s">
        <v>18</v>
      </c>
      <c r="J9" s="10">
        <f t="shared" si="0" ref="J9:J18">IF(OR(C9="Off",C9=""),0,IF(TIMEVALUE(MID(C9,FIND("-",C9)+1,99))&gt;TIMEVALUE(LEFT(C9,FIND("-",C9)-1)),(TIMEVALUE(MID(C9,FIND("-",C9)+1,99))-TIMEVALUE(LEFT(C9,FIND("-",C9)-1)))*24,(TIMEVALUE(MID(C9,FIND("-",C9)+1,99))+0.5-TIMEVALUE(LEFT(C9,FIND("-",C9)-1)))*24))+IF(OR(D9="Off",D9=""),0,IF(TIMEVALUE(MID(D9,FIND("-",D9)+1,99))&gt;TIMEVALUE(LEFT(D9,FIND("-",D9)-1)),(TIMEVALUE(MID(D9,FIND("-",D9)+1,99))-TIMEVALUE(LEFT(D9,FIND("-",D9)-1)))*24,(TIMEVALUE(MID(D9,FIND("-",D9)+1,99))+0.5-TIMEVALUE(LEFT(D9,FIND("-",D9)-1)))*24))+IF(OR(E9="Off",E9=""),0,IF(TIMEVALUE(MID(E9,FIND("-",E9)+1,99))&gt;TIMEVALUE(LEFT(E9,FIND("-",E9)-1)),(TIMEVALUE(MID(E9,FIND("-",E9)+1,99))-TIMEVALUE(LEFT(E9,FIND("-",E9)-1)))*24,(TIMEVALUE(MID(E9,FIND("-",E9)+1,99))+0.5-TIMEVALUE(LEFT(E9,FIND("-",E9)-1)))*24))+IF(OR(F9="Off",F9=""),0,IF(TIMEVALUE(MID(F9,FIND("-",F9)+1,99))&gt;TIMEVALUE(LEFT(F9,FIND("-",F9)-1)),(TIMEVALUE(MID(F9,FIND("-",F9)+1,99))-TIMEVALUE(LEFT(F9,FIND("-",F9)-1)))*24,(TIMEVALUE(MID(F9,FIND("-",F9)+1,99))+0.5-TIMEVALUE(LEFT(F9,FIND("-",F9)-1)))*24))+IF(OR(G9="Off",G9=""),0,IF(TIMEVALUE(MID(G9,FIND("-",G9)+1,99))&gt;TIMEVALUE(LEFT(G9,FIND("-",G9)-1)),(TIMEVALUE(MID(G9,FIND("-",G9)+1,99))-TIMEVALUE(LEFT(G9,FIND("-",G9)-1)))*24,(TIMEVALUE(MID(G9,FIND("-",G9)+1,99))+0.5-TIMEVALUE(LEFT(G9,FIND("-",G9)-1)))*24))+IF(OR(H9="Off",H9=""),0,IF(TIMEVALUE(MID(H9,FIND("-",H9)+1,99))&gt;TIMEVALUE(LEFT(H9,FIND("-",H9)-1)),(TIMEVALUE(MID(H9,FIND("-",H9)+1,99))-TIMEVALUE(LEFT(H9,FIND("-",H9)-1)))*24,(TIMEVALUE(MID(H9,FIND("-",H9)+1,99))+0.5-TIMEVALUE(LEFT(H9,FIND("-",H9)-1)))*24))+IF(OR(I9="Off",I9=""),0,IF(TIMEVALUE(MID(I9,FIND("-",I9)+1,99))&gt;TIMEVALUE(LEFT(I9,FIND("-",I9)-1)),(TIMEVALUE(MID(I9,FIND("-",I9)+1,99))-TIMEVALUE(LEFT(I9,FIND("-",I9)-1)))*24,(TIMEVALUE(MID(I9,FIND("-",I9)+1,99))+0.5-TIMEVALUE(LEFT(I9,FIND("-",I9)-1)))*24))</f>
        <v>40</v>
      </c>
      <c r="K9" s="11"/>
    </row>
    <row r="10" ht="15.75" customHeight="1">
      <c r="B10" s="12" t="s">
        <v>19</v>
      </c>
      <c r="C10" s="13" t="s">
        <v>20</v>
      </c>
      <c r="D10" s="13" t="s">
        <v>20</v>
      </c>
      <c r="E10" s="13" t="s">
        <v>18</v>
      </c>
      <c r="F10" s="13" t="s">
        <v>20</v>
      </c>
      <c r="G10" s="13" t="s">
        <v>20</v>
      </c>
      <c r="H10" s="13" t="s">
        <v>20</v>
      </c>
      <c r="I10" s="13" t="s">
        <v>18</v>
      </c>
      <c r="J10" s="14">
        <f t="shared" si="0"/>
        <v>40</v>
      </c>
      <c r="K10" s="15" t="s">
        <v>21</v>
      </c>
    </row>
    <row r="11" ht="15.75" customHeight="1">
      <c r="B11" s="8" t="s">
        <v>22</v>
      </c>
      <c r="C11" s="9" t="s">
        <v>23</v>
      </c>
      <c r="D11" s="9" t="s">
        <v>23</v>
      </c>
      <c r="E11" s="9" t="s">
        <v>23</v>
      </c>
      <c r="F11" s="9" t="s">
        <v>18</v>
      </c>
      <c r="G11" s="9" t="s">
        <v>23</v>
      </c>
      <c r="H11" s="9" t="s">
        <v>18</v>
      </c>
      <c r="I11" s="9" t="s">
        <v>23</v>
      </c>
      <c r="J11" s="10">
        <f t="shared" si="0"/>
        <v>40</v>
      </c>
      <c r="K11" s="11"/>
    </row>
    <row r="12" ht="15.75" customHeight="1">
      <c r="B12" s="12" t="s">
        <v>24</v>
      </c>
      <c r="C12" s="13" t="s">
        <v>17</v>
      </c>
      <c r="D12" s="13" t="s">
        <v>18</v>
      </c>
      <c r="E12" s="13" t="s">
        <v>17</v>
      </c>
      <c r="F12" s="13" t="s">
        <v>17</v>
      </c>
      <c r="G12" s="13" t="s">
        <v>18</v>
      </c>
      <c r="H12" s="13" t="s">
        <v>17</v>
      </c>
      <c r="I12" s="13" t="s">
        <v>17</v>
      </c>
      <c r="J12" s="14">
        <f t="shared" si="0"/>
        <v>40</v>
      </c>
      <c r="K12" s="16"/>
    </row>
    <row r="13" ht="15.75" customHeight="1">
      <c r="B13" s="8" t="s">
        <v>25</v>
      </c>
      <c r="C13" s="9" t="s">
        <v>18</v>
      </c>
      <c r="D13" s="9" t="s">
        <v>20</v>
      </c>
      <c r="E13" s="9" t="s">
        <v>20</v>
      </c>
      <c r="F13" s="9" t="s">
        <v>20</v>
      </c>
      <c r="G13" s="9" t="s">
        <v>20</v>
      </c>
      <c r="H13" s="9" t="s">
        <v>18</v>
      </c>
      <c r="I13" s="9" t="s">
        <v>18</v>
      </c>
      <c r="J13" s="10">
        <f t="shared" si="0"/>
        <v>32</v>
      </c>
      <c r="K13" s="17" t="s">
        <v>26</v>
      </c>
    </row>
    <row r="14" ht="15.75" customHeight="1">
      <c r="B14" s="12" t="s">
        <v>27</v>
      </c>
      <c r="C14" s="13" t="s">
        <v>28</v>
      </c>
      <c r="D14" s="13" t="s">
        <v>28</v>
      </c>
      <c r="E14" s="13" t="s">
        <v>28</v>
      </c>
      <c r="F14" s="13" t="s">
        <v>28</v>
      </c>
      <c r="G14" s="13" t="s">
        <v>28</v>
      </c>
      <c r="H14" s="13" t="s">
        <v>18</v>
      </c>
      <c r="I14" s="13" t="s">
        <v>18</v>
      </c>
      <c r="J14" s="14">
        <f t="shared" si="0"/>
        <v>40</v>
      </c>
      <c r="K14" s="16"/>
    </row>
    <row r="15" ht="15.75" customHeight="1">
      <c r="B15" s="8" t="s">
        <v>29</v>
      </c>
      <c r="C15" s="9" t="s">
        <v>17</v>
      </c>
      <c r="D15" s="9" t="s">
        <v>17</v>
      </c>
      <c r="E15" s="9" t="s">
        <v>18</v>
      </c>
      <c r="F15" s="9" t="s">
        <v>18</v>
      </c>
      <c r="G15" s="9" t="s">
        <v>17</v>
      </c>
      <c r="H15" s="9" t="s">
        <v>17</v>
      </c>
      <c r="I15" s="9" t="s">
        <v>17</v>
      </c>
      <c r="J15" s="10">
        <f t="shared" si="0"/>
        <v>40</v>
      </c>
      <c r="K15" s="11"/>
    </row>
    <row r="16" ht="15.75" customHeight="1">
      <c r="B16" s="12" t="s">
        <v>30</v>
      </c>
      <c r="C16" s="13" t="s">
        <v>31</v>
      </c>
      <c r="D16" s="13" t="s">
        <v>31</v>
      </c>
      <c r="E16" s="13" t="s">
        <v>31</v>
      </c>
      <c r="F16" s="13" t="s">
        <v>31</v>
      </c>
      <c r="G16" s="13" t="s">
        <v>18</v>
      </c>
      <c r="H16" s="13" t="s">
        <v>31</v>
      </c>
      <c r="I16" s="13" t="s">
        <v>18</v>
      </c>
      <c r="J16" s="14">
        <f t="shared" si="0"/>
        <v>40</v>
      </c>
      <c r="K16" s="16"/>
    </row>
    <row r="17" ht="15.75" customHeight="1">
      <c r="B17" s="8" t="s">
        <v>32</v>
      </c>
      <c r="C17" s="9" t="s">
        <v>18</v>
      </c>
      <c r="D17" s="9" t="s">
        <v>17</v>
      </c>
      <c r="E17" s="9" t="s">
        <v>17</v>
      </c>
      <c r="F17" s="9" t="s">
        <v>18</v>
      </c>
      <c r="G17" s="9" t="s">
        <v>20</v>
      </c>
      <c r="H17" s="9" t="s">
        <v>20</v>
      </c>
      <c r="I17" s="9" t="s">
        <v>18</v>
      </c>
      <c r="J17" s="10">
        <f t="shared" si="0"/>
        <v>32</v>
      </c>
      <c r="K17" s="11"/>
    </row>
    <row r="18" ht="15.75" customHeight="1">
      <c r="B18" s="18" t="s">
        <v>33</v>
      </c>
      <c r="C18" s="19" t="s">
        <v>34</v>
      </c>
      <c r="D18" s="19" t="s">
        <v>34</v>
      </c>
      <c r="E18" s="19" t="s">
        <v>34</v>
      </c>
      <c r="F18" s="19" t="s">
        <v>34</v>
      </c>
      <c r="G18" s="19" t="s">
        <v>34</v>
      </c>
      <c r="H18" s="19" t="s">
        <v>18</v>
      </c>
      <c r="I18" s="19" t="s">
        <v>18</v>
      </c>
      <c r="J18" s="20">
        <f t="shared" si="0"/>
        <v>20</v>
      </c>
      <c r="K18" s="21" t="s">
        <v>35</v>
      </c>
    </row>
    <row r="19" ht="6" customHeight="1"/>
    <row r="20" ht="18" customHeight="1">
      <c r="B20" s="22" t="s">
        <v>36</v>
      </c>
      <c r="C20" s="6" cm="1" t="str">
        <f t="array" ref="C20">C7</f>
        <v>Monday</v>
      </c>
      <c r="D20" s="6" cm="1" t="str">
        <f t="array" ref="D20">D7</f>
        <v>Tuesday</v>
      </c>
      <c r="E20" s="6" cm="1" t="str">
        <f t="array" ref="E20">E7</f>
        <v>Wednesday</v>
      </c>
      <c r="F20" s="6" cm="1" t="str">
        <f t="array" ref="F20">F7</f>
        <v>Thursday</v>
      </c>
      <c r="G20" s="6" cm="1" t="str">
        <f t="array" ref="G20">G7</f>
        <v>Friday</v>
      </c>
      <c r="H20" s="6" cm="1" t="str">
        <f t="array" ref="H20">H7</f>
        <v>Saturday</v>
      </c>
      <c r="I20" s="6" cm="1" t="str">
        <f t="array" ref="I20">I7</f>
        <v>Sunday</v>
      </c>
      <c r="J20" s="23"/>
      <c r="K20" s="23"/>
    </row>
    <row r="21" ht="15.75" customHeight="1">
      <c r="B21" s="24" t="s">
        <v>37</v>
      </c>
      <c r="C21" s="25">
        <f t="shared" si="1" ref="C21:I21">COUNTIF(C9:C18,"&lt;&gt;Off")</f>
        <v>8</v>
      </c>
      <c r="D21" s="25">
        <f t="shared" si="1"/>
        <v>9</v>
      </c>
      <c r="E21" s="25">
        <f t="shared" si="1"/>
        <v>8</v>
      </c>
      <c r="F21" s="25">
        <f t="shared" si="1"/>
        <v>7</v>
      </c>
      <c r="G21" s="25">
        <f t="shared" si="1"/>
        <v>8</v>
      </c>
      <c r="H21" s="25">
        <f t="shared" si="1"/>
        <v>5</v>
      </c>
      <c r="I21" s="25">
        <f t="shared" si="1"/>
        <v>3</v>
      </c>
      <c r="J21" s="25">
        <f>SUM(C21:I21)</f>
        <v>48</v>
      </c>
      <c r="K21" s="26"/>
    </row>
    <row r="22" ht="15.75" customHeight="1">
      <c r="B22" s="27" t="s">
        <v>38</v>
      </c>
      <c r="C22" s="28"/>
      <c r="D22" s="28"/>
      <c r="E22" s="28"/>
      <c r="F22" s="28"/>
      <c r="G22" s="28"/>
      <c r="H22" s="28"/>
      <c r="I22" s="28"/>
      <c r="J22" s="29">
        <f>SUM(J9:J18)</f>
        <v>364</v>
      </c>
      <c r="K22" s="30"/>
    </row>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conditionalFormatting sqref="C9:I18">
    <cfRule type="containsText" dxfId="0" priority="4" operator="containsText" text="Off">
      <formula>NOT(ISERROR(SEARCH("Off",C9)))</formula>
    </cfRule>
  </conditionalFormatting>
  <conditionalFormatting sqref="J9:J18">
    <cfRule type="cellIs" dxfId="1" priority="3" operator="greaterThan" text="null">
      <formula>40</formula>
    </cfRule>
  </conditionalFormatting>
  <conditionalFormatting sqref="J9:J18">
    <cfRule type="cellIs" dxfId="2" priority="2" operator="equal" text="null">
      <formula>40</formula>
    </cfRule>
  </conditionalFormatting>
  <conditionalFormatting sqref="J9:J18">
    <cfRule type="cellIs" dxfId="3" priority="1" operator="lessThan" text="null">
      <formula>32</formula>
    </cfRule>
  </conditionalFormatting>
  <dataValidations count="2">
    <dataValidation allowBlank="1" error="Please select a valid shift or type a custom time range (e.g. 8:00-4:00)" errorTitle="Invalid Shift" prompt="Select a shift time or type custom" promptTitle="Shift Entry" showErrorMessage="1" showInputMessage="1" sqref="C9 D9 E9 F9 G9 H9 I9 C10 D10 E10 F10 G10 H10 I10 C11 D11 E11 F11 G11 H11 I11 C12 D12 E12 F12 G12 H12 I12 C13 D13 E13 F13 G13 H13 I13 C14 D14 E14 F14 G14 H14 I14 C15 D15 E15 F15 G15 H15 I15 C16 D16 E16 F16 G16 H16 I16 C17 D17 E17 F17 G17 H17 I17 C18 D18 E18 F18 G18 H18 I18" type="list">
      <formula1>"8:00-4:00,9:00-5:00,7:00-3:00,10:00-6:00,2:00-10:00,8:00-12:00,12:00-8:00,6:00-2:00,Off"</formula1>
    </dataValidation>
    <dataValidation allowBlank="1" showErrorMessage="1" showInputMessage="1" sqref="C4" type="list">
      <formula1>"Operations,Sales,Marketing,Finance,HR,IT,Engineering,Customer Service"</formula1>
    </dataValidation>
  </dataValidations>
  <printOptions/>
  <pageMargins left="0.7" right="0.7" top="0.75" bottom="0.75" header="0.3" footer="0.3"/>
  <pageSetup paperSize="1" pageOrder="downThenOver"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Shortcut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Shortcut</dc:creator>
  <cp:lastModifiedBy>Shortcut</cp:lastModifiedBy>
  <dcterms:created xsi:type="dcterms:W3CDTF">2025-05-22T23:41:35Z</dcterms:created>
  <dcterms:modified xsi:type="dcterms:W3CDTF">2025-05-22T23:45:09Z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ortcut_file_id">
    <vt:lpwstr>473f9a5f-7f07-4b54-8db3-9d1bf90403e9</vt:lpwstr>
  </property>
</Properties>
</file>