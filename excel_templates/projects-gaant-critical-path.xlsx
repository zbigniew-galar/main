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Critical_Path" sheetId="1"/>
  </sheets>
  <calcPr calcId="0" iterate="1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<sst xmlns="http://schemas.openxmlformats.org/spreadsheetml/2006/main" count="34" uniqueCount="34">
  <si>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CRITICAL PATH METHOD (CPM)</t>
  </si>
  <si>
    <t>GANTT CHART</t>
  </si>
  <si>
    <t>Enter task details in blue cells. Forward/backward pass and float calculate automatically.</t>
  </si>
  <si>
    <t>ID</t>
  </si>
  <si>
    <t>Task Name</t>
  </si>
  <si>
    <t>Duration</t>
  </si>
  <si>
    <t>Predecessors</t>
  </si>
  <si>
    <t>ES</t>
  </si>
  <si>
    <t>EF</t>
  </si>
  <si>
    <t>LS</t>
  </si>
  <si>
    <t>LF</t>
  </si>
  <si>
    <t>Float</t>
  </si>
  <si>
    <t>Critical?</t>
  </si>
  <si>
    <t>Project Kickoff</t>
  </si>
  <si>
    <t>YES</t>
  </si>
  <si>
    <t>Requirements Gathering</t>
  </si>
  <si>
    <t>Site Survey</t>
  </si>
  <si>
    <t/>
  </si>
  <si>
    <t>Design Phase</t>
  </si>
  <si>
    <t>Permits &amp; Approvals</t>
  </si>
  <si>
    <t>Procurement</t>
  </si>
  <si>
    <t>Foundation Work</t>
  </si>
  <si>
    <t>5,6</t>
  </si>
  <si>
    <t>Structural Build</t>
  </si>
  <si>
    <t>Electrical &amp; Plumbing</t>
  </si>
  <si>
    <t>Interior Finishing</t>
  </si>
  <si>
    <t>8,9</t>
  </si>
  <si>
    <t>Inspection &amp; Handover</t>
  </si>
  <si>
    <t>Project Closeout</t>
  </si>
  <si>
    <t>Project Duration:</t>
  </si>
  <si>
    <t>days</t>
  </si>
  <si>
    <t>Avg Duration:</t>
  </si>
  <si>
    <t>Critical Path Tasks:</t>
  </si>
  <si>
    <t>Total Tasks: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</si>
</sst>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0.0"/>
  </numFmts>
  <fonts count="12">
    <font>
      <b val="0"/>
      <i val="0"/>
      <sz val="12"/>
      <color theme="1"/>
      <name val="Aptos Narrow"/>
      <scheme val="minor"/>
    </font>
    <font>
      <b/>
      <i val="0"/>
      <sz val="16"/>
      <color rgb="FFFFFFFF"/>
      <name val="Aptos"/>
    </font>
    <font>
      <b/>
      <i val="0"/>
      <sz val="12"/>
      <color rgb="FFFFFFFF"/>
      <name val="Aptos"/>
    </font>
    <font>
      <b val="0"/>
      <i val="0"/>
      <sz val="11"/>
      <color theme="1"/>
      <name val="Aptos"/>
    </font>
    <font>
      <b val="0"/>
      <i/>
      <sz val="11"/>
      <color rgb="FF888888"/>
      <name val="Aptos"/>
    </font>
    <font>
      <b val="0"/>
      <i val="0"/>
      <sz val="8"/>
      <color rgb="FF999999"/>
      <name val="Aptos"/>
    </font>
    <font>
      <b val="0"/>
      <i val="0"/>
      <sz val="11"/>
      <color rgb="FF000000"/>
      <name val="Aptos"/>
    </font>
    <font>
      <b val="0"/>
      <i val="0"/>
      <sz val="11"/>
      <color rgb="FF0070C0"/>
      <name val="Aptos"/>
    </font>
    <font>
      <b/>
      <i val="0"/>
      <sz val="11"/>
      <color rgb="FFD94040"/>
      <name val="Aptos"/>
    </font>
    <font>
      <b/>
      <i val="0"/>
      <sz val="11"/>
      <color rgb="FF000000"/>
      <name val="Aptos"/>
    </font>
    <font>
      <b/>
      <i val="0"/>
      <sz val="12"/>
      <color rgb="FF2B3E6F"/>
      <name val="Aptos"/>
    </font>
    <font>
      <b/>
      <i val="0"/>
      <sz val="12"/>
      <color rgb="FFD94040"/>
      <name val="Aptos"/>
    </font>
  </fonts>
  <fills count="7">
    <fill>
      <patternFill patternType="none"/>
    </fill>
    <fill>
      <patternFill patternType="gray125"/>
    </fill>
    <fill>
      <patternFill patternType="solid">
        <fgColor rgb="FF2B3E6F"/>
      </patternFill>
    </fill>
    <fill>
      <patternFill patternType="solid">
        <fgColor rgb="FFE8ECF0"/>
      </patternFill>
    </fill>
    <fill>
      <patternFill patternType="solid">
        <fgColor rgb="FF3A7CA5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0" fillId="0" borderId="1"/>
  </cellStyleXfs>
  <cellXfs count="26">
    <xf numFmtId="0" fontId="0" fillId="0" borderId="1" xfId="0"/>
    <xf numFmtId="0" fontId="1" fillId="2" borderId="1" xfId="0">
      <alignment horizontal="left" vertical="center" indent="1"/>
    </xf>
    <xf numFmtId="0" fontId="2" fillId="2" borderId="1" xfId="0">
      <alignment horizontal="center" vertical="center"/>
    </xf>
    <xf numFmtId="0" fontId="3" fillId="2" borderId="1" xfId="0">
      <alignment vertical="center"/>
    </xf>
    <xf numFmtId="0" fontId="4" fillId="0" borderId="1" xfId="0">
      <alignment horizontal="left" vertical="center"/>
    </xf>
    <xf numFmtId="0" fontId="5" fillId="3" borderId="1" xfId="0">
      <alignment horizontal="center" vertical="center"/>
    </xf>
    <xf numFmtId="0" fontId="2" fillId="4" borderId="1" xfId="0">
      <alignment horizontal="center" vertical="center"/>
    </xf>
    <xf numFmtId="0" fontId="6" fillId="5" borderId="1" xfId="0">
      <alignment horizontal="center" vertical="center"/>
    </xf>
    <xf numFmtId="0" fontId="7" fillId="5" borderId="1" xfId="0">
      <alignment horizontal="left" vertical="center"/>
    </xf>
    <xf numFmtId="1" fontId="7" fillId="5" borderId="1" xfId="0">
      <alignment horizontal="center" vertical="center"/>
    </xf>
    <xf numFmtId="0" fontId="7" fillId="5" borderId="1" xfId="0">
      <alignment horizontal="center" vertical="center"/>
    </xf>
    <xf numFmtId="1" fontId="6" fillId="5" borderId="1" xfId="0">
      <alignment horizontal="center" vertical="center"/>
    </xf>
    <xf numFmtId="0" fontId="8" fillId="5" borderId="1" xfId="0">
      <alignment horizontal="center" vertical="center"/>
    </xf>
    <xf numFmtId="0" fontId="3" fillId="5" borderId="1" xfId="0">
      <alignment vertical="center"/>
    </xf>
    <xf numFmtId="0" fontId="6" fillId="6" borderId="1" xfId="0">
      <alignment horizontal="center" vertical="center"/>
    </xf>
    <xf numFmtId="0" fontId="7" fillId="6" borderId="1" xfId="0">
      <alignment horizontal="left" vertical="center"/>
    </xf>
    <xf numFmtId="1" fontId="7" fillId="6" borderId="1" xfId="0">
      <alignment horizontal="center" vertical="center"/>
    </xf>
    <xf numFmtId="0" fontId="7" fillId="6" borderId="1" xfId="0">
      <alignment horizontal="center" vertical="center"/>
    </xf>
    <xf numFmtId="1" fontId="6" fillId="6" borderId="1" xfId="0">
      <alignment horizontal="center" vertical="center"/>
    </xf>
    <xf numFmtId="0" fontId="8" fillId="6" borderId="1" xfId="0">
      <alignment horizontal="center" vertical="center"/>
    </xf>
    <xf numFmtId="0" fontId="3" fillId="6" borderId="1" xfId="0">
      <alignment vertical="center"/>
    </xf>
    <xf numFmtId="0" fontId="9" fillId="0" borderId="1" xfId="0">
      <alignment horizontal="left" vertical="center"/>
    </xf>
    <xf numFmtId="1" fontId="10" fillId="0" borderId="1" xfId="0">
      <alignment horizontal="center" vertical="center"/>
    </xf>
    <xf numFmtId="179" fontId="10" fillId="0" borderId="1" xfId="0">
      <alignment vertical="center"/>
    </xf>
    <xf numFmtId="1" fontId="11" fillId="0" borderId="1" xfId="0">
      <alignment horizontal="center" vertical="center"/>
    </xf>
    <xf numFmtId="1" fontId="10" fillId="0" borderId="1" xfId="0">
      <alignment vertical="center"/>
    </xf>
  </cellXfs>
  <cellStyles count="1">
    <cellStyle name="Normal" xfId="0" builtinId="0"/>
  </cellStyles>
  <dxfs count="4">
    <dxf>
      <fill>
        <patternFill patternType="solid">
          <fgColor rgb="FFFDECEC"/>
          <bgColor rgb="FFFDECEC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94040"/>
          <bgColor rgb="FFD94040"/>
        </patternFill>
      </fill>
    </dxf>
    <dxf>
      <fill>
        <patternFill patternType="solid">
          <fgColor rgb="FF3A7CA5"/>
          <bgColor rgb="FF3A7CA5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026BA5-AC88-28CB-4328-82C512493CED}" mc:Ignorable="x14ac xr xr2 xr3">
  <dimension ref="A1:CV10000"/>
  <sheetViews>
    <sheetView showGridLines="0" zoomScale="90" workbookViewId="0" tabSelected="1">
      <pane xSplit="1" ySplit="5" topLeftCell="B6" activePane="bottomRight" state="frozen"/>
      <selection pane="bottomLeft" activeCell="A6" sqref="A6"/>
      <selection pane="topRight" activeCell="B1" sqref="B1"/>
      <selection pane="bottomRight" activeCell="E10" sqref="E10"/>
    </sheetView>
  </sheetViews>
  <sheetFormatPr defaultRowHeight="15.997499999999997" defaultColWidth="9.00390625" customHeight="1"/>
  <cols>
    <col min="1" max="1" width="3.00390625" customWidth="1"/>
    <col min="2" max="2" width="6.00390625" customWidth="1"/>
    <col min="3" max="3" width="30.00390625" customWidth="1"/>
    <col min="4" max="4" width="12.00390625" customWidth="1"/>
    <col min="5" max="5" width="14.00390625" customWidth="1"/>
    <col min="6" max="6" width="12.00390625" customWidth="1"/>
    <col min="11" max="11" width="12.00390625" customWidth="1"/>
    <col min="12" max="37" width="3.50390625" customWidth="1"/>
    <col min="38" max="46" width="4.125" customWidth="1"/>
  </cols>
  <sheetData>
    <row r="1" ht="16.5" customHeight="1"/>
    <row r="2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2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3"/>
      <c r="AO2" s="3"/>
      <c r="AP2" s="3"/>
      <c r="AQ2" s="3"/>
      <c r="AR2" s="3"/>
      <c r="AS2" s="3"/>
      <c r="AT2" s="3"/>
    </row>
    <row r="3" ht="15.75" customHeight="1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2" customHeight="1">
      <c r="L4" s="5">
        <v>0</v>
      </c>
      <c r="M4" s="5">
        <v>1</v>
      </c>
      <c r="N4" s="5">
        <v>2</v>
      </c>
      <c r="O4" s="5">
        <v>3</v>
      </c>
      <c r="P4" s="5">
        <v>4</v>
      </c>
      <c r="Q4" s="5">
        <v>5</v>
      </c>
      <c r="R4" s="5">
        <v>6</v>
      </c>
      <c r="S4" s="5">
        <v>7</v>
      </c>
      <c r="T4" s="5">
        <v>8</v>
      </c>
      <c r="U4" s="5">
        <v>9</v>
      </c>
      <c r="V4" s="5">
        <v>10</v>
      </c>
      <c r="W4" s="5">
        <v>11</v>
      </c>
      <c r="X4" s="5">
        <v>12</v>
      </c>
      <c r="Y4" s="5">
        <v>13</v>
      </c>
      <c r="Z4" s="5">
        <v>14</v>
      </c>
      <c r="AA4" s="5">
        <v>15</v>
      </c>
      <c r="AB4" s="5">
        <v>16</v>
      </c>
      <c r="AC4" s="5">
        <v>17</v>
      </c>
      <c r="AD4" s="5">
        <v>18</v>
      </c>
      <c r="AE4" s="5">
        <v>19</v>
      </c>
      <c r="AF4" s="5">
        <v>20</v>
      </c>
      <c r="AG4" s="5">
        <v>21</v>
      </c>
      <c r="AH4" s="5">
        <v>22</v>
      </c>
      <c r="AI4" s="5">
        <v>23</v>
      </c>
      <c r="AJ4" s="5">
        <v>24</v>
      </c>
      <c r="AK4" s="5">
        <v>25</v>
      </c>
      <c r="AL4" s="5">
        <v>26</v>
      </c>
      <c r="AM4" s="5">
        <v>27</v>
      </c>
      <c r="AN4" s="5">
        <v>28</v>
      </c>
      <c r="AO4" s="5">
        <v>29</v>
      </c>
      <c r="AP4" s="5">
        <v>30</v>
      </c>
      <c r="AQ4" s="5">
        <v>31</v>
      </c>
      <c r="AR4" s="5">
        <v>32</v>
      </c>
      <c r="AS4" s="5">
        <v>33</v>
      </c>
      <c r="AT4" s="5">
        <v>34</v>
      </c>
    </row>
    <row r="5" ht="16.5" customHeight="1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</row>
    <row r="6" ht="15.75" customHeight="1">
      <c r="B6" s="7">
        <v>1</v>
      </c>
      <c r="C6" s="8" t="s">
        <v>13</v>
      </c>
      <c r="D6" s="9">
        <v>0</v>
      </c>
      <c r="E6" s="10"/>
      <c r="F6" s="11">
        <f t="array" ref="F6">IF(D6="","",IF(E6="",0,MAX(IF(ISNUMBER(SEARCH(","&amp;$B$6:$B$23&amp;",",","&amp;SUBSTITUTE(E6," ","")&amp;",")),$G$6:$G$23,0))))</f>
        <v>0</v>
      </c>
      <c r="G6" s="11">
        <f t="shared" si="0" ref="G6:G23">IF(D6="","",F6+D6)</f>
        <v>0</v>
      </c>
      <c r="H6" s="11">
        <f t="shared" si="1" ref="H6:H17">I6-D6</f>
        <v>0</v>
      </c>
      <c r="I6" s="11">
        <f t="shared" si="4" ref="I6:I12">MIN(H7,H8)</f>
        <v>0</v>
      </c>
      <c r="J6" s="11">
        <f t="shared" si="2" ref="J6:J17">H6-F6</f>
        <v>0</v>
      </c>
      <c r="K6" s="12" t="str">
        <f t="shared" si="3" ref="K6:K17">IF(J6=0,"YES","")</f>
        <v>YES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ht="15.75" customHeight="1">
      <c r="B7" s="14">
        <v>2</v>
      </c>
      <c r="C7" s="15" t="s">
        <v>15</v>
      </c>
      <c r="D7" s="16">
        <v>3</v>
      </c>
      <c r="E7" s="17">
        <v>1</v>
      </c>
      <c r="F7" s="18">
        <f t="array" ref="F7">IF(D7="","",IF(E7="",0,MAX(IF(ISNUMBER(SEARCH(","&amp;$B$6:$B$23&amp;",",","&amp;SUBSTITUTE(E7," ","")&amp;",")),$G$6:$G$23,0))))</f>
        <v>0</v>
      </c>
      <c r="G7" s="18">
        <f t="shared" si="0"/>
        <v>3</v>
      </c>
      <c r="H7" s="18">
        <f t="shared" si="1"/>
        <v>0</v>
      </c>
      <c r="I7" s="18" cm="1">
        <f t="array" ref="I7">H9</f>
        <v>3</v>
      </c>
      <c r="J7" s="18">
        <f t="shared" si="2"/>
        <v>0</v>
      </c>
      <c r="K7" s="19" t="str">
        <f t="shared" si="3"/>
        <v>YES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</row>
    <row r="8" ht="15.75" customHeight="1">
      <c r="B8" s="7">
        <v>3</v>
      </c>
      <c r="C8" s="8" t="s">
        <v>16</v>
      </c>
      <c r="D8" s="9">
        <v>2</v>
      </c>
      <c r="E8" s="10">
        <v>1</v>
      </c>
      <c r="F8" s="11">
        <f t="array" ref="F8">IF(D8="","",IF(E8="",0,MAX(IF(ISNUMBER(SEARCH(","&amp;$B$6:$B$23&amp;",",","&amp;SUBSTITUTE(E8," ","")&amp;",")),$G$6:$G$23,0))))</f>
        <v>0</v>
      </c>
      <c r="G8" s="11">
        <f t="shared" si="0"/>
        <v>2</v>
      </c>
      <c r="H8" s="11">
        <f t="shared" si="1"/>
        <v>6</v>
      </c>
      <c r="I8" s="11" cm="1">
        <f t="array" ref="I8">H10</f>
        <v>8</v>
      </c>
      <c r="J8" s="11">
        <f t="shared" si="2"/>
        <v>6</v>
      </c>
      <c r="K8" s="12" t="str">
        <f t="shared" si="3"/>
        <v/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ht="15.75" customHeight="1">
      <c r="B9" s="14">
        <v>4</v>
      </c>
      <c r="C9" s="15" t="s">
        <v>18</v>
      </c>
      <c r="D9" s="16">
        <v>5</v>
      </c>
      <c r="E9" s="17">
        <v>2</v>
      </c>
      <c r="F9" s="18">
        <f t="array" ref="F9">IF(D9="","",IF(E9="",0,MAX(IF(ISNUMBER(SEARCH(","&amp;$B$6:$B$23&amp;",",","&amp;SUBSTITUTE(E9," ","")&amp;",")),$G$6:$G$23,0))))</f>
        <v>3</v>
      </c>
      <c r="G9" s="18">
        <f t="shared" si="0"/>
        <v>8</v>
      </c>
      <c r="H9" s="18">
        <f t="shared" si="1"/>
        <v>3</v>
      </c>
      <c r="I9" s="18" cm="1">
        <f t="array" ref="I9">H11</f>
        <v>8</v>
      </c>
      <c r="J9" s="18">
        <f t="shared" si="2"/>
        <v>0</v>
      </c>
      <c r="K9" s="19" t="str">
        <f t="shared" si="3"/>
        <v>YES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</row>
    <row r="10" ht="15.75" customHeight="1">
      <c r="B10" s="7">
        <v>5</v>
      </c>
      <c r="C10" s="8" t="s">
        <v>19</v>
      </c>
      <c r="D10" s="9">
        <v>3</v>
      </c>
      <c r="E10" s="10">
        <v>3</v>
      </c>
      <c r="F10" s="11">
        <f t="array" ref="F10">IF(D10="","",IF(E10="",0,MAX(IF(ISNUMBER(SEARCH(","&amp;$B$6:$B$23&amp;",",","&amp;SUBSTITUTE(E10," ","")&amp;",")),$G$6:$G$23,0))))</f>
        <v>2</v>
      </c>
      <c r="G10" s="11">
        <f t="shared" si="0"/>
        <v>5</v>
      </c>
      <c r="H10" s="11">
        <f t="shared" si="1"/>
        <v>8</v>
      </c>
      <c r="I10" s="11" cm="1">
        <f t="array" ref="I10">H12</f>
        <v>11</v>
      </c>
      <c r="J10" s="11">
        <f t="shared" si="2"/>
        <v>6</v>
      </c>
      <c r="K10" s="12" t="str">
        <f t="shared" si="3"/>
        <v/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ht="15.75" customHeight="1">
      <c r="B11" s="14">
        <v>6</v>
      </c>
      <c r="C11" s="15" t="s">
        <v>20</v>
      </c>
      <c r="D11" s="16">
        <v>3</v>
      </c>
      <c r="E11" s="17">
        <v>4</v>
      </c>
      <c r="F11" s="18">
        <f t="array" ref="F11">IF(D11="","",IF(E11="",0,MAX(IF(ISNUMBER(SEARCH(","&amp;$B$6:$B$23&amp;",",","&amp;SUBSTITUTE(E11," ","")&amp;",")),$G$6:$G$23,0))))</f>
        <v>8</v>
      </c>
      <c r="G11" s="18">
        <f t="shared" si="0"/>
        <v>11</v>
      </c>
      <c r="H11" s="18">
        <f t="shared" si="1"/>
        <v>8</v>
      </c>
      <c r="I11" s="18" cm="1">
        <f t="array" ref="I11">H12</f>
        <v>11</v>
      </c>
      <c r="J11" s="18">
        <f t="shared" si="2"/>
        <v>0</v>
      </c>
      <c r="K11" s="19" t="str">
        <f t="shared" si="3"/>
        <v>YES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</row>
    <row r="12" ht="15.75" customHeight="1">
      <c r="B12" s="7">
        <v>7</v>
      </c>
      <c r="C12" s="8" t="s">
        <v>21</v>
      </c>
      <c r="D12" s="9">
        <v>6</v>
      </c>
      <c r="E12" s="10" t="s">
        <v>22</v>
      </c>
      <c r="F12" s="11">
        <f t="array" ref="F12">IF(D12="","",IF(E12="",0,MAX(IF(ISNUMBER(SEARCH(","&amp;$B$6:$B$23&amp;",",","&amp;SUBSTITUTE(E12," ","")&amp;",")),$G$6:$G$23,0))))</f>
        <v>11</v>
      </c>
      <c r="G12" s="11">
        <f t="shared" si="0"/>
        <v>17</v>
      </c>
      <c r="H12" s="11">
        <f t="shared" si="1"/>
        <v>11</v>
      </c>
      <c r="I12" s="11">
        <f t="shared" si="4"/>
        <v>17</v>
      </c>
      <c r="J12" s="11">
        <f t="shared" si="2"/>
        <v>0</v>
      </c>
      <c r="K12" s="12" t="str">
        <f t="shared" si="3"/>
        <v>YES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ht="15.75" customHeight="1">
      <c r="B13" s="14">
        <v>8</v>
      </c>
      <c r="C13" s="15" t="s">
        <v>23</v>
      </c>
      <c r="D13" s="16">
        <v>8</v>
      </c>
      <c r="E13" s="17">
        <v>7</v>
      </c>
      <c r="F13" s="18">
        <f t="array" ref="F13">IF(D13="","",IF(E13="",0,MAX(IF(ISNUMBER(SEARCH(","&amp;$B$6:$B$23&amp;",",","&amp;SUBSTITUTE(E13," ","")&amp;",")),$G$6:$G$23,0))))</f>
        <v>17</v>
      </c>
      <c r="G13" s="18">
        <f t="shared" si="0"/>
        <v>25</v>
      </c>
      <c r="H13" s="18">
        <f t="shared" si="1"/>
        <v>17</v>
      </c>
      <c r="I13" s="18" cm="1">
        <f t="array" ref="I13">H15</f>
        <v>25</v>
      </c>
      <c r="J13" s="18">
        <f t="shared" si="2"/>
        <v>0</v>
      </c>
      <c r="K13" s="19" t="str">
        <f t="shared" si="3"/>
        <v>YES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</row>
    <row r="14" ht="15.75" customHeight="1">
      <c r="B14" s="7">
        <v>9</v>
      </c>
      <c r="C14" s="8" t="s">
        <v>24</v>
      </c>
      <c r="D14" s="9">
        <v>5</v>
      </c>
      <c r="E14" s="10">
        <v>7</v>
      </c>
      <c r="F14" s="11">
        <f t="array" ref="F14">IF(D14="","",IF(E14="",0,MAX(IF(ISNUMBER(SEARCH(","&amp;$B$6:$B$23&amp;",",","&amp;SUBSTITUTE(E14," ","")&amp;",")),$G$6:$G$23,0))))</f>
        <v>17</v>
      </c>
      <c r="G14" s="11">
        <f t="shared" si="0"/>
        <v>22</v>
      </c>
      <c r="H14" s="11">
        <f t="shared" si="1"/>
        <v>20</v>
      </c>
      <c r="I14" s="11" cm="1">
        <f t="array" ref="I14">H15</f>
        <v>25</v>
      </c>
      <c r="J14" s="11">
        <f t="shared" si="2"/>
        <v>3</v>
      </c>
      <c r="K14" s="12" t="str">
        <f t="shared" si="3"/>
        <v/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ht="15.75" customHeight="1">
      <c r="B15" s="14">
        <v>10</v>
      </c>
      <c r="C15" s="15" t="s">
        <v>25</v>
      </c>
      <c r="D15" s="16">
        <v>4</v>
      </c>
      <c r="E15" s="17" t="s">
        <v>26</v>
      </c>
      <c r="F15" s="18">
        <f t="array" ref="F15">IF(D15="","",IF(E15="",0,MAX(IF(ISNUMBER(SEARCH(","&amp;$B$6:$B$23&amp;",",","&amp;SUBSTITUTE(E15," ","")&amp;",")),$G$6:$G$23,0))))</f>
        <v>25</v>
      </c>
      <c r="G15" s="18">
        <f t="shared" si="0"/>
        <v>29</v>
      </c>
      <c r="H15" s="18">
        <f t="shared" si="1"/>
        <v>25</v>
      </c>
      <c r="I15" s="18" cm="1">
        <f t="array" ref="I15">H16</f>
        <v>29</v>
      </c>
      <c r="J15" s="18">
        <f t="shared" si="2"/>
        <v>0</v>
      </c>
      <c r="K15" s="19" t="str">
        <f t="shared" si="3"/>
        <v>YES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</row>
    <row r="16" ht="15.75" customHeight="1">
      <c r="B16" s="7">
        <v>11</v>
      </c>
      <c r="C16" s="8" t="s">
        <v>27</v>
      </c>
      <c r="D16" s="9">
        <v>2</v>
      </c>
      <c r="E16" s="10">
        <v>10</v>
      </c>
      <c r="F16" s="11">
        <f t="array" ref="F16">IF(D16="","",IF(E16="",0,MAX(IF(ISNUMBER(SEARCH(","&amp;$B$6:$B$23&amp;",",","&amp;SUBSTITUTE(E16," ","")&amp;",")),$G$6:$G$23,0))))</f>
        <v>29</v>
      </c>
      <c r="G16" s="11">
        <f t="shared" si="0"/>
        <v>31</v>
      </c>
      <c r="H16" s="11">
        <f t="shared" si="1"/>
        <v>29</v>
      </c>
      <c r="I16" s="11" cm="1">
        <f t="array" ref="I16">H17</f>
        <v>31</v>
      </c>
      <c r="J16" s="11">
        <f t="shared" si="2"/>
        <v>0</v>
      </c>
      <c r="K16" s="12" t="str">
        <f t="shared" si="3"/>
        <v>YES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ht="15.75" customHeight="1">
      <c r="B17" s="14">
        <v>12</v>
      </c>
      <c r="C17" s="15" t="s">
        <v>28</v>
      </c>
      <c r="D17" s="16">
        <v>1</v>
      </c>
      <c r="E17" s="17">
        <v>11</v>
      </c>
      <c r="F17" s="18">
        <f t="array" ref="F17">IF(D17="","",IF(E17="",0,MAX(IF(ISNUMBER(SEARCH(","&amp;$B$6:$B$23&amp;",",","&amp;SUBSTITUTE(E17," ","")&amp;",")),$G$6:$G$23,0))))</f>
        <v>31</v>
      </c>
      <c r="G17" s="18">
        <f t="shared" si="0"/>
        <v>32</v>
      </c>
      <c r="H17" s="18">
        <f t="shared" si="1"/>
        <v>31</v>
      </c>
      <c r="I17" s="18">
        <f>MAX($G$6:$G$23)</f>
        <v>32</v>
      </c>
      <c r="J17" s="18">
        <f t="shared" si="2"/>
        <v>0</v>
      </c>
      <c r="K17" s="19" t="str">
        <f t="shared" si="3"/>
        <v>YES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</row>
    <row r="18" ht="16.5" customHeight="1">
      <c r="B18" s="7"/>
      <c r="C18" s="8"/>
      <c r="D18" s="9"/>
      <c r="E18" s="10"/>
      <c r="F18" s="11" t="str">
        <f t="array" ref="F18">IF(D18="","",IF(E18="",0,MAX(IF(ISNUMBER(SEARCH(","&amp;$B$6:$B$23&amp;",",","&amp;SUBSTITUTE(E18," ","")&amp;",")),$G$6:$G$23,0))))</f>
        <v/>
      </c>
      <c r="G18" s="11" t="str">
        <f t="shared" si="0"/>
        <v/>
      </c>
      <c r="H18" s="11" t="str">
        <f t="shared" si="5" ref="H18:H23">IF(D18="","",I18-D18)</f>
        <v/>
      </c>
      <c r="I18" s="11" t="str">
        <f t="shared" si="6" ref="I18:I23">IF(D18="","",MAX($G$6:$G$23))</f>
        <v/>
      </c>
      <c r="J18" s="11" t="str">
        <f t="shared" si="7" ref="J18:J23">IF(D18="","",H18-F18)</f>
        <v/>
      </c>
      <c r="K18" s="12" t="str">
        <f t="shared" si="8" ref="K18:K23">IF(D18="","",IF(J18=0,"YES",""))</f>
        <v/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ht="16.5" customHeight="1">
      <c r="B19" s="14"/>
      <c r="C19" s="15"/>
      <c r="D19" s="16"/>
      <c r="E19" s="17"/>
      <c r="F19" s="18" t="str">
        <f t="array" ref="F19">IF(D19="","",IF(E19="",0,MAX(IF(ISNUMBER(SEARCH(","&amp;$B$6:$B$23&amp;",",","&amp;SUBSTITUTE(E19," ","")&amp;",")),$G$6:$G$23,0))))</f>
        <v/>
      </c>
      <c r="G19" s="18" t="str">
        <f t="shared" si="0"/>
        <v/>
      </c>
      <c r="H19" s="18" t="str">
        <f t="shared" si="5"/>
        <v/>
      </c>
      <c r="I19" s="18" t="str">
        <f t="shared" si="6"/>
        <v/>
      </c>
      <c r="J19" s="18" t="str">
        <f t="shared" si="7"/>
        <v/>
      </c>
      <c r="K19" s="19" t="str">
        <f t="shared" si="8"/>
        <v/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</row>
    <row r="20" ht="16.5" customHeight="1">
      <c r="B20" s="7"/>
      <c r="C20" s="8"/>
      <c r="D20" s="9"/>
      <c r="E20" s="10"/>
      <c r="F20" s="11" t="str">
        <f t="array" ref="F20">IF(D20="","",IF(E20="",0,MAX(IF(ISNUMBER(SEARCH(","&amp;$B$6:$B$23&amp;",",","&amp;SUBSTITUTE(E20," ","")&amp;",")),$G$6:$G$23,0))))</f>
        <v/>
      </c>
      <c r="G20" s="11" t="str">
        <f t="shared" si="0"/>
        <v/>
      </c>
      <c r="H20" s="11" t="str">
        <f t="shared" si="5"/>
        <v/>
      </c>
      <c r="I20" s="11" t="str">
        <f t="shared" si="6"/>
        <v/>
      </c>
      <c r="J20" s="11" t="str">
        <f t="shared" si="7"/>
        <v/>
      </c>
      <c r="K20" s="12" t="str">
        <f t="shared" si="8"/>
        <v/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ht="16.5" customHeight="1">
      <c r="B21" s="14"/>
      <c r="C21" s="15"/>
      <c r="D21" s="16"/>
      <c r="E21" s="17"/>
      <c r="F21" s="18" t="str">
        <f t="array" ref="F21">IF(D21="","",IF(E21="",0,MAX(IF(ISNUMBER(SEARCH(","&amp;$B$6:$B$23&amp;",",","&amp;SUBSTITUTE(E21," ","")&amp;",")),$G$6:$G$23,0))))</f>
        <v/>
      </c>
      <c r="G21" s="18" t="str">
        <f t="shared" si="0"/>
        <v/>
      </c>
      <c r="H21" s="18" t="str">
        <f t="shared" si="5"/>
        <v/>
      </c>
      <c r="I21" s="18" t="str">
        <f t="shared" si="6"/>
        <v/>
      </c>
      <c r="J21" s="18" t="str">
        <f t="shared" si="7"/>
        <v/>
      </c>
      <c r="K21" s="19" t="str">
        <f t="shared" si="8"/>
        <v/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</row>
    <row r="22" ht="16.5" customHeight="1">
      <c r="B22" s="7"/>
      <c r="C22" s="8"/>
      <c r="D22" s="9"/>
      <c r="E22" s="10"/>
      <c r="F22" s="11" t="str">
        <f t="array" ref="F22">IF(D22="","",IF(E22="",0,MAX(IF(ISNUMBER(SEARCH(","&amp;$B$6:$B$23&amp;",",","&amp;SUBSTITUTE(E22," ","")&amp;",")),$G$6:$G$23,0))))</f>
        <v/>
      </c>
      <c r="G22" s="11" t="str">
        <f t="shared" si="0"/>
        <v/>
      </c>
      <c r="H22" s="11" t="str">
        <f t="shared" si="5"/>
        <v/>
      </c>
      <c r="I22" s="11" t="str">
        <f t="shared" si="6"/>
        <v/>
      </c>
      <c r="J22" s="11" t="str">
        <f t="shared" si="7"/>
        <v/>
      </c>
      <c r="K22" s="12" t="str">
        <f t="shared" si="8"/>
        <v/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ht="16.5" customHeight="1">
      <c r="B23" s="14"/>
      <c r="C23" s="15"/>
      <c r="D23" s="16"/>
      <c r="E23" s="17"/>
      <c r="F23" s="18" t="str">
        <f t="array" ref="F23">IF(D23="","",IF(E23="",0,MAX(IF(ISNUMBER(SEARCH(","&amp;$B$6:$B$23&amp;",",","&amp;SUBSTITUTE(E23," ","")&amp;",")),$G$6:$G$23,0))))</f>
        <v/>
      </c>
      <c r="G23" s="18" t="str">
        <f t="shared" si="0"/>
        <v/>
      </c>
      <c r="H23" s="18" t="str">
        <f t="shared" si="5"/>
        <v/>
      </c>
      <c r="I23" s="18" t="str">
        <f t="shared" si="6"/>
        <v/>
      </c>
      <c r="J23" s="18" t="str">
        <f t="shared" si="7"/>
        <v/>
      </c>
      <c r="K23" s="19" t="str">
        <f t="shared" si="8"/>
        <v/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</row>
    <row r="24" ht="16.5" customHeight="1"/>
    <row r="25" ht="16.5" customHeight="1">
      <c r="B25" s="21" t="s">
        <v>29</v>
      </c>
      <c r="D25" s="22">
        <f>MAX(G6:G23)</f>
        <v>32</v>
      </c>
      <c r="E25" s="21" t="s">
        <v>30</v>
      </c>
      <c r="F25" s="21" t="s">
        <v>31</v>
      </c>
      <c r="G25" s="23">
        <f>AVERAGE(D6:D17)</f>
        <v>3.5</v>
      </c>
    </row>
    <row r="26" ht="16.5" customHeight="1">
      <c r="B26" s="21" t="s">
        <v>32</v>
      </c>
      <c r="D26" s="24">
        <f>COUNTIF(K6:K23,"YES")</f>
        <v>9</v>
      </c>
      <c r="F26" s="21" t="s">
        <v>33</v>
      </c>
      <c r="G26" s="25">
        <f>COUNTA(C6:C23)</f>
        <v>12</v>
      </c>
    </row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B2:K2"/>
    <mergeCell ref="L2:AK2"/>
    <mergeCell ref="B3:K3"/>
    <mergeCell ref="B25:C25"/>
    <mergeCell ref="B26:C26"/>
  </mergeCells>
  <conditionalFormatting sqref="B6:K23">
    <cfRule type="expression" dxfId="0" priority="6" stopIfTrue="1" text="null">
      <formula>AND($J6=0,$D6&lt;&gt;"")</formula>
    </cfRule>
  </conditionalFormatting>
  <conditionalFormatting sqref="B6:K23">
    <cfRule type="expression" dxfId="1" priority="6" text="null">
      <formula>AND($J6&gt;0,$D6&lt;&gt;"")</formula>
    </cfRule>
  </conditionalFormatting>
  <conditionalFormatting sqref="L6:AT23">
    <cfRule type="expression" dxfId="2" priority="5" stopIfTrue="1" text="null">
      <formula>AND(L$4&gt;=$F6,L$4&lt;$G6,$J6=0,$D6&lt;&gt;"")</formula>
    </cfRule>
  </conditionalFormatting>
  <conditionalFormatting sqref="L6:AT23">
    <cfRule type="expression" dxfId="3" priority="5" stopIfTrue="1" text="null">
      <formula>AND(L$4&gt;=$F6,L$4&lt;$G6,$J6&gt;0,$D6&lt;&gt;"")</formula>
    </cfRule>
  </conditionalFormatting>
  <dataValidations count="2">
    <dataValidation operator="greaterThanOrEqual" allowBlank="1" error="Duration must be a non-negative integer." errorTitle="Invalid Duration" prompt="Enter task duration in days (integer ≥ 0)" promptTitle="Duration" showErrorMessage="1" showInputMessage="1" sqref="D6 D7 D8 D9 D10 D11 D12 D13 D14 D15 D16 D17 D18 D19 D20 D21 D22 D23" type="whole">
      <formula1>0</formula1>
    </dataValidation>
    <dataValidation allowBlank="1" error="Enter predecessor IDs separated by commas (e.g., '1' or '3,5')." errorTitle="Invalid Predecessors" prompt="Enter predecessor task IDs separated by commas (e.g., '1' or '3,5')" promptTitle="Predecessors" showErrorMessage="1" showInputMessage="1" sqref="E6 E7 E8 E9 E10 E11 E12 E13 E14 E15 E16 E17 E18 E19 E20 E21 E22 E23" type="custom">
      <formula1>OR(E6="",NOT(ISERROR(SUBSTITUTE(E6,",","")*1)),SUMPRODUCT(--(ISERROR(VALUE(TRIM(MID(SUBSTITUTE(E6,",",REPT(" ",100)),ROW(INDIRECT("1:"&amp;LEN(E6)-LEN(SUBSTITUTE(E6,",",""))+1))*100-99,100)))))=0))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86b0c525-ede0-42aa-8afb-f52a0188cfb5</vt:lpwstr>
  </property>
</Properties>
</file>