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Bill of Materials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<sst xmlns="http://schemas.openxmlformats.org/spreadsheetml/2006/main" count="58" uniqueCount="58">
  <si>
    <t>Bill of Materials</t>
  </si>
  <si>
    <t>Product Assembly Component List</t>
  </si>
  <si>
    <t>Project Name:</t>
  </si>
  <si>
    <t>Sample Project</t>
  </si>
  <si>
    <t>Date:</t>
  </si>
  <si>
    <t>Assembly No:</t>
  </si>
  <si>
    <t>ASM-001</t>
  </si>
  <si>
    <t>Revision:</t>
  </si>
  <si>
    <t>Rev A</t>
  </si>
  <si>
    <t>Prepared By:</t>
  </si>
  <si>
    <t>Engineer Name</t>
  </si>
  <si>
    <t>Status:</t>
  </si>
  <si>
    <t>Draft</t>
  </si>
  <si>
    <t>Level</t>
  </si>
  <si>
    <t>Part Number</t>
  </si>
  <si>
    <t>Description</t>
  </si>
  <si>
    <t>Qty</t>
  </si>
  <si>
    <t>UOM</t>
  </si>
  <si>
    <t>Unit Cost</t>
  </si>
  <si>
    <t>Extended Cost</t>
  </si>
  <si>
    <t>Supplier</t>
  </si>
  <si>
    <t>Lead Time</t>
  </si>
  <si>
    <t>Notes</t>
  </si>
  <si>
    <t>FRAME-100</t>
  </si>
  <si>
    <t>Main Frame Assembly</t>
  </si>
  <si>
    <t>EA</t>
  </si>
  <si>
    <t>Acme Corp</t>
  </si>
  <si>
    <t>5 days</t>
  </si>
  <si>
    <t>PLT-201</t>
  </si>
  <si>
    <t>Base Plate - Steel</t>
  </si>
  <si>
    <t>Steel Supply Co</t>
  </si>
  <si>
    <t>3 days</t>
  </si>
  <si>
    <t>BRK-302</t>
  </si>
  <si>
    <t>Mounting Bracket</t>
  </si>
  <si>
    <t>FastParts Inc</t>
  </si>
  <si>
    <t>7 days</t>
  </si>
  <si>
    <t>BLT-403</t>
  </si>
  <si>
    <t>Hex Bolt M8x25</t>
  </si>
  <si>
    <t>BoltWorld</t>
  </si>
  <si>
    <t>2 days</t>
  </si>
  <si>
    <t>WSH-404</t>
  </si>
  <si>
    <t>Flat Washer M8</t>
  </si>
  <si>
    <t>CVR-505</t>
  </si>
  <si>
    <t>Protective Cover</t>
  </si>
  <si>
    <t>PlastiForm</t>
  </si>
  <si>
    <t>10 days</t>
  </si>
  <si>
    <t>SCR-606</t>
  </si>
  <si>
    <t>Sheet Metal Screw #10</t>
  </si>
  <si>
    <t>SET</t>
  </si>
  <si>
    <t>14 days</t>
  </si>
  <si>
    <t/>
  </si>
  <si>
    <t>TOTAL ESTIMATED COST</t>
  </si>
  <si>
    <t>Notes:</t>
  </si>
  <si>
    <t>• Quantities are per single assembly unit</t>
  </si>
  <si>
    <t>• Lead times are estimates and subject to change</t>
  </si>
  <si>
    <t>• Unit costs exclude shipping and handling</t>
  </si>
  <si>
    <t>• Highlight colors in Lead Time: Green (&lt;10 days), Yellow (10-14 days), Red (≥15 days)</t>
  </si>
  <si>
    <t>• Missing Unit Cost cells are highlighted yellow when Part Number is 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</si>
</sst>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yyyy-mm-dd"/>
  </numFmts>
  <fonts count="8">
    <font>
      <b val="0"/>
      <i val="0"/>
      <sz val="12"/>
      <color theme="1"/>
      <name val="Aptos Narrow"/>
      <scheme val="minor"/>
    </font>
    <font>
      <b/>
      <i val="0"/>
      <sz val="18"/>
      <color rgb="FF1F4E79"/>
      <name val="Aptos Narrow"/>
    </font>
    <font>
      <b val="0"/>
      <i val="0"/>
      <sz val="11"/>
      <color rgb="FF808080"/>
      <name val="Aptos Narrow"/>
    </font>
    <font>
      <b/>
      <i val="0"/>
      <sz val="11"/>
      <color rgb="FF333333"/>
      <name val="Aptos Narrow"/>
    </font>
    <font>
      <b val="0"/>
      <i val="0"/>
      <sz val="11"/>
      <color theme="1"/>
      <name val="Aptos Narrow"/>
    </font>
    <font>
      <b/>
      <i val="0"/>
      <sz val="11"/>
      <color rgb="FFFFFFFF"/>
      <name val="Aptos Narrow"/>
    </font>
    <font>
      <b/>
      <i val="0"/>
      <sz val="11"/>
      <color rgb="FF1F4E79"/>
      <name val="Aptos Narrow"/>
    </font>
    <font>
      <b val="0"/>
      <i val="0"/>
      <sz val="10"/>
      <color rgb="FF6666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1F4E79"/>
      </patternFill>
    </fill>
    <fill>
      <patternFill patternType="solid">
        <fgColor rgb="FFF2F7FB"/>
      </patternFill>
    </fill>
  </fills>
  <borders count="8">
    <border>
      <left/>
      <right/>
      <top/>
      <bottom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/>
      <diagonal/>
    </border>
    <border>
      <left style="thin">
        <color rgb="FFB0B0B0"/>
      </left>
      <right/>
      <top style="thick">
        <color rgb="FFB0B0B0"/>
      </top>
      <bottom style="thin">
        <color rgb="FFB0B0B0"/>
      </bottom>
      <diagonal/>
    </border>
    <border>
      <left/>
      <right/>
      <top style="thick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ck">
        <color rgb="FFB0B0B0"/>
      </top>
      <bottom style="thin">
        <color rgb="FFB0B0B0"/>
      </bottom>
      <diagonal/>
    </border>
  </borders>
  <cellStyleXfs count="1">
    <xf numFmtId="0" fontId="0" fillId="0" borderId="1"/>
  </cellStyleXfs>
  <cellXfs count="24">
    <xf numFmtId="0" fontId="0" fillId="0" borderId="1" xfId="0"/>
    <xf numFmtId="0" fontId="1" fillId="0" borderId="1" xfId="0"/>
    <xf numFmtId="0" fontId="2" fillId="0" borderId="1" xfId="0"/>
    <xf numFmtId="0" fontId="3" fillId="0" borderId="1" xfId="0">
      <alignment horizontal="right" vertical="bottom"/>
    </xf>
    <xf numFmtId="0" fontId="4" fillId="2" borderId="2" xfId="0"/>
    <xf numFmtId="171" fontId="4" fillId="2" borderId="2" xfId="0"/>
    <xf numFmtId="0" fontId="4" fillId="2" borderId="3" xfId="0"/>
    <xf numFmtId="0" fontId="5" fillId="3" borderId="4" xfId="0">
      <alignment horizontal="center" vertical="center"/>
    </xf>
    <xf numFmtId="0" fontId="5" fillId="3" borderId="2" xfId="0">
      <alignment horizontal="center" vertical="center"/>
    </xf>
    <xf numFmtId="0" fontId="4" fillId="4" borderId="4" xfId="0">
      <alignment horizontal="center" vertical="center"/>
    </xf>
    <xf numFmtId="0" fontId="4" fillId="4" borderId="4" xfId="0">
      <alignment vertical="center"/>
    </xf>
    <xf numFmtId="4" fontId="4" fillId="4" borderId="4" xfId="0">
      <alignment vertical="center"/>
    </xf>
    <xf numFmtId="0" fontId="4" fillId="4" borderId="2" xfId="0">
      <alignment vertical="center"/>
    </xf>
    <xf numFmtId="0" fontId="4" fillId="0" borderId="4" xfId="0">
      <alignment horizontal="center" vertical="center"/>
    </xf>
    <xf numFmtId="0" fontId="4" fillId="0" borderId="4" xfId="0">
      <alignment vertical="center"/>
    </xf>
    <xf numFmtId="4" fontId="4" fillId="0" borderId="4" xfId="0">
      <alignment vertical="center"/>
    </xf>
    <xf numFmtId="0" fontId="4" fillId="0" borderId="2" xfId="0">
      <alignment vertical="center"/>
    </xf>
    <xf numFmtId="0" fontId="6" fillId="0" borderId="5" xfId="0">
      <alignment horizontal="right" vertical="bottom"/>
    </xf>
    <xf numFmtId="0" fontId="0" fillId="0" borderId="6" xfId="0"/>
    <xf numFmtId="4" fontId="6" fillId="0" borderId="5" xfId="0"/>
    <xf numFmtId="0" fontId="6" fillId="0" borderId="5" xfId="0"/>
    <xf numFmtId="0" fontId="6" fillId="0" borderId="7" xfId="0"/>
    <xf numFmtId="0" fontId="3" fillId="0" borderId="1" xfId="0"/>
    <xf numFmtId="0" fontId="7" fillId="0" borderId="1" xfId="0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511200A-7D18-0A2A-FB68-67949AC11588}" mc:Ignorable="x14ac xr xr2 xr3">
  <dimension ref="A1:CV10000"/>
  <sheetViews>
    <sheetView showGridLines="0" zoomScale="90" workbookViewId="0" tabSelected="1">
      <pane xSplit="1" ySplit="10" topLeftCell="B11" activePane="bottomRight" state="frozen"/>
      <selection pane="bottomLeft" activeCell="A11" sqref="A11"/>
      <selection pane="topRight" activeCell="B1" sqref="B1"/>
      <selection pane="bottomRight" activeCell="C9" sqref="C9"/>
    </sheetView>
  </sheetViews>
  <sheetFormatPr defaultRowHeight="15.997499999999997" defaultColWidth="9.00390625" customHeight="1"/>
  <cols>
    <col min="1" max="1" width="4.00390625" customWidth="1"/>
    <col min="2" max="2" width="12.50390625" customWidth="1"/>
    <col min="3" max="3" width="14.375" customWidth="1"/>
    <col min="4" max="4" width="29.375" customWidth="1"/>
    <col min="5" max="6" width="10.625" customWidth="1"/>
    <col min="7" max="7" width="14.375" customWidth="1"/>
    <col min="8" max="8" width="13.75390625" customWidth="1"/>
    <col min="9" max="9" width="18.125" customWidth="1"/>
    <col min="10" max="10" width="12.50390625" customWidth="1"/>
    <col min="11" max="11" width="20.00390625" customWidth="1"/>
    <col min="12" max="12" width="8.75390625" customWidth="1"/>
  </cols>
  <sheetData>
    <row r="1" ht="6" customHeight="1"/>
    <row r="2" ht="24.75" customHeight="1">
      <c r="B2" s="1" t="s">
        <v>0</v>
      </c>
    </row>
    <row r="3" ht="15.75" customHeight="1">
      <c r="B3" s="2" t="s">
        <v>1</v>
      </c>
    </row>
    <row r="4" ht="16.5" customHeight="1"/>
    <row r="5" ht="15.75" customHeight="1">
      <c r="B5" s="3" t="s">
        <v>2</v>
      </c>
      <c r="C5" s="4" t="s">
        <v>3</v>
      </c>
      <c r="E5" s="3" t="s">
        <v>4</v>
      </c>
      <c r="F5" s="5">
        <v>46102</v>
      </c>
    </row>
    <row r="6" ht="15.75" customHeight="1">
      <c r="B6" s="3" t="s">
        <v>5</v>
      </c>
      <c r="C6" s="4" t="s">
        <v>6</v>
      </c>
      <c r="E6" s="3" t="s">
        <v>7</v>
      </c>
      <c r="F6" s="4" t="s">
        <v>8</v>
      </c>
    </row>
    <row r="7" ht="15.75" customHeight="1">
      <c r="B7" s="3" t="s">
        <v>9</v>
      </c>
      <c r="C7" s="6" t="s">
        <v>10</v>
      </c>
      <c r="E7" s="3" t="s">
        <v>11</v>
      </c>
      <c r="F7" s="6" t="s">
        <v>12</v>
      </c>
    </row>
    <row r="8" ht="16.5" customHeight="1"/>
    <row r="9" ht="12" customHeight="1"/>
    <row r="10" ht="15.75" customHeight="1"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  <c r="I10" s="7" t="s">
        <v>20</v>
      </c>
      <c r="J10" s="7" t="s">
        <v>21</v>
      </c>
      <c r="K10" s="8" t="s">
        <v>22</v>
      </c>
    </row>
    <row r="11" ht="15.75" customHeight="1">
      <c r="B11" s="9">
        <v>0</v>
      </c>
      <c r="C11" s="10" t="s">
        <v>23</v>
      </c>
      <c r="D11" s="10" t="s">
        <v>24</v>
      </c>
      <c r="E11" s="9">
        <v>1</v>
      </c>
      <c r="F11" s="9" t="s">
        <v>25</v>
      </c>
      <c r="G11" s="11">
        <v>25</v>
      </c>
      <c r="H11" s="11">
        <f t="shared" si="0" ref="H11:H28">IF(G11="","",E11*G11)</f>
        <v>25</v>
      </c>
      <c r="I11" s="10" t="s">
        <v>26</v>
      </c>
      <c r="J11" s="10" t="s">
        <v>27</v>
      </c>
      <c r="K11" s="12"/>
    </row>
    <row r="12" ht="15.75" customHeight="1">
      <c r="B12" s="13">
        <v>1</v>
      </c>
      <c r="C12" s="14" t="s">
        <v>28</v>
      </c>
      <c r="D12" s="14" t="s">
        <v>29</v>
      </c>
      <c r="E12" s="13">
        <v>2</v>
      </c>
      <c r="F12" s="13" t="s">
        <v>25</v>
      </c>
      <c r="G12" s="15">
        <v>8.5</v>
      </c>
      <c r="H12" s="15">
        <f t="shared" si="0"/>
        <v>17</v>
      </c>
      <c r="I12" s="14" t="s">
        <v>30</v>
      </c>
      <c r="J12" s="14" t="s">
        <v>31</v>
      </c>
      <c r="K12" s="16"/>
    </row>
    <row r="13" ht="15.75" customHeight="1">
      <c r="B13" s="9">
        <v>1</v>
      </c>
      <c r="C13" s="10" t="s">
        <v>32</v>
      </c>
      <c r="D13" s="10" t="s">
        <v>33</v>
      </c>
      <c r="E13" s="9">
        <v>4</v>
      </c>
      <c r="F13" s="9" t="s">
        <v>25</v>
      </c>
      <c r="G13" s="11">
        <v>3.25</v>
      </c>
      <c r="H13" s="11">
        <f t="shared" si="0"/>
        <v>13</v>
      </c>
      <c r="I13" s="10" t="s">
        <v>34</v>
      </c>
      <c r="J13" s="10" t="s">
        <v>35</v>
      </c>
      <c r="K13" s="12"/>
    </row>
    <row r="14" ht="15.75" customHeight="1">
      <c r="B14" s="13">
        <v>2</v>
      </c>
      <c r="C14" s="14" t="s">
        <v>36</v>
      </c>
      <c r="D14" s="14" t="s">
        <v>37</v>
      </c>
      <c r="E14" s="13">
        <v>16</v>
      </c>
      <c r="F14" s="13" t="s">
        <v>25</v>
      </c>
      <c r="G14" s="15">
        <v>0.45</v>
      </c>
      <c r="H14" s="15">
        <f t="shared" si="0"/>
        <v>7.2</v>
      </c>
      <c r="I14" s="14" t="s">
        <v>38</v>
      </c>
      <c r="J14" s="14" t="s">
        <v>39</v>
      </c>
      <c r="K14" s="16"/>
    </row>
    <row r="15" ht="15.75" customHeight="1">
      <c r="B15" s="9">
        <v>2</v>
      </c>
      <c r="C15" s="10" t="s">
        <v>40</v>
      </c>
      <c r="D15" s="10" t="s">
        <v>41</v>
      </c>
      <c r="E15" s="9">
        <v>16</v>
      </c>
      <c r="F15" s="9" t="s">
        <v>25</v>
      </c>
      <c r="G15" s="11">
        <v>0.12</v>
      </c>
      <c r="H15" s="11">
        <f t="shared" si="0"/>
        <v>1.92</v>
      </c>
      <c r="I15" s="10" t="s">
        <v>38</v>
      </c>
      <c r="J15" s="10" t="s">
        <v>39</v>
      </c>
      <c r="K15" s="12"/>
    </row>
    <row r="16" ht="15.75" customHeight="1">
      <c r="B16" s="13">
        <v>1</v>
      </c>
      <c r="C16" s="14" t="s">
        <v>42</v>
      </c>
      <c r="D16" s="14" t="s">
        <v>43</v>
      </c>
      <c r="E16" s="13">
        <v>1</v>
      </c>
      <c r="F16" s="13" t="s">
        <v>25</v>
      </c>
      <c r="G16" s="15">
        <v>12.75</v>
      </c>
      <c r="H16" s="15">
        <f t="shared" si="0"/>
        <v>12.75</v>
      </c>
      <c r="I16" s="14" t="s">
        <v>44</v>
      </c>
      <c r="J16" s="14" t="s">
        <v>45</v>
      </c>
      <c r="K16" s="16"/>
    </row>
    <row r="17" ht="15.75" customHeight="1">
      <c r="B17" s="9">
        <v>2</v>
      </c>
      <c r="C17" s="10" t="s">
        <v>46</v>
      </c>
      <c r="D17" s="10" t="s">
        <v>47</v>
      </c>
      <c r="E17" s="9">
        <v>8</v>
      </c>
      <c r="F17" s="9" t="s">
        <v>48</v>
      </c>
      <c r="G17" s="11">
        <v>1.2</v>
      </c>
      <c r="H17" s="11">
        <f t="shared" si="0"/>
        <v>9.6</v>
      </c>
      <c r="I17" s="10" t="s">
        <v>34</v>
      </c>
      <c r="J17" s="10" t="s">
        <v>49</v>
      </c>
      <c r="K17" s="12"/>
    </row>
    <row r="18" ht="16.5" customHeight="1">
      <c r="B18" s="13"/>
      <c r="C18" s="14"/>
      <c r="D18" s="14"/>
      <c r="E18" s="13"/>
      <c r="F18" s="13"/>
      <c r="G18" s="15"/>
      <c r="H18" s="15" t="str">
        <f t="shared" si="0"/>
        <v/>
      </c>
      <c r="I18" s="14"/>
      <c r="J18" s="14"/>
      <c r="K18" s="16"/>
    </row>
    <row r="19" ht="16.5" customHeight="1">
      <c r="B19" s="9"/>
      <c r="C19" s="10"/>
      <c r="D19" s="10"/>
      <c r="E19" s="9"/>
      <c r="F19" s="9"/>
      <c r="G19" s="11"/>
      <c r="H19" s="11" t="str">
        <f t="shared" si="0"/>
        <v/>
      </c>
      <c r="I19" s="10"/>
      <c r="J19" s="10"/>
      <c r="K19" s="12"/>
    </row>
    <row r="20" ht="16.5" customHeight="1">
      <c r="B20" s="13"/>
      <c r="C20" s="14"/>
      <c r="D20" s="14"/>
      <c r="E20" s="13"/>
      <c r="F20" s="13"/>
      <c r="G20" s="15"/>
      <c r="H20" s="15" t="str">
        <f t="shared" si="0"/>
        <v/>
      </c>
      <c r="I20" s="14"/>
      <c r="J20" s="14"/>
      <c r="K20" s="16"/>
    </row>
    <row r="21" ht="16.5" customHeight="1">
      <c r="B21" s="9"/>
      <c r="C21" s="10"/>
      <c r="D21" s="10"/>
      <c r="E21" s="9"/>
      <c r="F21" s="9"/>
      <c r="G21" s="11"/>
      <c r="H21" s="11" t="str">
        <f t="shared" si="0"/>
        <v/>
      </c>
      <c r="I21" s="10"/>
      <c r="J21" s="10"/>
      <c r="K21" s="12"/>
    </row>
    <row r="22" ht="16.5" customHeight="1">
      <c r="B22" s="13"/>
      <c r="C22" s="14"/>
      <c r="D22" s="14"/>
      <c r="E22" s="13"/>
      <c r="F22" s="13"/>
      <c r="G22" s="15"/>
      <c r="H22" s="15" t="str">
        <f t="shared" si="0"/>
        <v/>
      </c>
      <c r="I22" s="14"/>
      <c r="J22" s="14"/>
      <c r="K22" s="16"/>
    </row>
    <row r="23" ht="16.5" customHeight="1">
      <c r="B23" s="9"/>
      <c r="C23" s="10"/>
      <c r="D23" s="10"/>
      <c r="E23" s="9"/>
      <c r="F23" s="9"/>
      <c r="G23" s="11"/>
      <c r="H23" s="11" t="str">
        <f t="shared" si="0"/>
        <v/>
      </c>
      <c r="I23" s="10"/>
      <c r="J23" s="10"/>
      <c r="K23" s="12"/>
    </row>
    <row r="24" ht="16.5" customHeight="1">
      <c r="B24" s="13"/>
      <c r="C24" s="14"/>
      <c r="D24" s="14"/>
      <c r="E24" s="13"/>
      <c r="F24" s="13"/>
      <c r="G24" s="15"/>
      <c r="H24" s="15" t="str">
        <f t="shared" si="0"/>
        <v/>
      </c>
      <c r="I24" s="14"/>
      <c r="J24" s="14"/>
      <c r="K24" s="16"/>
    </row>
    <row r="25" ht="16.5" customHeight="1">
      <c r="B25" s="9"/>
      <c r="C25" s="10"/>
      <c r="D25" s="10"/>
      <c r="E25" s="9"/>
      <c r="F25" s="9"/>
      <c r="G25" s="11"/>
      <c r="H25" s="11" t="str">
        <f t="shared" si="0"/>
        <v/>
      </c>
      <c r="I25" s="10"/>
      <c r="J25" s="10"/>
      <c r="K25" s="12"/>
    </row>
    <row r="26" ht="16.5" customHeight="1">
      <c r="B26" s="13"/>
      <c r="C26" s="14"/>
      <c r="D26" s="14"/>
      <c r="E26" s="13"/>
      <c r="F26" s="13"/>
      <c r="G26" s="15"/>
      <c r="H26" s="15" t="str">
        <f t="shared" si="0"/>
        <v/>
      </c>
      <c r="I26" s="14"/>
      <c r="J26" s="14"/>
      <c r="K26" s="16"/>
    </row>
    <row r="27" ht="16.5" customHeight="1">
      <c r="B27" s="9"/>
      <c r="C27" s="10"/>
      <c r="D27" s="10"/>
      <c r="E27" s="9"/>
      <c r="F27" s="9"/>
      <c r="G27" s="11"/>
      <c r="H27" s="11" t="str">
        <f t="shared" si="0"/>
        <v/>
      </c>
      <c r="I27" s="10"/>
      <c r="J27" s="10"/>
      <c r="K27" s="12"/>
    </row>
    <row r="28" ht="16.5" customHeight="1">
      <c r="B28" s="13"/>
      <c r="C28" s="14"/>
      <c r="D28" s="14"/>
      <c r="E28" s="13"/>
      <c r="F28" s="13"/>
      <c r="G28" s="15"/>
      <c r="H28" s="15" t="str">
        <f t="shared" si="0"/>
        <v/>
      </c>
      <c r="I28" s="14"/>
      <c r="J28" s="14"/>
      <c r="K28" s="16"/>
    </row>
    <row r="29" ht="21" customHeight="1">
      <c r="B29" s="17" t="s">
        <v>51</v>
      </c>
      <c r="C29" s="18"/>
      <c r="D29" s="18"/>
      <c r="E29" s="18"/>
      <c r="F29" s="18"/>
      <c r="G29" s="19"/>
      <c r="H29" s="19">
        <f>SUM(H11:H28)</f>
        <v>86.47</v>
      </c>
      <c r="I29" s="20"/>
      <c r="J29" s="20"/>
      <c r="K29" s="21"/>
    </row>
    <row r="30" ht="16.5" customHeight="1"/>
    <row r="31" ht="15.75" customHeight="1">
      <c r="B31" s="22" t="s">
        <v>52</v>
      </c>
    </row>
    <row r="32" ht="14.25" customHeight="1">
      <c r="B32" s="23" t="s">
        <v>53</v>
      </c>
    </row>
    <row r="33" ht="14.25" customHeight="1">
      <c r="B33" s="23" t="s">
        <v>54</v>
      </c>
    </row>
    <row r="34" ht="14.25" customHeight="1">
      <c r="B34" s="23" t="s">
        <v>55</v>
      </c>
    </row>
    <row r="35" ht="14.25" customHeight="1">
      <c r="B35" s="23" t="s">
        <v>56</v>
      </c>
    </row>
    <row r="36" ht="14.25" customHeight="1">
      <c r="B36" s="23" t="s">
        <v>57</v>
      </c>
    </row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>
    <mergeCell ref="B29:F29"/>
  </mergeCells>
  <conditionalFormatting sqref="J11:J28">
    <cfRule type="expression" dxfId="0" priority="5" text="null">
      <formula>VALUE(LEFT(J11,FIND(" ",J11)-1))&gt;=15</formula>
    </cfRule>
  </conditionalFormatting>
  <conditionalFormatting sqref="J11:J28">
    <cfRule type="expression" dxfId="1" priority="4" text="null">
      <formula>AND(VALUE(LEFT(J11,FIND(" ",J11)-1))&gt;=10,VALUE(LEFT(J11,FIND(" ",J11)-1))&lt;15)</formula>
    </cfRule>
  </conditionalFormatting>
  <conditionalFormatting sqref="J11:J28">
    <cfRule type="expression" dxfId="2" priority="3" text="null">
      <formula>VALUE(LEFT(J11,FIND(" ",J11)-1))&lt;10</formula>
    </cfRule>
  </conditionalFormatting>
  <conditionalFormatting sqref="G11:G28">
    <cfRule type="expression" dxfId="1" priority="2" text="null">
      <formula>AND(C11&lt;&gt;"",G11="")</formula>
    </cfRule>
  </conditionalFormatting>
  <conditionalFormatting sqref="H11:H28">
    <cfRule type="cellIs" dxfId="0" priority="1" operator="greaterThan" text="null">
      <formula>50</formula>
    </cfRule>
  </conditionalFormatting>
  <dataValidations count="4">
    <dataValidation allowBlank="1" prompt="Select unit of measure" promptTitle="UOM" showErrorMessage="1" showInputMessage="1" sqref="F11:F28" type="list">
      <formula1>"EA,SET,KIT,LB,FT,M,KG,LOT,BOX,PAIR"</formula1>
    </dataValidation>
    <dataValidation allowBlank="1" prompt="Select status" promptTitle="Status" showErrorMessage="1" showInputMessage="1" sqref="F7" type="list">
      <formula1>"Active,Draft,Obsolete,Pending,Superseded"</formula1>
    </dataValidation>
    <dataValidation allowBlank="1" prompt="BOM level" promptTitle="Level" showErrorMessage="1" showInputMessage="1" sqref="B11:B28" type="list">
      <formula1>"0,1,2,3,4,5"</formula1>
    </dataValidation>
    <dataValidation operator="greaterThanOrEqual" allowBlank="1" prompt="Enter quantity" promptTitle="Qty" showErrorMessage="1" showInputMessage="1" sqref="E11:E28" type="whole">
      <formula1>0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8a6e46bd-306c-4f2c-9cb7-b55abacd4f6f</vt:lpwstr>
  </property>
</Properties>
</file>