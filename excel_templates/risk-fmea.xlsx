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FMEA" sheetId="1"/>
    <sheet r:id="rId2" name="Rating-Scales" sheetId="2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<sst xmlns="http://schemas.openxmlformats.org/spreadsheetml/2006/main" count="96" uniqueCount="96">
  <si>
    <t>FMEA Template</t>
  </si>
  <si>
    <t>Failure Mode and Effects Analysis</t>
  </si>
  <si>
    <t>CURRENT ANALYSIS</t>
  </si>
  <si>
    <t>RECOMMENDED ACTIONS</t>
  </si>
  <si>
    <t>Process Step / Function</t>
  </si>
  <si>
    <t>Potential Failure Mode</t>
  </si>
  <si>
    <t>Potential Effect(s)</t>
  </si>
  <si>
    <t>SEV</t>
  </si>
  <si>
    <t>Potential Cause(s)</t>
  </si>
  <si>
    <t>OCC</t>
  </si>
  <si>
    <t>Current Controls</t>
  </si>
  <si>
    <t>DET</t>
  </si>
  <si>
    <t>RPN</t>
  </si>
  <si>
    <t>Recommended Action</t>
  </si>
  <si>
    <t>Responsible</t>
  </si>
  <si>
    <t>Target Date</t>
  </si>
  <si>
    <t>New SEV</t>
  </si>
  <si>
    <t>New OCC</t>
  </si>
  <si>
    <t>New DET</t>
  </si>
  <si>
    <t>New RPN</t>
  </si>
  <si>
    <t>Assembly</t>
  </si>
  <si>
    <t>Wrong part installed</t>
  </si>
  <si>
    <t>Product malfunction</t>
  </si>
  <si>
    <t>Untrained operator</t>
  </si>
  <si>
    <t>Visual inspection</t>
  </si>
  <si>
    <t>Implement barcode scan</t>
  </si>
  <si>
    <t>J. Smith</t>
  </si>
  <si>
    <t>Loose fastener</t>
  </si>
  <si>
    <t>Safety hazard</t>
  </si>
  <si>
    <t>Insufficient torque</t>
  </si>
  <si>
    <t>Torque wrench audit</t>
  </si>
  <si>
    <t>Add torque verification</t>
  </si>
  <si>
    <t>M. Jones</t>
  </si>
  <si>
    <t>Welding</t>
  </si>
  <si>
    <t>Incomplete weld</t>
  </si>
  <si>
    <t>Structural failure</t>
  </si>
  <si>
    <t>Worn electrode</t>
  </si>
  <si>
    <t>Periodic replacement</t>
  </si>
  <si>
    <t>Automated weld monitoring</t>
  </si>
  <si>
    <t>R. Davis</t>
  </si>
  <si>
    <t>Painting</t>
  </si>
  <si>
    <t>Paint adhesion failure</t>
  </si>
  <si>
    <t>Cosmetic defect</t>
  </si>
  <si>
    <t>Improper surface prep</t>
  </si>
  <si>
    <t>Surface roughness test</t>
  </si>
  <si>
    <t>Pre-treatment validation</t>
  </si>
  <si>
    <t>A. Wilson</t>
  </si>
  <si>
    <t>Inspection</t>
  </si>
  <si>
    <t>Missed defect</t>
  </si>
  <si>
    <t>Customer complaint</t>
  </si>
  <si>
    <t>Inspector fatigue</t>
  </si>
  <si>
    <t>Double check system</t>
  </si>
  <si>
    <t>Automated optical insp.</t>
  </si>
  <si>
    <t>T. Brown</t>
  </si>
  <si>
    <t/>
  </si>
  <si>
    <t>FMEA Rating Scales Reference</t>
  </si>
  <si>
    <t>SEVERITY (SEV)</t>
  </si>
  <si>
    <t>OCCURRENCE (OCC)</t>
  </si>
  <si>
    <t>DETECTION (DET)</t>
  </si>
  <si>
    <t>Rating</t>
  </si>
  <si>
    <t>Description</t>
  </si>
  <si>
    <t>No effect</t>
  </si>
  <si>
    <t>Almost impossible (&lt; 1 in 1,500,000)</t>
  </si>
  <si>
    <t>Almost certain to detect</t>
  </si>
  <si>
    <t>Very minor effect</t>
  </si>
  <si>
    <t>Very remote</t>
  </si>
  <si>
    <t>Very high detection likelihood</t>
  </si>
  <si>
    <t>Minor effect</t>
  </si>
  <si>
    <t>Remote</t>
  </si>
  <si>
    <t>High detection likelihood</t>
  </si>
  <si>
    <t>Low effect on performance</t>
  </si>
  <si>
    <t>Very low</t>
  </si>
  <si>
    <t>Moderately high</t>
  </si>
  <si>
    <t>Moderate effect</t>
  </si>
  <si>
    <t>Low</t>
  </si>
  <si>
    <t>Moderate</t>
  </si>
  <si>
    <t>Significant performance degradation</t>
  </si>
  <si>
    <t>Low detection likelihood</t>
  </si>
  <si>
    <t>System inoperable (minor)</t>
  </si>
  <si>
    <t>System inoperable (major)</t>
  </si>
  <si>
    <t>High</t>
  </si>
  <si>
    <t>Remote detection chance</t>
  </si>
  <si>
    <t>Potential safety issue with warning</t>
  </si>
  <si>
    <t>Very high</t>
  </si>
  <si>
    <t>Safety hazard without warning</t>
  </si>
  <si>
    <t>Almost certain (≥ 1 in 2)</t>
  </si>
  <si>
    <t>Cannot detect / no control</t>
  </si>
  <si>
    <t>RPN COLOR CODING</t>
  </si>
  <si>
    <t>&lt; 50</t>
  </si>
  <si>
    <t>Low Risk</t>
  </si>
  <si>
    <t>50 – 100</t>
  </si>
  <si>
    <t>Medium Risk</t>
  </si>
  <si>
    <t>101 – 200</t>
  </si>
  <si>
    <t>High Risk</t>
  </si>
  <si>
    <t>&gt; 200</t>
  </si>
  <si>
    <t>Critical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</si>
</sst>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m/dd/yyyy"/>
  </numFmts>
  <fonts count="18">
    <font>
      <b val="0"/>
      <i val="0"/>
      <sz val="12"/>
      <color theme="1"/>
      <name val="Calibri"/>
      <scheme val="minor"/>
    </font>
    <font>
      <b/>
      <i val="0"/>
      <sz val="18"/>
      <color rgb="FF2B4C7E"/>
      <name val="Aptos"/>
    </font>
    <font>
      <b val="0"/>
      <i/>
      <sz val="11"/>
      <color rgb="FF5B7BA5"/>
      <name val="Aptos"/>
    </font>
    <font>
      <b/>
      <i val="0"/>
      <sz val="11"/>
      <color rgb="FFFFFFFF"/>
      <name val="Aptos"/>
    </font>
    <font>
      <b val="0"/>
      <i val="0"/>
      <sz val="10"/>
      <color auto="1"/>
      <name val="Aptos"/>
    </font>
    <font>
      <b/>
      <i val="0"/>
      <sz val="11"/>
      <color rgb="FF2B4C7E"/>
      <name val="Aptos"/>
    </font>
    <font>
      <b val="0"/>
      <i val="0"/>
      <sz val="11"/>
      <color rgb="FF0070C0"/>
      <name val="Aptos"/>
    </font>
    <font>
      <b/>
      <i val="0"/>
      <sz val="11"/>
      <color auto="1"/>
      <name val="Aptos"/>
    </font>
    <font>
      <b/>
      <i val="0"/>
      <sz val="16"/>
      <color rgb="FF2B4C7E"/>
      <name val="Aptos"/>
    </font>
    <font>
      <b val="0"/>
      <i val="0"/>
      <sz val="11"/>
      <color auto="1"/>
      <name val="Aptos"/>
    </font>
    <font>
      <b/>
      <i val="0"/>
      <sz val="11"/>
      <color rgb="FF006100"/>
      <name val="Aptos"/>
    </font>
    <font>
      <b val="0"/>
      <i val="0"/>
      <sz val="11"/>
      <color rgb="FF006100"/>
      <name val="Aptos"/>
    </font>
    <font>
      <b/>
      <i val="0"/>
      <sz val="11"/>
      <color rgb="FF9C6500"/>
      <name val="Aptos"/>
    </font>
    <font>
      <b val="0"/>
      <i val="0"/>
      <sz val="11"/>
      <color rgb="FF9C6500"/>
      <name val="Aptos"/>
    </font>
    <font>
      <b/>
      <i val="0"/>
      <sz val="11"/>
      <color rgb="FF843C0C"/>
      <name val="Aptos"/>
    </font>
    <font>
      <b val="0"/>
      <i val="0"/>
      <sz val="11"/>
      <color rgb="FF843C0C"/>
      <name val="Aptos"/>
    </font>
    <font>
      <b/>
      <i val="0"/>
      <sz val="11"/>
      <color rgb="FF9C0006"/>
      <name val="Aptos"/>
    </font>
    <font>
      <b val="0"/>
      <i val="0"/>
      <sz val="11"/>
      <color rgb="FF9C0006"/>
      <name val="Aptos"/>
    </font>
  </fonts>
  <fills count="10">
    <fill>
      <patternFill patternType="none"/>
    </fill>
    <fill>
      <patternFill patternType="gray125"/>
    </fill>
    <fill>
      <patternFill patternType="solid">
        <fgColor rgb="FF2B4C7E"/>
      </patternFill>
    </fill>
    <fill>
      <patternFill patternType="solid">
        <fgColor rgb="FF548235"/>
      </patternFill>
    </fill>
    <fill>
      <patternFill patternType="solid">
        <fgColor rgb="FFE8EEF4"/>
      </patternFill>
    </fill>
    <fill>
      <patternFill patternType="solid">
        <fgColor rgb="FFF5F8FC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4B084"/>
      </patternFill>
    </fill>
    <fill>
      <patternFill patternType="solid">
        <fgColor rgb="FFFFC7CE"/>
      </patternFill>
    </fill>
  </fills>
  <borders count="6">
    <border>
      <left/>
      <right/>
      <top/>
      <bottom/>
    </border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1"/>
  </cellStyleXfs>
  <cellXfs count="42">
    <xf numFmtId="0" fontId="0" fillId="0" borderId="1" xfId="0"/>
    <xf numFmtId="0" fontId="1" fillId="0" borderId="1" xfId="0">
      <alignment vertical="top"/>
    </xf>
    <xf numFmtId="0" fontId="2" fillId="0" borderId="1" xfId="0">
      <alignment vertical="top"/>
    </xf>
    <xf numFmtId="0" fontId="3" fillId="2" borderId="1" xfId="0">
      <alignment vertical="top"/>
    </xf>
    <xf numFmtId="0" fontId="4" fillId="2" borderId="1" xfId="0">
      <alignment vertical="top"/>
    </xf>
    <xf numFmtId="0" fontId="3" fillId="3" borderId="1" xfId="0">
      <alignment vertical="top"/>
    </xf>
    <xf numFmtId="0" fontId="4" fillId="3" borderId="1" xfId="0">
      <alignment vertical="top"/>
    </xf>
    <xf numFmtId="0" fontId="5" fillId="4" borderId="2" xfId="0">
      <alignment horizontal="center" vertical="center" wrapText="1"/>
    </xf>
    <xf numFmtId="0" fontId="5" fillId="4" borderId="3" xfId="0">
      <alignment horizontal="center" vertical="center" wrapText="1"/>
    </xf>
    <xf numFmtId="0" fontId="6" fillId="5" borderId="2" xfId="0">
      <alignment vertical="top"/>
    </xf>
    <xf numFmtId="0" fontId="6" fillId="5" borderId="2" xfId="0">
      <alignment horizontal="center" vertical="top"/>
    </xf>
    <xf numFmtId="0" fontId="7" fillId="5" borderId="2" xfId="0">
      <alignment horizontal="center" vertical="top"/>
    </xf>
    <xf numFmtId="171" fontId="6" fillId="5" borderId="2" xfId="0">
      <alignment horizontal="center" vertical="top"/>
    </xf>
    <xf numFmtId="0" fontId="7" fillId="5" borderId="3" xfId="0">
      <alignment horizontal="center" vertical="top"/>
    </xf>
    <xf numFmtId="0" fontId="6" fillId="0" borderId="2" xfId="0">
      <alignment vertical="top"/>
    </xf>
    <xf numFmtId="0" fontId="6" fillId="0" borderId="2" xfId="0">
      <alignment horizontal="center" vertical="top"/>
    </xf>
    <xf numFmtId="0" fontId="7" fillId="0" borderId="2" xfId="0">
      <alignment horizontal="center" vertical="top"/>
    </xf>
    <xf numFmtId="171" fontId="6" fillId="0" borderId="2" xfId="0">
      <alignment horizontal="center" vertical="top"/>
    </xf>
    <xf numFmtId="0" fontId="7" fillId="0" borderId="3" xfId="0">
      <alignment horizontal="center" vertical="top"/>
    </xf>
    <xf numFmtId="0" fontId="6" fillId="0" borderId="4" xfId="0">
      <alignment vertical="top"/>
    </xf>
    <xf numFmtId="0" fontId="6" fillId="0" borderId="4" xfId="0">
      <alignment horizontal="center" vertical="top"/>
    </xf>
    <xf numFmtId="0" fontId="7" fillId="0" borderId="4" xfId="0">
      <alignment horizontal="center" vertical="top"/>
    </xf>
    <xf numFmtId="171" fontId="6" fillId="0" borderId="4" xfId="0">
      <alignment horizontal="center" vertical="top"/>
    </xf>
    <xf numFmtId="0" fontId="7" fillId="0" borderId="5" xfId="0">
      <alignment horizontal="center" vertical="top"/>
    </xf>
    <xf numFmtId="0" fontId="8" fillId="0" borderId="1" xfId="0">
      <alignment vertical="top"/>
    </xf>
    <xf numFmtId="0" fontId="7" fillId="4" borderId="1" xfId="0">
      <alignment horizontal="center" vertical="top"/>
    </xf>
    <xf numFmtId="0" fontId="7" fillId="4" borderId="1" xfId="0">
      <alignment horizontal="left" vertical="top"/>
    </xf>
    <xf numFmtId="0" fontId="9" fillId="5" borderId="2" xfId="0">
      <alignment horizontal="center" vertical="top"/>
    </xf>
    <xf numFmtId="0" fontId="9" fillId="5" borderId="3" xfId="0">
      <alignment horizontal="left" vertical="top"/>
    </xf>
    <xf numFmtId="0" fontId="9" fillId="0" borderId="2" xfId="0">
      <alignment horizontal="center" vertical="top"/>
    </xf>
    <xf numFmtId="0" fontId="9" fillId="0" borderId="3" xfId="0">
      <alignment horizontal="left" vertical="top"/>
    </xf>
    <xf numFmtId="0" fontId="9" fillId="0" borderId="4" xfId="0">
      <alignment horizontal="center" vertical="top"/>
    </xf>
    <xf numFmtId="0" fontId="9" fillId="0" borderId="5" xfId="0">
      <alignment horizontal="left" vertical="top"/>
    </xf>
    <xf numFmtId="0" fontId="9" fillId="2" borderId="1" xfId="0">
      <alignment vertical="top"/>
    </xf>
    <xf numFmtId="0" fontId="10" fillId="6" borderId="2" xfId="0">
      <alignment horizontal="center" vertical="top"/>
    </xf>
    <xf numFmtId="0" fontId="11" fillId="6" borderId="3" xfId="0">
      <alignment vertical="top"/>
    </xf>
    <xf numFmtId="0" fontId="12" fillId="7" borderId="2" xfId="0">
      <alignment horizontal="center" vertical="top"/>
    </xf>
    <xf numFmtId="0" fontId="13" fillId="7" borderId="3" xfId="0">
      <alignment vertical="top"/>
    </xf>
    <xf numFmtId="0" fontId="14" fillId="8" borderId="2" xfId="0">
      <alignment horizontal="center" vertical="top"/>
    </xf>
    <xf numFmtId="0" fontId="15" fillId="8" borderId="3" xfId="0">
      <alignment vertical="top"/>
    </xf>
    <xf numFmtId="0" fontId="16" fillId="9" borderId="4" xfId="0">
      <alignment horizontal="center" vertical="top"/>
    </xf>
    <xf numFmtId="0" fontId="17" fillId="9" borderId="5" xfId="0">
      <alignment vertical="top"/>
    </xf>
  </cellXfs>
  <cellStyles count="1">
    <cellStyle name="Normal" xfId="0" builtinId="0"/>
  </cellStyles>
  <dxfs count="4">
    <dxf>
      <font>
        <color rgb="FF006100"/>
      </font>
    </dxf>
    <dxf>
      <font>
        <color rgb="FF9C6500"/>
      </font>
    </dxf>
    <dxf>
      <font>
        <color rgb="FF843C0C"/>
      </font>
    </dxf>
    <dxf>
      <font>
        <color rgb="FF9C0006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53D5A38-F204-F348-08E9-A36F18D65B42}" mc:Ignorable="x14ac xr xr2 xr3">
  <dimension ref="A1:CV10000"/>
  <sheetViews>
    <sheetView showGridLines="0" zoomScale="90" workbookViewId="0" tabSelected="1">
      <pane xSplit="1" ySplit="6" topLeftCell="B8" activePane="bottomRight" state="frozen"/>
      <selection pane="bottomLeft" activeCell="A7" sqref="A7"/>
      <selection pane="topRight" activeCell="B1" sqref="B1"/>
      <selection pane="bottomRight" activeCell="A1" sqref="A1"/>
    </sheetView>
  </sheetViews>
  <sheetFormatPr defaultRowHeight="15" defaultColWidth="7.75390625" customHeight="1"/>
  <cols>
    <col min="1" max="1" width="2.50390625" customWidth="1"/>
    <col min="2" max="4" width="19.375" customWidth="1"/>
    <col min="5" max="5" width="8.125" customWidth="1"/>
    <col min="6" max="6" width="19.375" customWidth="1"/>
    <col min="7" max="7" width="8.125" customWidth="1"/>
    <col min="8" max="8" width="19.375" customWidth="1"/>
    <col min="9" max="10" width="8.125" customWidth="1"/>
    <col min="11" max="11" width="19.375" customWidth="1"/>
    <col min="12" max="12" width="13.75390625" customWidth="1"/>
    <col min="13" max="13" width="11.875" customWidth="1"/>
    <col min="14" max="17" width="8.125" customWidth="1"/>
    <col min="18" max="18" width="8.25390625" customWidth="1"/>
  </cols>
  <sheetData>
    <row r="2" ht="27" customHeight="1">
      <c r="B2" s="1" t="s">
        <v>0</v>
      </c>
    </row>
    <row r="3" ht="15" customHeight="1">
      <c r="B3" s="2" t="s">
        <v>1</v>
      </c>
    </row>
    <row r="5" ht="15" customHeight="1">
      <c r="B5" s="3" t="s">
        <v>2</v>
      </c>
      <c r="C5" s="4"/>
      <c r="D5" s="4"/>
      <c r="E5" s="4"/>
      <c r="F5" s="4"/>
      <c r="G5" s="4"/>
      <c r="H5" s="4"/>
      <c r="I5" s="4"/>
      <c r="J5" s="4"/>
      <c r="K5" s="5" t="s">
        <v>3</v>
      </c>
      <c r="L5" s="6"/>
      <c r="M5" s="6"/>
      <c r="N5" s="6"/>
      <c r="O5" s="6"/>
      <c r="P5" s="6"/>
      <c r="Q5" s="6"/>
    </row>
    <row r="6" ht="33.75" customHeight="1"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8" t="s">
        <v>19</v>
      </c>
    </row>
    <row r="7" ht="15" customHeight="1">
      <c r="B7" s="9" t="s">
        <v>20</v>
      </c>
      <c r="C7" s="9" t="s">
        <v>21</v>
      </c>
      <c r="D7" s="9" t="s">
        <v>22</v>
      </c>
      <c r="E7" s="10">
        <v>8</v>
      </c>
      <c r="F7" s="9" t="s">
        <v>23</v>
      </c>
      <c r="G7" s="10">
        <v>5</v>
      </c>
      <c r="H7" s="9" t="s">
        <v>24</v>
      </c>
      <c r="I7" s="10">
        <v>6</v>
      </c>
      <c r="J7" s="11">
        <f t="shared" si="0" ref="J7:J11">E7*G7*I7</f>
        <v>240</v>
      </c>
      <c r="K7" s="9" t="s">
        <v>25</v>
      </c>
      <c r="L7" s="9" t="s">
        <v>26</v>
      </c>
      <c r="M7" s="12">
        <v>46127</v>
      </c>
      <c r="N7" s="10">
        <v>8</v>
      </c>
      <c r="O7" s="10">
        <v>2</v>
      </c>
      <c r="P7" s="10">
        <v>3</v>
      </c>
      <c r="Q7" s="13">
        <f t="shared" si="1" ref="Q7:Q11">N7*O7*P7</f>
        <v>48</v>
      </c>
    </row>
    <row r="8" ht="15" customHeight="1">
      <c r="B8" s="14" t="s">
        <v>20</v>
      </c>
      <c r="C8" s="14" t="s">
        <v>27</v>
      </c>
      <c r="D8" s="14" t="s">
        <v>28</v>
      </c>
      <c r="E8" s="15">
        <v>9</v>
      </c>
      <c r="F8" s="14" t="s">
        <v>29</v>
      </c>
      <c r="G8" s="15">
        <v>4</v>
      </c>
      <c r="H8" s="14" t="s">
        <v>30</v>
      </c>
      <c r="I8" s="15">
        <v>5</v>
      </c>
      <c r="J8" s="16">
        <f t="shared" si="0"/>
        <v>180</v>
      </c>
      <c r="K8" s="14" t="s">
        <v>31</v>
      </c>
      <c r="L8" s="14" t="s">
        <v>32</v>
      </c>
      <c r="M8" s="17">
        <v>46142</v>
      </c>
      <c r="N8" s="15">
        <v>9</v>
      </c>
      <c r="O8" s="15">
        <v>2</v>
      </c>
      <c r="P8" s="15">
        <v>2</v>
      </c>
      <c r="Q8" s="18">
        <f t="shared" si="1"/>
        <v>36</v>
      </c>
    </row>
    <row r="9" ht="15" customHeight="1">
      <c r="B9" s="9" t="s">
        <v>33</v>
      </c>
      <c r="C9" s="9" t="s">
        <v>34</v>
      </c>
      <c r="D9" s="9" t="s">
        <v>35</v>
      </c>
      <c r="E9" s="10">
        <v>10</v>
      </c>
      <c r="F9" s="9" t="s">
        <v>36</v>
      </c>
      <c r="G9" s="10">
        <v>3</v>
      </c>
      <c r="H9" s="9" t="s">
        <v>37</v>
      </c>
      <c r="I9" s="10">
        <v>7</v>
      </c>
      <c r="J9" s="11">
        <f t="shared" si="0"/>
        <v>210</v>
      </c>
      <c r="K9" s="9" t="s">
        <v>38</v>
      </c>
      <c r="L9" s="9" t="s">
        <v>39</v>
      </c>
      <c r="M9" s="12">
        <v>46157</v>
      </c>
      <c r="N9" s="10">
        <v>10</v>
      </c>
      <c r="O9" s="10">
        <v>1</v>
      </c>
      <c r="P9" s="10">
        <v>2</v>
      </c>
      <c r="Q9" s="13">
        <f t="shared" si="1"/>
        <v>20</v>
      </c>
    </row>
    <row r="10" ht="15" customHeight="1">
      <c r="B10" s="14" t="s">
        <v>40</v>
      </c>
      <c r="C10" s="14" t="s">
        <v>41</v>
      </c>
      <c r="D10" s="14" t="s">
        <v>42</v>
      </c>
      <c r="E10" s="15">
        <v>5</v>
      </c>
      <c r="F10" s="14" t="s">
        <v>43</v>
      </c>
      <c r="G10" s="15">
        <v>6</v>
      </c>
      <c r="H10" s="14" t="s">
        <v>44</v>
      </c>
      <c r="I10" s="15">
        <v>4</v>
      </c>
      <c r="J10" s="16">
        <f t="shared" si="0"/>
        <v>120</v>
      </c>
      <c r="K10" s="14" t="s">
        <v>45</v>
      </c>
      <c r="L10" s="14" t="s">
        <v>46</v>
      </c>
      <c r="M10" s="17">
        <v>46143</v>
      </c>
      <c r="N10" s="15">
        <v>5</v>
      </c>
      <c r="O10" s="15">
        <v>3</v>
      </c>
      <c r="P10" s="15">
        <v>2</v>
      </c>
      <c r="Q10" s="18">
        <f t="shared" si="1"/>
        <v>30</v>
      </c>
    </row>
    <row r="11" ht="15" customHeight="1">
      <c r="B11" s="9" t="s">
        <v>47</v>
      </c>
      <c r="C11" s="9" t="s">
        <v>48</v>
      </c>
      <c r="D11" s="9" t="s">
        <v>49</v>
      </c>
      <c r="E11" s="10">
        <v>7</v>
      </c>
      <c r="F11" s="9" t="s">
        <v>50</v>
      </c>
      <c r="G11" s="10">
        <v>4</v>
      </c>
      <c r="H11" s="9" t="s">
        <v>51</v>
      </c>
      <c r="I11" s="10">
        <v>6</v>
      </c>
      <c r="J11" s="11">
        <f t="shared" si="0"/>
        <v>168</v>
      </c>
      <c r="K11" s="9" t="s">
        <v>52</v>
      </c>
      <c r="L11" s="9" t="s">
        <v>53</v>
      </c>
      <c r="M11" s="12">
        <v>46174</v>
      </c>
      <c r="N11" s="10">
        <v>7</v>
      </c>
      <c r="O11" s="10">
        <v>2</v>
      </c>
      <c r="P11" s="10">
        <v>2</v>
      </c>
      <c r="Q11" s="13">
        <f t="shared" si="1"/>
        <v>28</v>
      </c>
    </row>
    <row r="12" ht="15" customHeight="1">
      <c r="B12" s="14"/>
      <c r="C12" s="14"/>
      <c r="D12" s="14"/>
      <c r="E12" s="15"/>
      <c r="F12" s="14"/>
      <c r="G12" s="15"/>
      <c r="H12" s="14"/>
      <c r="I12" s="15"/>
      <c r="J12" s="16" t="str">
        <f t="shared" si="2" ref="J12:J16">IF(AND(E12&lt;&gt;"",G12&lt;&gt;"",I12&lt;&gt;""),E12*G12*I12,"")</f>
        <v/>
      </c>
      <c r="K12" s="14"/>
      <c r="L12" s="14"/>
      <c r="M12" s="17"/>
      <c r="N12" s="15"/>
      <c r="O12" s="15"/>
      <c r="P12" s="15"/>
      <c r="Q12" s="18" t="str">
        <f t="shared" si="3" ref="Q12:Q16">IF(AND(N12&lt;&gt;"",O12&lt;&gt;"",P12&lt;&gt;""),N12*O12*P12,"")</f>
        <v/>
      </c>
    </row>
    <row r="13" ht="15" customHeight="1">
      <c r="B13" s="9"/>
      <c r="C13" s="9"/>
      <c r="D13" s="9"/>
      <c r="E13" s="10"/>
      <c r="F13" s="9"/>
      <c r="G13" s="10"/>
      <c r="H13" s="9"/>
      <c r="I13" s="10"/>
      <c r="J13" s="11" t="str">
        <f t="shared" si="2"/>
        <v/>
      </c>
      <c r="K13" s="9"/>
      <c r="L13" s="9"/>
      <c r="M13" s="12"/>
      <c r="N13" s="10"/>
      <c r="O13" s="10"/>
      <c r="P13" s="10"/>
      <c r="Q13" s="13" t="str">
        <f t="shared" si="3"/>
        <v/>
      </c>
    </row>
    <row r="14" ht="15" customHeight="1">
      <c r="B14" s="14"/>
      <c r="C14" s="14"/>
      <c r="D14" s="14"/>
      <c r="E14" s="15"/>
      <c r="F14" s="14"/>
      <c r="G14" s="15"/>
      <c r="H14" s="14"/>
      <c r="I14" s="15"/>
      <c r="J14" s="16" t="str">
        <f t="shared" si="2"/>
        <v/>
      </c>
      <c r="K14" s="14"/>
      <c r="L14" s="14"/>
      <c r="M14" s="17"/>
      <c r="N14" s="15"/>
      <c r="O14" s="15"/>
      <c r="P14" s="15"/>
      <c r="Q14" s="18" t="str">
        <f t="shared" si="3"/>
        <v/>
      </c>
    </row>
    <row r="15" ht="15" customHeight="1">
      <c r="B15" s="9"/>
      <c r="C15" s="9"/>
      <c r="D15" s="9"/>
      <c r="E15" s="10"/>
      <c r="F15" s="9"/>
      <c r="G15" s="10"/>
      <c r="H15" s="9"/>
      <c r="I15" s="10"/>
      <c r="J15" s="11" t="str">
        <f t="shared" si="2"/>
        <v/>
      </c>
      <c r="K15" s="9"/>
      <c r="L15" s="9"/>
      <c r="M15" s="12"/>
      <c r="N15" s="10"/>
      <c r="O15" s="10"/>
      <c r="P15" s="10"/>
      <c r="Q15" s="13" t="str">
        <f t="shared" si="3"/>
        <v/>
      </c>
    </row>
    <row r="16" ht="15" customHeight="1">
      <c r="B16" s="19"/>
      <c r="C16" s="19"/>
      <c r="D16" s="19"/>
      <c r="E16" s="20"/>
      <c r="F16" s="19"/>
      <c r="G16" s="20"/>
      <c r="H16" s="19"/>
      <c r="I16" s="20"/>
      <c r="J16" s="21" t="str">
        <f t="shared" si="2"/>
        <v/>
      </c>
      <c r="K16" s="19"/>
      <c r="L16" s="19"/>
      <c r="M16" s="22"/>
      <c r="N16" s="20"/>
      <c r="O16" s="20"/>
      <c r="P16" s="20"/>
      <c r="Q16" s="23" t="str">
        <f t="shared" si="3"/>
        <v/>
      </c>
    </row>
  </sheetData>
  <conditionalFormatting sqref="J7:J16">
    <cfRule type="cellIs" dxfId="0" priority="8" operator="lessThan" text="null">
      <formula>50</formula>
    </cfRule>
  </conditionalFormatting>
  <conditionalFormatting sqref="J7:J16">
    <cfRule type="cellIs" dxfId="1" priority="7" operator="between" text="null">
      <formula>50</formula>
      <formula>100</formula>
    </cfRule>
  </conditionalFormatting>
  <conditionalFormatting sqref="J7:J16">
    <cfRule type="cellIs" dxfId="2" priority="6" operator="between" text="null">
      <formula>101</formula>
      <formula>200</formula>
    </cfRule>
  </conditionalFormatting>
  <conditionalFormatting sqref="J7:J16">
    <cfRule type="cellIs" dxfId="3" priority="5" operator="greaterThan" text="null">
      <formula>200</formula>
    </cfRule>
  </conditionalFormatting>
  <conditionalFormatting sqref="Q7:Q16">
    <cfRule type="cellIs" dxfId="0" priority="4" operator="lessThan" text="null">
      <formula>50</formula>
    </cfRule>
  </conditionalFormatting>
  <conditionalFormatting sqref="Q7:Q16">
    <cfRule type="cellIs" dxfId="1" priority="3" operator="between" text="null">
      <formula>50</formula>
      <formula>100</formula>
    </cfRule>
  </conditionalFormatting>
  <conditionalFormatting sqref="Q7:Q16">
    <cfRule type="cellIs" dxfId="2" priority="2" operator="between" text="null">
      <formula>101</formula>
      <formula>200</formula>
    </cfRule>
  </conditionalFormatting>
  <conditionalFormatting sqref="Q7:Q16">
    <cfRule type="cellIs" dxfId="3" priority="1" operator="greaterThan" text="null">
      <formula>200</formula>
    </cfRule>
  </conditionalFormatting>
  <dataValidations count="60">
    <dataValidation allowBlank="1" prompt="Select a rating from 1 to 10" promptTitle="Rating" showErrorMessage="1" showInputMessage="1" sqref="E7" type="list">
      <formula1>"1,2,3,4,5,6,7,8,9,10"</formula1>
    </dataValidation>
    <dataValidation allowBlank="1" prompt="Select a rating from 1 to 10" promptTitle="Rating" showErrorMessage="1" showInputMessage="1" sqref="E8" type="list">
      <formula1>"1,2,3,4,5,6,7,8,9,10"</formula1>
    </dataValidation>
    <dataValidation allowBlank="1" prompt="Select a rating from 1 to 10" promptTitle="Rating" showErrorMessage="1" showInputMessage="1" sqref="E9" type="list">
      <formula1>"1,2,3,4,5,6,7,8,9,10"</formula1>
    </dataValidation>
    <dataValidation allowBlank="1" prompt="Select a rating from 1 to 10" promptTitle="Rating" showErrorMessage="1" showInputMessage="1" sqref="E10" type="list">
      <formula1>"1,2,3,4,5,6,7,8,9,10"</formula1>
    </dataValidation>
    <dataValidation allowBlank="1" prompt="Select a rating from 1 to 10" promptTitle="Rating" showErrorMessage="1" showInputMessage="1" sqref="E11" type="list">
      <formula1>"1,2,3,4,5,6,7,8,9,10"</formula1>
    </dataValidation>
    <dataValidation allowBlank="1" prompt="Select a rating from 1 to 10" promptTitle="Rating" showErrorMessage="1" showInputMessage="1" sqref="E12" type="list">
      <formula1>"1,2,3,4,5,6,7,8,9,10"</formula1>
    </dataValidation>
    <dataValidation allowBlank="1" prompt="Select a rating from 1 to 10" promptTitle="Rating" showErrorMessage="1" showInputMessage="1" sqref="E13" type="list">
      <formula1>"1,2,3,4,5,6,7,8,9,10"</formula1>
    </dataValidation>
    <dataValidation allowBlank="1" prompt="Select a rating from 1 to 10" promptTitle="Rating" showErrorMessage="1" showInputMessage="1" sqref="E14" type="list">
      <formula1>"1,2,3,4,5,6,7,8,9,10"</formula1>
    </dataValidation>
    <dataValidation allowBlank="1" prompt="Select a rating from 1 to 10" promptTitle="Rating" showErrorMessage="1" showInputMessage="1" sqref="E15" type="list">
      <formula1>"1,2,3,4,5,6,7,8,9,10"</formula1>
    </dataValidation>
    <dataValidation allowBlank="1" prompt="Select a rating from 1 to 10" promptTitle="Rating" showErrorMessage="1" showInputMessage="1" sqref="E16" type="list">
      <formula1>"1,2,3,4,5,6,7,8,9,10"</formula1>
    </dataValidation>
    <dataValidation allowBlank="1" prompt="Select a rating from 1 to 10" promptTitle="Rating" showErrorMessage="1" showInputMessage="1" sqref="G7" type="list">
      <formula1>"1,2,3,4,5,6,7,8,9,10"</formula1>
    </dataValidation>
    <dataValidation allowBlank="1" prompt="Select a rating from 1 to 10" promptTitle="Rating" showErrorMessage="1" showInputMessage="1" sqref="G8" type="list">
      <formula1>"1,2,3,4,5,6,7,8,9,10"</formula1>
    </dataValidation>
    <dataValidation allowBlank="1" prompt="Select a rating from 1 to 10" promptTitle="Rating" showErrorMessage="1" showInputMessage="1" sqref="G9" type="list">
      <formula1>"1,2,3,4,5,6,7,8,9,10"</formula1>
    </dataValidation>
    <dataValidation allowBlank="1" prompt="Select a rating from 1 to 10" promptTitle="Rating" showErrorMessage="1" showInputMessage="1" sqref="G10" type="list">
      <formula1>"1,2,3,4,5,6,7,8,9,10"</formula1>
    </dataValidation>
    <dataValidation allowBlank="1" prompt="Select a rating from 1 to 10" promptTitle="Rating" showErrorMessage="1" showInputMessage="1" sqref="G11" type="list">
      <formula1>"1,2,3,4,5,6,7,8,9,10"</formula1>
    </dataValidation>
    <dataValidation allowBlank="1" prompt="Select a rating from 1 to 10" promptTitle="Rating" showErrorMessage="1" showInputMessage="1" sqref="G12" type="list">
      <formula1>"1,2,3,4,5,6,7,8,9,10"</formula1>
    </dataValidation>
    <dataValidation allowBlank="1" prompt="Select a rating from 1 to 10" promptTitle="Rating" showErrorMessage="1" showInputMessage="1" sqref="G13" type="list">
      <formula1>"1,2,3,4,5,6,7,8,9,10"</formula1>
    </dataValidation>
    <dataValidation allowBlank="1" prompt="Select a rating from 1 to 10" promptTitle="Rating" showErrorMessage="1" showInputMessage="1" sqref="G14" type="list">
      <formula1>"1,2,3,4,5,6,7,8,9,10"</formula1>
    </dataValidation>
    <dataValidation allowBlank="1" prompt="Select a rating from 1 to 10" promptTitle="Rating" showErrorMessage="1" showInputMessage="1" sqref="G15" type="list">
      <formula1>"1,2,3,4,5,6,7,8,9,10"</formula1>
    </dataValidation>
    <dataValidation allowBlank="1" prompt="Select a rating from 1 to 10" promptTitle="Rating" showErrorMessage="1" showInputMessage="1" sqref="G16" type="list">
      <formula1>"1,2,3,4,5,6,7,8,9,10"</formula1>
    </dataValidation>
    <dataValidation allowBlank="1" prompt="Select a rating from 1 to 10" promptTitle="Rating" showErrorMessage="1" showInputMessage="1" sqref="I7" type="list">
      <formula1>"1,2,3,4,5,6,7,8,9,10"</formula1>
    </dataValidation>
    <dataValidation allowBlank="1" prompt="Select a rating from 1 to 10" promptTitle="Rating" showErrorMessage="1" showInputMessage="1" sqref="I8" type="list">
      <formula1>"1,2,3,4,5,6,7,8,9,10"</formula1>
    </dataValidation>
    <dataValidation allowBlank="1" prompt="Select a rating from 1 to 10" promptTitle="Rating" showErrorMessage="1" showInputMessage="1" sqref="I9" type="list">
      <formula1>"1,2,3,4,5,6,7,8,9,10"</formula1>
    </dataValidation>
    <dataValidation allowBlank="1" prompt="Select a rating from 1 to 10" promptTitle="Rating" showErrorMessage="1" showInputMessage="1" sqref="I10" type="list">
      <formula1>"1,2,3,4,5,6,7,8,9,10"</formula1>
    </dataValidation>
    <dataValidation allowBlank="1" prompt="Select a rating from 1 to 10" promptTitle="Rating" showErrorMessage="1" showInputMessage="1" sqref="I11" type="list">
      <formula1>"1,2,3,4,5,6,7,8,9,10"</formula1>
    </dataValidation>
    <dataValidation allowBlank="1" prompt="Select a rating from 1 to 10" promptTitle="Rating" showErrorMessage="1" showInputMessage="1" sqref="I12" type="list">
      <formula1>"1,2,3,4,5,6,7,8,9,10"</formula1>
    </dataValidation>
    <dataValidation allowBlank="1" prompt="Select a rating from 1 to 10" promptTitle="Rating" showErrorMessage="1" showInputMessage="1" sqref="I13" type="list">
      <formula1>"1,2,3,4,5,6,7,8,9,10"</formula1>
    </dataValidation>
    <dataValidation allowBlank="1" prompt="Select a rating from 1 to 10" promptTitle="Rating" showErrorMessage="1" showInputMessage="1" sqref="I14" type="list">
      <formula1>"1,2,3,4,5,6,7,8,9,10"</formula1>
    </dataValidation>
    <dataValidation allowBlank="1" prompt="Select a rating from 1 to 10" promptTitle="Rating" showErrorMessage="1" showInputMessage="1" sqref="I15" type="list">
      <formula1>"1,2,3,4,5,6,7,8,9,10"</formula1>
    </dataValidation>
    <dataValidation allowBlank="1" prompt="Select a rating from 1 to 10" promptTitle="Rating" showErrorMessage="1" showInputMessage="1" sqref="I16" type="list">
      <formula1>"1,2,3,4,5,6,7,8,9,10"</formula1>
    </dataValidation>
    <dataValidation allowBlank="1" prompt="Select a rating from 1 to 10" promptTitle="Rating" showErrorMessage="1" showInputMessage="1" sqref="N7" type="list">
      <formula1>"1,2,3,4,5,6,7,8,9,10"</formula1>
    </dataValidation>
    <dataValidation allowBlank="1" prompt="Select a rating from 1 to 10" promptTitle="Rating" showErrorMessage="1" showInputMessage="1" sqref="N8" type="list">
      <formula1>"1,2,3,4,5,6,7,8,9,10"</formula1>
    </dataValidation>
    <dataValidation allowBlank="1" prompt="Select a rating from 1 to 10" promptTitle="Rating" showErrorMessage="1" showInputMessage="1" sqref="N9" type="list">
      <formula1>"1,2,3,4,5,6,7,8,9,10"</formula1>
    </dataValidation>
    <dataValidation allowBlank="1" prompt="Select a rating from 1 to 10" promptTitle="Rating" showErrorMessage="1" showInputMessage="1" sqref="N10" type="list">
      <formula1>"1,2,3,4,5,6,7,8,9,10"</formula1>
    </dataValidation>
    <dataValidation allowBlank="1" prompt="Select a rating from 1 to 10" promptTitle="Rating" showErrorMessage="1" showInputMessage="1" sqref="N11" type="list">
      <formula1>"1,2,3,4,5,6,7,8,9,10"</formula1>
    </dataValidation>
    <dataValidation allowBlank="1" prompt="Select a rating from 1 to 10" promptTitle="Rating" showErrorMessage="1" showInputMessage="1" sqref="N12" type="list">
      <formula1>"1,2,3,4,5,6,7,8,9,10"</formula1>
    </dataValidation>
    <dataValidation allowBlank="1" prompt="Select a rating from 1 to 10" promptTitle="Rating" showErrorMessage="1" showInputMessage="1" sqref="N13" type="list">
      <formula1>"1,2,3,4,5,6,7,8,9,10"</formula1>
    </dataValidation>
    <dataValidation allowBlank="1" prompt="Select a rating from 1 to 10" promptTitle="Rating" showErrorMessage="1" showInputMessage="1" sqref="N14" type="list">
      <formula1>"1,2,3,4,5,6,7,8,9,10"</formula1>
    </dataValidation>
    <dataValidation allowBlank="1" prompt="Select a rating from 1 to 10" promptTitle="Rating" showErrorMessage="1" showInputMessage="1" sqref="N15" type="list">
      <formula1>"1,2,3,4,5,6,7,8,9,10"</formula1>
    </dataValidation>
    <dataValidation allowBlank="1" prompt="Select a rating from 1 to 10" promptTitle="Rating" showErrorMessage="1" showInputMessage="1" sqref="N16" type="list">
      <formula1>"1,2,3,4,5,6,7,8,9,10"</formula1>
    </dataValidation>
    <dataValidation allowBlank="1" prompt="Select a rating from 1 to 10" promptTitle="Rating" showErrorMessage="1" showInputMessage="1" sqref="O7" type="list">
      <formula1>"1,2,3,4,5,6,7,8,9,10"</formula1>
    </dataValidation>
    <dataValidation allowBlank="1" prompt="Select a rating from 1 to 10" promptTitle="Rating" showErrorMessage="1" showInputMessage="1" sqref="O8" type="list">
      <formula1>"1,2,3,4,5,6,7,8,9,10"</formula1>
    </dataValidation>
    <dataValidation allowBlank="1" prompt="Select a rating from 1 to 10" promptTitle="Rating" showErrorMessage="1" showInputMessage="1" sqref="O9" type="list">
      <formula1>"1,2,3,4,5,6,7,8,9,10"</formula1>
    </dataValidation>
    <dataValidation allowBlank="1" prompt="Select a rating from 1 to 10" promptTitle="Rating" showErrorMessage="1" showInputMessage="1" sqref="O10" type="list">
      <formula1>"1,2,3,4,5,6,7,8,9,10"</formula1>
    </dataValidation>
    <dataValidation allowBlank="1" prompt="Select a rating from 1 to 10" promptTitle="Rating" showErrorMessage="1" showInputMessage="1" sqref="O11" type="list">
      <formula1>"1,2,3,4,5,6,7,8,9,10"</formula1>
    </dataValidation>
    <dataValidation allowBlank="1" prompt="Select a rating from 1 to 10" promptTitle="Rating" showErrorMessage="1" showInputMessage="1" sqref="O12" type="list">
      <formula1>"1,2,3,4,5,6,7,8,9,10"</formula1>
    </dataValidation>
    <dataValidation allowBlank="1" prompt="Select a rating from 1 to 10" promptTitle="Rating" showErrorMessage="1" showInputMessage="1" sqref="O13" type="list">
      <formula1>"1,2,3,4,5,6,7,8,9,10"</formula1>
    </dataValidation>
    <dataValidation allowBlank="1" prompt="Select a rating from 1 to 10" promptTitle="Rating" showErrorMessage="1" showInputMessage="1" sqref="O14" type="list">
      <formula1>"1,2,3,4,5,6,7,8,9,10"</formula1>
    </dataValidation>
    <dataValidation allowBlank="1" prompt="Select a rating from 1 to 10" promptTitle="Rating" showErrorMessage="1" showInputMessage="1" sqref="O15" type="list">
      <formula1>"1,2,3,4,5,6,7,8,9,10"</formula1>
    </dataValidation>
    <dataValidation allowBlank="1" prompt="Select a rating from 1 to 10" promptTitle="Rating" showErrorMessage="1" showInputMessage="1" sqref="O16" type="list">
      <formula1>"1,2,3,4,5,6,7,8,9,10"</formula1>
    </dataValidation>
    <dataValidation allowBlank="1" prompt="Select a rating from 1 to 10" promptTitle="Rating" showErrorMessage="1" showInputMessage="1" sqref="P7" type="list">
      <formula1>"1,2,3,4,5,6,7,8,9,10"</formula1>
    </dataValidation>
    <dataValidation allowBlank="1" prompt="Select a rating from 1 to 10" promptTitle="Rating" showErrorMessage="1" showInputMessage="1" sqref="P8" type="list">
      <formula1>"1,2,3,4,5,6,7,8,9,10"</formula1>
    </dataValidation>
    <dataValidation allowBlank="1" prompt="Select a rating from 1 to 10" promptTitle="Rating" showErrorMessage="1" showInputMessage="1" sqref="P9" type="list">
      <formula1>"1,2,3,4,5,6,7,8,9,10"</formula1>
    </dataValidation>
    <dataValidation allowBlank="1" prompt="Select a rating from 1 to 10" promptTitle="Rating" showErrorMessage="1" showInputMessage="1" sqref="P10" type="list">
      <formula1>"1,2,3,4,5,6,7,8,9,10"</formula1>
    </dataValidation>
    <dataValidation allowBlank="1" prompt="Select a rating from 1 to 10" promptTitle="Rating" showErrorMessage="1" showInputMessage="1" sqref="P11" type="list">
      <formula1>"1,2,3,4,5,6,7,8,9,10"</formula1>
    </dataValidation>
    <dataValidation allowBlank="1" prompt="Select a rating from 1 to 10" promptTitle="Rating" showErrorMessage="1" showInputMessage="1" sqref="P12" type="list">
      <formula1>"1,2,3,4,5,6,7,8,9,10"</formula1>
    </dataValidation>
    <dataValidation allowBlank="1" prompt="Select a rating from 1 to 10" promptTitle="Rating" showErrorMessage="1" showInputMessage="1" sqref="P13" type="list">
      <formula1>"1,2,3,4,5,6,7,8,9,10"</formula1>
    </dataValidation>
    <dataValidation allowBlank="1" prompt="Select a rating from 1 to 10" promptTitle="Rating" showErrorMessage="1" showInputMessage="1" sqref="P14" type="list">
      <formula1>"1,2,3,4,5,6,7,8,9,10"</formula1>
    </dataValidation>
    <dataValidation allowBlank="1" prompt="Select a rating from 1 to 10" promptTitle="Rating" showErrorMessage="1" showInputMessage="1" sqref="P15" type="list">
      <formula1>"1,2,3,4,5,6,7,8,9,10"</formula1>
    </dataValidation>
    <dataValidation allowBlank="1" prompt="Select a rating from 1 to 10" promptTitle="Rating" showErrorMessage="1" showInputMessage="1" sqref="P16" type="list">
      <formula1>"1,2,3,4,5,6,7,8,9,10"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72D6868-17E5-96BB-7D74-6783FD9A4468}" mc:Ignorable="x14ac xr xr2 xr3">
  <dimension ref="A1:CV10000"/>
  <sheetViews>
    <sheetView showGridLines="0" topLeftCell="A1" workbookViewId="0">
      <selection activeCell="A1" sqref="A1"/>
    </sheetView>
  </sheetViews>
  <sheetFormatPr defaultRowHeight="15" defaultColWidth="7.75390625" customHeight="1"/>
  <cols>
    <col min="1" max="1" width="3.375" customWidth="1"/>
    <col min="2" max="2" width="10.00390625" customWidth="1"/>
    <col min="3" max="3" width="38.125" customWidth="1"/>
    <col min="4" max="4" width="4.375" customWidth="1"/>
    <col min="5" max="5" width="10.00390625" customWidth="1"/>
    <col min="6" max="6" width="38.125" customWidth="1"/>
    <col min="7" max="7" width="4.375" customWidth="1"/>
    <col min="8" max="8" width="10.00390625" customWidth="1"/>
    <col min="9" max="9" width="38.125" customWidth="1"/>
    <col min="10" max="10" width="8.25390625" customWidth="1"/>
  </cols>
  <sheetData>
    <row r="2" ht="27" customHeight="1">
      <c r="B2" s="24" t="s">
        <v>55</v>
      </c>
    </row>
    <row r="4" ht="15" customHeight="1">
      <c r="B4" s="3" t="s">
        <v>56</v>
      </c>
      <c r="C4" s="3"/>
      <c r="E4" s="3" t="s">
        <v>57</v>
      </c>
      <c r="F4" s="3"/>
      <c r="H4" s="3" t="s">
        <v>58</v>
      </c>
      <c r="I4" s="3"/>
    </row>
    <row r="5" ht="15" customHeight="1">
      <c r="B5" s="25" t="s">
        <v>59</v>
      </c>
      <c r="C5" s="26" t="s">
        <v>60</v>
      </c>
      <c r="E5" s="25" t="s">
        <v>59</v>
      </c>
      <c r="F5" s="26" t="s">
        <v>60</v>
      </c>
      <c r="H5" s="25" t="s">
        <v>59</v>
      </c>
      <c r="I5" s="26" t="s">
        <v>60</v>
      </c>
    </row>
    <row r="6" ht="15" customHeight="1">
      <c r="B6" s="27">
        <v>1</v>
      </c>
      <c r="C6" s="28" t="s">
        <v>61</v>
      </c>
      <c r="E6" s="27">
        <v>1</v>
      </c>
      <c r="F6" s="28" t="s">
        <v>62</v>
      </c>
      <c r="H6" s="27">
        <v>1</v>
      </c>
      <c r="I6" s="28" t="s">
        <v>63</v>
      </c>
    </row>
    <row r="7" ht="15" customHeight="1">
      <c r="B7" s="29">
        <v>2</v>
      </c>
      <c r="C7" s="30" t="s">
        <v>64</v>
      </c>
      <c r="E7" s="29">
        <v>2</v>
      </c>
      <c r="F7" s="30" t="s">
        <v>65</v>
      </c>
      <c r="H7" s="29">
        <v>2</v>
      </c>
      <c r="I7" s="30" t="s">
        <v>66</v>
      </c>
    </row>
    <row r="8" ht="15" customHeight="1">
      <c r="B8" s="27">
        <v>3</v>
      </c>
      <c r="C8" s="28" t="s">
        <v>67</v>
      </c>
      <c r="E8" s="27">
        <v>3</v>
      </c>
      <c r="F8" s="28" t="s">
        <v>68</v>
      </c>
      <c r="H8" s="27">
        <v>3</v>
      </c>
      <c r="I8" s="28" t="s">
        <v>69</v>
      </c>
    </row>
    <row r="9" ht="15" customHeight="1">
      <c r="B9" s="29">
        <v>4</v>
      </c>
      <c r="C9" s="30" t="s">
        <v>70</v>
      </c>
      <c r="E9" s="29">
        <v>4</v>
      </c>
      <c r="F9" s="30" t="s">
        <v>71</v>
      </c>
      <c r="H9" s="29">
        <v>4</v>
      </c>
      <c r="I9" s="30" t="s">
        <v>72</v>
      </c>
    </row>
    <row r="10" ht="15" customHeight="1">
      <c r="B10" s="27">
        <v>5</v>
      </c>
      <c r="C10" s="28" t="s">
        <v>73</v>
      </c>
      <c r="E10" s="27">
        <v>5</v>
      </c>
      <c r="F10" s="28" t="s">
        <v>74</v>
      </c>
      <c r="H10" s="27">
        <v>5</v>
      </c>
      <c r="I10" s="28" t="s">
        <v>75</v>
      </c>
    </row>
    <row r="11" ht="15" customHeight="1">
      <c r="B11" s="29">
        <v>6</v>
      </c>
      <c r="C11" s="30" t="s">
        <v>76</v>
      </c>
      <c r="E11" s="29">
        <v>6</v>
      </c>
      <c r="F11" s="30" t="s">
        <v>75</v>
      </c>
      <c r="H11" s="29">
        <v>6</v>
      </c>
      <c r="I11" s="30" t="s">
        <v>77</v>
      </c>
    </row>
    <row r="12" ht="15" customHeight="1">
      <c r="B12" s="27">
        <v>7</v>
      </c>
      <c r="C12" s="28" t="s">
        <v>78</v>
      </c>
      <c r="E12" s="27">
        <v>7</v>
      </c>
      <c r="F12" s="28" t="s">
        <v>72</v>
      </c>
      <c r="H12" s="27">
        <v>7</v>
      </c>
      <c r="I12" s="28" t="s">
        <v>71</v>
      </c>
    </row>
    <row r="13" ht="15" customHeight="1">
      <c r="B13" s="29">
        <v>8</v>
      </c>
      <c r="C13" s="30" t="s">
        <v>79</v>
      </c>
      <c r="E13" s="29">
        <v>8</v>
      </c>
      <c r="F13" s="30" t="s">
        <v>80</v>
      </c>
      <c r="H13" s="29">
        <v>8</v>
      </c>
      <c r="I13" s="30" t="s">
        <v>81</v>
      </c>
    </row>
    <row r="14" ht="15" customHeight="1">
      <c r="B14" s="27">
        <v>9</v>
      </c>
      <c r="C14" s="28" t="s">
        <v>82</v>
      </c>
      <c r="E14" s="27">
        <v>9</v>
      </c>
      <c r="F14" s="28" t="s">
        <v>83</v>
      </c>
      <c r="H14" s="27">
        <v>9</v>
      </c>
      <c r="I14" s="28" t="s">
        <v>65</v>
      </c>
    </row>
    <row r="15" ht="15" customHeight="1">
      <c r="B15" s="31">
        <v>10</v>
      </c>
      <c r="C15" s="32" t="s">
        <v>84</v>
      </c>
      <c r="E15" s="31">
        <v>10</v>
      </c>
      <c r="F15" s="32" t="s">
        <v>85</v>
      </c>
      <c r="H15" s="31">
        <v>10</v>
      </c>
      <c r="I15" s="32" t="s">
        <v>86</v>
      </c>
    </row>
    <row r="18" ht="15" customHeight="1">
      <c r="B18" s="3" t="s">
        <v>87</v>
      </c>
      <c r="C18" s="33"/>
    </row>
    <row r="19" ht="15" customHeight="1">
      <c r="B19" s="34" t="s">
        <v>88</v>
      </c>
      <c r="C19" s="35" t="s">
        <v>89</v>
      </c>
    </row>
    <row r="20" ht="15" customHeight="1">
      <c r="B20" s="36" t="s">
        <v>90</v>
      </c>
      <c r="C20" s="37" t="s">
        <v>91</v>
      </c>
    </row>
    <row r="21" ht="15" customHeight="1">
      <c r="B21" s="38" t="s">
        <v>92</v>
      </c>
      <c r="C21" s="39" t="s">
        <v>93</v>
      </c>
    </row>
    <row r="22" ht="15" customHeight="1">
      <c r="B22" s="40" t="s">
        <v>94</v>
      </c>
      <c r="C22" s="41" t="s">
        <v>95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c3e29b56-8eb7-4628-ad9c-c932fc4c6dbb</vt:lpwstr>
  </property>
</Properties>
</file>