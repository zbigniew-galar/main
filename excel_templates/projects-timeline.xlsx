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Project-Timeline" sheetId="1"/>
  </sheets>
  <definedNames>
    <definedName name="_xlnm.Print_Area" localSheetId="0">'Project-Timeline'!$B$2:$AF$26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<sst xmlns="http://schemas.openxmlformats.org/spreadsheetml/2006/main" count="70" uniqueCount="70">
  <si>
    <t>Project Timeline</t>
  </si>
  <si>
    <t>Project Start:</t>
  </si>
  <si>
    <t>Today: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</si>
  <si>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</si>
  <si>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</si>
  <si>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</si>
  <si>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</si>
  <si>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</si>
  <si>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</si>
  <si>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</si>
  <si>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</si>
  <si>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</si>
  <si>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</si>
  <si>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</si>
  <si>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</si>
  <si>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</si>
  <si>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</si>
  <si>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</si>
  <si>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</si>
  <si>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</si>
  <si>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</si>
  <si>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</si>
  <si>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</si>
  <si>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</si>
  <si>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</si>
  <si>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</si>
  <si>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</si>
  <si>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Task / Milestone</t>
  </si>
  <si>
    <t>Start Date</t>
  </si>
  <si>
    <t>End Date</t>
  </si>
  <si>
    <t>Duration</t>
  </si>
  <si>
    <t>% Done</t>
  </si>
  <si>
    <t>Status</t>
  </si>
  <si>
    <t>Owner</t>
  </si>
  <si>
    <t>Phase 1: Planning</t>
  </si>
  <si>
    <t>Define project scope</t>
  </si>
  <si>
    <t>Complete</t>
  </si>
  <si>
    <t>Alex</t>
  </si>
  <si>
    <t>Stakeholder analysis</t>
  </si>
  <si>
    <t>Jordan</t>
  </si>
  <si>
    <t>Requirements gathering</t>
  </si>
  <si>
    <t>In Progress</t>
  </si>
  <si>
    <t>Sam</t>
  </si>
  <si>
    <t>Create project plan</t>
  </si>
  <si>
    <t>Phase 2: Design</t>
  </si>
  <si>
    <t>System architecture</t>
  </si>
  <si>
    <t>UI/UX design</t>
  </si>
  <si>
    <t>Chris</t>
  </si>
  <si>
    <t>Database design</t>
  </si>
  <si>
    <t>Not Started</t>
  </si>
  <si>
    <t>Design review</t>
  </si>
  <si>
    <t>Team</t>
  </si>
  <si>
    <t>Phase 3: Development</t>
  </si>
  <si>
    <t>Frontend development</t>
  </si>
  <si>
    <t>Backend development</t>
  </si>
  <si>
    <t>API integration</t>
  </si>
  <si>
    <t>Phase 4: Testing &amp; Launch</t>
  </si>
  <si>
    <t>QA testing</t>
  </si>
  <si>
    <t>QA Team</t>
  </si>
  <si>
    <t>User acceptance testing</t>
  </si>
  <si>
    <t>Stakeholders</t>
  </si>
  <si>
    <t>Bug fixes</t>
  </si>
  <si>
    <t>Launch preparation</t>
  </si>
  <si>
    <t>GO LIVE ★</t>
  </si>
  <si>
    <t>Legend:</t>
  </si>
  <si>
    <t>Completed</t>
  </si>
  <si>
    <t>Remaining</t>
  </si>
  <si>
    <t>Today (see F4)</t>
  </si>
  <si>
    <t>Status: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</si>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</sst>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mm/dd/yyyy"/>
    <numFmt numFmtId="173" formatCode="mm/dd"/>
    <numFmt numFmtId="175" formatCode="0 &quot;days&quot;"/>
  </numFmts>
  <fonts count="14">
    <font>
      <b val="0"/>
      <i val="0"/>
      <sz val="12"/>
      <color theme="1"/>
      <name val="Aptos Narrow"/>
      <scheme val="minor"/>
    </font>
    <font>
      <b/>
      <i val="0"/>
      <sz val="18"/>
      <color rgb="FF223759"/>
      <name val="Aptos"/>
    </font>
    <font>
      <b/>
      <i val="0"/>
      <sz val="11"/>
      <color theme="1"/>
      <name val="Aptos"/>
    </font>
    <font>
      <b val="0"/>
      <i val="0"/>
      <sz val="11"/>
      <color rgb="FF0070C0"/>
      <name val="Aptos"/>
    </font>
    <font>
      <b val="0"/>
      <i val="0"/>
      <sz val="11"/>
      <color theme="1"/>
      <name val="Aptos"/>
    </font>
    <font>
      <b val="0"/>
      <i val="0"/>
      <sz val="8"/>
      <color rgb="FF808080"/>
      <name val="Aptos"/>
    </font>
    <font>
      <b/>
      <i val="0"/>
      <sz val="11"/>
      <color rgb="FFFFFFFF"/>
      <name val="Aptos"/>
    </font>
    <font>
      <b/>
      <i val="0"/>
      <sz val="8"/>
      <color rgb="FFFFFFFF"/>
      <name val="Aptos"/>
    </font>
    <font>
      <b/>
      <i val="0"/>
      <sz val="11"/>
      <color rgb="FF223759"/>
      <name val="Aptos"/>
    </font>
    <font>
      <b val="0"/>
      <i val="0"/>
      <sz val="11"/>
      <color theme="1"/>
      <name val="Calibri"/>
    </font>
    <font>
      <b val="0"/>
      <i val="0"/>
      <sz val="10"/>
      <color theme="1"/>
      <name val="Aptos"/>
    </font>
    <font>
      <b val="0"/>
      <i val="0"/>
      <sz val="10"/>
      <color rgb="FF006100"/>
      <name val="Aptos"/>
    </font>
    <font>
      <b val="0"/>
      <i val="0"/>
      <sz val="10"/>
      <color rgb="FF906000"/>
      <name val="Aptos"/>
    </font>
    <font>
      <b val="0"/>
      <i val="0"/>
      <sz val="10"/>
      <color rgb="FF808080"/>
      <name val="Aptos"/>
    </font>
  </fonts>
  <fills count="11">
    <fill>
      <patternFill patternType="none"/>
    </fill>
    <fill>
      <patternFill patternType="gray125"/>
    </fill>
    <fill>
      <patternFill patternType="solid">
        <fgColor rgb="FFE8F2FF"/>
      </patternFill>
    </fill>
    <fill>
      <patternFill patternType="solid">
        <fgColor rgb="FF3A4F6B"/>
      </patternFill>
    </fill>
    <fill>
      <patternFill patternType="solid">
        <fgColor rgb="FFF0E8E0"/>
      </patternFill>
    </fill>
    <fill>
      <patternFill patternType="solid">
        <fgColor rgb="FF153B7B"/>
      </patternFill>
    </fill>
    <fill>
      <patternFill patternType="solid">
        <fgColor rgb="FF2D5CB8"/>
      </patternFill>
    </fill>
    <fill>
      <patternFill patternType="solid">
        <fgColor rgb="FFFF6600"/>
      </patternFill>
    </fill>
    <fill>
      <patternFill patternType="solid">
        <fgColor rgb="FFCEEFC6"/>
      </patternFill>
    </fill>
    <fill>
      <patternFill patternType="solid">
        <fgColor rgb="FFFFDDBF"/>
      </patternFill>
    </fill>
    <fill>
      <patternFill patternType="solid">
        <fgColor rgb="FFF0F0F0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/>
      <right style="hair">
        <color rgb="FFF0F0F0"/>
      </right>
      <top/>
      <bottom style="hair">
        <color rgb="FFF0F0F0"/>
      </bottom>
      <diagonal/>
    </border>
    <border>
      <left style="hair">
        <color rgb="FFF0F0F0"/>
      </left>
      <right style="hair">
        <color rgb="FFF0F0F0"/>
      </right>
      <top/>
      <bottom style="hair">
        <color rgb="FFF0F0F0"/>
      </bottom>
      <diagonal/>
    </border>
    <border>
      <left/>
      <right/>
      <top style="hair">
        <color rgb="FFE0E0E0"/>
      </top>
      <bottom/>
      <diagonal/>
    </border>
    <border>
      <left/>
      <right/>
      <top style="hair">
        <color rgb="FFE0E0E0"/>
      </top>
      <bottom style="hair">
        <color rgb="FFE0E0E0"/>
      </bottom>
      <diagonal/>
    </border>
  </borders>
  <cellStyleXfs count="1">
    <xf numFmtId="0" fontId="0" fillId="0" borderId="1"/>
  </cellStyleXfs>
  <cellXfs count="34">
    <xf numFmtId="0" fontId="0" fillId="0" borderId="1" xfId="0"/>
    <xf numFmtId="0" fontId="1" fillId="0" borderId="1" xfId="0"/>
    <xf numFmtId="0" fontId="2" fillId="0" borderId="1" xfId="0"/>
    <xf numFmtId="171" fontId="3" fillId="2" borderId="1" xfId="0"/>
    <xf numFmtId="171" fontId="4" fillId="0" borderId="1" xfId="0"/>
    <xf numFmtId="0" fontId="5" fillId="0" borderId="1" xfId="0">
      <alignment horizontal="center" vertical="bottom"/>
    </xf>
    <xf numFmtId="0" fontId="6" fillId="3" borderId="1" xfId="0">
      <alignment horizontal="left" vertical="bottom"/>
    </xf>
    <xf numFmtId="0" fontId="6" fillId="3" borderId="1" xfId="0">
      <alignment horizontal="center" vertical="bottom"/>
    </xf>
    <xf numFmtId="173" fontId="7" fillId="3" borderId="1" xfId="0">
      <alignment horizontal="center" vertical="bottom"/>
    </xf>
    <xf numFmtId="0" fontId="2" fillId="4" borderId="1" xfId="0"/>
    <xf numFmtId="0" fontId="4" fillId="0" borderId="2" xfId="0"/>
    <xf numFmtId="0" fontId="4" fillId="0" borderId="3" xfId="0"/>
    <xf numFmtId="0" fontId="4" fillId="0" borderId="4" xfId="0">
      <alignment horizontal="left" vertical="bottom" indent="1"/>
    </xf>
    <xf numFmtId="171" fontId="3" fillId="0" borderId="4" xfId="0"/>
    <xf numFmtId="175" fontId="4" fillId="0" borderId="4" xfId="0"/>
    <xf numFmtId="9" fontId="3" fillId="0" borderId="4" xfId="0"/>
    <xf numFmtId="0" fontId="4" fillId="0" borderId="4" xfId="0"/>
    <xf numFmtId="0" fontId="2" fillId="4" borderId="4" xfId="0"/>
    <xf numFmtId="0" fontId="4" fillId="0" borderId="5" xfId="0">
      <alignment horizontal="left" vertical="bottom" indent="1"/>
    </xf>
    <xf numFmtId="171" fontId="3" fillId="0" borderId="5" xfId="0"/>
    <xf numFmtId="175" fontId="4" fillId="0" borderId="5" xfId="0"/>
    <xf numFmtId="9" fontId="3" fillId="0" borderId="5" xfId="0"/>
    <xf numFmtId="0" fontId="4" fillId="0" borderId="5" xfId="0"/>
    <xf numFmtId="0" fontId="8" fillId="0" borderId="1" xfId="0"/>
    <xf numFmtId="0" fontId="9" fillId="5" borderId="1" xfId="0"/>
    <xf numFmtId="0" fontId="10" fillId="0" borderId="1" xfId="0"/>
    <xf numFmtId="0" fontId="9" fillId="6" borderId="1" xfId="0"/>
    <xf numFmtId="0" fontId="9" fillId="7" borderId="1" xfId="0"/>
    <xf numFmtId="0" fontId="11" fillId="8" borderId="1" xfId="0"/>
    <xf numFmtId="0" fontId="11" fillId="0" borderId="1" xfId="0"/>
    <xf numFmtId="0" fontId="12" fillId="9" borderId="1" xfId="0"/>
    <xf numFmtId="0" fontId="12" fillId="0" borderId="1" xfId="0"/>
    <xf numFmtId="0" fontId="13" fillId="10" borderId="1" xfId="0"/>
    <xf numFmtId="0" fontId="13" fillId="0" borderId="1" xfId="0"/>
  </cellXfs>
  <cellStyles count="1">
    <cellStyle name="Normal" xfId="0" builtinId="0"/>
  </cellStyles>
  <dxfs count="5">
    <dxf>
      <font>
        <color rgb="FF808080"/>
      </font>
    </dxf>
    <dxf>
      <font>
        <color rgb="FF906000"/>
      </font>
    </dxf>
    <dxf>
      <font>
        <color rgb="FF006100"/>
      </font>
    </dxf>
    <dxf>
      <fill>
        <patternFill patternType="solid">
          <fgColor rgb="FF2D5CB8"/>
          <bgColor rgb="FF2D5CB8"/>
        </patternFill>
      </fill>
    </dxf>
    <dxf>
      <fill>
        <patternFill patternType="solid">
          <fgColor rgb="FF153B7B"/>
          <bgColor rgb="FF153B7B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981FC08-C16F-2405-FB85-AED732A71588}" mc:Ignorable="x14ac xr xr2 xr3">
  <dimension ref="A1:CV10000"/>
  <sheetViews>
    <sheetView showGridLines="0" zoomScale="90" workbookViewId="0" tabSelected="1">
      <pane xSplit="8" ySplit="6" topLeftCell="I7" activePane="bottomRight" state="frozen"/>
      <selection pane="bottomLeft" activeCell="A7" sqref="A7"/>
      <selection pane="topRight" activeCell="I1" sqref="I1"/>
      <selection pane="bottomRight" activeCell="G14" sqref="G14"/>
    </sheetView>
  </sheetViews>
  <sheetFormatPr defaultRowHeight="15.997499999999997" defaultColWidth="9.00390625" customHeight="1"/>
  <cols>
    <col min="1" max="1" width="2.50390625" customWidth="1"/>
    <col min="2" max="2" width="24.00390625" customWidth="1"/>
    <col min="3" max="4" width="13.375" customWidth="1"/>
    <col min="5" max="5" width="10.00390625" customWidth="1"/>
    <col min="6" max="7" width="11.50390625" customWidth="1"/>
    <col min="8" max="8" width="13.375" customWidth="1"/>
    <col min="9" max="32" width="4.625" customWidth="1"/>
    <col min="33" max="34" width="8.125" customWidth="1"/>
  </cols>
  <sheetData>
    <row r="1" ht="16.5" customHeight="1"/>
    <row r="2" ht="24.75" customHeight="1">
      <c r="B2" s="1" t="s">
        <v>0</v>
      </c>
    </row>
    <row r="3" ht="16.5" customHeight="1"/>
    <row r="4" ht="15.75" customHeight="1">
      <c r="B4" s="2" t="s">
        <v>1</v>
      </c>
      <c r="C4" s="3">
        <v>46083</v>
      </c>
      <c r="E4" s="2" t="s">
        <v>2</v>
      </c>
      <c r="F4" s="4">
        <f>TODAY()</f>
        <v>46101</v>
      </c>
    </row>
    <row r="5" ht="12" customHeight="1">
      <c r="I5" s="5" t="s">
        <v>3</v>
      </c>
      <c r="J5" s="5" t="s">
        <v>4</v>
      </c>
      <c r="K5" s="5" t="s">
        <v>5</v>
      </c>
      <c r="L5" s="5" t="s">
        <v>6</v>
      </c>
      <c r="M5" s="5" t="s">
        <v>7</v>
      </c>
      <c r="N5" s="5" t="s">
        <v>8</v>
      </c>
      <c r="O5" s="5" t="s">
        <v>9</v>
      </c>
      <c r="P5" s="5" t="s">
        <v>10</v>
      </c>
      <c r="Q5" s="5" t="s">
        <v>11</v>
      </c>
      <c r="R5" s="5" t="s">
        <v>12</v>
      </c>
      <c r="S5" s="5" t="s">
        <v>13</v>
      </c>
      <c r="T5" s="5" t="s">
        <v>14</v>
      </c>
      <c r="U5" s="5" t="s">
        <v>15</v>
      </c>
      <c r="V5" s="5" t="s">
        <v>16</v>
      </c>
      <c r="W5" s="5" t="s">
        <v>17</v>
      </c>
      <c r="X5" s="5" t="s">
        <v>18</v>
      </c>
      <c r="Y5" s="5" t="s">
        <v>19</v>
      </c>
      <c r="Z5" s="5" t="s">
        <v>20</v>
      </c>
      <c r="AA5" s="5" t="s">
        <v>21</v>
      </c>
      <c r="AB5" s="5" t="s">
        <v>22</v>
      </c>
      <c r="AC5" s="5" t="s">
        <v>23</v>
      </c>
      <c r="AD5" s="5" t="s">
        <v>24</v>
      </c>
      <c r="AE5" s="5" t="s">
        <v>25</v>
      </c>
      <c r="AF5" s="5" t="s">
        <v>26</v>
      </c>
    </row>
    <row r="6" ht="15.75" customHeight="1">
      <c r="B6" s="6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7" t="s">
        <v>33</v>
      </c>
      <c r="I6" s="8">
        <f>$C$4+0</f>
        <v>46083</v>
      </c>
      <c r="J6" s="8">
        <f>$C$4+7</f>
        <v>46090</v>
      </c>
      <c r="K6" s="8">
        <f>$C$4+14</f>
        <v>46097</v>
      </c>
      <c r="L6" s="8">
        <f>$C$4+21</f>
        <v>46104</v>
      </c>
      <c r="M6" s="8">
        <f>$C$4+28</f>
        <v>46111</v>
      </c>
      <c r="N6" s="8">
        <f>$C$4+35</f>
        <v>46118</v>
      </c>
      <c r="O6" s="8">
        <f>$C$4+42</f>
        <v>46125</v>
      </c>
      <c r="P6" s="8">
        <f>$C$4+49</f>
        <v>46132</v>
      </c>
      <c r="Q6" s="8">
        <f>$C$4+56</f>
        <v>46139</v>
      </c>
      <c r="R6" s="8">
        <f>$C$4+63</f>
        <v>46146</v>
      </c>
      <c r="S6" s="8">
        <f>$C$4+70</f>
        <v>46153</v>
      </c>
      <c r="T6" s="8">
        <f>$C$4+77</f>
        <v>46160</v>
      </c>
      <c r="U6" s="8">
        <f>$C$4+84</f>
        <v>46167</v>
      </c>
      <c r="V6" s="8">
        <f>$C$4+91</f>
        <v>46174</v>
      </c>
      <c r="W6" s="8">
        <f>$C$4+98</f>
        <v>46181</v>
      </c>
      <c r="X6" s="8">
        <f>$C$4+105</f>
        <v>46188</v>
      </c>
      <c r="Y6" s="8">
        <f>$C$4+112</f>
        <v>46195</v>
      </c>
      <c r="Z6" s="8">
        <f>$C$4+119</f>
        <v>46202</v>
      </c>
      <c r="AA6" s="8">
        <f>$C$4+126</f>
        <v>46209</v>
      </c>
      <c r="AB6" s="8">
        <f>$C$4+133</f>
        <v>46216</v>
      </c>
      <c r="AC6" s="8">
        <f>$C$4+140</f>
        <v>46223</v>
      </c>
      <c r="AD6" s="8">
        <f>$C$4+147</f>
        <v>46230</v>
      </c>
      <c r="AE6" s="8">
        <f>$C$4+154</f>
        <v>46237</v>
      </c>
      <c r="AF6" s="8">
        <f>$C$4+161</f>
        <v>46244</v>
      </c>
    </row>
    <row r="7" ht="15.75" customHeight="1">
      <c r="B7" s="9" t="s">
        <v>34</v>
      </c>
      <c r="C7" s="9"/>
      <c r="D7" s="9"/>
      <c r="E7" s="9"/>
      <c r="F7" s="9"/>
      <c r="G7" s="9"/>
      <c r="H7" s="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ht="15.75" customHeight="1">
      <c r="B8" s="12" t="s">
        <v>35</v>
      </c>
      <c r="C8" s="13" cm="1">
        <f t="array" ref="C8">$C$4</f>
        <v>46083</v>
      </c>
      <c r="D8" s="13">
        <f t="shared" si="3" ref="D8:D25">C8+7</f>
        <v>46090</v>
      </c>
      <c r="E8" s="14">
        <f t="shared" si="0" ref="E8:E26">D8-C8</f>
        <v>7</v>
      </c>
      <c r="F8" s="15">
        <v>1</v>
      </c>
      <c r="G8" s="16" t="s">
        <v>36</v>
      </c>
      <c r="H8" s="16" t="s">
        <v>37</v>
      </c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ht="15.75" customHeight="1">
      <c r="B9" s="12" t="s">
        <v>38</v>
      </c>
      <c r="C9" s="13" cm="1">
        <f t="array" ref="C9">$C$4</f>
        <v>46083</v>
      </c>
      <c r="D9" s="13">
        <f t="shared" si="1" ref="D9:D24">C9+14</f>
        <v>46097</v>
      </c>
      <c r="E9" s="14">
        <f t="shared" si="0"/>
        <v>14</v>
      </c>
      <c r="F9" s="15">
        <v>1</v>
      </c>
      <c r="G9" s="16" t="s">
        <v>36</v>
      </c>
      <c r="H9" s="16" t="s">
        <v>39</v>
      </c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ht="15.75" customHeight="1">
      <c r="B10" s="12" t="s">
        <v>40</v>
      </c>
      <c r="C10" s="13" cm="1">
        <f t="array" ref="C10">D8</f>
        <v>46090</v>
      </c>
      <c r="D10" s="13">
        <f t="shared" si="2" ref="D10:D22">C10+21</f>
        <v>46111</v>
      </c>
      <c r="E10" s="14">
        <f t="shared" si="0"/>
        <v>21</v>
      </c>
      <c r="F10" s="15">
        <v>0.75</v>
      </c>
      <c r="G10" s="16" t="s">
        <v>41</v>
      </c>
      <c r="H10" s="16" t="s">
        <v>42</v>
      </c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ht="15.75" customHeight="1">
      <c r="B11" s="12" t="s">
        <v>43</v>
      </c>
      <c r="C11" s="13" cm="1">
        <f t="array" ref="C11">D9</f>
        <v>46097</v>
      </c>
      <c r="D11" s="13">
        <f t="shared" si="1"/>
        <v>46111</v>
      </c>
      <c r="E11" s="14">
        <f t="shared" si="0"/>
        <v>14</v>
      </c>
      <c r="F11" s="15">
        <v>0.5</v>
      </c>
      <c r="G11" s="16" t="s">
        <v>41</v>
      </c>
      <c r="H11" s="16" t="s">
        <v>37</v>
      </c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ht="15.75" customHeight="1">
      <c r="B12" s="17" t="s">
        <v>44</v>
      </c>
      <c r="C12" s="17"/>
      <c r="D12" s="17"/>
      <c r="E12" s="17"/>
      <c r="F12" s="17"/>
      <c r="G12" s="17"/>
      <c r="H12" s="17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ht="15.75" customHeight="1">
      <c r="B13" s="12" t="s">
        <v>45</v>
      </c>
      <c r="C13" s="13" cm="1">
        <f t="array" ref="C13">D11</f>
        <v>46111</v>
      </c>
      <c r="D13" s="13">
        <f t="shared" si="2"/>
        <v>46132</v>
      </c>
      <c r="E13" s="14">
        <f t="shared" si="0"/>
        <v>21</v>
      </c>
      <c r="F13" s="15">
        <v>0.25</v>
      </c>
      <c r="G13" s="16" t="s">
        <v>41</v>
      </c>
      <c r="H13" s="16" t="s">
        <v>39</v>
      </c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ht="15.75" customHeight="1">
      <c r="B14" s="12" t="s">
        <v>46</v>
      </c>
      <c r="C14" s="13" cm="1">
        <f t="array" ref="C14">D11</f>
        <v>46111</v>
      </c>
      <c r="D14" s="13">
        <f t="shared" si="4" ref="D14:D20">C14+28</f>
        <v>46139</v>
      </c>
      <c r="E14" s="14">
        <f t="shared" si="0"/>
        <v>28</v>
      </c>
      <c r="F14" s="15">
        <v>0.1</v>
      </c>
      <c r="G14" s="16" t="s">
        <v>41</v>
      </c>
      <c r="H14" s="16" t="s">
        <v>47</v>
      </c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ht="15.75" customHeight="1">
      <c r="B15" s="12" t="s">
        <v>48</v>
      </c>
      <c r="C15" s="13">
        <f>C13+7</f>
        <v>46118</v>
      </c>
      <c r="D15" s="13">
        <f t="shared" si="1"/>
        <v>46132</v>
      </c>
      <c r="E15" s="14">
        <f t="shared" si="0"/>
        <v>14</v>
      </c>
      <c r="F15" s="15">
        <v>0</v>
      </c>
      <c r="G15" s="16" t="s">
        <v>49</v>
      </c>
      <c r="H15" s="16" t="s">
        <v>42</v>
      </c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ht="15.75" customHeight="1">
      <c r="B16" s="12" t="s">
        <v>50</v>
      </c>
      <c r="C16" s="13" cm="1">
        <f t="array" ref="C16">D14</f>
        <v>46139</v>
      </c>
      <c r="D16" s="13">
        <f t="shared" si="3"/>
        <v>46146</v>
      </c>
      <c r="E16" s="14">
        <f t="shared" si="0"/>
        <v>7</v>
      </c>
      <c r="F16" s="15">
        <v>0</v>
      </c>
      <c r="G16" s="16" t="s">
        <v>49</v>
      </c>
      <c r="H16" s="16" t="s">
        <v>51</v>
      </c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ht="15.75" customHeight="1">
      <c r="B17" s="17" t="s">
        <v>52</v>
      </c>
      <c r="C17" s="17"/>
      <c r="D17" s="17"/>
      <c r="E17" s="17"/>
      <c r="F17" s="17"/>
      <c r="G17" s="17"/>
      <c r="H17" s="17"/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ht="15.75" customHeight="1">
      <c r="B18" s="12" t="s">
        <v>53</v>
      </c>
      <c r="C18" s="13" cm="1">
        <f t="array" ref="C18">D16</f>
        <v>46146</v>
      </c>
      <c r="D18" s="13">
        <f>C18+42</f>
        <v>46188</v>
      </c>
      <c r="E18" s="14">
        <f t="shared" si="0"/>
        <v>42</v>
      </c>
      <c r="F18" s="15">
        <v>0</v>
      </c>
      <c r="G18" s="16" t="s">
        <v>49</v>
      </c>
      <c r="H18" s="16" t="s">
        <v>47</v>
      </c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.75" customHeight="1">
      <c r="B19" s="12" t="s">
        <v>54</v>
      </c>
      <c r="C19" s="13" cm="1">
        <f t="array" ref="C19">D16</f>
        <v>46146</v>
      </c>
      <c r="D19" s="13">
        <f>C19+49</f>
        <v>46195</v>
      </c>
      <c r="E19" s="14">
        <f t="shared" si="0"/>
        <v>49</v>
      </c>
      <c r="F19" s="15">
        <v>0</v>
      </c>
      <c r="G19" s="16" t="s">
        <v>49</v>
      </c>
      <c r="H19" s="16" t="s">
        <v>42</v>
      </c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.75" customHeight="1">
      <c r="B20" s="12" t="s">
        <v>55</v>
      </c>
      <c r="C20" s="13">
        <f>C19+21</f>
        <v>46167</v>
      </c>
      <c r="D20" s="13">
        <f t="shared" si="4"/>
        <v>46195</v>
      </c>
      <c r="E20" s="14">
        <f t="shared" si="0"/>
        <v>28</v>
      </c>
      <c r="F20" s="15">
        <v>0</v>
      </c>
      <c r="G20" s="16" t="s">
        <v>49</v>
      </c>
      <c r="H20" s="16" t="s">
        <v>39</v>
      </c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.75" customHeight="1">
      <c r="B21" s="17" t="s">
        <v>56</v>
      </c>
      <c r="C21" s="17"/>
      <c r="D21" s="17"/>
      <c r="E21" s="17"/>
      <c r="F21" s="17"/>
      <c r="G21" s="17"/>
      <c r="H21" s="17"/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.75" customHeight="1">
      <c r="B22" s="12" t="s">
        <v>57</v>
      </c>
      <c r="C22" s="13" cm="1">
        <f t="array" ref="C22">D19</f>
        <v>46195</v>
      </c>
      <c r="D22" s="13">
        <f t="shared" si="2"/>
        <v>46216</v>
      </c>
      <c r="E22" s="14">
        <f t="shared" si="0"/>
        <v>21</v>
      </c>
      <c r="F22" s="15">
        <v>0</v>
      </c>
      <c r="G22" s="16" t="s">
        <v>49</v>
      </c>
      <c r="H22" s="16" t="s">
        <v>58</v>
      </c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ht="15.75" customHeight="1">
      <c r="B23" s="12" t="s">
        <v>59</v>
      </c>
      <c r="C23" s="13">
        <f>C22+14</f>
        <v>46209</v>
      </c>
      <c r="D23" s="13">
        <f t="shared" si="1"/>
        <v>46223</v>
      </c>
      <c r="E23" s="14">
        <f t="shared" si="0"/>
        <v>14</v>
      </c>
      <c r="F23" s="15">
        <v>0</v>
      </c>
      <c r="G23" s="16" t="s">
        <v>49</v>
      </c>
      <c r="H23" s="16" t="s">
        <v>60</v>
      </c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ht="15.75" customHeight="1">
      <c r="B24" s="12" t="s">
        <v>61</v>
      </c>
      <c r="C24" s="13" cm="1">
        <f t="array" ref="C24">D22</f>
        <v>46216</v>
      </c>
      <c r="D24" s="13">
        <f t="shared" si="1"/>
        <v>46230</v>
      </c>
      <c r="E24" s="14">
        <f t="shared" si="0"/>
        <v>14</v>
      </c>
      <c r="F24" s="15">
        <v>0</v>
      </c>
      <c r="G24" s="16" t="s">
        <v>49</v>
      </c>
      <c r="H24" s="16" t="s">
        <v>51</v>
      </c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ht="15.75" customHeight="1">
      <c r="B25" s="12" t="s">
        <v>62</v>
      </c>
      <c r="C25" s="13" cm="1">
        <f t="array" ref="C25">D23</f>
        <v>46223</v>
      </c>
      <c r="D25" s="13">
        <f t="shared" si="3"/>
        <v>46230</v>
      </c>
      <c r="E25" s="14">
        <f t="shared" si="0"/>
        <v>7</v>
      </c>
      <c r="F25" s="15">
        <v>0</v>
      </c>
      <c r="G25" s="16" t="s">
        <v>49</v>
      </c>
      <c r="H25" s="16" t="s">
        <v>37</v>
      </c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ht="15.75" customHeight="1">
      <c r="B26" s="18" t="s">
        <v>63</v>
      </c>
      <c r="C26" s="19">
        <f>D24+7</f>
        <v>46237</v>
      </c>
      <c r="D26" s="19" cm="1">
        <f t="array" ref="D26">C26</f>
        <v>46237</v>
      </c>
      <c r="E26" s="20">
        <f t="shared" si="0"/>
        <v>0</v>
      </c>
      <c r="F26" s="21">
        <v>0</v>
      </c>
      <c r="G26" s="22" t="s">
        <v>49</v>
      </c>
      <c r="H26" s="22" t="s">
        <v>51</v>
      </c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ht="16.5" customHeight="1"/>
    <row r="28" ht="15.75" customHeight="1">
      <c r="B28" s="23" t="s">
        <v>64</v>
      </c>
      <c r="I28" s="24"/>
      <c r="J28" s="25" t="s">
        <v>65</v>
      </c>
      <c r="L28" s="26"/>
      <c r="M28" s="25" t="s">
        <v>66</v>
      </c>
      <c r="O28" s="27"/>
      <c r="P28" s="25" t="s">
        <v>67</v>
      </c>
    </row>
    <row r="29" ht="15.75" customHeight="1">
      <c r="B29" s="23" t="s">
        <v>68</v>
      </c>
      <c r="I29" s="28" t="s">
        <v>69</v>
      </c>
      <c r="J29" s="29" t="s">
        <v>36</v>
      </c>
      <c r="L29" s="30" t="s">
        <v>69</v>
      </c>
      <c r="M29" s="31" t="s">
        <v>41</v>
      </c>
      <c r="O29" s="32" t="s">
        <v>69</v>
      </c>
      <c r="P29" s="33" t="s">
        <v>49</v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conditionalFormatting sqref="G7:G26">
    <cfRule type="cellIs" dxfId="0" priority="11" operator="equal" text="null">
      <formula>"Not Started"</formula>
    </cfRule>
  </conditionalFormatting>
  <conditionalFormatting sqref="G7:G26">
    <cfRule type="cellIs" dxfId="1" priority="10" operator="equal" text="null">
      <formula>"In Progress"</formula>
    </cfRule>
  </conditionalFormatting>
  <conditionalFormatting sqref="G7:G26">
    <cfRule type="cellIs" dxfId="2" priority="9" operator="equal" text="null">
      <formula>"Complete"</formula>
    </cfRule>
  </conditionalFormatting>
  <conditionalFormatting sqref="I8:AF11">
    <cfRule type="expression" dxfId="3" priority="8" text="null">
      <formula>AND($C8&lt;=I$6+6,$D8&gt;=I$6)</formula>
    </cfRule>
  </conditionalFormatting>
  <conditionalFormatting sqref="I8:AF11">
    <cfRule type="expression" dxfId="4" priority="7" text="null">
      <formula>AND($C8&lt;=I$6+6,$D8&gt;=I$6,I$6&lt;$C8+($D8-$C8)*$F8)</formula>
    </cfRule>
  </conditionalFormatting>
  <conditionalFormatting sqref="I13:AF16">
    <cfRule type="expression" dxfId="3" priority="6" text="null">
      <formula>AND($C13&lt;=I$6+6,$D13&gt;=I$6)</formula>
    </cfRule>
  </conditionalFormatting>
  <conditionalFormatting sqref="I13:AF16">
    <cfRule type="expression" dxfId="4" priority="5" text="null">
      <formula>AND($C13&lt;=I$6+6,$D13&gt;=I$6,I$6&lt;$C13+($D13-$C13)*$F13)</formula>
    </cfRule>
  </conditionalFormatting>
  <conditionalFormatting sqref="I18:AF20">
    <cfRule type="expression" dxfId="3" priority="4" text="null">
      <formula>AND($C18&lt;=I$6+6,$D18&gt;=I$6)</formula>
    </cfRule>
  </conditionalFormatting>
  <conditionalFormatting sqref="I18:AF20">
    <cfRule type="expression" dxfId="4" priority="3" text="null">
      <formula>AND($C18&lt;=I$6+6,$D18&gt;=I$6,I$6&lt;$C18+($D18-$C18)*$F18)</formula>
    </cfRule>
  </conditionalFormatting>
  <conditionalFormatting sqref="I22:AF26">
    <cfRule type="expression" dxfId="3" priority="2" text="null">
      <formula>AND($C22&lt;=I$6+6,$D22&gt;=I$6)</formula>
    </cfRule>
  </conditionalFormatting>
  <conditionalFormatting sqref="I22:AF26">
    <cfRule type="expression" dxfId="4" priority="1" text="null">
      <formula>AND($C22&lt;=I$6+6,$D22&gt;=I$6,I$6&lt;$C22+($D22-$C22)*$F22)</formula>
    </cfRule>
  </conditionalFormatting>
  <dataValidations count="16">
    <dataValidation allowBlank="1" showErrorMessage="1" showInputMessage="1" sqref="G8" type="list">
      <formula1>"Not Started,In Progress,Complete"</formula1>
    </dataValidation>
    <dataValidation allowBlank="1" showErrorMessage="1" showInputMessage="1" sqref="G9" type="list">
      <formula1>"Not Started,In Progress,Complete"</formula1>
    </dataValidation>
    <dataValidation allowBlank="1" showErrorMessage="1" showInputMessage="1" sqref="G10" type="list">
      <formula1>"Not Started,In Progress,Complete"</formula1>
    </dataValidation>
    <dataValidation allowBlank="1" showErrorMessage="1" showInputMessage="1" sqref="G11" type="list">
      <formula1>"Not Started,In Progress,Complete"</formula1>
    </dataValidation>
    <dataValidation allowBlank="1" showErrorMessage="1" showInputMessage="1" sqref="G13" type="list">
      <formula1>"Not Started,In Progress,Complete"</formula1>
    </dataValidation>
    <dataValidation allowBlank="1" showErrorMessage="1" showInputMessage="1" sqref="G14" type="list">
      <formula1>"Not Started,In Progress,Complete"</formula1>
    </dataValidation>
    <dataValidation allowBlank="1" showErrorMessage="1" showInputMessage="1" sqref="G15" type="list">
      <formula1>"Not Started,In Progress,Complete"</formula1>
    </dataValidation>
    <dataValidation allowBlank="1" showErrorMessage="1" showInputMessage="1" sqref="G16" type="list">
      <formula1>"Not Started,In Progress,Complete"</formula1>
    </dataValidation>
    <dataValidation allowBlank="1" showErrorMessage="1" showInputMessage="1" sqref="G18" type="list">
      <formula1>"Not Started,In Progress,Complete"</formula1>
    </dataValidation>
    <dataValidation allowBlank="1" showErrorMessage="1" showInputMessage="1" sqref="G19" type="list">
      <formula1>"Not Started,In Progress,Complete"</formula1>
    </dataValidation>
    <dataValidation allowBlank="1" showErrorMessage="1" showInputMessage="1" sqref="G20" type="list">
      <formula1>"Not Started,In Progress,Complete"</formula1>
    </dataValidation>
    <dataValidation allowBlank="1" showErrorMessage="1" showInputMessage="1" sqref="G22" type="list">
      <formula1>"Not Started,In Progress,Complete"</formula1>
    </dataValidation>
    <dataValidation allowBlank="1" showErrorMessage="1" showInputMessage="1" sqref="G23" type="list">
      <formula1>"Not Started,In Progress,Complete"</formula1>
    </dataValidation>
    <dataValidation allowBlank="1" showErrorMessage="1" showInputMessage="1" sqref="G24" type="list">
      <formula1>"Not Started,In Progress,Complete"</formula1>
    </dataValidation>
    <dataValidation allowBlank="1" showErrorMessage="1" showInputMessage="1" sqref="G25" type="list">
      <formula1>"Not Started,In Progress,Complete"</formula1>
    </dataValidation>
    <dataValidation allowBlank="1" showErrorMessage="1" showInputMessage="1" sqref="G26" type="list">
      <formula1>"Not Started,In Progress,Complete"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d4da1f3e-6222-445e-8ae6-0a4c4a32a9ac</vt:lpwstr>
  </property>
</Properties>
</file>