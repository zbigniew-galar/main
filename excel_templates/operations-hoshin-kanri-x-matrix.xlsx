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g"/>
  <Default Extension="tiff" ContentType="image/tiff"/>
  <Default Extension="jpeg" ContentType="image/jpeg"/>
  <Default Extension="png" ContentType="image/png"/>
  <Default Extension="bmp" ContentType="image/bmp"/>
  <Default Extension="gif" ContentType="image/gif"/>
  <Default Extension="svg" ContentType="image/svg+xml"/>
  <Default Extension="emf" ContentType="image/x-emf"/>
  <Default Extension="wmf" ContentType="image/x-wmf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/xl/workbook.xml"/><Relationship Id="rId2" Type="http://schemas.openxmlformats.org/package/2006/relationships/metadata/core-properties" Target="/docProps/core.xml"/><Relationship Id="rId3" Type="http://schemas.openxmlformats.org/officeDocument/2006/relationships/extended-properties" Target="/docProps/app.xml"/><Relationship Id="rId4" Type="http://schemas.openxmlformats.org/officeDocument/2006/relationships/custom-properties" Target="/docProps/custom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r:id="rId1" name="X-Matrix" sheetId="1"/>
  </sheets>
  <calcPr calcId="0" iterateCount="100" iterateDelta="0.001"/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<sst xmlns="http://schemas.openxmlformats.org/spreadsheetml/2006/main" count="73" uniqueCount="73">
  <si>
    <t>Hoshin Kanri X-Matrix</t>
  </si>
  <si>
    <t>Strategic planning alignment tool  |  ● Strong correlation  ○ Weak correlation</t>
  </si>
  <si>
    <t>IMPROVEMENT PRIORITIES</t>
  </si>
  <si>
    <t>Implement lean manufacturing</t>
  </si>
  <si>
    <t>Upgrade IT infrastructure</t>
  </si>
  <si>
    <t>Develop employee skills</t>
  </si>
  <si>
    <t>Expand market presence</t>
  </si>
  <si>
    <t>Improve quality systems</t>
  </si>
  <si>
    <t>Reduce operating costs</t>
  </si>
  <si>
    <t>Enhance customer service</t>
  </si>
  <si>
    <t>ANNUAL OBJECTIVES</t>
  </si>
  <si>
    <t>KPIs / TARGETS</t>
  </si>
  <si>
    <t>Target</t>
  </si>
  <si>
    <t>Actual</t>
  </si>
  <si>
    <t>Status</t>
  </si>
  <si>
    <t>Gap</t>
  </si>
  <si>
    <t>Reduce production defect rate by 50%</t>
  </si>
  <si>
    <t>●</t>
  </si>
  <si>
    <t>○</t>
  </si>
  <si>
    <t>Defect Rate (%)</t>
  </si>
  <si>
    <t>Achieve 95% on-time delivery</t>
  </si>
  <si>
    <t>On-Time Delivery (%)</t>
  </si>
  <si>
    <t>Increase revenue by 15%</t>
  </si>
  <si>
    <t>Revenue Growth (%)</t>
  </si>
  <si>
    <t>Reduce employee turnover to &lt;10%</t>
  </si>
  <si>
    <t>Employee Turnover (%)</t>
  </si>
  <si>
    <t>Launch 3 new product lines</t>
  </si>
  <si>
    <t>New Products Launched</t>
  </si>
  <si>
    <t>Cut operational costs by 12%</t>
  </si>
  <si>
    <t>Cost Reduction (%)</t>
  </si>
  <si>
    <t>Achieve NPS score of 75+</t>
  </si>
  <si>
    <t>NPS Score</t>
  </si>
  <si>
    <t>Count ●</t>
  </si>
  <si>
    <t>Avg</t>
  </si>
  <si>
    <t>GOALS ↔ OBJECTIVES</t>
  </si>
  <si>
    <t>LONG-TERM GOALS (3-5 YEAR)</t>
  </si>
  <si>
    <t>RESPONSIBLE OWNERS</t>
  </si>
  <si>
    <t>Become market leader in quality</t>
  </si>
  <si>
    <t>Achieve $100M revenue</t>
  </si>
  <si>
    <t>Build world-class workforce</t>
  </si>
  <si>
    <t>Expand to 5 new markets</t>
  </si>
  <si>
    <t>Industry-best customer loyalty</t>
  </si>
  <si>
    <t>Zero-waste operations</t>
  </si>
  <si>
    <t>Technology-driven innovation</t>
  </si>
  <si>
    <t>O1: Defect Reduction</t>
  </si>
  <si>
    <t>VP Operations</t>
  </si>
  <si>
    <t>O1</t>
  </si>
  <si>
    <t>O2: On-Time Delivery</t>
  </si>
  <si>
    <t>VP Supply Chain</t>
  </si>
  <si>
    <t>O2</t>
  </si>
  <si>
    <t>O3: Revenue Growth</t>
  </si>
  <si>
    <t>VP Sales</t>
  </si>
  <si>
    <t>O3</t>
  </si>
  <si>
    <t>O4: Employee Retention</t>
  </si>
  <si>
    <t>VP Human Resources</t>
  </si>
  <si>
    <t>O4</t>
  </si>
  <si>
    <t>O5: New Products</t>
  </si>
  <si>
    <t>VP R&amp;D</t>
  </si>
  <si>
    <t>O5</t>
  </si>
  <si>
    <t>O6: Cost Reduction</t>
  </si>
  <si>
    <t>CFO</t>
  </si>
  <si>
    <t>O6</t>
  </si>
  <si>
    <t>O7: Customer Satisfaction</t>
  </si>
  <si>
    <t>VP Customer Success</t>
  </si>
  <si>
    <t>O7</t>
  </si>
  <si>
    <t>LEGEND</t>
  </si>
  <si>
    <t>Strong Correlation</t>
  </si>
  <si>
    <t>Long-term Goals</t>
  </si>
  <si>
    <t>Weak/Supporting Correlation</t>
  </si>
  <si>
    <t>Annual Objectives</t>
  </si>
  <si>
    <t>No Correlation</t>
  </si>
  <si>
    <t>Improvement Priorities</t>
  </si>
  <si>
    <t>KPIs / Targets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</si>
</sst>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1" formatCode="0.0%"/>
  </numFmts>
  <fonts count="16">
    <font>
      <b val="0"/>
      <i val="0"/>
      <sz val="12"/>
      <color theme="1"/>
      <name val="Aptos Narrow"/>
      <scheme val="minor"/>
    </font>
    <font>
      <b/>
      <i val="0"/>
      <sz val="18"/>
      <color rgb="FF1F3864"/>
      <name val="Aptos"/>
    </font>
    <font>
      <b val="0"/>
      <i val="0"/>
      <sz val="10"/>
      <color rgb="FF808080"/>
      <name val="Aptos"/>
    </font>
    <font>
      <b/>
      <i val="0"/>
      <sz val="10"/>
      <color rgb="FFFFFFFF"/>
      <name val="Aptos"/>
    </font>
    <font>
      <b val="0"/>
      <i val="0"/>
      <sz val="10"/>
      <color rgb="FF0070C0"/>
      <name val="Aptos"/>
    </font>
    <font>
      <b/>
      <i val="0"/>
      <sz val="10"/>
      <color rgb="FF548235"/>
      <name val="Aptos"/>
    </font>
    <font>
      <b val="0"/>
      <i val="0"/>
      <sz val="11"/>
      <color rgb="FF1F3864"/>
      <name val="Aptos"/>
    </font>
    <font>
      <b/>
      <i val="0"/>
      <sz val="10"/>
      <color rgb="FF7030A0"/>
      <name val="Aptos"/>
    </font>
    <font>
      <b val="0"/>
      <i val="0"/>
      <sz val="10"/>
      <color theme="1"/>
      <name val="Aptos"/>
    </font>
    <font>
      <b val="0"/>
      <i val="0"/>
      <sz val="8"/>
      <color rgb="FF808080"/>
      <name val="Aptos"/>
    </font>
    <font>
      <b/>
      <i val="0"/>
      <sz val="10"/>
      <color theme="1"/>
      <name val="Aptos"/>
    </font>
    <font>
      <b/>
      <i val="0"/>
      <sz val="10"/>
      <color rgb="FF808080"/>
      <name val="Aptos"/>
    </font>
    <font>
      <b val="0"/>
      <i val="0"/>
      <sz val="10"/>
      <color rgb="FF333333"/>
      <name val="Aptos"/>
    </font>
    <font>
      <b val="0"/>
      <i val="0"/>
      <sz val="10"/>
      <color rgb="FF548235"/>
      <name val="Aptos"/>
    </font>
    <font>
      <b/>
      <i val="0"/>
      <sz val="10"/>
      <color rgb="FF1F3864"/>
      <name val="Aptos"/>
    </font>
    <font>
      <b val="0"/>
      <i val="0"/>
      <sz val="12"/>
      <color rgb="FF1F3864"/>
      <name val="Aptos"/>
    </font>
  </fonts>
  <fills count="13">
    <fill>
      <patternFill patternType="none"/>
    </fill>
    <fill>
      <patternFill patternType="gray125"/>
    </fill>
    <fill>
      <patternFill patternType="solid">
        <fgColor rgb="FFC55A11"/>
      </patternFill>
    </fill>
    <fill>
      <patternFill patternType="solid">
        <fgColor rgb="FFFCE4CC"/>
      </patternFill>
    </fill>
    <fill>
      <patternFill patternType="solid">
        <fgColor rgb="FF548235"/>
      </patternFill>
    </fill>
    <fill>
      <patternFill patternType="solid">
        <fgColor rgb="FF7030A0"/>
      </patternFill>
    </fill>
    <fill>
      <patternFill patternType="solid">
        <fgColor rgb="FFE2EFDA"/>
      </patternFill>
    </fill>
    <fill>
      <patternFill patternType="solid">
        <fgColor rgb="FFF5F5F5"/>
      </patternFill>
    </fill>
    <fill>
      <patternFill patternType="solid">
        <fgColor rgb="FFE8D5F5"/>
      </patternFill>
    </fill>
    <fill>
      <patternFill patternType="solid">
        <fgColor rgb="FF4472C4"/>
      </patternFill>
    </fill>
    <fill>
      <patternFill patternType="solid">
        <fgColor rgb="FF404040"/>
      </patternFill>
    </fill>
    <fill>
      <patternFill patternType="solid">
        <fgColor rgb="FFD6E4F0"/>
      </patternFill>
    </fill>
    <fill>
      <patternFill patternType="solid">
        <fgColor rgb="FFEFF5FB"/>
      </patternFill>
    </fill>
  </fills>
  <borders count="5">
    <border>
      <left/>
      <right/>
      <top/>
      <bottom/>
    </border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  <border>
      <left/>
      <right/>
      <top/>
      <bottom style="thin">
        <color rgb="FFD9D9D9"/>
      </bottom>
      <diagonal/>
    </border>
    <border>
      <left style="thin">
        <color rgb="FFB4C6E7"/>
      </left>
      <right/>
      <top style="thin">
        <color rgb="FFB4C6E7"/>
      </top>
      <bottom style="thin">
        <color rgb="FFB4C6E7"/>
      </bottom>
      <diagonal/>
    </border>
  </borders>
  <cellStyleXfs count="1">
    <xf numFmtId="0" fontId="0" fillId="0" borderId="1"/>
  </cellStyleXfs>
  <cellXfs count="40">
    <xf numFmtId="0" fontId="0" fillId="0" borderId="1" xfId="0"/>
    <xf numFmtId="0" fontId="1" fillId="0" borderId="1" xfId="0"/>
    <xf numFmtId="0" fontId="2" fillId="0" borderId="1" xfId="0"/>
    <xf numFmtId="0" fontId="3" fillId="2" borderId="1" xfId="0">
      <alignment horizontal="center" vertical="center"/>
    </xf>
    <xf numFmtId="0" fontId="4" fillId="3" borderId="2" xfId="0">
      <alignment horizontal="center" vertical="bottom" textRotation="90"/>
    </xf>
    <xf numFmtId="0" fontId="3" fillId="4" borderId="1" xfId="0">
      <alignment horizontal="center" vertical="center"/>
    </xf>
    <xf numFmtId="0" fontId="3" fillId="5" borderId="1" xfId="0">
      <alignment horizontal="center" vertical="center"/>
    </xf>
    <xf numFmtId="0" fontId="5" fillId="6" borderId="2" xfId="0">
      <alignment horizontal="center" vertical="center"/>
    </xf>
    <xf numFmtId="0" fontId="4" fillId="6" borderId="2" xfId="0">
      <alignment horizontal="left" vertical="center"/>
    </xf>
    <xf numFmtId="0" fontId="6" fillId="7" borderId="2" xfId="0">
      <alignment horizontal="center" vertical="center"/>
    </xf>
    <xf numFmtId="0" fontId="7" fillId="8" borderId="3" xfId="0">
      <alignment horizontal="center" vertical="center"/>
    </xf>
    <xf numFmtId="0" fontId="4" fillId="8" borderId="3" xfId="0">
      <alignment horizontal="left" vertical="center"/>
    </xf>
    <xf numFmtId="171" fontId="4" fillId="8" borderId="3" xfId="0">
      <alignment horizontal="center" vertical="bottom"/>
    </xf>
    <xf numFmtId="9" fontId="8" fillId="8" borderId="3" xfId="0">
      <alignment horizontal="center" vertical="bottom"/>
    </xf>
    <xf numFmtId="171" fontId="8" fillId="8" borderId="3" xfId="0">
      <alignment horizontal="center" vertical="bottom"/>
    </xf>
    <xf numFmtId="9" fontId="4" fillId="8" borderId="3" xfId="0">
      <alignment horizontal="center" vertical="bottom"/>
    </xf>
    <xf numFmtId="1" fontId="4" fillId="8" borderId="3" xfId="0">
      <alignment horizontal="center" vertical="bottom"/>
    </xf>
    <xf numFmtId="1" fontId="8" fillId="8" borderId="3" xfId="0">
      <alignment horizontal="center" vertical="bottom"/>
    </xf>
    <xf numFmtId="0" fontId="9" fillId="0" borderId="1" xfId="0"/>
    <xf numFmtId="0" fontId="10" fillId="0" borderId="1" xfId="0">
      <alignment horizontal="center" vertical="bottom"/>
    </xf>
    <xf numFmtId="0" fontId="7" fillId="0" borderId="1" xfId="0"/>
    <xf numFmtId="9" fontId="10" fillId="0" borderId="1" xfId="0"/>
    <xf numFmtId="0" fontId="11" fillId="0" borderId="1" xfId="0">
      <alignment horizontal="center" vertical="center"/>
    </xf>
    <xf numFmtId="0" fontId="3" fillId="9" borderId="1" xfId="0">
      <alignment horizontal="center" vertical="center"/>
    </xf>
    <xf numFmtId="0" fontId="3" fillId="10" borderId="1" xfId="0">
      <alignment horizontal="center" vertical="center"/>
    </xf>
    <xf numFmtId="0" fontId="4" fillId="11" borderId="2" xfId="0">
      <alignment horizontal="center" vertical="bottom" textRotation="90"/>
    </xf>
    <xf numFmtId="0" fontId="12" fillId="0" borderId="2" xfId="0">
      <alignment horizontal="left" vertical="center"/>
    </xf>
    <xf numFmtId="0" fontId="12" fillId="0" borderId="4" xfId="0">
      <alignment vertical="center"/>
    </xf>
    <xf numFmtId="0" fontId="12" fillId="0" borderId="2" xfId="0">
      <alignment vertical="center"/>
    </xf>
    <xf numFmtId="0" fontId="4" fillId="0" borderId="2" xfId="0">
      <alignment horizontal="left" vertical="center"/>
    </xf>
    <xf numFmtId="0" fontId="4" fillId="0" borderId="2" xfId="0">
      <alignment vertical="center"/>
    </xf>
    <xf numFmtId="0" fontId="13" fillId="0" borderId="2" xfId="0">
      <alignment horizontal="center" vertical="center"/>
    </xf>
    <xf numFmtId="0" fontId="6" fillId="12" borderId="2" xfId="0">
      <alignment horizontal="center" vertical="center"/>
    </xf>
    <xf numFmtId="0" fontId="14" fillId="0" borderId="1" xfId="0"/>
    <xf numFmtId="0" fontId="15" fillId="0" borderId="1" xfId="0">
      <alignment horizontal="center" vertical="center"/>
    </xf>
    <xf numFmtId="0" fontId="12" fillId="0" borderId="1" xfId="0"/>
    <xf numFmtId="0" fontId="0" fillId="9" borderId="1" xfId="0"/>
    <xf numFmtId="0" fontId="0" fillId="4" borderId="1" xfId="0"/>
    <xf numFmtId="0" fontId="0" fillId="2" borderId="1" xfId="0"/>
    <xf numFmtId="0" fontId="0" fillId="5" borderId="1" xfId="0"/>
  </cellXfs>
  <cellStyles count="1">
    <cellStyle name="Normal" xfId="0" builtinId="0"/>
  </cellStyles>
  <dxfs count="3"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sharedStrings" Target="sharedString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D192E088-3BDF-D218-3399-B680F7B33B28}" mc:Ignorable="x14ac xr xr2 xr3">
  <dimension ref="A1:CV10000"/>
  <sheetViews>
    <sheetView showGridLines="0" zoomScale="90" workbookViewId="0" tabSelected="1">
      <pane xSplit="1" ySplit="5" topLeftCell="B12" activePane="bottomRight" state="frozen"/>
      <selection pane="bottomLeft" activeCell="A6" sqref="A6"/>
      <selection pane="topRight" activeCell="B1" sqref="B1"/>
      <selection pane="bottomRight" activeCell="K22" sqref="K22"/>
    </sheetView>
  </sheetViews>
  <sheetFormatPr defaultRowHeight="15.997499999999997" defaultColWidth="9.00390625" customHeight="1"/>
  <cols>
    <col min="1" max="1" width="2.00390625" customWidth="1"/>
    <col min="2" max="2" width="3.00390625" customWidth="1"/>
    <col min="3" max="3" width="32.00390625" customWidth="1"/>
    <col min="4" max="4" width="1.00390625" customWidth="1"/>
    <col min="6" max="12" width="5.00390625" customWidth="1"/>
    <col min="13" max="13" width="1.00390625" customWidth="1"/>
    <col min="14" max="14" width="3.00390625" customWidth="1"/>
    <col min="15" max="15" width="24.00390625" customWidth="1"/>
    <col min="16" max="19" width="10.00390625" customWidth="1"/>
  </cols>
  <sheetData>
    <row r="1" ht="16.5" customHeight="1"/>
    <row r="2" ht="24.75" customHeight="1">
      <c r="B2" s="1" t="s">
        <v>0</v>
      </c>
    </row>
    <row r="3" ht="14.25" customHeight="1">
      <c r="B3" s="2" t="s">
        <v>1</v>
      </c>
    </row>
    <row r="4" ht="16.5" customHeight="1"/>
    <row r="5" ht="15" customHeight="1">
      <c r="F5" s="3" t="s">
        <v>2</v>
      </c>
    </row>
    <row r="6" ht="138" customHeight="1">
      <c r="F6" s="4" t="s">
        <v>3</v>
      </c>
      <c r="G6" s="4" t="s">
        <v>4</v>
      </c>
      <c r="H6" s="4" t="s">
        <v>5</v>
      </c>
      <c r="I6" s="4" t="s">
        <v>6</v>
      </c>
      <c r="J6" s="4" t="s">
        <v>7</v>
      </c>
      <c r="K6" s="4" t="s">
        <v>8</v>
      </c>
      <c r="L6" s="4" t="s">
        <v>9</v>
      </c>
    </row>
    <row r="7" ht="16.5" customHeight="1"/>
    <row r="8" ht="16.5" customHeight="1"/>
    <row r="9" ht="16.5" customHeight="1"/>
    <row r="10" ht="15" customHeight="1">
      <c r="B10" s="5" t="s">
        <v>10</v>
      </c>
      <c r="N10" s="6" t="s">
        <v>11</v>
      </c>
      <c r="P10" s="6" t="s">
        <v>12</v>
      </c>
      <c r="Q10" s="6" t="s">
        <v>13</v>
      </c>
      <c r="R10" s="6" t="s">
        <v>14</v>
      </c>
      <c r="S10" s="6" t="s">
        <v>15</v>
      </c>
    </row>
    <row r="11" ht="15.75" customHeight="1">
      <c r="B11" s="7">
        <v>1</v>
      </c>
      <c r="C11" s="8" t="s">
        <v>16</v>
      </c>
      <c r="F11" s="9" t="s">
        <v>17</v>
      </c>
      <c r="G11" s="9"/>
      <c r="H11" s="9"/>
      <c r="I11" s="9"/>
      <c r="J11" s="9" t="s">
        <v>17</v>
      </c>
      <c r="K11" s="9" t="s">
        <v>18</v>
      </c>
      <c r="L11" s="9"/>
      <c r="N11" s="10">
        <v>1</v>
      </c>
      <c r="O11" s="11" t="s">
        <v>19</v>
      </c>
      <c r="P11" s="12">
        <v>0.015</v>
      </c>
      <c r="Q11" s="12">
        <v>0.028</v>
      </c>
      <c r="R11" s="13">
        <f t="shared" si="0" ref="R11:R17">Q11/P11</f>
        <v>1.86666666666667</v>
      </c>
      <c r="S11" s="14">
        <f t="shared" si="1" ref="S11:S17">P11-Q11</f>
        <v>-0.013</v>
      </c>
    </row>
    <row r="12" ht="15.75" customHeight="1">
      <c r="B12" s="7">
        <v>2</v>
      </c>
      <c r="C12" s="8" t="s">
        <v>20</v>
      </c>
      <c r="F12" s="9" t="s">
        <v>18</v>
      </c>
      <c r="G12" s="9"/>
      <c r="H12" s="9"/>
      <c r="I12" s="9" t="s">
        <v>17</v>
      </c>
      <c r="J12" s="9" t="s">
        <v>18</v>
      </c>
      <c r="K12" s="9"/>
      <c r="L12" s="9" t="s">
        <v>17</v>
      </c>
      <c r="N12" s="10">
        <v>2</v>
      </c>
      <c r="O12" s="11" t="s">
        <v>21</v>
      </c>
      <c r="P12" s="15">
        <v>0.95</v>
      </c>
      <c r="Q12" s="15">
        <v>0.89</v>
      </c>
      <c r="R12" s="13">
        <f t="shared" si="0"/>
        <v>0.936842105263158</v>
      </c>
      <c r="S12" s="13">
        <f t="shared" si="1"/>
        <v>0.06</v>
      </c>
    </row>
    <row r="13" ht="15.75" customHeight="1">
      <c r="B13" s="7">
        <v>3</v>
      </c>
      <c r="C13" s="8" t="s">
        <v>22</v>
      </c>
      <c r="F13" s="9"/>
      <c r="G13" s="9"/>
      <c r="H13" s="9"/>
      <c r="I13" s="9" t="s">
        <v>17</v>
      </c>
      <c r="J13" s="9"/>
      <c r="K13" s="9" t="s">
        <v>18</v>
      </c>
      <c r="L13" s="9" t="s">
        <v>18</v>
      </c>
      <c r="N13" s="10">
        <v>3</v>
      </c>
      <c r="O13" s="11" t="s">
        <v>23</v>
      </c>
      <c r="P13" s="15">
        <v>0.15</v>
      </c>
      <c r="Q13" s="15">
        <v>0.08</v>
      </c>
      <c r="R13" s="13">
        <f t="shared" si="0"/>
        <v>0.533333333333333</v>
      </c>
      <c r="S13" s="13">
        <f t="shared" si="1"/>
        <v>0.07</v>
      </c>
    </row>
    <row r="14" ht="15.75" customHeight="1">
      <c r="B14" s="7">
        <v>4</v>
      </c>
      <c r="C14" s="8" t="s">
        <v>24</v>
      </c>
      <c r="F14" s="9"/>
      <c r="G14" s="9"/>
      <c r="H14" s="9" t="s">
        <v>17</v>
      </c>
      <c r="I14" s="9"/>
      <c r="J14" s="9"/>
      <c r="K14" s="9"/>
      <c r="L14" s="9" t="s">
        <v>17</v>
      </c>
      <c r="N14" s="10">
        <v>4</v>
      </c>
      <c r="O14" s="11" t="s">
        <v>25</v>
      </c>
      <c r="P14" s="15">
        <v>0.1</v>
      </c>
      <c r="Q14" s="15">
        <v>0.14</v>
      </c>
      <c r="R14" s="13">
        <f t="shared" si="0"/>
        <v>1.4</v>
      </c>
      <c r="S14" s="13">
        <f t="shared" si="1"/>
        <v>-0.04</v>
      </c>
    </row>
    <row r="15" ht="15.75" customHeight="1">
      <c r="B15" s="7">
        <v>5</v>
      </c>
      <c r="C15" s="8" t="s">
        <v>26</v>
      </c>
      <c r="F15" s="9"/>
      <c r="G15" s="9" t="s">
        <v>17</v>
      </c>
      <c r="H15" s="9"/>
      <c r="I15" s="9" t="s">
        <v>17</v>
      </c>
      <c r="J15" s="9" t="s">
        <v>18</v>
      </c>
      <c r="K15" s="9"/>
      <c r="L15" s="9"/>
      <c r="N15" s="10">
        <v>5</v>
      </c>
      <c r="O15" s="11" t="s">
        <v>27</v>
      </c>
      <c r="P15" s="16">
        <v>3</v>
      </c>
      <c r="Q15" s="16">
        <v>1</v>
      </c>
      <c r="R15" s="13">
        <f t="shared" si="0"/>
        <v>0.333333333333333</v>
      </c>
      <c r="S15" s="17">
        <f t="shared" si="1"/>
        <v>2</v>
      </c>
    </row>
    <row r="16" ht="15.75" customHeight="1">
      <c r="B16" s="7">
        <v>6</v>
      </c>
      <c r="C16" s="8" t="s">
        <v>28</v>
      </c>
      <c r="F16" s="9" t="s">
        <v>17</v>
      </c>
      <c r="G16" s="9"/>
      <c r="H16" s="9"/>
      <c r="I16" s="9"/>
      <c r="J16" s="9"/>
      <c r="K16" s="9" t="s">
        <v>17</v>
      </c>
      <c r="L16" s="9"/>
      <c r="N16" s="10">
        <v>6</v>
      </c>
      <c r="O16" s="11" t="s">
        <v>29</v>
      </c>
      <c r="P16" s="15">
        <v>0.12</v>
      </c>
      <c r="Q16" s="15">
        <v>0.05</v>
      </c>
      <c r="R16" s="13">
        <f t="shared" si="0"/>
        <v>0.416666666666667</v>
      </c>
      <c r="S16" s="13">
        <f t="shared" si="1"/>
        <v>0.07</v>
      </c>
    </row>
    <row r="17" ht="15.75" customHeight="1">
      <c r="B17" s="7">
        <v>7</v>
      </c>
      <c r="C17" s="8" t="s">
        <v>30</v>
      </c>
      <c r="F17" s="9"/>
      <c r="G17" s="9"/>
      <c r="H17" s="9" t="s">
        <v>18</v>
      </c>
      <c r="I17" s="9"/>
      <c r="J17" s="9" t="s">
        <v>17</v>
      </c>
      <c r="K17" s="9"/>
      <c r="L17" s="9" t="s">
        <v>17</v>
      </c>
      <c r="N17" s="10">
        <v>7</v>
      </c>
      <c r="O17" s="11" t="s">
        <v>31</v>
      </c>
      <c r="P17" s="16">
        <v>75</v>
      </c>
      <c r="Q17" s="16">
        <v>62</v>
      </c>
      <c r="R17" s="13">
        <f t="shared" si="0"/>
        <v>0.826666666666667</v>
      </c>
      <c r="S17" s="17">
        <f t="shared" si="1"/>
        <v>13</v>
      </c>
    </row>
    <row r="18" ht="3" customHeight="1">
      <c r="D18" s="18" t="s">
        <v>32</v>
      </c>
      <c r="F18" s="19">
        <f t="shared" si="2" ref="F18:L28">COUNTIF(F11:F17,"●")</f>
        <v>2</v>
      </c>
      <c r="G18" s="19">
        <f t="shared" si="2"/>
        <v>1</v>
      </c>
      <c r="H18" s="19">
        <f t="shared" si="2"/>
        <v>1</v>
      </c>
      <c r="I18" s="19">
        <f t="shared" si="2"/>
        <v>3</v>
      </c>
      <c r="J18" s="19">
        <f t="shared" si="2"/>
        <v>2</v>
      </c>
      <c r="K18" s="19">
        <f t="shared" si="2"/>
        <v>1</v>
      </c>
      <c r="L18" s="19">
        <f t="shared" si="2"/>
        <v>3</v>
      </c>
      <c r="N18" s="20" t="s">
        <v>33</v>
      </c>
      <c r="R18" s="21">
        <f t="shared" si="3" ref="R18:S18">AVERAGE(R11:R17)</f>
        <v>0.901929824561404</v>
      </c>
      <c r="S18" s="21">
        <f t="shared" si="3"/>
        <v>2.16385714285714</v>
      </c>
    </row>
    <row r="19" ht="15" customHeight="1">
      <c r="B19" s="22" t="s">
        <v>34</v>
      </c>
      <c r="F19" s="23" t="s">
        <v>35</v>
      </c>
      <c r="N19" s="24" t="s">
        <v>36</v>
      </c>
    </row>
    <row r="20" ht="147" customHeight="1">
      <c r="F20" s="25" t="s">
        <v>37</v>
      </c>
      <c r="G20" s="25" t="s">
        <v>38</v>
      </c>
      <c r="H20" s="25" t="s">
        <v>39</v>
      </c>
      <c r="I20" s="25" t="s">
        <v>40</v>
      </c>
      <c r="J20" s="25" t="s">
        <v>41</v>
      </c>
      <c r="K20" s="25" t="s">
        <v>42</v>
      </c>
      <c r="L20" s="25" t="s">
        <v>43</v>
      </c>
      <c r="N20" s="26" t="s">
        <v>44</v>
      </c>
      <c r="O20" s="27"/>
      <c r="P20" s="28"/>
      <c r="Q20" s="29" t="s">
        <v>45</v>
      </c>
      <c r="R20" s="30"/>
    </row>
    <row r="21" ht="15.75" customHeight="1">
      <c r="B21" s="31" t="s">
        <v>46</v>
      </c>
      <c r="F21" s="32" t="s">
        <v>17</v>
      </c>
      <c r="G21" s="32"/>
      <c r="H21" s="32" t="s">
        <v>18</v>
      </c>
      <c r="I21" s="32"/>
      <c r="J21" s="32"/>
      <c r="K21" s="32"/>
      <c r="L21" s="32"/>
      <c r="N21" s="26" t="s">
        <v>47</v>
      </c>
      <c r="O21" s="27"/>
      <c r="P21" s="28"/>
      <c r="Q21" s="29" t="s">
        <v>48</v>
      </c>
      <c r="R21" s="30"/>
    </row>
    <row r="22" ht="15.75" customHeight="1">
      <c r="B22" s="31" t="s">
        <v>49</v>
      </c>
      <c r="F22" s="32"/>
      <c r="G22" s="32"/>
      <c r="H22" s="32"/>
      <c r="I22" s="32" t="s">
        <v>17</v>
      </c>
      <c r="J22" s="32" t="s">
        <v>17</v>
      </c>
      <c r="K22" s="32"/>
      <c r="L22" s="32"/>
      <c r="N22" s="26" t="s">
        <v>50</v>
      </c>
      <c r="O22" s="27"/>
      <c r="P22" s="28"/>
      <c r="Q22" s="29" t="s">
        <v>51</v>
      </c>
      <c r="R22" s="30"/>
    </row>
    <row r="23" ht="15.75" customHeight="1">
      <c r="B23" s="31" t="s">
        <v>52</v>
      </c>
      <c r="F23" s="32" t="s">
        <v>18</v>
      </c>
      <c r="G23" s="32" t="s">
        <v>17</v>
      </c>
      <c r="H23" s="32"/>
      <c r="I23" s="32" t="s">
        <v>17</v>
      </c>
      <c r="J23" s="32"/>
      <c r="K23" s="32"/>
      <c r="L23" s="32"/>
      <c r="N23" s="26" t="s">
        <v>53</v>
      </c>
      <c r="O23" s="27"/>
      <c r="P23" s="28"/>
      <c r="Q23" s="29" t="s">
        <v>54</v>
      </c>
      <c r="R23" s="30"/>
    </row>
    <row r="24" ht="15.75" customHeight="1">
      <c r="B24" s="31" t="s">
        <v>55</v>
      </c>
      <c r="F24" s="32"/>
      <c r="G24" s="32" t="s">
        <v>18</v>
      </c>
      <c r="H24" s="32" t="s">
        <v>17</v>
      </c>
      <c r="I24" s="32"/>
      <c r="J24" s="32" t="s">
        <v>17</v>
      </c>
      <c r="K24" s="32"/>
      <c r="L24" s="32"/>
      <c r="N24" s="26" t="s">
        <v>56</v>
      </c>
      <c r="O24" s="27"/>
      <c r="P24" s="28"/>
      <c r="Q24" s="29" t="s">
        <v>57</v>
      </c>
      <c r="R24" s="30"/>
    </row>
    <row r="25" ht="15.75" customHeight="1">
      <c r="B25" s="31" t="s">
        <v>58</v>
      </c>
      <c r="F25" s="32"/>
      <c r="G25" s="32" t="s">
        <v>17</v>
      </c>
      <c r="H25" s="32"/>
      <c r="I25" s="32"/>
      <c r="J25" s="32"/>
      <c r="K25" s="32"/>
      <c r="L25" s="32" t="s">
        <v>17</v>
      </c>
      <c r="N25" s="26" t="s">
        <v>59</v>
      </c>
      <c r="O25" s="27"/>
      <c r="P25" s="28"/>
      <c r="Q25" s="29" t="s">
        <v>60</v>
      </c>
      <c r="R25" s="30"/>
    </row>
    <row r="26" ht="15.75" customHeight="1">
      <c r="B26" s="31" t="s">
        <v>61</v>
      </c>
      <c r="F26" s="32" t="s">
        <v>17</v>
      </c>
      <c r="G26" s="32"/>
      <c r="H26" s="32"/>
      <c r="I26" s="32"/>
      <c r="J26" s="32"/>
      <c r="K26" s="32" t="s">
        <v>17</v>
      </c>
      <c r="L26" s="32"/>
      <c r="N26" s="26" t="s">
        <v>62</v>
      </c>
      <c r="O26" s="27"/>
      <c r="P26" s="28"/>
      <c r="Q26" s="29" t="s">
        <v>63</v>
      </c>
      <c r="R26" s="30"/>
    </row>
    <row r="27" ht="15.75" customHeight="1">
      <c r="B27" s="31" t="s">
        <v>64</v>
      </c>
      <c r="F27" s="32"/>
      <c r="G27" s="32"/>
      <c r="H27" s="32" t="s">
        <v>17</v>
      </c>
      <c r="I27" s="32"/>
      <c r="J27" s="32" t="s">
        <v>18</v>
      </c>
      <c r="K27" s="32"/>
      <c r="L27" s="32" t="s">
        <v>17</v>
      </c>
    </row>
    <row r="28" ht="15" customHeight="1">
      <c r="D28" s="18" t="s">
        <v>32</v>
      </c>
      <c r="F28" s="19">
        <f t="shared" si="2"/>
        <v>2</v>
      </c>
      <c r="G28" s="19">
        <f t="shared" si="2"/>
        <v>2</v>
      </c>
      <c r="H28" s="19">
        <f t="shared" si="2"/>
        <v>2</v>
      </c>
      <c r="I28" s="19">
        <f t="shared" si="2"/>
        <v>2</v>
      </c>
      <c r="J28" s="19">
        <f t="shared" si="2"/>
        <v>2</v>
      </c>
      <c r="K28" s="19">
        <f t="shared" si="2"/>
        <v>1</v>
      </c>
      <c r="L28" s="19">
        <f t="shared" si="2"/>
        <v>2</v>
      </c>
    </row>
    <row r="29" ht="15" customHeight="1">
      <c r="B29" s="33" t="s">
        <v>65</v>
      </c>
    </row>
    <row r="30" ht="16.5" customHeight="1">
      <c r="B30" s="34" t="s">
        <v>17</v>
      </c>
      <c r="C30" s="35" t="s">
        <v>66</v>
      </c>
      <c r="F30" s="36"/>
      <c r="G30" s="35" t="s">
        <v>67</v>
      </c>
    </row>
    <row r="31" ht="16.5" customHeight="1">
      <c r="B31" s="34" t="s">
        <v>18</v>
      </c>
      <c r="C31" s="35" t="s">
        <v>68</v>
      </c>
      <c r="F31" s="37"/>
      <c r="G31" s="35" t="s">
        <v>69</v>
      </c>
    </row>
    <row r="32" ht="14.25" customHeight="1">
      <c r="B32" s="34"/>
      <c r="C32" s="35" t="s">
        <v>70</v>
      </c>
      <c r="F32" s="38"/>
      <c r="G32" s="35" t="s">
        <v>71</v>
      </c>
    </row>
    <row r="33" ht="14.25" customHeight="1">
      <c r="F33" s="39"/>
      <c r="G33" s="35" t="s">
        <v>72</v>
      </c>
    </row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mergeCells>
    <mergeCell ref="B2:R2"/>
    <mergeCell ref="B3:R3"/>
    <mergeCell ref="F5:L5"/>
    <mergeCell ref="B10:C10"/>
    <mergeCell ref="N10:O10"/>
    <mergeCell ref="B19:C19"/>
    <mergeCell ref="F19:L19"/>
    <mergeCell ref="N19:R19"/>
    <mergeCell ref="N20:P20"/>
    <mergeCell ref="Q20:R20"/>
    <mergeCell ref="N21:P21"/>
    <mergeCell ref="Q21:R21"/>
    <mergeCell ref="N22:P22"/>
    <mergeCell ref="Q22:R22"/>
    <mergeCell ref="N23:P23"/>
    <mergeCell ref="Q23:R23"/>
    <mergeCell ref="N24:P24"/>
    <mergeCell ref="Q24:R24"/>
    <mergeCell ref="N25:P25"/>
    <mergeCell ref="Q25:R25"/>
    <mergeCell ref="N26:P26"/>
    <mergeCell ref="Q26:R26"/>
    <mergeCell ref="B29:E29"/>
    <mergeCell ref="C30:E30"/>
    <mergeCell ref="C31:E31"/>
    <mergeCell ref="C32:E32"/>
  </mergeCells>
  <conditionalFormatting sqref="R11:R18">
    <cfRule type="cellIs" dxfId="0" priority="5" operator="greaterThanOrEqual" text="null">
      <formula>0.9</formula>
    </cfRule>
  </conditionalFormatting>
  <conditionalFormatting sqref="R11:R18">
    <cfRule type="cellIs" dxfId="1" priority="4" operator="between" text="null">
      <formula>0.5</formula>
      <formula>0.8999</formula>
    </cfRule>
  </conditionalFormatting>
  <conditionalFormatting sqref="R11:R18">
    <cfRule type="cellIs" dxfId="2" priority="3" operator="lessThan" text="null">
      <formula>0.5</formula>
    </cfRule>
  </conditionalFormatting>
  <conditionalFormatting sqref="S11:S18">
    <cfRule type="cellIs" dxfId="2" priority="2" operator="greaterThan" text="null">
      <formula>0</formula>
    </cfRule>
  </conditionalFormatting>
  <conditionalFormatting sqref="S11:S18">
    <cfRule type="cellIs" dxfId="0" priority="1" operator="lessThanOrEqual" text="null">
      <formula>0</formula>
    </cfRule>
  </conditionalFormatting>
  <dataValidations count="105">
    <dataValidation allowBlank="1" showErrorMessage="1" showInputMessage="1" sqref="Q26" type="list">
      <formula1>"VP Operations,VP Supply Chain,VP Sales,VP Human Resources,VP R&amp;D,CFO,VP Customer Success,CEO,COO,CTO"</formula1>
    </dataValidation>
    <dataValidation allowBlank="1" showErrorMessage="1" showInputMessage="1" sqref="Q25" type="list">
      <formula1>"VP Operations,VP Supply Chain,VP Sales,VP Human Resources,VP R&amp;D,CFO,VP Customer Success,CEO,COO,CTO"</formula1>
    </dataValidation>
    <dataValidation allowBlank="1" showErrorMessage="1" showInputMessage="1" sqref="Q24" type="list">
      <formula1>"VP Operations,VP Supply Chain,VP Sales,VP Human Resources,VP R&amp;D,CFO,VP Customer Success,CEO,COO,CTO"</formula1>
    </dataValidation>
    <dataValidation allowBlank="1" showErrorMessage="1" showInputMessage="1" sqref="Q23" type="list">
      <formula1>"VP Operations,VP Supply Chain,VP Sales,VP Human Resources,VP R&amp;D,CFO,VP Customer Success,CEO,COO,CTO"</formula1>
    </dataValidation>
    <dataValidation allowBlank="1" showErrorMessage="1" showInputMessage="1" sqref="Q22" type="list">
      <formula1>"VP Operations,VP Supply Chain,VP Sales,VP Human Resources,VP R&amp;D,CFO,VP Customer Success,CEO,COO,CTO"</formula1>
    </dataValidation>
    <dataValidation allowBlank="1" showErrorMessage="1" showInputMessage="1" sqref="Q21" type="list">
      <formula1>"VP Operations,VP Supply Chain,VP Sales,VP Human Resources,VP R&amp;D,CFO,VP Customer Success,CEO,COO,CTO"</formula1>
    </dataValidation>
    <dataValidation allowBlank="1" showErrorMessage="1" showInputMessage="1" sqref="Q20" type="list">
      <formula1>"VP Operations,VP Supply Chain,VP Sales,VP Human Resources,VP R&amp;D,CFO,VP Customer Success,CEO,COO,CTO"</formula1>
    </dataValidation>
    <dataValidation allowBlank="1" prompt="Select correlation" promptTitle="Correlation" showErrorMessage="1" showInputMessage="1" sqref="L27" type="list">
      <formula1>"●,○"</formula1>
    </dataValidation>
    <dataValidation allowBlank="1" prompt="Select correlation" promptTitle="Correlation" showErrorMessage="1" showInputMessage="1" sqref="K27" type="list">
      <formula1>"●,○"</formula1>
    </dataValidation>
    <dataValidation allowBlank="1" prompt="Select correlation" promptTitle="Correlation" showErrorMessage="1" showInputMessage="1" sqref="J27" type="list">
      <formula1>"●,○"</formula1>
    </dataValidation>
    <dataValidation allowBlank="1" prompt="Select correlation" promptTitle="Correlation" showErrorMessage="1" showInputMessage="1" sqref="I27" type="list">
      <formula1>"●,○"</formula1>
    </dataValidation>
    <dataValidation allowBlank="1" prompt="Select correlation" promptTitle="Correlation" showErrorMessage="1" showInputMessage="1" sqref="H27" type="list">
      <formula1>"●,○"</formula1>
    </dataValidation>
    <dataValidation allowBlank="1" prompt="Select correlation" promptTitle="Correlation" showErrorMessage="1" showInputMessage="1" sqref="G27" type="list">
      <formula1>"●,○"</formula1>
    </dataValidation>
    <dataValidation allowBlank="1" prompt="Select correlation" promptTitle="Correlation" showErrorMessage="1" showInputMessage="1" sqref="F27" type="list">
      <formula1>"●,○"</formula1>
    </dataValidation>
    <dataValidation allowBlank="1" prompt="Select correlation" promptTitle="Correlation" showErrorMessage="1" showInputMessage="1" sqref="L26" type="list">
      <formula1>"●,○"</formula1>
    </dataValidation>
    <dataValidation allowBlank="1" prompt="Select correlation" promptTitle="Correlation" showErrorMessage="1" showInputMessage="1" sqref="K26" type="list">
      <formula1>"●,○"</formula1>
    </dataValidation>
    <dataValidation allowBlank="1" prompt="Select correlation" promptTitle="Correlation" showErrorMessage="1" showInputMessage="1" sqref="J26" type="list">
      <formula1>"●,○"</formula1>
    </dataValidation>
    <dataValidation allowBlank="1" prompt="Select correlation" promptTitle="Correlation" showErrorMessage="1" showInputMessage="1" sqref="I26" type="list">
      <formula1>"●,○"</formula1>
    </dataValidation>
    <dataValidation allowBlank="1" prompt="Select correlation" promptTitle="Correlation" showErrorMessage="1" showInputMessage="1" sqref="H26" type="list">
      <formula1>"●,○"</formula1>
    </dataValidation>
    <dataValidation allowBlank="1" prompt="Select correlation" promptTitle="Correlation" showErrorMessage="1" showInputMessage="1" sqref="G26" type="list">
      <formula1>"●,○"</formula1>
    </dataValidation>
    <dataValidation allowBlank="1" prompt="Select correlation" promptTitle="Correlation" showErrorMessage="1" showInputMessage="1" sqref="F26" type="list">
      <formula1>"●,○"</formula1>
    </dataValidation>
    <dataValidation allowBlank="1" prompt="Select correlation" promptTitle="Correlation" showErrorMessage="1" showInputMessage="1" sqref="L25" type="list">
      <formula1>"●,○"</formula1>
    </dataValidation>
    <dataValidation allowBlank="1" prompt="Select correlation" promptTitle="Correlation" showErrorMessage="1" showInputMessage="1" sqref="K25" type="list">
      <formula1>"●,○"</formula1>
    </dataValidation>
    <dataValidation allowBlank="1" prompt="Select correlation" promptTitle="Correlation" showErrorMessage="1" showInputMessage="1" sqref="J25" type="list">
      <formula1>"●,○"</formula1>
    </dataValidation>
    <dataValidation allowBlank="1" prompt="Select correlation" promptTitle="Correlation" showErrorMessage="1" showInputMessage="1" sqref="I25" type="list">
      <formula1>"●,○"</formula1>
    </dataValidation>
    <dataValidation allowBlank="1" prompt="Select correlation" promptTitle="Correlation" showErrorMessage="1" showInputMessage="1" sqref="H25" type="list">
      <formula1>"●,○"</formula1>
    </dataValidation>
    <dataValidation allowBlank="1" prompt="Select correlation" promptTitle="Correlation" showErrorMessage="1" showInputMessage="1" sqref="G25" type="list">
      <formula1>"●,○"</formula1>
    </dataValidation>
    <dataValidation allowBlank="1" prompt="Select correlation" promptTitle="Correlation" showErrorMessage="1" showInputMessage="1" sqref="F25" type="list">
      <formula1>"●,○"</formula1>
    </dataValidation>
    <dataValidation allowBlank="1" prompt="Select correlation" promptTitle="Correlation" showErrorMessage="1" showInputMessage="1" sqref="L24" type="list">
      <formula1>"●,○"</formula1>
    </dataValidation>
    <dataValidation allowBlank="1" prompt="Select correlation" promptTitle="Correlation" showErrorMessage="1" showInputMessage="1" sqref="K24" type="list">
      <formula1>"●,○"</formula1>
    </dataValidation>
    <dataValidation allowBlank="1" prompt="Select correlation" promptTitle="Correlation" showErrorMessage="1" showInputMessage="1" sqref="J24" type="list">
      <formula1>"●,○"</formula1>
    </dataValidation>
    <dataValidation allowBlank="1" prompt="Select correlation" promptTitle="Correlation" showErrorMessage="1" showInputMessage="1" sqref="I24" type="list">
      <formula1>"●,○"</formula1>
    </dataValidation>
    <dataValidation allowBlank="1" prompt="Select correlation" promptTitle="Correlation" showErrorMessage="1" showInputMessage="1" sqref="H24" type="list">
      <formula1>"●,○"</formula1>
    </dataValidation>
    <dataValidation allowBlank="1" prompt="Select correlation" promptTitle="Correlation" showErrorMessage="1" showInputMessage="1" sqref="G24" type="list">
      <formula1>"●,○"</formula1>
    </dataValidation>
    <dataValidation allowBlank="1" prompt="Select correlation" promptTitle="Correlation" showErrorMessage="1" showInputMessage="1" sqref="F24" type="list">
      <formula1>"●,○"</formula1>
    </dataValidation>
    <dataValidation allowBlank="1" prompt="Select correlation" promptTitle="Correlation" showErrorMessage="1" showInputMessage="1" sqref="L23" type="list">
      <formula1>"●,○"</formula1>
    </dataValidation>
    <dataValidation allowBlank="1" prompt="Select correlation" promptTitle="Correlation" showErrorMessage="1" showInputMessage="1" sqref="K23" type="list">
      <formula1>"●,○"</formula1>
    </dataValidation>
    <dataValidation allowBlank="1" prompt="Select correlation" promptTitle="Correlation" showErrorMessage="1" showInputMessage="1" sqref="J23" type="list">
      <formula1>"●,○"</formula1>
    </dataValidation>
    <dataValidation allowBlank="1" prompt="Select correlation" promptTitle="Correlation" showErrorMessage="1" showInputMessage="1" sqref="I23" type="list">
      <formula1>"●,○"</formula1>
    </dataValidation>
    <dataValidation allowBlank="1" prompt="Select correlation" promptTitle="Correlation" showErrorMessage="1" showInputMessage="1" sqref="H23" type="list">
      <formula1>"●,○"</formula1>
    </dataValidation>
    <dataValidation allowBlank="1" prompt="Select correlation" promptTitle="Correlation" showErrorMessage="1" showInputMessage="1" sqref="G23" type="list">
      <formula1>"●,○"</formula1>
    </dataValidation>
    <dataValidation allowBlank="1" prompt="Select correlation" promptTitle="Correlation" showErrorMessage="1" showInputMessage="1" sqref="F23" type="list">
      <formula1>"●,○"</formula1>
    </dataValidation>
    <dataValidation allowBlank="1" prompt="Select correlation" promptTitle="Correlation" showErrorMessage="1" showInputMessage="1" sqref="L22" type="list">
      <formula1>"●,○"</formula1>
    </dataValidation>
    <dataValidation allowBlank="1" prompt="Select correlation" promptTitle="Correlation" showErrorMessage="1" showInputMessage="1" sqref="K22" type="list">
      <formula1>"●,○"</formula1>
    </dataValidation>
    <dataValidation allowBlank="1" prompt="Select correlation" promptTitle="Correlation" showErrorMessage="1" showInputMessage="1" sqref="J22" type="list">
      <formula1>"●,○"</formula1>
    </dataValidation>
    <dataValidation allowBlank="1" prompt="Select correlation" promptTitle="Correlation" showErrorMessage="1" showInputMessage="1" sqref="I22" type="list">
      <formula1>"●,○"</formula1>
    </dataValidation>
    <dataValidation allowBlank="1" prompt="Select correlation" promptTitle="Correlation" showErrorMessage="1" showInputMessage="1" sqref="H22" type="list">
      <formula1>"●,○"</formula1>
    </dataValidation>
    <dataValidation allowBlank="1" prompt="Select correlation" promptTitle="Correlation" showErrorMessage="1" showInputMessage="1" sqref="G22" type="list">
      <formula1>"●,○"</formula1>
    </dataValidation>
    <dataValidation allowBlank="1" prompt="Select correlation" promptTitle="Correlation" showErrorMessage="1" showInputMessage="1" sqref="F22" type="list">
      <formula1>"●,○"</formula1>
    </dataValidation>
    <dataValidation allowBlank="1" prompt="Select correlation" promptTitle="Correlation" showErrorMessage="1" showInputMessage="1" sqref="L21" type="list">
      <formula1>"●,○"</formula1>
    </dataValidation>
    <dataValidation allowBlank="1" prompt="Select correlation" promptTitle="Correlation" showErrorMessage="1" showInputMessage="1" sqref="K21" type="list">
      <formula1>"●,○"</formula1>
    </dataValidation>
    <dataValidation allowBlank="1" prompt="Select correlation" promptTitle="Correlation" showErrorMessage="1" showInputMessage="1" sqref="J21" type="list">
      <formula1>"●,○"</formula1>
    </dataValidation>
    <dataValidation allowBlank="1" prompt="Select correlation" promptTitle="Correlation" showErrorMessage="1" showInputMessage="1" sqref="I21" type="list">
      <formula1>"●,○"</formula1>
    </dataValidation>
    <dataValidation allowBlank="1" prompt="Select correlation" promptTitle="Correlation" showErrorMessage="1" showInputMessage="1" sqref="H21" type="list">
      <formula1>"●,○"</formula1>
    </dataValidation>
    <dataValidation allowBlank="1" prompt="Select correlation" promptTitle="Correlation" showErrorMessage="1" showInputMessage="1" sqref="G21" type="list">
      <formula1>"●,○"</formula1>
    </dataValidation>
    <dataValidation allowBlank="1" prompt="Select correlation" promptTitle="Correlation" showErrorMessage="1" showInputMessage="1" sqref="F21" type="list">
      <formula1>"●,○"</formula1>
    </dataValidation>
    <dataValidation allowBlank="1" prompt="Select correlation" promptTitle="Correlation" showErrorMessage="1" showInputMessage="1" sqref="L17" type="list">
      <formula1>"●,○"</formula1>
    </dataValidation>
    <dataValidation allowBlank="1" prompt="Select correlation" promptTitle="Correlation" showErrorMessage="1" showInputMessage="1" sqref="K17" type="list">
      <formula1>"●,○"</formula1>
    </dataValidation>
    <dataValidation allowBlank="1" prompt="Select correlation" promptTitle="Correlation" showErrorMessage="1" showInputMessage="1" sqref="J17" type="list">
      <formula1>"●,○"</formula1>
    </dataValidation>
    <dataValidation allowBlank="1" prompt="Select correlation" promptTitle="Correlation" showErrorMessage="1" showInputMessage="1" sqref="I17" type="list">
      <formula1>"●,○"</formula1>
    </dataValidation>
    <dataValidation allowBlank="1" prompt="Select correlation" promptTitle="Correlation" showErrorMessage="1" showInputMessage="1" sqref="H17" type="list">
      <formula1>"●,○"</formula1>
    </dataValidation>
    <dataValidation allowBlank="1" prompt="Select correlation" promptTitle="Correlation" showErrorMessage="1" showInputMessage="1" sqref="G17" type="list">
      <formula1>"●,○"</formula1>
    </dataValidation>
    <dataValidation allowBlank="1" prompt="Select correlation" promptTitle="Correlation" showErrorMessage="1" showInputMessage="1" sqref="F17" type="list">
      <formula1>"●,○"</formula1>
    </dataValidation>
    <dataValidation allowBlank="1" prompt="Select correlation" promptTitle="Correlation" showErrorMessage="1" showInputMessage="1" sqref="L16" type="list">
      <formula1>"●,○"</formula1>
    </dataValidation>
    <dataValidation allowBlank="1" prompt="Select correlation" promptTitle="Correlation" showErrorMessage="1" showInputMessage="1" sqref="K16" type="list">
      <formula1>"●,○"</formula1>
    </dataValidation>
    <dataValidation allowBlank="1" prompt="Select correlation" promptTitle="Correlation" showErrorMessage="1" showInputMessage="1" sqref="J16" type="list">
      <formula1>"●,○"</formula1>
    </dataValidation>
    <dataValidation allowBlank="1" prompt="Select correlation" promptTitle="Correlation" showErrorMessage="1" showInputMessage="1" sqref="I16" type="list">
      <formula1>"●,○"</formula1>
    </dataValidation>
    <dataValidation allowBlank="1" prompt="Select correlation" promptTitle="Correlation" showErrorMessage="1" showInputMessage="1" sqref="H16" type="list">
      <formula1>"●,○"</formula1>
    </dataValidation>
    <dataValidation allowBlank="1" prompt="Select correlation" promptTitle="Correlation" showErrorMessage="1" showInputMessage="1" sqref="G16" type="list">
      <formula1>"●,○"</formula1>
    </dataValidation>
    <dataValidation allowBlank="1" prompt="Select correlation" promptTitle="Correlation" showErrorMessage="1" showInputMessage="1" sqref="F16" type="list">
      <formula1>"●,○"</formula1>
    </dataValidation>
    <dataValidation allowBlank="1" prompt="Select correlation" promptTitle="Correlation" showErrorMessage="1" showInputMessage="1" sqref="L15" type="list">
      <formula1>"●,○"</formula1>
    </dataValidation>
    <dataValidation allowBlank="1" prompt="Select correlation" promptTitle="Correlation" showErrorMessage="1" showInputMessage="1" sqref="K15" type="list">
      <formula1>"●,○"</formula1>
    </dataValidation>
    <dataValidation allowBlank="1" prompt="Select correlation" promptTitle="Correlation" showErrorMessage="1" showInputMessage="1" sqref="J15" type="list">
      <formula1>"●,○"</formula1>
    </dataValidation>
    <dataValidation allowBlank="1" prompt="Select correlation" promptTitle="Correlation" showErrorMessage="1" showInputMessage="1" sqref="I15" type="list">
      <formula1>"●,○"</formula1>
    </dataValidation>
    <dataValidation allowBlank="1" prompt="Select correlation" promptTitle="Correlation" showErrorMessage="1" showInputMessage="1" sqref="H15" type="list">
      <formula1>"●,○"</formula1>
    </dataValidation>
    <dataValidation allowBlank="1" prompt="Select correlation" promptTitle="Correlation" showErrorMessage="1" showInputMessage="1" sqref="G15" type="list">
      <formula1>"●,○"</formula1>
    </dataValidation>
    <dataValidation allowBlank="1" prompt="Select correlation" promptTitle="Correlation" showErrorMessage="1" showInputMessage="1" sqref="F15" type="list">
      <formula1>"●,○"</formula1>
    </dataValidation>
    <dataValidation allowBlank="1" prompt="Select correlation" promptTitle="Correlation" showErrorMessage="1" showInputMessage="1" sqref="L14" type="list">
      <formula1>"●,○"</formula1>
    </dataValidation>
    <dataValidation allowBlank="1" prompt="Select correlation" promptTitle="Correlation" showErrorMessage="1" showInputMessage="1" sqref="K14" type="list">
      <formula1>"●,○"</formula1>
    </dataValidation>
    <dataValidation allowBlank="1" prompt="Select correlation" promptTitle="Correlation" showErrorMessage="1" showInputMessage="1" sqref="J14" type="list">
      <formula1>"●,○"</formula1>
    </dataValidation>
    <dataValidation allowBlank="1" prompt="Select correlation" promptTitle="Correlation" showErrorMessage="1" showInputMessage="1" sqref="I14" type="list">
      <formula1>"●,○"</formula1>
    </dataValidation>
    <dataValidation allowBlank="1" prompt="Select correlation" promptTitle="Correlation" showErrorMessage="1" showInputMessage="1" sqref="H14" type="list">
      <formula1>"●,○"</formula1>
    </dataValidation>
    <dataValidation allowBlank="1" prompt="Select correlation" promptTitle="Correlation" showErrorMessage="1" showInputMessage="1" sqref="G14" type="list">
      <formula1>"●,○"</formula1>
    </dataValidation>
    <dataValidation allowBlank="1" prompt="Select correlation" promptTitle="Correlation" showErrorMessage="1" showInputMessage="1" sqref="F14" type="list">
      <formula1>"●,○"</formula1>
    </dataValidation>
    <dataValidation allowBlank="1" prompt="Select correlation" promptTitle="Correlation" showErrorMessage="1" showInputMessage="1" sqref="L13" type="list">
      <formula1>"●,○"</formula1>
    </dataValidation>
    <dataValidation allowBlank="1" prompt="Select correlation" promptTitle="Correlation" showErrorMessage="1" showInputMessage="1" sqref="K13" type="list">
      <formula1>"●,○"</formula1>
    </dataValidation>
    <dataValidation allowBlank="1" prompt="Select correlation" promptTitle="Correlation" showErrorMessage="1" showInputMessage="1" sqref="J13" type="list">
      <formula1>"●,○"</formula1>
    </dataValidation>
    <dataValidation allowBlank="1" prompt="Select correlation" promptTitle="Correlation" showErrorMessage="1" showInputMessage="1" sqref="I13" type="list">
      <formula1>"●,○"</formula1>
    </dataValidation>
    <dataValidation allowBlank="1" prompt="Select correlation" promptTitle="Correlation" showErrorMessage="1" showInputMessage="1" sqref="H13" type="list">
      <formula1>"●,○"</formula1>
    </dataValidation>
    <dataValidation allowBlank="1" prompt="Select correlation" promptTitle="Correlation" showErrorMessage="1" showInputMessage="1" sqref="G13" type="list">
      <formula1>"●,○"</formula1>
    </dataValidation>
    <dataValidation allowBlank="1" prompt="Select correlation" promptTitle="Correlation" showErrorMessage="1" showInputMessage="1" sqref="F13" type="list">
      <formula1>"●,○"</formula1>
    </dataValidation>
    <dataValidation allowBlank="1" prompt="Select correlation" promptTitle="Correlation" showErrorMessage="1" showInputMessage="1" sqref="L12" type="list">
      <formula1>"●,○"</formula1>
    </dataValidation>
    <dataValidation allowBlank="1" prompt="Select correlation" promptTitle="Correlation" showErrorMessage="1" showInputMessage="1" sqref="K12" type="list">
      <formula1>"●,○"</formula1>
    </dataValidation>
    <dataValidation allowBlank="1" prompt="Select correlation" promptTitle="Correlation" showErrorMessage="1" showInputMessage="1" sqref="J12" type="list">
      <formula1>"●,○"</formula1>
    </dataValidation>
    <dataValidation allowBlank="1" prompt="Select correlation" promptTitle="Correlation" showErrorMessage="1" showInputMessage="1" sqref="I12" type="list">
      <formula1>"●,○"</formula1>
    </dataValidation>
    <dataValidation allowBlank="1" prompt="Select correlation" promptTitle="Correlation" showErrorMessage="1" showInputMessage="1" sqref="H12" type="list">
      <formula1>"●,○"</formula1>
    </dataValidation>
    <dataValidation allowBlank="1" prompt="Select correlation" promptTitle="Correlation" showErrorMessage="1" showInputMessage="1" sqref="G12" type="list">
      <formula1>"●,○"</formula1>
    </dataValidation>
    <dataValidation allowBlank="1" prompt="Select correlation" promptTitle="Correlation" showErrorMessage="1" showInputMessage="1" sqref="F12" type="list">
      <formula1>"●,○"</formula1>
    </dataValidation>
    <dataValidation allowBlank="1" prompt="Select correlation" promptTitle="Correlation" showErrorMessage="1" showInputMessage="1" sqref="L11" type="list">
      <formula1>"●,○"</formula1>
    </dataValidation>
    <dataValidation allowBlank="1" prompt="Select correlation" promptTitle="Correlation" showErrorMessage="1" showInputMessage="1" sqref="K11" type="list">
      <formula1>"●,○"</formula1>
    </dataValidation>
    <dataValidation allowBlank="1" prompt="Select correlation" promptTitle="Correlation" showErrorMessage="1" showInputMessage="1" sqref="J11" type="list">
      <formula1>"●,○"</formula1>
    </dataValidation>
    <dataValidation allowBlank="1" prompt="Select correlation" promptTitle="Correlation" showErrorMessage="1" showInputMessage="1" sqref="I11" type="list">
      <formula1>"●,○"</formula1>
    </dataValidation>
    <dataValidation allowBlank="1" prompt="Select correlation" promptTitle="Correlation" showErrorMessage="1" showInputMessage="1" sqref="H11" type="list">
      <formula1>"●,○"</formula1>
    </dataValidation>
    <dataValidation allowBlank="1" prompt="Select correlation" promptTitle="Correlation" showErrorMessage="1" showInputMessage="1" sqref="G11" type="list">
      <formula1>"●,○"</formula1>
    </dataValidation>
    <dataValidation allowBlank="1" prompt="Select correlation" promptTitle="Correlation" showErrorMessage="1" showInputMessage="1" sqref="F11" type="list">
      <formula1>"●,○"</formula1>
    </dataValidation>
  </dataValidations>
  <printOptions/>
  <pageMargins left="0.7" right="0.7" top="0.75" bottom="0.75" header="0.3" footer="0.3"/>
  <pageSetup paperSize="1" pageOrder="downThenOver" orientation="portrait"/>
  <headerFooter>
    <oddHeader>&amp;L&amp;C&amp;R</oddHeader>
    <oddFooter>&amp;L&amp;C&amp;R</oddFooter>
  </headerFooter>
  <extLst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Shortcut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Shortcut</dc:creator>
  <cp:lastModifiedBy>Shortcut</cp:lastModifiedBy>
  <dcterms:created xsi:type="dcterms:W3CDTF">2025-05-22T23:41:35Z</dcterms:created>
  <dcterms:modified xsi:type="dcterms:W3CDTF">2025-05-22T23:45:09Z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hortcut_file_id">
    <vt:lpwstr>e0a8c38a-903f-4399-8ab0-3c5838dcf68e</vt:lpwstr>
  </property>
</Properties>
</file>