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eature Comparison" sheetId="1"/>
  </sheets>
  <definedNames>
    <definedName name="_xlnm.Print_Area" localSheetId="0">'Feature Comparison'!$A$1:$H$29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<sst xmlns="http://schemas.openxmlformats.org/spreadsheetml/2006/main" count="33" uniqueCount="33">
  <si>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FEATURE COMPARISON</t>
  </si>
  <si>
    <t>Rate features 1-5 per product. Weighted scores calculate automatically.</t>
  </si>
  <si>
    <t>Weight</t>
  </si>
  <si>
    <t>Feature</t>
  </si>
  <si>
    <t>Product A</t>
  </si>
  <si>
    <t>Product B</t>
  </si>
  <si>
    <t>Product C</t>
  </si>
  <si>
    <t>Product D</t>
  </si>
  <si>
    <t>CORE FEATURES</t>
  </si>
  <si>
    <t>Cloud Storage</t>
  </si>
  <si>
    <t>Mobile App</t>
  </si>
  <si>
    <t>Offline Access</t>
  </si>
  <si>
    <t>API Access</t>
  </si>
  <si>
    <t>Multi-user Support</t>
  </si>
  <si>
    <t>PERFORMANCE</t>
  </si>
  <si>
    <t>Speed / Latency</t>
  </si>
  <si>
    <t>Uptime SLA</t>
  </si>
  <si>
    <t>Scalability</t>
  </si>
  <si>
    <t>SUPPORT &amp; SERVICE</t>
  </si>
  <si>
    <t>24/7 Support</t>
  </si>
  <si>
    <t>Documentation</t>
  </si>
  <si>
    <t>Training Resources</t>
  </si>
  <si>
    <t>Community Forum</t>
  </si>
  <si>
    <t>PRICING</t>
  </si>
  <si>
    <t>Monthly Cost</t>
  </si>
  <si>
    <t>Free Tier Available</t>
  </si>
  <si>
    <t>Enterprise Discount</t>
  </si>
  <si>
    <t>WEIGHTED SCORE</t>
  </si>
  <si>
    <t>Max Possible Score</t>
  </si>
  <si>
    <t>Score %</t>
  </si>
  <si>
    <t>WINNER</t>
  </si>
  <si>
    <t>★ WINNER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</si>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</sst>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0.0"/>
    <numFmt numFmtId="175" formatCode="0.0%"/>
  </numFmts>
  <fonts count="14">
    <font>
      <b val="0"/>
      <i val="0"/>
      <sz val="12"/>
      <color theme="1"/>
      <name val="Aptos Narrow"/>
      <scheme val="minor"/>
    </font>
    <font>
      <b/>
      <i val="0"/>
      <sz val="16"/>
      <color rgb="FFFFFFFF"/>
      <name val="Aptos"/>
    </font>
    <font>
      <b val="0"/>
      <i/>
      <sz val="11"/>
      <color rgb="FF888888"/>
      <name val="Aptos"/>
    </font>
    <font>
      <b/>
      <i val="0"/>
      <sz val="11"/>
      <color rgb="FF666666"/>
      <name val="Aptos"/>
    </font>
    <font>
      <b/>
      <i val="0"/>
      <sz val="11"/>
      <color rgb="FFFFFFFF"/>
      <name val="Aptos"/>
    </font>
    <font>
      <b/>
      <i val="0"/>
      <sz val="12"/>
      <color rgb="FF333333"/>
      <name val="Aptos"/>
    </font>
    <font>
      <b val="0"/>
      <i val="0"/>
      <sz val="11"/>
      <color rgb="FF0070C0"/>
      <name val="Aptos"/>
    </font>
    <font>
      <b val="0"/>
      <i val="0"/>
      <sz val="11"/>
      <color rgb="FF333333"/>
      <name val="Aptos"/>
    </font>
    <font>
      <b/>
      <i val="0"/>
      <sz val="12"/>
      <color theme="1"/>
      <name val="Aptos"/>
    </font>
    <font>
      <b/>
      <i val="0"/>
      <sz val="14"/>
      <color theme="1"/>
      <name val="Aptos"/>
    </font>
    <font>
      <b val="0"/>
      <i val="0"/>
      <sz val="11"/>
      <color rgb="FF999999"/>
      <name val="Aptos"/>
    </font>
    <font>
      <b val="0"/>
      <i val="0"/>
      <sz val="11"/>
      <color theme="1"/>
      <name val="Aptos"/>
    </font>
    <font>
      <b/>
      <i val="0"/>
      <sz val="11"/>
      <color theme="1"/>
      <name val="Aptos"/>
    </font>
    <font>
      <b/>
      <i val="0"/>
      <sz val="12"/>
      <color rgb="FF2E8B57"/>
      <name val="Aptos"/>
    </font>
  </fonts>
  <fills count="12">
    <fill>
      <patternFill patternType="none"/>
    </fill>
    <fill>
      <patternFill patternType="gray125"/>
    </fill>
    <fill>
      <patternFill patternType="solid">
        <fgColor rgb="FF2B3E6F"/>
      </patternFill>
    </fill>
    <fill>
      <patternFill patternType="solid">
        <fgColor rgb="FF3A7CA5"/>
      </patternFill>
    </fill>
    <fill>
      <patternFill patternType="solid">
        <fgColor rgb="FFC9453D"/>
      </patternFill>
    </fill>
    <fill>
      <patternFill patternType="solid">
        <fgColor rgb="FF2E8B57"/>
      </patternFill>
    </fill>
    <fill>
      <patternFill patternType="solid">
        <fgColor rgb="FF7B5EA7"/>
      </patternFill>
    </fill>
    <fill>
      <patternFill patternType="solid">
        <fgColor rgb="FFE8ECF0"/>
      </patternFill>
    </fill>
    <fill>
      <patternFill patternType="solid">
        <fgColor rgb="FFE0EDF5"/>
      </patternFill>
    </fill>
    <fill>
      <patternFill patternType="solid">
        <fgColor rgb="FFFCEAE9"/>
      </patternFill>
    </fill>
    <fill>
      <patternFill patternType="solid">
        <fgColor rgb="FFE5F5ED"/>
      </patternFill>
    </fill>
    <fill>
      <patternFill patternType="solid">
        <fgColor rgb="FFEDE8F5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medium">
        <color rgb="FF2B3E6F"/>
      </top>
      <bottom style="medium">
        <color rgb="FF2B3E6F"/>
      </bottom>
      <diagonal/>
    </border>
  </borders>
  <cellStyleXfs count="1">
    <xf numFmtId="0" fontId="0" fillId="0" borderId="1"/>
  </cellStyleXfs>
  <cellXfs count="29">
    <xf numFmtId="0" fontId="0" fillId="0" borderId="1" xfId="0"/>
    <xf numFmtId="0" fontId="1" fillId="2" borderId="1" xfId="0">
      <alignment horizontal="left" vertical="center" indent="1"/>
    </xf>
    <xf numFmtId="0" fontId="2" fillId="0" borderId="1" xfId="0">
      <alignment horizontal="left" vertical="center"/>
    </xf>
    <xf numFmtId="0" fontId="3" fillId="0" borderId="1" xfId="0">
      <alignment horizontal="center" vertical="center"/>
    </xf>
    <xf numFmtId="0" fontId="3" fillId="0" borderId="1" xfId="0">
      <alignment horizontal="left" vertical="center"/>
    </xf>
    <xf numFmtId="0" fontId="4" fillId="3" borderId="1" xfId="0">
      <alignment horizontal="center" vertical="center"/>
    </xf>
    <xf numFmtId="0" fontId="4" fillId="4" borderId="1" xfId="0">
      <alignment horizontal="center" vertical="center"/>
    </xf>
    <xf numFmtId="0" fontId="4" fillId="5" borderId="1" xfId="0">
      <alignment horizontal="center" vertical="center"/>
    </xf>
    <xf numFmtId="0" fontId="4" fillId="6" borderId="1" xfId="0">
      <alignment horizontal="center" vertical="center"/>
    </xf>
    <xf numFmtId="0" fontId="5" fillId="7" borderId="1" xfId="0">
      <alignment horizontal="left" vertical="center" indent="1"/>
    </xf>
    <xf numFmtId="0" fontId="0" fillId="7" borderId="1" xfId="0"/>
    <xf numFmtId="0" fontId="6" fillId="0" borderId="2" xfId="0">
      <alignment horizontal="center" vertical="center"/>
    </xf>
    <xf numFmtId="0" fontId="7" fillId="0" borderId="2" xfId="0">
      <alignment horizontal="left" vertical="center"/>
    </xf>
    <xf numFmtId="0" fontId="6" fillId="8" borderId="2" xfId="0">
      <alignment horizontal="center" vertical="center"/>
    </xf>
    <xf numFmtId="0" fontId="6" fillId="9" borderId="2" xfId="0">
      <alignment horizontal="center" vertical="center"/>
    </xf>
    <xf numFmtId="0" fontId="6" fillId="10" borderId="2" xfId="0">
      <alignment horizontal="center" vertical="center"/>
    </xf>
    <xf numFmtId="0" fontId="6" fillId="11" borderId="2" xfId="0">
      <alignment horizontal="center" vertical="center"/>
    </xf>
    <xf numFmtId="0" fontId="5" fillId="7" borderId="3" xfId="0">
      <alignment horizontal="left" vertical="center" indent="1"/>
    </xf>
    <xf numFmtId="0" fontId="0" fillId="0" borderId="3" xfId="0"/>
    <xf numFmtId="0" fontId="8" fillId="0" borderId="1" xfId="0">
      <alignment horizontal="left" vertical="center"/>
    </xf>
    <xf numFmtId="171" fontId="9" fillId="8" borderId="4" xfId="0">
      <alignment horizontal="center" vertical="center"/>
    </xf>
    <xf numFmtId="171" fontId="9" fillId="9" borderId="4" xfId="0">
      <alignment horizontal="center" vertical="center"/>
    </xf>
    <xf numFmtId="171" fontId="9" fillId="10" borderId="4" xfId="0">
      <alignment horizontal="center" vertical="center"/>
    </xf>
    <xf numFmtId="171" fontId="9" fillId="11" borderId="4" xfId="0">
      <alignment horizontal="center" vertical="center"/>
    </xf>
    <xf numFmtId="0" fontId="10" fillId="0" borderId="1" xfId="0">
      <alignment horizontal="left" vertical="center"/>
    </xf>
    <xf numFmtId="1" fontId="11" fillId="0" borderId="1" xfId="0">
      <alignment horizontal="center" vertical="center"/>
    </xf>
    <xf numFmtId="175" fontId="12" fillId="0" borderId="1" xfId="0">
      <alignment horizontal="center" vertical="center"/>
    </xf>
    <xf numFmtId="0" fontId="13" fillId="0" borderId="1" xfId="0">
      <alignment horizontal="left" vertical="center"/>
    </xf>
    <xf numFmtId="0" fontId="13" fillId="0" borderId="1" xfId="0">
      <alignment horizontal="center" vertical="center"/>
    </xf>
  </cellXfs>
  <cellStyles count="1">
    <cellStyle name="Normal" xfId="0" builtinId="0"/>
  </cellStyles>
  <dxfs count="1">
    <dxf>
      <font>
        <b/>
        <sz val="12"/>
        <color rgb="FF2E8B57"/>
        <name val="Aptos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1C3FB9-A878-DE78-A9D8-8FF5175A3585}" mc:Ignorable="x14ac xr xr2 xr3">
  <dimension ref="A1:CV10000"/>
  <sheetViews>
    <sheetView showGridLines="0" zoomScale="90" workbookViewId="0" tabSelected="1">
      <pane xSplit="3" ySplit="6" topLeftCell="D7" activePane="bottomRight" state="frozen"/>
      <selection pane="bottomLeft" activeCell="A7" sqref="A7"/>
      <selection pane="topRight" activeCell="D1" sqref="D1"/>
      <selection pane="bottomRight" activeCell="D28" sqref="D28"/>
    </sheetView>
  </sheetViews>
  <sheetFormatPr defaultRowHeight="15.997499999999997" defaultColWidth="9.00390625" customHeight="1"/>
  <cols>
    <col min="1" max="1" width="3.00390625" customWidth="1"/>
    <col min="2" max="2" width="14.00390625" customWidth="1"/>
    <col min="3" max="3" width="28.00390625" customWidth="1"/>
    <col min="4" max="7" width="16.00390625" customWidth="1"/>
    <col min="8" max="8" width="3.00390625" customWidth="1"/>
  </cols>
  <sheetData>
    <row r="1" ht="4.5" customHeight="1"/>
    <row r="2" ht="27" customHeight="1">
      <c r="B2" s="1" t="s">
        <v>0</v>
      </c>
    </row>
    <row r="3" ht="15" customHeight="1">
      <c r="B3" s="2" t="s">
        <v>1</v>
      </c>
    </row>
    <row r="4" ht="4.5" customHeight="1"/>
    <row r="5" ht="22.5" customHeight="1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8" t="s">
        <v>7</v>
      </c>
    </row>
    <row r="6" ht="19.5" customHeight="1">
      <c r="B6" s="9" t="s">
        <v>8</v>
      </c>
      <c r="D6" s="10"/>
      <c r="E6" s="10"/>
      <c r="F6" s="10"/>
      <c r="G6" s="10"/>
    </row>
    <row r="7" ht="18" customHeight="1">
      <c r="B7" s="11">
        <v>5</v>
      </c>
      <c r="C7" s="12" t="s">
        <v>9</v>
      </c>
      <c r="D7" s="13">
        <v>5</v>
      </c>
      <c r="E7" s="14">
        <v>4</v>
      </c>
      <c r="F7" s="15">
        <v>3</v>
      </c>
      <c r="G7" s="16">
        <v>4</v>
      </c>
    </row>
    <row r="8" ht="18" customHeight="1">
      <c r="B8" s="11">
        <v>4</v>
      </c>
      <c r="C8" s="12" t="s">
        <v>10</v>
      </c>
      <c r="D8" s="13">
        <v>4</v>
      </c>
      <c r="E8" s="14">
        <v>5</v>
      </c>
      <c r="F8" s="15">
        <v>3</v>
      </c>
      <c r="G8" s="16">
        <v>2</v>
      </c>
    </row>
    <row r="9" ht="18" customHeight="1">
      <c r="B9" s="11">
        <v>3</v>
      </c>
      <c r="C9" s="12" t="s">
        <v>11</v>
      </c>
      <c r="D9" s="13">
        <v>3</v>
      </c>
      <c r="E9" s="14">
        <v>4</v>
      </c>
      <c r="F9" s="15">
        <v>5</v>
      </c>
      <c r="G9" s="16">
        <v>3</v>
      </c>
    </row>
    <row r="10" ht="18" customHeight="1">
      <c r="B10" s="11">
        <v>4</v>
      </c>
      <c r="C10" s="12" t="s">
        <v>12</v>
      </c>
      <c r="D10" s="13">
        <v>5</v>
      </c>
      <c r="E10" s="14">
        <v>3</v>
      </c>
      <c r="F10" s="15">
        <v>4</v>
      </c>
      <c r="G10" s="16">
        <v>5</v>
      </c>
    </row>
    <row r="11" ht="18" customHeight="1">
      <c r="B11" s="11">
        <v>5</v>
      </c>
      <c r="C11" s="12" t="s">
        <v>13</v>
      </c>
      <c r="D11" s="13">
        <v>4</v>
      </c>
      <c r="E11" s="14">
        <v>5</v>
      </c>
      <c r="F11" s="15">
        <v>4</v>
      </c>
      <c r="G11" s="16">
        <v>3</v>
      </c>
    </row>
    <row r="12" ht="19.5" customHeight="1">
      <c r="B12" s="17" t="s">
        <v>14</v>
      </c>
      <c r="C12" s="18"/>
      <c r="D12" s="10"/>
      <c r="E12" s="10"/>
      <c r="F12" s="10"/>
      <c r="G12" s="10"/>
    </row>
    <row r="13" ht="18" customHeight="1">
      <c r="B13" s="11">
        <v>5</v>
      </c>
      <c r="C13" s="12" t="s">
        <v>15</v>
      </c>
      <c r="D13" s="13">
        <v>4</v>
      </c>
      <c r="E13" s="14">
        <v>3</v>
      </c>
      <c r="F13" s="15">
        <v>5</v>
      </c>
      <c r="G13" s="16">
        <v>4</v>
      </c>
    </row>
    <row r="14" ht="18" customHeight="1">
      <c r="B14" s="11">
        <v>4</v>
      </c>
      <c r="C14" s="12" t="s">
        <v>16</v>
      </c>
      <c r="D14" s="13">
        <v>5</v>
      </c>
      <c r="E14" s="14">
        <v>4</v>
      </c>
      <c r="F14" s="15">
        <v>4</v>
      </c>
      <c r="G14" s="16">
        <v>3</v>
      </c>
    </row>
    <row r="15" ht="18" customHeight="1">
      <c r="B15" s="11">
        <v>3</v>
      </c>
      <c r="C15" s="12" t="s">
        <v>17</v>
      </c>
      <c r="D15" s="13">
        <v>4</v>
      </c>
      <c r="E15" s="14">
        <v>3</v>
      </c>
      <c r="F15" s="15">
        <v>5</v>
      </c>
      <c r="G15" s="16">
        <v>5</v>
      </c>
    </row>
    <row r="16" ht="19.5" customHeight="1">
      <c r="B16" s="17" t="s">
        <v>18</v>
      </c>
      <c r="C16" s="18"/>
      <c r="D16" s="10"/>
      <c r="E16" s="10"/>
      <c r="F16" s="10"/>
      <c r="G16" s="10"/>
    </row>
    <row r="17" ht="18" customHeight="1">
      <c r="B17" s="11">
        <v>4</v>
      </c>
      <c r="C17" s="12" t="s">
        <v>19</v>
      </c>
      <c r="D17" s="13">
        <v>5</v>
      </c>
      <c r="E17" s="14">
        <v>3</v>
      </c>
      <c r="F17" s="15">
        <v>4</v>
      </c>
      <c r="G17" s="16">
        <v>2</v>
      </c>
    </row>
    <row r="18" ht="18" customHeight="1">
      <c r="B18" s="11">
        <v>3</v>
      </c>
      <c r="C18" s="12" t="s">
        <v>20</v>
      </c>
      <c r="D18" s="13">
        <v>4</v>
      </c>
      <c r="E18" s="14">
        <v>5</v>
      </c>
      <c r="F18" s="15">
        <v>3</v>
      </c>
      <c r="G18" s="16">
        <v>4</v>
      </c>
    </row>
    <row r="19" ht="18" customHeight="1">
      <c r="B19" s="11">
        <v>2</v>
      </c>
      <c r="C19" s="12" t="s">
        <v>21</v>
      </c>
      <c r="D19" s="13">
        <v>3</v>
      </c>
      <c r="E19" s="14">
        <v>4</v>
      </c>
      <c r="F19" s="15">
        <v>2</v>
      </c>
      <c r="G19" s="16">
        <v>5</v>
      </c>
    </row>
    <row r="20" ht="18" customHeight="1">
      <c r="B20" s="11">
        <v>2</v>
      </c>
      <c r="C20" s="12" t="s">
        <v>22</v>
      </c>
      <c r="D20" s="13">
        <v>4</v>
      </c>
      <c r="E20" s="14">
        <v>5</v>
      </c>
      <c r="F20" s="15">
        <v>3</v>
      </c>
      <c r="G20" s="16">
        <v>3</v>
      </c>
    </row>
    <row r="21" ht="19.5" customHeight="1">
      <c r="B21" s="17" t="s">
        <v>23</v>
      </c>
      <c r="C21" s="18"/>
      <c r="D21" s="10"/>
      <c r="E21" s="10"/>
      <c r="F21" s="10"/>
      <c r="G21" s="10"/>
    </row>
    <row r="22" ht="18" customHeight="1">
      <c r="B22" s="11">
        <v>5</v>
      </c>
      <c r="C22" s="12" t="s">
        <v>24</v>
      </c>
      <c r="D22" s="13">
        <v>3</v>
      </c>
      <c r="E22" s="14">
        <v>4</v>
      </c>
      <c r="F22" s="15">
        <v>5</v>
      </c>
      <c r="G22" s="16">
        <v>2</v>
      </c>
    </row>
    <row r="23" ht="18" customHeight="1">
      <c r="B23" s="11">
        <v>3</v>
      </c>
      <c r="C23" s="12" t="s">
        <v>25</v>
      </c>
      <c r="D23" s="13">
        <v>5</v>
      </c>
      <c r="E23" s="14">
        <v>1</v>
      </c>
      <c r="F23" s="15">
        <v>3</v>
      </c>
      <c r="G23" s="16">
        <v>1</v>
      </c>
    </row>
    <row r="24" ht="18" customHeight="1">
      <c r="B24" s="11">
        <v>3</v>
      </c>
      <c r="C24" s="12" t="s">
        <v>26</v>
      </c>
      <c r="D24" s="13">
        <v>4</v>
      </c>
      <c r="E24" s="14">
        <v>3</v>
      </c>
      <c r="F24" s="15">
        <v>4</v>
      </c>
      <c r="G24" s="16">
        <v>5</v>
      </c>
    </row>
    <row r="25" ht="4.5" customHeight="1"/>
    <row r="26" ht="21" customHeight="1">
      <c r="B26" s="19" t="s">
        <v>27</v>
      </c>
      <c r="D26" s="20">
        <f>SUMPRODUCT(B7:B11,D7:D11)+SUMPRODUCT(B13:B15,D13:D15)+SUMPRODUCT(B17:B20,D17:D20)+SUMPRODUCT(B22:B24,D22:D24)</f>
        <v>230</v>
      </c>
      <c r="E26" s="21">
        <f>SUMPRODUCT(B7:B11,E7:E11)+SUMPRODUCT(B13:B15,E13:E15)+SUMPRODUCT(B17:B20,E17:E20)+SUMPRODUCT(B22:B24,E22:E24)</f>
        <v>206</v>
      </c>
      <c r="F26" s="22">
        <f>SUMPRODUCT(B7:B11,F7:F11)+SUMPRODUCT(B13:B15,F13:F15)+SUMPRODUCT(B17:B20,F17:F20)+SUMPRODUCT(B22:B24,F22:F24)</f>
        <v>215</v>
      </c>
      <c r="G26" s="23">
        <f>SUMPRODUCT(B7:B11,G7:G11)+SUMPRODUCT(B13:B15,G13:G15)+SUMPRODUCT(B17:B20,G17:G20)+SUMPRODUCT(B22:B24,G22:G24)</f>
        <v>183</v>
      </c>
    </row>
    <row r="27" ht="16.5" customHeight="1">
      <c r="B27" s="24" t="s">
        <v>28</v>
      </c>
      <c r="D27" s="25">
        <f>(SUM(B7:B11)+SUM(B13:B15)+SUM(B17:B20)+SUM(B22:B24))*5</f>
        <v>275</v>
      </c>
      <c r="E27" s="25">
        <f>(SUM(B7:B11)+SUM(B13:B15)+SUM(B17:B20)+SUM(B22:B24))*5</f>
        <v>275</v>
      </c>
      <c r="F27" s="25">
        <f>(SUM(B7:B11)+SUM(B13:B15)+SUM(B17:B20)+SUM(B22:B24))*5</f>
        <v>275</v>
      </c>
      <c r="G27" s="25">
        <f>(SUM(B7:B11)+SUM(B13:B15)+SUM(B17:B20)+SUM(B22:B24))*5</f>
        <v>275</v>
      </c>
    </row>
    <row r="28" ht="16.5" customHeight="1">
      <c r="B28" s="4" t="s">
        <v>29</v>
      </c>
      <c r="D28" s="26">
        <f t="shared" si="0" ref="D28:G28">IF(D27=0,"",D26/D27)</f>
        <v>0.836363636363636</v>
      </c>
      <c r="E28" s="26">
        <f t="shared" si="0"/>
        <v>0.749090909090909</v>
      </c>
      <c r="F28" s="26">
        <f t="shared" si="0"/>
        <v>0.781818181818182</v>
      </c>
      <c r="G28" s="26">
        <f t="shared" si="0"/>
        <v>0.665454545454545</v>
      </c>
    </row>
    <row r="29" ht="22.5" customHeight="1">
      <c r="B29" s="27" t="s">
        <v>30</v>
      </c>
      <c r="D29" s="28" t="str">
        <f>IF(D26=MAX(D26:G26),"★ WINNER","")</f>
        <v>★ WINNER</v>
      </c>
      <c r="E29" s="28" t="str">
        <f>IF(E26=MAX(D26:G26),"★ WINNER","")</f>
        <v/>
      </c>
      <c r="F29" s="28" t="str">
        <f>IF(F26=MAX(D26:G26),"★ WINNER","")</f>
        <v/>
      </c>
      <c r="G29" s="28" t="str">
        <f>IF(G26=MAX(D26:G26),"★ WINNER","")</f>
        <v/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G2"/>
    <mergeCell ref="B3:G3"/>
    <mergeCell ref="B6:C6"/>
    <mergeCell ref="B12:C12"/>
    <mergeCell ref="B16:C16"/>
    <mergeCell ref="B21:C21"/>
    <mergeCell ref="B26:C26"/>
    <mergeCell ref="B27:C27"/>
    <mergeCell ref="B28:C28"/>
    <mergeCell ref="B29:C29"/>
  </mergeCells>
  <conditionalFormatting sqref="D7:G1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3:G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7:G2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2:G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9:G29">
    <cfRule type="expression" dxfId="0" priority="1" text="null">
      <formula>D29&lt;&gt;""</formula>
    </cfRule>
  </conditionalFormatting>
  <dataValidations count="75">
    <dataValidation operator="notEqual" allowBlank="1" error="Please enter a weight between 1 and 5" errorTitle="Invalid Weight" prompt="Enter importance weight from 1 (Low) to 5 (Critical)" promptTitle="Feature Weight" showErrorMessage="1" showInputMessage="1" sqref="B24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23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22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20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9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8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7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5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4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3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1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10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9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8" type="whole">
      <formula1>6</formula1>
    </dataValidation>
    <dataValidation operator="notEqual" allowBlank="1" error="Please enter a weight between 1 and 5" errorTitle="Invalid Weight" prompt="Enter importance weight from 1 (Low) to 5 (Critical)" promptTitle="Feature Weight" showErrorMessage="1" showInputMessage="1" sqref="B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2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2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2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2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2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2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2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2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22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22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22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22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2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2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2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2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5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5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5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5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4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3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1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1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1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1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1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1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1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10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9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8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G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F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E7" type="whole">
      <formula1>6</formula1>
    </dataValidation>
    <dataValidation operator="notEqual" allowBlank="1" error="Please enter a rating between 1 and 5" errorTitle="Invalid Rating" prompt="Enter a rating from 1 (Poor) to 5 (Excellent)" promptTitle="Feature Rating" showErrorMessage="1" showInputMessage="1" sqref="D7" type="whole">
      <formula1>6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c17b30a2-364a-496e-bb49-371b4a035cd0</vt:lpwstr>
  </property>
</Properties>
</file>