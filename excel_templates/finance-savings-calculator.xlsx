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Savings Calculator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<sst xmlns="http://schemas.openxmlformats.org/spreadsheetml/2006/main" count="17" uniqueCount="17">
  <si>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Savings Calculator</t>
  </si>
  <si>
    <t>Year</t>
  </si>
  <si>
    <t>Starting Balance</t>
  </si>
  <si>
    <t>Contributions</t>
  </si>
  <si>
    <t>Interest Earned</t>
  </si>
  <si>
    <t>Ending Balance</t>
  </si>
  <si>
    <t>Total Contributions</t>
  </si>
  <si>
    <t>INPUT PARAMETERS</t>
  </si>
  <si>
    <t>Initial Deposit</t>
  </si>
  <si>
    <t>Monthly Contribution</t>
  </si>
  <si>
    <t>Annual Interest Rate</t>
  </si>
  <si>
    <t>Compounding Frequency</t>
  </si>
  <si>
    <t>Number of Years</t>
  </si>
  <si>
    <t>RESULTS SUMMARY</t>
  </si>
  <si>
    <t>Final Balance</t>
  </si>
  <si>
    <t>Total Interest Earned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</si>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</sst>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_([$$-409]* #,##0.00_);_([$$-409]* (#,##0.00);_([$$-409]* &quot;-&quot;??_);_(@_)"/>
  </numFmts>
  <fonts count="9">
    <font>
      <b val="0"/>
      <i val="0"/>
      <sz val="12"/>
      <color theme="1"/>
      <name val="Aptos Narrow"/>
      <scheme val="minor"/>
    </font>
    <font>
      <b/>
      <i val="0"/>
      <sz val="18"/>
      <color rgb="FF2B4C7E"/>
      <name val="Aptos Narrow"/>
    </font>
    <font>
      <b/>
      <i val="0"/>
      <sz val="10"/>
      <color rgb="FFFFFFFF"/>
      <name val="Aptos Narrow"/>
    </font>
    <font>
      <b val="0"/>
      <i val="0"/>
      <sz val="11"/>
      <color theme="1"/>
      <name val="Aptos Narrow"/>
    </font>
    <font>
      <b val="0"/>
      <i val="0"/>
      <sz val="11"/>
      <color rgb="FF333333"/>
      <name val="Aptos Narrow"/>
    </font>
    <font>
      <b/>
      <i val="0"/>
      <sz val="11"/>
      <color rgb="FF0000FF"/>
      <name val="Aptos Narrow"/>
    </font>
    <font>
      <b val="0"/>
      <i val="0"/>
      <sz val="11"/>
      <color theme="1"/>
      <name val="Aptos Narrow"/>
      <scheme val="minor"/>
    </font>
    <font>
      <b/>
      <i val="0"/>
      <sz val="12"/>
      <color rgb="FF2B4C7E"/>
      <name val="Aptos Narrow"/>
    </font>
    <font>
      <b/>
      <i val="0"/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B4C7E"/>
      </patternFill>
    </fill>
    <fill>
      <patternFill patternType="solid">
        <fgColor rgb="FFF5F8FC"/>
      </patternFill>
    </fill>
    <fill>
      <patternFill patternType="solid">
        <fgColor rgb="FFE8EEF4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2B4C7E"/>
      </bottom>
      <diagonal/>
    </border>
    <border>
      <left/>
      <right/>
      <top/>
      <bottom style="thin">
        <color rgb="FFB0C4DE"/>
      </bottom>
      <diagonal/>
    </border>
    <border>
      <left/>
      <right/>
      <top style="medium">
        <color rgb="FF2B4C7E"/>
      </top>
      <bottom style="double">
        <color rgb="FF2B4C7E"/>
      </bottom>
      <diagonal/>
    </border>
  </borders>
  <cellStyleXfs count="1">
    <xf numFmtId="0" fontId="0" fillId="0" borderId="1"/>
  </cellStyleXfs>
  <cellXfs count="17">
    <xf numFmtId="0" fontId="0" fillId="0" borderId="1" xfId="0"/>
    <xf numFmtId="0" fontId="1" fillId="0" borderId="1" xfId="0">
      <alignment vertical="center"/>
    </xf>
    <xf numFmtId="0" fontId="2" fillId="2" borderId="2" xfId="0">
      <alignment horizontal="center" vertical="center"/>
    </xf>
    <xf numFmtId="0" fontId="2" fillId="2" borderId="2" xfId="0">
      <alignment horizontal="left" vertical="center"/>
    </xf>
    <xf numFmtId="3" fontId="3" fillId="3" borderId="1" xfId="0">
      <alignment horizontal="center" vertical="center"/>
    </xf>
    <xf numFmtId="171" fontId="3" fillId="3" borderId="1" xfId="0">
      <alignment horizontal="right" vertical="center"/>
    </xf>
    <xf numFmtId="171" fontId="3" fillId="0" borderId="1" xfId="0">
      <alignment horizontal="right" vertical="center"/>
    </xf>
    <xf numFmtId="0" fontId="4" fillId="0" borderId="1" xfId="0">
      <alignment vertical="center"/>
    </xf>
    <xf numFmtId="171" fontId="5" fillId="0" borderId="3" xfId="0">
      <alignment horizontal="right" vertical="center"/>
    </xf>
    <xf numFmtId="171" fontId="6" fillId="3" borderId="1" xfId="0">
      <alignment horizontal="right" vertical="center"/>
    </xf>
    <xf numFmtId="171" fontId="6" fillId="0" borderId="1" xfId="0">
      <alignment horizontal="right" vertical="center"/>
    </xf>
    <xf numFmtId="10" fontId="5" fillId="0" borderId="3" xfId="0">
      <alignment horizontal="right" vertical="center"/>
    </xf>
    <xf numFmtId="3" fontId="5" fillId="0" borderId="3" xfId="0">
      <alignment horizontal="right" vertical="center"/>
    </xf>
    <xf numFmtId="171" fontId="7" fillId="0" borderId="1" xfId="0">
      <alignment horizontal="right" vertical="center"/>
    </xf>
    <xf numFmtId="0" fontId="8" fillId="4" borderId="4" xfId="0">
      <alignment horizontal="center" vertical="center"/>
    </xf>
    <xf numFmtId="0" fontId="8" fillId="4" borderId="4" xfId="0">
      <alignment horizontal="right" vertical="center"/>
    </xf>
    <xf numFmtId="171" fontId="8" fillId="4" borderId="4" xf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750" b="0">
                <a:solidFill>
                  <a:srgbClr val="2b4c7e"/>
                </a:solidFill>
                <a:latin typeface="Aptos Narrow"/>
              </a:defRPr>
            </a:pPr>
            <a:r>
              <a:rPr sz="750" b="0">
                <a:solidFill>
                  <a:srgbClr val="2b4c7e"/>
                </a:solidFill>
                <a:latin typeface="Aptos Narrow"/>
              </a:rPr>
              <a:t>Savings Growth Over Time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areaChart chartType="4">
        <c:ser seriesType="1">
          <c:idx val="0"/>
          <c:order val="0"/>
          <c:tx>
            <c:strRef>
              <c:f>Total Contributions</c:f>
            </c:strRef>
          </c:tx>
          <c:spPr>
            <a:solidFill>
              <a:srgbClr val="5b9bd5"/>
            </a:solidFill>
            <a:ln w="0">
              <a:noFill/>
            </a:ln>
          </c:spPr>
          <c:cat>
            <c:numRef>
              <c:f>'Savings Calculator'!$F$5:$F$24</c:f>
              <c:numCache>
                <c:formatCode>#,##0</c:formatCode>
              </c:numCache>
            </c:numRef>
          </c:cat>
          <c:val>
            <c:numRef>
              <c:f>'Savings Calculator'!$K$5:$K$24</c:f>
              <c:numCache>
                <c:formatCode>_([$$-409]* #,##0.00_);_([$$-409]* (#,##0.00);_([$$-409]* "-"??_);_(@_)</c:formatCode>
              </c:numCache>
            </c:numRef>
          </c:val>
          <c:extLst/>
        </c:ser>
        <c:ser seriesType="1">
          <c:idx val="1"/>
          <c:order val="1"/>
          <c:tx>
            <c:strRef>
              <c:f>Interest Earned</c:f>
            </c:strRef>
          </c:tx>
          <c:spPr>
            <a:solidFill>
              <a:srgbClr val="70ad47"/>
            </a:solidFill>
            <a:ln w="0">
              <a:noFill/>
            </a:ln>
          </c:spPr>
          <c:cat>
            <c:numRef>
              <c:f>'Savings Calculator'!$F$5:$F$24</c:f>
              <c:numCache>
                <c:formatCode>#,##0</c:formatCode>
              </c:numCache>
            </c:numRef>
          </c:cat>
          <c:val>
            <c:numRef>
              <c:f>'Savings Calculator'!$L$5:$L$24</c:f>
              <c:numCache>
                <c:formatCode>_([$$-409]* #,##0.00_);_([$$-409]* (#,##0.00);_([$$-409]* "-"??_);_(@_)</c:formatCode>
              </c:numCache>
            </c:numRef>
          </c:val>
          <c:extLst/>
        </c:ser>
        <c:axId val="33304062"/>
        <c:axId val="84196477"/>
        <c:varyColors val="0"/>
        <c:grouping val="stacked"/>
      </c:areaChart>
      <c:catAx axisType="0">
        <c:axId val="33304062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#,##0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84196477"/>
      </c:catAx>
      <c:valAx axisType="3">
        <c:axId val="84196477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$#,##0" sourceLinked="0"/>
        <c:txPr>
          <a:bodyPr/>
          <a:p>
            <a:pPr>
              <a:defRPr sz="750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defRPr>
            </a:pPr>
            <a:r>
              <a:rPr sz="750" b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33304062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ptos Narrow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Aptos Narrow"/>
            </a:rPr>
            <a:t/>
          </a:r>
          <a:endParaRPr/>
        </a:p>
      </c:txPr>
    </c:legend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rgbClr val="ffffff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sz="750" b="0">
          <a:solidFill>
            <a:schemeClr val="tx1">
              <a:lumMod val="65000"/>
              <a:lumOff val="35000"/>
            </a:schemeClr>
          </a:solidFill>
          <a:latin typeface="Aptos Narrow"/>
        </a:defRPr>
      </a:pPr>
      <a:r>
        <a:rPr sz="750" b="0">
          <a:solidFill>
            <a:schemeClr val="tx1">
              <a:lumMod val="65000"/>
              <a:lumOff val="35000"/>
            </a:schemeClr>
          </a:solidFill>
          <a:latin typeface="Aptos Narrow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793750</xdr:colOff>
      <xdr:row>26</xdr:row>
      <xdr:rowOff>92075</xdr:rowOff>
    </xdr:from>
    <xdr:to>
      <xdr:col>9</xdr:col>
      <xdr:colOff>887488</xdr:colOff>
      <xdr:row>42</xdr:row>
      <xdr:rowOff>51254</xdr:rowOff>
    </xdr:to>
    <xdr:graphicFrame>
      <xdr:nvGraphicFramePr>
        <xdr:cNvPr id="2" name="SavingsChart"/>
        <xdr:cNvGraphicFramePr>
          <a:graphicFrameLocks noChangeAspect="0"/>
        </xdr:cNvGraphicFramePr>
      </xdr:nvGraphicFramePr>
      <xdr:xfrm>
        <a:off x="4942417" y="5489575"/>
        <a:ext cx="5438321" cy="3345846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58E83B8-8708-C838-EDC8-E64A54AE6C48}" mc:Ignorable="x14ac xr xr2 xr3">
  <dimension ref="A1:CV10000"/>
  <sheetViews>
    <sheetView showGridLines="0" zoomScale="90" workbookViewId="0" tabSelected="1">
      <pane xSplit="5" ySplit="4" topLeftCell="F5" activePane="bottomRight" state="frozen"/>
      <selection pane="bottomLeft" activeCell="A5" sqref="A5"/>
      <selection pane="topRight" activeCell="F1" sqref="F1"/>
      <selection pane="bottomRight" activeCell="A1" sqref="A1"/>
    </sheetView>
  </sheetViews>
  <sheetFormatPr defaultRowHeight="15.997499999999997" defaultColWidth="9.00390625" customHeight="1"/>
  <cols>
    <col min="1" max="1" width="3.75390625" customWidth="1"/>
    <col min="2" max="2" width="27.50390625" customWidth="1"/>
    <col min="3" max="3" width="18.125" customWidth="1"/>
    <col min="4" max="4" width="5.00390625" customWidth="1"/>
    <col min="5" max="5" width="10.625" customWidth="1"/>
    <col min="6" max="6" width="18.125" customWidth="1"/>
    <col min="7" max="10" width="13.75390625" customWidth="1"/>
    <col min="11" max="11" width="18.125" hidden="1" customWidth="1"/>
    <col min="12" max="12" width="13.75390625" hidden="1" customWidth="1"/>
    <col min="13" max="13" width="8.75390625" customWidth="1"/>
  </cols>
  <sheetData>
    <row r="1" ht="16.5" customHeight="1"/>
    <row r="2" ht="24.75" customHeight="1">
      <c r="B2" s="1" t="s">
        <v>0</v>
      </c>
    </row>
    <row r="3" ht="16.5" customHeight="1"/>
    <row r="4" ht="15" customHeight="1"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4</v>
      </c>
    </row>
    <row r="5" ht="15.75" customHeight="1">
      <c r="B5" s="3" t="s">
        <v>7</v>
      </c>
      <c r="F5" s="4">
        <f t="shared" si="0" ref="F5:F24">IF(ROW()-4&gt;$C$11,"",ROW()-4)</f>
        <v>1</v>
      </c>
      <c r="G5" s="5" cm="1">
        <f t="array" ref="G5">IF(F5="","",$C$7)</f>
        <v>10000</v>
      </c>
      <c r="H5" s="5">
        <f t="shared" si="1" ref="H5:H24">IF(F5="","",$C$8*12)</f>
        <v>6000</v>
      </c>
      <c r="I5" s="5">
        <f t="shared" si="2" ref="I5:I24">IF(F5="","",J5-G5-H5)</f>
        <v>919.193453382599</v>
      </c>
      <c r="J5" s="5">
        <f t="shared" si="3" ref="J5:J24">IF(F5="","",G5*(1+$C$9/$C$10)^$C$10+$C$8*((1+$C$9/$C$10)^$C$10-1)/($C$9/$C$10))</f>
        <v>16919.1934533826</v>
      </c>
      <c r="K5" s="6">
        <f>IF(F5="","",C7+H5)</f>
        <v>16000</v>
      </c>
      <c r="L5" s="6" cm="1">
        <f t="array" ref="L5">IF(F5="","",I5)</f>
        <v>919.193453382599</v>
      </c>
    </row>
    <row r="6" ht="15.75" customHeight="1">
      <c r="F6" s="4">
        <f t="shared" si="0"/>
        <v>2</v>
      </c>
      <c r="G6" s="6" cm="1">
        <f t="array" ref="G6">IF(F6="","",J5)</f>
        <v>16919.1934533826</v>
      </c>
      <c r="H6" s="6">
        <f t="shared" si="1"/>
        <v>6000</v>
      </c>
      <c r="I6" s="6">
        <f t="shared" si="2"/>
        <v>1419.3825075875</v>
      </c>
      <c r="J6" s="6">
        <f t="shared" si="3"/>
        <v>24338.5759609701</v>
      </c>
      <c r="K6" s="6">
        <f t="shared" si="4" ref="K6:K24">IF(F6="","",K5+H6)</f>
        <v>22000</v>
      </c>
      <c r="L6" s="6">
        <f t="shared" si="5" ref="L6:L24">IF(F6="","",L5+I6)</f>
        <v>2338.5759609701</v>
      </c>
    </row>
    <row r="7" ht="15.75" customHeight="1">
      <c r="B7" s="7" t="s">
        <v>8</v>
      </c>
      <c r="C7" s="8">
        <v>10000</v>
      </c>
      <c r="F7" s="4">
        <f t="shared" si="0"/>
        <v>3</v>
      </c>
      <c r="G7" s="9" cm="1">
        <f t="array" ref="G7">IF(F7="","",J6)</f>
        <v>24338.5759609701</v>
      </c>
      <c r="H7" s="9">
        <f t="shared" si="1"/>
        <v>6000</v>
      </c>
      <c r="I7" s="9">
        <f t="shared" si="2"/>
        <v>1955.7302689644</v>
      </c>
      <c r="J7" s="9">
        <f t="shared" si="3"/>
        <v>32294.3062299345</v>
      </c>
      <c r="K7" s="10">
        <f t="shared" si="4"/>
        <v>28000</v>
      </c>
      <c r="L7" s="10">
        <f t="shared" si="5"/>
        <v>4294.3062299345</v>
      </c>
    </row>
    <row r="8" ht="15.75" customHeight="1">
      <c r="B8" s="7" t="s">
        <v>9</v>
      </c>
      <c r="C8" s="8">
        <v>500</v>
      </c>
      <c r="F8" s="4">
        <f t="shared" si="0"/>
        <v>4</v>
      </c>
      <c r="G8" s="10" cm="1">
        <f t="array" ref="G8">IF(F8="","",J7)</f>
        <v>32294.3062299345</v>
      </c>
      <c r="H8" s="10">
        <f t="shared" si="1"/>
        <v>6000</v>
      </c>
      <c r="I8" s="10">
        <f t="shared" si="2"/>
        <v>2530.8506533782</v>
      </c>
      <c r="J8" s="10">
        <f t="shared" si="3"/>
        <v>40825.1568833127</v>
      </c>
      <c r="K8" s="10">
        <f t="shared" si="4"/>
        <v>34000</v>
      </c>
      <c r="L8" s="10">
        <f t="shared" si="5"/>
        <v>6825.1568833127</v>
      </c>
    </row>
    <row r="9" ht="15.75" customHeight="1">
      <c r="B9" s="7" t="s">
        <v>10</v>
      </c>
      <c r="C9" s="11">
        <v>0.07</v>
      </c>
      <c r="F9" s="4">
        <f t="shared" si="0"/>
        <v>5</v>
      </c>
      <c r="G9" s="9" cm="1">
        <f t="array" ref="G9">IF(F9="","",J8)</f>
        <v>40825.1568833127</v>
      </c>
      <c r="H9" s="9">
        <f t="shared" si="1"/>
        <v>6000</v>
      </c>
      <c r="I9" s="9">
        <f t="shared" si="2"/>
        <v>3147.5465368834</v>
      </c>
      <c r="J9" s="9">
        <f t="shared" si="3"/>
        <v>49972.7034201961</v>
      </c>
      <c r="K9" s="10">
        <f t="shared" si="4"/>
        <v>40000</v>
      </c>
      <c r="L9" s="10">
        <f t="shared" si="5"/>
        <v>9972.7034201961</v>
      </c>
    </row>
    <row r="10" ht="15.75" customHeight="1">
      <c r="B10" s="7" t="s">
        <v>11</v>
      </c>
      <c r="C10" s="12">
        <v>12</v>
      </c>
      <c r="F10" s="4">
        <f t="shared" si="0"/>
        <v>6</v>
      </c>
      <c r="G10" s="10" cm="1">
        <f t="array" ref="G10">IF(F10="","",J9)</f>
        <v>49972.7034201961</v>
      </c>
      <c r="H10" s="10">
        <f t="shared" si="1"/>
        <v>6000</v>
      </c>
      <c r="I10" s="10">
        <f t="shared" si="2"/>
        <v>3808.8234156709</v>
      </c>
      <c r="J10" s="10">
        <f t="shared" si="3"/>
        <v>59781.526835867</v>
      </c>
      <c r="K10" s="10">
        <f t="shared" si="4"/>
        <v>46000</v>
      </c>
      <c r="L10" s="10">
        <f t="shared" si="5"/>
        <v>13781.526835867</v>
      </c>
    </row>
    <row r="11" ht="15.75" customHeight="1">
      <c r="B11" s="7" t="s">
        <v>12</v>
      </c>
      <c r="C11" s="12">
        <v>20</v>
      </c>
      <c r="F11" s="4">
        <f t="shared" si="0"/>
        <v>7</v>
      </c>
      <c r="G11" s="9" cm="1">
        <f t="array" ref="G11">IF(F11="","",J10)</f>
        <v>59781.526835867</v>
      </c>
      <c r="H11" s="9">
        <f t="shared" si="1"/>
        <v>6000</v>
      </c>
      <c r="I11" s="9">
        <f t="shared" si="2"/>
        <v>4517.90405349431</v>
      </c>
      <c r="J11" s="9">
        <f t="shared" si="3"/>
        <v>70299.4308893613</v>
      </c>
      <c r="K11" s="10">
        <f t="shared" si="4"/>
        <v>52000</v>
      </c>
      <c r="L11" s="10">
        <f t="shared" si="5"/>
        <v>18299.4308893613</v>
      </c>
    </row>
    <row r="12" ht="15.75" customHeight="1">
      <c r="F12" s="4">
        <f t="shared" si="0"/>
        <v>8</v>
      </c>
      <c r="G12" s="10" cm="1">
        <f t="array" ref="G12">IF(F12="","",J11)</f>
        <v>70299.4308893613</v>
      </c>
      <c r="H12" s="10">
        <f t="shared" si="1"/>
        <v>6000</v>
      </c>
      <c r="I12" s="10">
        <f t="shared" si="2"/>
        <v>5278.2441879595</v>
      </c>
      <c r="J12" s="10">
        <f t="shared" si="3"/>
        <v>81577.6750773208</v>
      </c>
      <c r="K12" s="10">
        <f t="shared" si="4"/>
        <v>58000</v>
      </c>
      <c r="L12" s="10">
        <f t="shared" si="5"/>
        <v>23577.6750773208</v>
      </c>
    </row>
    <row r="13" ht="15.75" customHeight="1">
      <c r="F13" s="4">
        <f t="shared" si="0"/>
        <v>9</v>
      </c>
      <c r="G13" s="9" cm="1">
        <f t="array" ref="G13">IF(F13="","",J12)</f>
        <v>81577.6750773208</v>
      </c>
      <c r="H13" s="9">
        <f t="shared" si="1"/>
        <v>6000</v>
      </c>
      <c r="I13" s="9">
        <f t="shared" si="2"/>
        <v>6093.5493722235</v>
      </c>
      <c r="J13" s="9">
        <f t="shared" si="3"/>
        <v>93671.2244495443</v>
      </c>
      <c r="K13" s="10">
        <f t="shared" si="4"/>
        <v>64000</v>
      </c>
      <c r="L13" s="10">
        <f t="shared" si="5"/>
        <v>29671.2244495443</v>
      </c>
    </row>
    <row r="14" ht="15.75" customHeight="1">
      <c r="B14" s="3" t="s">
        <v>13</v>
      </c>
      <c r="F14" s="4">
        <f t="shared" si="0"/>
        <v>10</v>
      </c>
      <c r="G14" s="10" cm="1">
        <f t="array" ref="G14">IF(F14="","",J13)</f>
        <v>93671.2244495443</v>
      </c>
      <c r="H14" s="10">
        <f t="shared" si="1"/>
        <v>6000</v>
      </c>
      <c r="I14" s="10">
        <f t="shared" si="2"/>
        <v>6967.79303418069</v>
      </c>
      <c r="J14" s="10">
        <f t="shared" si="3"/>
        <v>106639.017483725</v>
      </c>
      <c r="K14" s="10">
        <f t="shared" si="4"/>
        <v>70000</v>
      </c>
      <c r="L14" s="10">
        <f t="shared" si="5"/>
        <v>36639.017483725</v>
      </c>
    </row>
    <row r="15" ht="15.75" customHeight="1">
      <c r="F15" s="4">
        <f t="shared" si="0"/>
        <v>11</v>
      </c>
      <c r="G15" s="9" cm="1">
        <f t="array" ref="G15">IF(F15="","",J14)</f>
        <v>106639.017483725</v>
      </c>
      <c r="H15" s="9">
        <f t="shared" si="1"/>
        <v>6000</v>
      </c>
      <c r="I15" s="9">
        <f t="shared" si="2"/>
        <v>7905.23584114801</v>
      </c>
      <c r="J15" s="9">
        <f t="shared" si="3"/>
        <v>120544.253324873</v>
      </c>
      <c r="K15" s="10">
        <f t="shared" si="4"/>
        <v>76000</v>
      </c>
      <c r="L15" s="10">
        <f t="shared" si="5"/>
        <v>44544.253324873</v>
      </c>
    </row>
    <row r="16" ht="16.5" customHeight="1">
      <c r="B16" s="7" t="s">
        <v>14</v>
      </c>
      <c r="C16" s="13" cm="1">
        <f t="array" ref="C16">_xlfn.IFERROR(LOOKUP(2,1/(J5:J24&lt;&gt;""),J5:J24),0)</f>
        <v>300850.718402579</v>
      </c>
      <c r="F16" s="4">
        <f t="shared" si="0"/>
        <v>12</v>
      </c>
      <c r="G16" s="10" cm="1">
        <f t="array" ref="G16">IF(F16="","",J15)</f>
        <v>120544.253324873</v>
      </c>
      <c r="H16" s="10">
        <f t="shared" si="1"/>
        <v>6000</v>
      </c>
      <c r="I16" s="10">
        <f t="shared" si="2"/>
        <v>8910.44646443</v>
      </c>
      <c r="J16" s="10">
        <f t="shared" si="3"/>
        <v>135454.699789303</v>
      </c>
      <c r="K16" s="10">
        <f t="shared" si="4"/>
        <v>82000</v>
      </c>
      <c r="L16" s="10">
        <f t="shared" si="5"/>
        <v>53454.699789303</v>
      </c>
    </row>
    <row r="17" ht="16.5" customHeight="1">
      <c r="B17" s="7" t="s">
        <v>6</v>
      </c>
      <c r="C17" s="13" cm="1">
        <f t="array" ref="C17">_xlfn.IFERROR(LOOKUP(2,1/(K5:K24&lt;&gt;""),K5:K24),0)</f>
        <v>130000</v>
      </c>
      <c r="F17" s="4">
        <f t="shared" si="0"/>
        <v>13</v>
      </c>
      <c r="G17" s="9" cm="1">
        <f t="array" ref="G17">IF(F17="","",J16)</f>
        <v>135454.699789303</v>
      </c>
      <c r="H17" s="9">
        <f t="shared" si="1"/>
        <v>6000</v>
      </c>
      <c r="I17" s="9">
        <f t="shared" si="2"/>
        <v>9988.32384494599</v>
      </c>
      <c r="J17" s="9">
        <f t="shared" si="3"/>
        <v>151443.023634249</v>
      </c>
      <c r="K17" s="10">
        <f t="shared" si="4"/>
        <v>88000</v>
      </c>
      <c r="L17" s="10">
        <f t="shared" si="5"/>
        <v>63443.023634249</v>
      </c>
    </row>
    <row r="18" ht="16.5" customHeight="1">
      <c r="B18" s="7" t="s">
        <v>15</v>
      </c>
      <c r="C18" s="13" cm="1">
        <f t="array" ref="C18">_xlfn.IFERROR(LOOKUP(2,1/(L5:L24&lt;&gt;""),L5:L24),0)</f>
        <v>170850.718402579</v>
      </c>
      <c r="F18" s="4">
        <f t="shared" si="0"/>
        <v>14</v>
      </c>
      <c r="G18" s="10" cm="1">
        <f t="array" ref="G18">IF(F18="","",J17)</f>
        <v>151443.023634249</v>
      </c>
      <c r="H18" s="10">
        <f t="shared" si="1"/>
        <v>6000</v>
      </c>
      <c r="I18" s="10">
        <f t="shared" si="2"/>
        <v>11144.121068453</v>
      </c>
      <c r="J18" s="10">
        <f t="shared" si="3"/>
        <v>168587.144702702</v>
      </c>
      <c r="K18" s="10">
        <f t="shared" si="4"/>
        <v>94000</v>
      </c>
      <c r="L18" s="10">
        <f t="shared" si="5"/>
        <v>74587.144702702</v>
      </c>
    </row>
    <row r="19" ht="15.75" customHeight="1">
      <c r="F19" s="4">
        <f t="shared" si="0"/>
        <v>15</v>
      </c>
      <c r="G19" s="9" cm="1">
        <f t="array" ref="G19">IF(F19="","",J18)</f>
        <v>168587.144702702</v>
      </c>
      <c r="H19" s="9">
        <f t="shared" si="1"/>
        <v>6000</v>
      </c>
      <c r="I19" s="9">
        <f t="shared" si="2"/>
        <v>12383.4709667</v>
      </c>
      <c r="J19" s="9">
        <f t="shared" si="3"/>
        <v>186970.615669402</v>
      </c>
      <c r="K19" s="10">
        <f t="shared" si="4"/>
        <v>100000</v>
      </c>
      <c r="L19" s="10">
        <f t="shared" si="5"/>
        <v>86970.615669402</v>
      </c>
    </row>
    <row r="20" ht="15.75" customHeight="1">
      <c r="F20" s="4">
        <f t="shared" si="0"/>
        <v>16</v>
      </c>
      <c r="G20" s="10" cm="1">
        <f t="array" ref="G20">IF(F20="","",J19)</f>
        <v>186970.615669402</v>
      </c>
      <c r="H20" s="10">
        <f t="shared" si="1"/>
        <v>6000</v>
      </c>
      <c r="I20" s="10">
        <f t="shared" si="2"/>
        <v>13712.413569301</v>
      </c>
      <c r="J20" s="10">
        <f t="shared" si="3"/>
        <v>206683.029238703</v>
      </c>
      <c r="K20" s="10">
        <f t="shared" si="4"/>
        <v>106000</v>
      </c>
      <c r="L20" s="10">
        <f t="shared" si="5"/>
        <v>100683.029238703</v>
      </c>
    </row>
    <row r="21" ht="15.75" customHeight="1">
      <c r="F21" s="4">
        <f t="shared" si="0"/>
        <v>17</v>
      </c>
      <c r="G21" s="9" cm="1">
        <f t="array" ref="G21">IF(F21="","",J20)</f>
        <v>206683.029238703</v>
      </c>
      <c r="H21" s="9">
        <f t="shared" si="1"/>
        <v>6000</v>
      </c>
      <c r="I21" s="9">
        <f t="shared" si="2"/>
        <v>15137.425540098</v>
      </c>
      <c r="J21" s="9">
        <f t="shared" si="3"/>
        <v>227820.454778801</v>
      </c>
      <c r="K21" s="10">
        <f t="shared" si="4"/>
        <v>112000</v>
      </c>
      <c r="L21" s="10">
        <f t="shared" si="5"/>
        <v>115820.454778801</v>
      </c>
    </row>
    <row r="22" ht="15.75" customHeight="1">
      <c r="F22" s="4">
        <f t="shared" si="0"/>
        <v>18</v>
      </c>
      <c r="G22" s="10" cm="1">
        <f t="array" ref="G22">IF(F22="","",J21)</f>
        <v>227820.454778801</v>
      </c>
      <c r="H22" s="10">
        <f t="shared" si="1"/>
        <v>6000</v>
      </c>
      <c r="I22" s="10">
        <f t="shared" si="2"/>
        <v>16665.451741484</v>
      </c>
      <c r="J22" s="10">
        <f t="shared" si="3"/>
        <v>250485.906520285</v>
      </c>
      <c r="K22" s="10">
        <f t="shared" si="4"/>
        <v>118000</v>
      </c>
      <c r="L22" s="10">
        <f t="shared" si="5"/>
        <v>132485.906520285</v>
      </c>
    </row>
    <row r="23" ht="15.75" customHeight="1">
      <c r="F23" s="4">
        <f t="shared" si="0"/>
        <v>19</v>
      </c>
      <c r="G23" s="9" cm="1">
        <f t="array" ref="G23">IF(F23="","",J22)</f>
        <v>250485.906520285</v>
      </c>
      <c r="H23" s="9">
        <f t="shared" si="1"/>
        <v>6000</v>
      </c>
      <c r="I23" s="9">
        <f t="shared" si="2"/>
        <v>18303.939080519</v>
      </c>
      <c r="J23" s="9">
        <f t="shared" si="3"/>
        <v>274789.845600804</v>
      </c>
      <c r="K23" s="10">
        <f t="shared" si="4"/>
        <v>124000</v>
      </c>
      <c r="L23" s="10">
        <f t="shared" si="5"/>
        <v>150789.845600804</v>
      </c>
    </row>
    <row r="24" ht="15.75" customHeight="1">
      <c r="F24" s="4">
        <f t="shared" si="0"/>
        <v>20</v>
      </c>
      <c r="G24" s="10" cm="1">
        <f t="array" ref="G24">IF(F24="","",J23)</f>
        <v>274789.845600804</v>
      </c>
      <c r="H24" s="10">
        <f t="shared" si="1"/>
        <v>6000</v>
      </c>
      <c r="I24" s="10">
        <f t="shared" si="2"/>
        <v>20060.872801775</v>
      </c>
      <c r="J24" s="10">
        <f t="shared" si="3"/>
        <v>300850.718402579</v>
      </c>
      <c r="K24" s="10">
        <f t="shared" si="4"/>
        <v>130000</v>
      </c>
      <c r="L24" s="10">
        <f t="shared" si="5"/>
        <v>170850.718402579</v>
      </c>
    </row>
    <row r="25" ht="15.75" customHeight="1">
      <c r="F25" s="14" t="s">
        <v>16</v>
      </c>
      <c r="G25" s="15"/>
      <c r="H25" s="16" cm="1">
        <f t="array" ref="H25">SUMPRODUCT((F5:F24&lt;&gt;"")*H5:H24)</f>
        <v>120000</v>
      </c>
      <c r="I25" s="16" cm="1">
        <f t="array" ref="I25">SUMPRODUCT((F5:F24&lt;&gt;"")*I5:I24)</f>
        <v>170850.718402579</v>
      </c>
      <c r="J25" s="16" cm="1">
        <f t="array" ref="J25">_xlfn.IFERROR(LOOKUP(2,1/(J5:J24&lt;&gt;""),J5:J24),"")</f>
        <v>300850.718402579</v>
      </c>
    </row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>
    <mergeCell ref="B5:C5"/>
    <mergeCell ref="B14:C14"/>
  </mergeCells>
  <conditionalFormatting sqref="I5:I24">
    <cfRule type="dataBar" priority="2">
      <dataBar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{a6e9aa8b-2f3f-489f-bf90-24cddd1d932f}</x14:id>
        </ext>
      </extLst>
    </cfRule>
  </conditionalFormatting>
  <conditionalFormatting sqref="J5:J24">
    <cfRule type="dataBar" priority="1">
      <dataBar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{77cd20ed-aa0a-4a5b-ad1d-b994f92cbbee}</x14:id>
        </ext>
      </extLst>
    </cfRule>
  </conditionalFormatting>
  <dataValidations count="5">
    <dataValidation allowBlank="1" error="Please enter between 1 and 50 years." errorTitle="Invalid Period" prompt="Enter between 1 and 50 years." promptTitle="Number of Years" showErrorMessage="1" showInputMessage="1" sqref="C11" type="decimal">
      <formula1>1</formula1>
      <formula2>50</formula2>
    </dataValidation>
    <dataValidation allowBlank="1" prompt="1=Annual, 2=Semi-Annual, 4=Quarterly, 6=Bi-Monthly, 12=Monthly" promptTitle="Compounding" showErrorMessage="1" showInputMessage="1" sqref="C10" type="list">
      <formula1>"1,2,4,6,12"</formula1>
    </dataValidation>
    <dataValidation allowBlank="1" error="Please enter a rate between 0% and 100%." errorTitle="Invalid Rate" prompt="Enter rate as decimal (e.g., 0.07 for 7%)." promptTitle="Interest Rate" showErrorMessage="1" showInputMessage="1" sqref="C9" type="decimal">
      <formula1>0</formula1>
      <formula2>1</formula2>
    </dataValidation>
    <dataValidation operator="greaterThanOrEqual" allowBlank="1" error="Please enter a positive amount." errorTitle="Invalid Amount" prompt="Enter the monthly contribution amount." promptTitle="Monthly Contribution" showErrorMessage="1" showInputMessage="1" sqref="C8" type="decimal">
      <formula1>0</formula1>
    </dataValidation>
    <dataValidation operator="greaterThanOrEqual" allowBlank="1" error="Please enter a positive amount." errorTitle="Invalid Amount" prompt="Enter the initial deposit amount." promptTitle="Initial Deposit" showErrorMessage="1" showInputMessage="1" sqref="C7" type="decimal">
      <formula1>0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e9aa8b-2f3f-489f-bf90-24cddd1d932f}">
            <x14:dataBar minLength="0" maxLength="100" direction="leftToRight">
              <x14:color rgb="FF63C384"/>
              <x14:cfvo type="autoMin"/>
              <x14:cfvo type="autoMax"/>
              <x14:negativeFillColor rgb="FFFF0000"/>
              <x14:negativeBorderColor rgb="FF000000"/>
              <x14:axisColor rgb="FF000000"/>
            </x14:dataBar>
          </x14:cfRule>
          <xm:sqref>I5:I24</xm:sqref>
        </x14:conditionalFormatting>
        <x14:conditionalFormatting xmlns:xm="http://schemas.microsoft.com/office/excel/2006/main">
          <x14:cfRule type="dataBar" id="{77cd20ed-aa0a-4a5b-ad1d-b994f92cbbee}">
            <x14:dataBar minLength="0" maxLength="100" direction="leftToRight">
              <x14:color rgb="FF5B9BD5"/>
              <x14:cfvo type="autoMin"/>
              <x14:cfvo type="autoMax"/>
              <x14:negativeFillColor rgb="FFFF0000"/>
              <x14:negativeBorderColor rgb="FF000000"/>
              <x14:axisColor rgb="FF000000"/>
            </x14:dataBar>
          </x14:cfRule>
          <xm:sqref>J5:J24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e4e79338-21f3-4e7b-9034-4fb229da8bf2</vt:lpwstr>
  </property>
</Properties>
</file>