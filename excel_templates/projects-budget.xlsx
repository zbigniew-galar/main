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Project Budget" sheetId="1"/>
    <sheet r:id="rId2" name="Monthly Tracking" sheetId="2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<sst xmlns="http://schemas.openxmlformats.org/spreadsheetml/2006/main" count="97" uniqueCount="97">
  <si>
    <t>Labor</t>
  </si>
  <si>
    <t>PROJECT BUDGET</t>
  </si>
  <si>
    <t>Materials</t>
  </si>
  <si>
    <t>Equipment</t>
  </si>
  <si>
    <t>Project Name:</t>
  </si>
  <si>
    <t>Office Renovation Phase 2</t>
  </si>
  <si>
    <t>Client:</t>
  </si>
  <si>
    <t>Acme Corporation</t>
  </si>
  <si>
    <t>Total Budget:</t>
  </si>
  <si>
    <t>Subcontractors</t>
  </si>
  <si>
    <t>Project Manager:</t>
  </si>
  <si>
    <t>Sarah Williams</t>
  </si>
  <si>
    <t>Department:</t>
  </si>
  <si>
    <t>Facilities</t>
  </si>
  <si>
    <t>Total Actual:</t>
  </si>
  <si>
    <t>Travel</t>
  </si>
  <si>
    <t>Start Date:</t>
  </si>
  <si>
    <t>Budget Approved:</t>
  </si>
  <si>
    <t>Variance:</t>
  </si>
  <si>
    <t>Software</t>
  </si>
  <si>
    <t>End Date:</t>
  </si>
  <si>
    <t>Status:</t>
  </si>
  <si>
    <t>In Progress</t>
  </si>
  <si>
    <t>% Spent:</t>
  </si>
  <si>
    <t>Overhead</t>
  </si>
  <si>
    <t>Contingency</t>
  </si>
  <si>
    <t>#</t>
  </si>
  <si>
    <t>Description</t>
  </si>
  <si>
    <t>Budgeted</t>
  </si>
  <si>
    <t>Actual</t>
  </si>
  <si>
    <t>Variance</t>
  </si>
  <si>
    <t>% Spent</t>
  </si>
  <si>
    <t>% of Total</t>
  </si>
  <si>
    <t>Notes</t>
  </si>
  <si>
    <t>Project Manager</t>
  </si>
  <si>
    <t>60% time allocation</t>
  </si>
  <si>
    <t>Architects &amp; Designers</t>
  </si>
  <si>
    <t>Construction Workers</t>
  </si>
  <si>
    <t>Electricians</t>
  </si>
  <si>
    <t>Plumbers</t>
  </si>
  <si>
    <t>Overtime needed</t>
  </si>
  <si>
    <t>Labor Subtotal</t>
  </si>
  <si>
    <t>Building Materials</t>
  </si>
  <si>
    <t>Lumber, drywall, etc.</t>
  </si>
  <si>
    <t>Flooring</t>
  </si>
  <si>
    <t>Paint &amp; Finishes</t>
  </si>
  <si>
    <t>Hardware &amp; Fixtures</t>
  </si>
  <si>
    <t>Materials Subtotal</t>
  </si>
  <si>
    <t>Equipment Rental</t>
  </si>
  <si>
    <t>Crane, scaffolding</t>
  </si>
  <si>
    <t>Tools &amp; Supplies</t>
  </si>
  <si>
    <t>Safety Equipment</t>
  </si>
  <si>
    <t>Equipment Subtotal</t>
  </si>
  <si>
    <t>HVAC Contractor</t>
  </si>
  <si>
    <t>Glass &amp; Windows</t>
  </si>
  <si>
    <t>Custom sizes</t>
  </si>
  <si>
    <t>Landscaping</t>
  </si>
  <si>
    <t>Not started</t>
  </si>
  <si>
    <t>Subcontractors Subtotal</t>
  </si>
  <si>
    <t>Travel &amp; Logistics</t>
  </si>
  <si>
    <t>Site Transportation</t>
  </si>
  <si>
    <t>Material Delivery</t>
  </si>
  <si>
    <t>Travel &amp; Logistics Subtotal</t>
  </si>
  <si>
    <t>Software &amp; Permits</t>
  </si>
  <si>
    <t>CAD Software License</t>
  </si>
  <si>
    <t>Annual</t>
  </si>
  <si>
    <t>Building Permits</t>
  </si>
  <si>
    <t>Inspection Fees</t>
  </si>
  <si>
    <t>50% complete</t>
  </si>
  <si>
    <t>Software &amp; Permits Subtotal</t>
  </si>
  <si>
    <t>Insurance</t>
  </si>
  <si>
    <t>Utilities (Site)</t>
  </si>
  <si>
    <t>Office Supplies</t>
  </si>
  <si>
    <t>Overhead Subtotal</t>
  </si>
  <si>
    <t>Contingency Reserve</t>
  </si>
  <si>
    <t>10% of total budget</t>
  </si>
  <si>
    <t>Contingency Subtotal</t>
  </si>
  <si>
    <t>PROJECT TOTAL</t>
  </si>
  <si>
    <t>MONTHLY BUDGET TRACKING</t>
  </si>
  <si>
    <t>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</si>
  <si>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</si>
  <si>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</si>
  <si>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</si>
  <si>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</si>
  <si>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</si>
  <si>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</si>
  <si>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</si>
  <si>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</si>
  <si>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</si>
  <si>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</si>
  <si>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</si>
  <si>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</si>
  <si>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</si>
  <si>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MONTHLY TOTAL</t>
  </si>
  <si>
    <t>Cumulative Spend</t>
  </si>
  <si>
    <t>Total Budget</t>
  </si>
  <si>
    <t>Budget 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</si>
</sst>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1" formatCode="&quot;$&quot;#,##0"/>
    <numFmt numFmtId="174" formatCode="mm/dd/yyyy"/>
    <numFmt numFmtId="175" formatCode="0.0%"/>
  </numFmts>
  <fonts count="11">
    <font>
      <b val="0"/>
      <i val="0"/>
      <sz val="12"/>
      <color theme="1"/>
      <name val="Calibri"/>
      <scheme val="minor"/>
    </font>
    <font>
      <b val="0"/>
      <i val="0"/>
      <sz val="12"/>
      <color auto="1"/>
      <name val="Calibri"/>
      <scheme val="minor"/>
    </font>
    <font>
      <b/>
      <i val="0"/>
      <sz val="16"/>
      <color rgb="FF2F3542"/>
      <name val="Aptos"/>
    </font>
    <font>
      <b/>
      <i val="0"/>
      <sz val="11"/>
      <color rgb="FF57606F"/>
      <name val="Aptos"/>
    </font>
    <font>
      <b val="0"/>
      <i val="0"/>
      <sz val="11"/>
      <color rgb="FF0070C0"/>
      <name val="Aptos"/>
    </font>
    <font>
      <b/>
      <i val="0"/>
      <sz val="11"/>
      <color rgb="FF000000"/>
      <name val="Aptos"/>
    </font>
    <font>
      <b/>
      <i val="0"/>
      <sz val="11"/>
      <color rgb="FFFFFFFF"/>
      <name val="Aptos"/>
    </font>
    <font>
      <b val="0"/>
      <i val="0"/>
      <sz val="11"/>
      <color auto="1"/>
      <name val="Aptos"/>
    </font>
    <font>
      <b val="0"/>
      <i val="0"/>
      <sz val="11"/>
      <color rgb="FF000000"/>
      <name val="Aptos"/>
    </font>
    <font>
      <b/>
      <i val="0"/>
      <sz val="11"/>
      <color auto="1"/>
      <name val="Aptos"/>
    </font>
    <font>
      <b val="0"/>
      <i val="0"/>
      <sz val="12"/>
      <color rgb="FF57606F"/>
      <name val="Aptos"/>
    </font>
  </fonts>
  <fills count="6">
    <fill>
      <patternFill patternType="none"/>
    </fill>
    <fill>
      <patternFill patternType="gray125"/>
    </fill>
    <fill>
      <patternFill patternType="solid">
        <fgColor rgb="FFF8F9FA"/>
      </patternFill>
    </fill>
    <fill>
      <patternFill patternType="solid">
        <fgColor rgb="FF2F3542"/>
      </patternFill>
    </fill>
    <fill>
      <patternFill patternType="solid">
        <fgColor rgb="FFDFE4EA"/>
      </patternFill>
    </fill>
    <fill>
      <patternFill patternType="solid">
        <fgColor rgb="FFF1F2F6"/>
      </patternFill>
    </fill>
  </fills>
  <borders count="12">
    <border>
      <left/>
      <right/>
      <top/>
      <bottom/>
    </border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/>
      <top/>
      <bottom/>
      <diagonal/>
    </border>
    <border>
      <left/>
      <right style="thin">
        <color rgb="FFB0B0B0"/>
      </right>
      <top/>
      <bottom/>
      <diagonal/>
    </border>
    <border>
      <left style="thin">
        <color rgb="FFB0B0B0"/>
      </left>
      <right/>
      <top/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/>
      <right/>
      <top/>
      <bottom style="medium">
        <color rgb="FF2F3542"/>
      </bottom>
      <diagonal/>
    </border>
    <border>
      <left/>
      <right/>
      <top style="thin">
        <color rgb="FFE0E0E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/>
      <top style="thin">
        <color rgb="FFE0E0E0"/>
      </top>
      <bottom style="thin">
        <color rgb="FFE0E0E0"/>
      </bottom>
      <diagonal/>
    </border>
  </borders>
  <cellStyleXfs count="1">
    <xf numFmtId="0" fontId="0" fillId="0" borderId="1"/>
  </cellStyleXfs>
  <cellXfs count="50">
    <xf numFmtId="0" fontId="0" fillId="0" borderId="1" xfId="0"/>
    <xf numFmtId="171" fontId="1" fillId="0" borderId="1" xfId="0">
      <alignment vertical="top"/>
    </xf>
    <xf numFmtId="0" fontId="2" fillId="0" borderId="1" xfId="0">
      <alignment vertical="top"/>
    </xf>
    <xf numFmtId="0" fontId="3" fillId="0" borderId="1" xfId="0">
      <alignment vertical="top"/>
    </xf>
    <xf numFmtId="0" fontId="4" fillId="0" borderId="1" xfId="0">
      <alignment vertical="top"/>
    </xf>
    <xf numFmtId="0" fontId="3" fillId="2" borderId="2" xfId="0">
      <alignment horizontal="right" vertical="top"/>
    </xf>
    <xf numFmtId="171" fontId="5" fillId="2" borderId="3" xfId="0">
      <alignment vertical="top"/>
    </xf>
    <xf numFmtId="0" fontId="3" fillId="2" borderId="4" xfId="0">
      <alignment horizontal="right" vertical="top"/>
    </xf>
    <xf numFmtId="171" fontId="5" fillId="2" borderId="5" xfId="0">
      <alignment vertical="top"/>
    </xf>
    <xf numFmtId="174" fontId="4" fillId="0" borderId="1" xfId="0">
      <alignment vertical="top"/>
    </xf>
    <xf numFmtId="0" fontId="3" fillId="2" borderId="6" xfId="0">
      <alignment horizontal="right" vertical="top"/>
    </xf>
    <xf numFmtId="175" fontId="5" fillId="2" borderId="7" xfId="0">
      <alignment vertical="top"/>
    </xf>
    <xf numFmtId="0" fontId="1" fillId="0" borderId="8" xfId="0">
      <alignment vertical="top"/>
    </xf>
    <xf numFmtId="0" fontId="6" fillId="3" borderId="1" xfId="0">
      <alignment horizontal="center" vertical="top"/>
    </xf>
    <xf numFmtId="0" fontId="6" fillId="3" borderId="1" xfId="0">
      <alignment horizontal="left" vertical="top"/>
    </xf>
    <xf numFmtId="49" fontId="5" fillId="4" borderId="1" xfId="0">
      <alignment vertical="top"/>
    </xf>
    <xf numFmtId="0" fontId="5" fillId="4" borderId="1" xfId="0">
      <alignment vertical="top"/>
    </xf>
    <xf numFmtId="0" fontId="7" fillId="4" borderId="1" xfId="0">
      <alignment vertical="top"/>
    </xf>
    <xf numFmtId="49" fontId="8" fillId="0" borderId="1" xfId="0">
      <alignment vertical="top"/>
    </xf>
    <xf numFmtId="0" fontId="8" fillId="0" borderId="1" xfId="0">
      <alignment vertical="top"/>
    </xf>
    <xf numFmtId="171" fontId="4" fillId="0" borderId="1" xfId="0">
      <alignment vertical="top"/>
    </xf>
    <xf numFmtId="171" fontId="8" fillId="0" borderId="1" xfId="0">
      <alignment vertical="top"/>
    </xf>
    <xf numFmtId="175" fontId="8" fillId="0" borderId="1" xfId="0">
      <alignment vertical="top"/>
    </xf>
    <xf numFmtId="49" fontId="8" fillId="0" borderId="9" xfId="0">
      <alignment vertical="top"/>
    </xf>
    <xf numFmtId="0" fontId="8" fillId="0" borderId="9" xfId="0">
      <alignment vertical="top"/>
    </xf>
    <xf numFmtId="171" fontId="4" fillId="0" borderId="9" xfId="0">
      <alignment vertical="top"/>
    </xf>
    <xf numFmtId="171" fontId="8" fillId="0" borderId="9" xfId="0">
      <alignment vertical="top"/>
    </xf>
    <xf numFmtId="175" fontId="8" fillId="0" borderId="9" xfId="0">
      <alignment vertical="top"/>
    </xf>
    <xf numFmtId="0" fontId="7" fillId="0" borderId="9" xfId="0">
      <alignment vertical="top"/>
    </xf>
    <xf numFmtId="0" fontId="4" fillId="0" borderId="9" xfId="0">
      <alignment vertical="top"/>
    </xf>
    <xf numFmtId="49" fontId="9" fillId="5" borderId="10" xfId="0">
      <alignment vertical="top"/>
    </xf>
    <xf numFmtId="0" fontId="5" fillId="5" borderId="10" xfId="0">
      <alignment vertical="top"/>
    </xf>
    <xf numFmtId="171" fontId="5" fillId="5" borderId="10" xfId="0">
      <alignment vertical="top"/>
    </xf>
    <xf numFmtId="175" fontId="5" fillId="5" borderId="10" xfId="0">
      <alignment vertical="top"/>
    </xf>
    <xf numFmtId="0" fontId="9" fillId="5" borderId="10" xfId="0">
      <alignment vertical="top"/>
    </xf>
    <xf numFmtId="0" fontId="7" fillId="0" borderId="1" xfId="0">
      <alignment vertical="top"/>
    </xf>
    <xf numFmtId="0" fontId="6" fillId="3" borderId="1" xfId="0">
      <alignment vertical="top"/>
    </xf>
    <xf numFmtId="171" fontId="6" fillId="3" borderId="1" xfId="0">
      <alignment vertical="top"/>
    </xf>
    <xf numFmtId="175" fontId="6" fillId="3" borderId="1" xfId="0">
      <alignment vertical="top"/>
    </xf>
    <xf numFmtId="0" fontId="10" fillId="0" borderId="1" xfId="0">
      <alignment vertical="top"/>
    </xf>
    <xf numFmtId="0" fontId="8" fillId="2" borderId="9" xfId="0">
      <alignment vertical="top"/>
    </xf>
    <xf numFmtId="171" fontId="4" fillId="2" borderId="9" xfId="0">
      <alignment vertical="top"/>
    </xf>
    <xf numFmtId="171" fontId="8" fillId="2" borderId="9" xfId="0">
      <alignment vertical="top"/>
    </xf>
    <xf numFmtId="0" fontId="8" fillId="2" borderId="11" xfId="0">
      <alignment vertical="top"/>
    </xf>
    <xf numFmtId="171" fontId="4" fillId="2" borderId="11" xfId="0">
      <alignment vertical="top"/>
    </xf>
    <xf numFmtId="171" fontId="8" fillId="2" borderId="11" xfId="0">
      <alignment vertical="top"/>
    </xf>
    <xf numFmtId="0" fontId="5" fillId="5" borderId="1" xfId="0">
      <alignment vertical="top"/>
    </xf>
    <xf numFmtId="171" fontId="5" fillId="5" borderId="1" xfId="0">
      <alignment vertical="top"/>
    </xf>
    <xf numFmtId="0" fontId="5" fillId="0" borderId="1" xfId="0">
      <alignment vertical="top"/>
    </xf>
    <xf numFmtId="171" fontId="5" fillId="0" borderId="1" xfId="0">
      <alignment vertical="top"/>
    </xf>
  </cellXfs>
  <cellStyles count="1">
    <cellStyle name="Normal" xfId="0" builtinId="0"/>
  </cellStyles>
  <dxfs count="5">
    <dxf>
      <font>
        <color rgb="FFCC0000"/>
      </font>
    </dxf>
    <dxf>
      <font>
        <color rgb="FF006600"/>
      </font>
    </dxf>
    <dxf>
      <font>
        <b/>
        <sz val="11"/>
        <color rgb="FFCC0000"/>
        <name val="Aptos"/>
      </font>
    </dxf>
    <dxf>
      <font>
        <color rgb="FFFF0000"/>
      </font>
      <fill>
        <patternFill patternType="solid">
          <fgColor rgb="FFFCE4EC"/>
          <bgColor rgb="FFFCE4EC"/>
        </patternFill>
      </fill>
    </dxf>
    <dxf>
      <font>
        <color rgb="FF008000"/>
      </font>
      <fill>
        <patternFill patternType="solid">
          <fgColor rgb="FFE8F5E9"/>
          <bgColor rgb="FFE8F5E9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>Budget vs Actual by Category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barChart chartType="6">
        <c:ser seriesType="0">
          <c:idx val="0"/>
          <c:order val="0"/>
          <c:tx>
            <c:strRef>
              <c:f>'Project Budget'!$K$1</c:f>
            </c:strRef>
          </c:tx>
          <c:spPr>
            <a:solidFill>
              <a:schemeClr val="accent1"/>
            </a:solidFill>
          </c:spPr>
          <c:val>
            <c:numRef>
              <c:f>'Project Budget'!$L$1:$M$1</c:f>
              <c:numCache>
                <c:formatCode>"$"#,##0</c:formatCode>
              </c:numCache>
            </c:numRef>
          </c:val>
          <c:extLst/>
          <c:invertIfNegative val="0"/>
        </c:ser>
        <c:ser seriesType="0">
          <c:idx val="1"/>
          <c:order val="1"/>
          <c:tx>
            <c:strRef>
              <c:f>'Project Budget'!$K$2</c:f>
            </c:strRef>
          </c:tx>
          <c:spPr>
            <a:solidFill>
              <a:schemeClr val="accent2"/>
            </a:solidFill>
          </c:spPr>
          <c:val>
            <c:numRef>
              <c:f>'Project Budget'!$L$2:$M$2</c:f>
              <c:numCache>
                <c:formatCode>"$"#,##0</c:formatCode>
              </c:numCache>
            </c:numRef>
          </c:val>
          <c:extLst/>
          <c:invertIfNegative val="0"/>
        </c:ser>
        <c:ser seriesType="0">
          <c:idx val="2"/>
          <c:order val="2"/>
          <c:tx>
            <c:strRef>
              <c:f>'Project Budget'!$K$3</c:f>
            </c:strRef>
          </c:tx>
          <c:spPr>
            <a:solidFill>
              <a:schemeClr val="accent3"/>
            </a:solidFill>
          </c:spPr>
          <c:val>
            <c:numRef>
              <c:f>'Project Budget'!$L$3:$M$3</c:f>
              <c:numCache>
                <c:formatCode>"$"#,##0</c:formatCode>
              </c:numCache>
            </c:numRef>
          </c:val>
          <c:extLst/>
          <c:invertIfNegative val="0"/>
        </c:ser>
        <c:ser seriesType="0">
          <c:idx val="3"/>
          <c:order val="3"/>
          <c:tx>
            <c:strRef>
              <c:f>'Project Budget'!$K$4</c:f>
            </c:strRef>
          </c:tx>
          <c:spPr>
            <a:solidFill>
              <a:schemeClr val="accent4"/>
            </a:solidFill>
          </c:spPr>
          <c:val>
            <c:numRef>
              <c:f>'Project Budget'!$L$4:$M$4</c:f>
              <c:numCache>
                <c:formatCode>"$"#,##0</c:formatCode>
              </c:numCache>
            </c:numRef>
          </c:val>
          <c:extLst/>
          <c:invertIfNegative val="0"/>
        </c:ser>
        <c:ser seriesType="0">
          <c:idx val="4"/>
          <c:order val="4"/>
          <c:tx>
            <c:strRef>
              <c:f>'Project Budget'!$K$5</c:f>
            </c:strRef>
          </c:tx>
          <c:spPr>
            <a:solidFill>
              <a:schemeClr val="accent5"/>
            </a:solidFill>
          </c:spPr>
          <c:val>
            <c:numRef>
              <c:f>'Project Budget'!$L$5:$M$5</c:f>
              <c:numCache>
                <c:formatCode>"$"#,##0</c:formatCode>
              </c:numCache>
            </c:numRef>
          </c:val>
          <c:extLst/>
          <c:invertIfNegative val="0"/>
        </c:ser>
        <c:ser seriesType="0">
          <c:idx val="5"/>
          <c:order val="5"/>
          <c:tx>
            <c:strRef>
              <c:f>'Project Budget'!$K$6</c:f>
            </c:strRef>
          </c:tx>
          <c:spPr>
            <a:solidFill>
              <a:schemeClr val="accent6"/>
            </a:solidFill>
          </c:spPr>
          <c:val>
            <c:numRef>
              <c:f>'Project Budget'!$L$6:$M$6</c:f>
              <c:numCache>
                <c:formatCode>"$"#,##0</c:formatCode>
              </c:numCache>
            </c:numRef>
          </c:val>
          <c:extLst/>
          <c:invertIfNegative val="0"/>
        </c:ser>
        <c:ser seriesType="0">
          <c:idx val="6"/>
          <c:order val="6"/>
          <c:tx>
            <c:strRef>
              <c:f>'Project Budget'!$K$7</c:f>
            </c:strRef>
          </c:tx>
          <c:spPr>
            <a:solidFill>
              <a:schemeClr val="accent1">
                <a:lumMod val="60000"/>
              </a:schemeClr>
            </a:solidFill>
          </c:spPr>
          <c:val>
            <c:numRef>
              <c:f>'Project Budget'!$L$7:$M$7</c:f>
              <c:numCache>
                <c:formatCode>"$"#,##0</c:formatCode>
              </c:numCache>
            </c:numRef>
          </c:val>
          <c:extLst/>
          <c:invertIfNegative val="0"/>
        </c:ser>
        <c:ser seriesType="0">
          <c:idx val="7"/>
          <c:order val="7"/>
          <c:tx>
            <c:strRef>
              <c:f>'Project Budget'!$K$8</c:f>
            </c:strRef>
          </c:tx>
          <c:spPr>
            <a:solidFill>
              <a:schemeClr val="accent2">
                <a:lumMod val="60000"/>
              </a:schemeClr>
            </a:solidFill>
          </c:spPr>
          <c:val>
            <c:numRef>
              <c:f>'Project Budget'!$L$8:$M$8</c:f>
              <c:numCache>
                <c:formatCode>"$"#,##0</c:formatCode>
              </c:numCache>
            </c:numRef>
          </c:val>
          <c:extLst/>
          <c:invertIfNegative val="0"/>
        </c:ser>
        <c:axId val="91083531"/>
        <c:axId val="85922752"/>
        <c:barDir val="bar"/>
        <c:grouping val="clustered"/>
        <c:gapWidth val="182"/>
        <c:varyColors val="0"/>
        <c:overlap val="0"/>
      </c:barChart>
      <c:catAx axisType="0">
        <c:axId val="91083531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85922752"/>
      </c:catAx>
      <c:valAx axisType="3">
        <c:axId val="85922752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&quot;$&quot;#,##0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91083531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p>
          <a:pPr>
            <a:def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r>
            <a: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/>
          </a:r>
          <a:endParaRPr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51</xdr:row>
      <xdr:rowOff>0</xdr:rowOff>
    </xdr:from>
    <xdr:to>
      <xdr:col>7</xdr:col>
      <xdr:colOff>0</xdr:colOff>
      <xdr:row>71</xdr:row>
      <xdr:rowOff>0</xdr:rowOff>
    </xdr:to>
    <xdr:graphicFrame>
      <xdr:nvGraphicFramePr>
        <xdr:cNvPr id="2" name="BudgetVsActual"/>
        <xdr:cNvGraphicFramePr>
          <a:graphicFrameLocks noChangeAspect="0"/>
        </xdr:cNvGraphicFramePr>
      </xdr:nvGraphicFramePr>
      <xdr:xfrm>
        <a:off x="285750" y="9810750"/>
        <a:ext cx="66675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308FF68-F9B6-867B-0872-C2E2583D03AF}" mc:Ignorable="x14ac xr xr2 xr3">
  <dimension ref="A1:CV10000"/>
  <sheetViews>
    <sheetView showGridLines="0" zoomScale="90" workbookViewId="0" tabSelected="1">
      <pane xSplit="1" ySplit="9" topLeftCell="B10" activePane="bottomRight" state="frozen"/>
      <selection pane="bottomLeft" activeCell="A10" sqref="A10"/>
      <selection pane="topRight" activeCell="B1" sqref="B1"/>
      <selection pane="bottomRight" activeCell="H11" sqref="H11"/>
    </sheetView>
  </sheetViews>
  <sheetFormatPr defaultRowHeight="15" defaultColWidth="7.75390625" customHeight="1"/>
  <cols>
    <col min="1" max="1" width="3.75390625" customWidth="1"/>
    <col min="2" max="2" width="6.75390625" customWidth="1"/>
    <col min="3" max="3" width="26.25390625" customWidth="1"/>
    <col min="4" max="4" width="15.625" customWidth="1"/>
    <col min="5" max="6" width="12.50390625" customWidth="1"/>
    <col min="7" max="7" width="13.75390625" customWidth="1"/>
    <col min="8" max="8" width="12.50390625" customWidth="1"/>
    <col min="9" max="9" width="21.25390625" customWidth="1"/>
    <col min="11" max="12" width="7.75390625" hidden="1" customWidth="1"/>
    <col min="13" max="13" width="12.50390625" customWidth="1"/>
  </cols>
  <sheetData>
    <row r="1" ht="15" customHeight="1">
      <c r="K1" t="s">
        <v>0</v>
      </c>
      <c r="L1" s="1" cm="1">
        <f t="array" ref="L1">D16</f>
        <v>108000</v>
      </c>
      <c r="M1" s="1" cm="1">
        <f t="array" ref="M1">E16</f>
        <v>101200</v>
      </c>
    </row>
    <row r="2" ht="22.5" customHeight="1">
      <c r="B2" s="2" t="s">
        <v>1</v>
      </c>
      <c r="C2" s="2"/>
      <c r="D2" s="2"/>
      <c r="K2" t="s">
        <v>2</v>
      </c>
      <c r="L2" s="1" cm="1">
        <f t="array" ref="L2">D22</f>
        <v>63000</v>
      </c>
      <c r="M2" s="1" cm="1">
        <f t="array" ref="M2">E22</f>
        <v>59500</v>
      </c>
    </row>
    <row r="3" ht="15" customHeight="1">
      <c r="K3" t="s">
        <v>3</v>
      </c>
      <c r="L3" s="1" cm="1">
        <f t="array" ref="L3">D27</f>
        <v>16000</v>
      </c>
      <c r="M3" s="1" cm="1">
        <f t="array" ref="M3">E27</f>
        <v>15200</v>
      </c>
    </row>
    <row r="4" ht="15" customHeight="1">
      <c r="B4" s="3" t="s">
        <v>4</v>
      </c>
      <c r="C4" s="4" t="s">
        <v>5</v>
      </c>
      <c r="E4" s="3" t="s">
        <v>6</v>
      </c>
      <c r="F4" s="4" t="s">
        <v>7</v>
      </c>
      <c r="H4" s="5" t="s">
        <v>8</v>
      </c>
      <c r="I4" s="6" cm="1">
        <f t="array" ref="I4">D50</f>
        <v>268000</v>
      </c>
      <c r="K4" t="s">
        <v>9</v>
      </c>
      <c r="L4" s="1" cm="1">
        <f t="array" ref="L4">D32</f>
        <v>40000</v>
      </c>
      <c r="M4" s="1" cm="1">
        <f t="array" ref="M4">E32</f>
        <v>33500</v>
      </c>
    </row>
    <row r="5" ht="15" customHeight="1">
      <c r="B5" s="3" t="s">
        <v>10</v>
      </c>
      <c r="C5" s="4" t="s">
        <v>11</v>
      </c>
      <c r="E5" s="3" t="s">
        <v>12</v>
      </c>
      <c r="F5" s="4" t="s">
        <v>13</v>
      </c>
      <c r="H5" s="7" t="s">
        <v>14</v>
      </c>
      <c r="I5" s="8" cm="1">
        <f t="array" ref="I5">E50</f>
        <v>235500</v>
      </c>
      <c r="K5" t="s">
        <v>15</v>
      </c>
      <c r="L5" s="1" cm="1">
        <f t="array" ref="L5">D36</f>
        <v>7000</v>
      </c>
      <c r="M5" s="1" cm="1">
        <f t="array" ref="M5">E36</f>
        <v>6300</v>
      </c>
    </row>
    <row r="6" ht="15" customHeight="1">
      <c r="B6" s="3" t="s">
        <v>16</v>
      </c>
      <c r="C6" s="9">
        <f>DATE(2026,1,15)</f>
        <v>46037</v>
      </c>
      <c r="E6" s="3" t="s">
        <v>17</v>
      </c>
      <c r="F6" s="9">
        <f>DATE(2026,3,1)</f>
        <v>46082</v>
      </c>
      <c r="H6" s="7" t="s">
        <v>18</v>
      </c>
      <c r="I6" s="8" cm="1">
        <f t="array" ref="I6">F50</f>
        <v>32500</v>
      </c>
      <c r="K6" t="s">
        <v>19</v>
      </c>
      <c r="L6" s="1" cm="1">
        <f t="array" ref="L6">D41</f>
        <v>10500</v>
      </c>
      <c r="M6" s="1" cm="1">
        <f t="array" ref="M6">E41</f>
        <v>9000</v>
      </c>
    </row>
    <row r="7" ht="15" customHeight="1">
      <c r="B7" s="3" t="s">
        <v>20</v>
      </c>
      <c r="C7" s="9">
        <f>DATE(2026,9,30)</f>
        <v>46295</v>
      </c>
      <c r="E7" s="3" t="s">
        <v>21</v>
      </c>
      <c r="F7" s="4" t="s">
        <v>22</v>
      </c>
      <c r="H7" s="10" t="s">
        <v>23</v>
      </c>
      <c r="I7" s="11">
        <f>IF(D50=0,0,E50/D50)</f>
        <v>0.878731343283582</v>
      </c>
      <c r="K7" t="s">
        <v>24</v>
      </c>
      <c r="L7" s="1" cm="1">
        <f t="array" ref="L7">D46</f>
        <v>8500</v>
      </c>
      <c r="M7" s="1" cm="1">
        <f t="array" ref="M7">E46</f>
        <v>7800</v>
      </c>
    </row>
    <row r="8" ht="15" customHeight="1">
      <c r="B8" s="12"/>
      <c r="C8" s="12"/>
      <c r="D8" s="12"/>
      <c r="E8" s="12"/>
      <c r="F8" s="12"/>
      <c r="G8" s="12"/>
      <c r="H8" s="12"/>
      <c r="I8" s="12"/>
      <c r="K8" t="s">
        <v>25</v>
      </c>
      <c r="L8" s="1" cm="1">
        <f t="array" ref="L8">D49</f>
        <v>15000</v>
      </c>
      <c r="M8" s="1" cm="1">
        <f t="array" ref="M8">E49</f>
        <v>3000</v>
      </c>
    </row>
    <row r="9" ht="15" customHeight="1">
      <c r="B9" s="13" t="s">
        <v>26</v>
      </c>
      <c r="C9" s="14" t="s">
        <v>27</v>
      </c>
      <c r="D9" s="13" t="s">
        <v>28</v>
      </c>
      <c r="E9" s="13" t="s">
        <v>29</v>
      </c>
      <c r="F9" s="13" t="s">
        <v>30</v>
      </c>
      <c r="G9" s="13" t="s">
        <v>31</v>
      </c>
      <c r="H9" s="13" t="s">
        <v>32</v>
      </c>
      <c r="I9" s="14" t="s">
        <v>33</v>
      </c>
    </row>
    <row r="10" ht="15" customHeight="1">
      <c r="B10" s="15">
        <v>1</v>
      </c>
      <c r="C10" s="16" t="s">
        <v>0</v>
      </c>
      <c r="D10" s="17"/>
      <c r="E10" s="17"/>
      <c r="F10" s="17"/>
      <c r="G10" s="17"/>
      <c r="H10" s="17"/>
      <c r="I10" s="17"/>
    </row>
    <row r="11" ht="15" customHeight="1">
      <c r="B11" s="18">
        <v>1.1</v>
      </c>
      <c r="C11" s="19" t="s">
        <v>34</v>
      </c>
      <c r="D11" s="20">
        <v>25000</v>
      </c>
      <c r="E11" s="20">
        <v>22000</v>
      </c>
      <c r="F11" s="21">
        <f t="shared" si="0" ref="F11:F50">D11-E11</f>
        <v>3000</v>
      </c>
      <c r="G11" s="22">
        <f t="shared" si="1" ref="G11:G50">IF(D11=0,0,E11/D11)</f>
        <v>0.88</v>
      </c>
      <c r="H11" s="22">
        <f t="shared" si="2" ref="H11:H50">IF(D$50=0,0,D11/D$50)</f>
        <v>0.0932835820895522</v>
      </c>
      <c r="I11" s="4" t="s">
        <v>35</v>
      </c>
    </row>
    <row r="12" ht="15" customHeight="1">
      <c r="B12" s="23">
        <v>1.2</v>
      </c>
      <c r="C12" s="24" t="s">
        <v>36</v>
      </c>
      <c r="D12" s="25">
        <v>18000</v>
      </c>
      <c r="E12" s="25">
        <v>17500</v>
      </c>
      <c r="F12" s="26">
        <f t="shared" si="0"/>
        <v>500</v>
      </c>
      <c r="G12" s="27">
        <f t="shared" si="1"/>
        <v>0.972222222222222</v>
      </c>
      <c r="H12" s="27">
        <f t="shared" si="2"/>
        <v>0.0671641791044776</v>
      </c>
      <c r="I12" s="28"/>
    </row>
    <row r="13" ht="15" customHeight="1">
      <c r="B13" s="23">
        <v>1.3</v>
      </c>
      <c r="C13" s="24" t="s">
        <v>37</v>
      </c>
      <c r="D13" s="25">
        <v>45000</v>
      </c>
      <c r="E13" s="25">
        <v>42000</v>
      </c>
      <c r="F13" s="26">
        <f t="shared" si="0"/>
        <v>3000</v>
      </c>
      <c r="G13" s="27">
        <f t="shared" si="1"/>
        <v>0.933333333333333</v>
      </c>
      <c r="H13" s="27">
        <f t="shared" si="2"/>
        <v>0.167910447761194</v>
      </c>
      <c r="I13" s="28"/>
    </row>
    <row r="14" ht="15" customHeight="1">
      <c r="B14" s="23">
        <v>1.4</v>
      </c>
      <c r="C14" s="24" t="s">
        <v>38</v>
      </c>
      <c r="D14" s="25">
        <v>12000</v>
      </c>
      <c r="E14" s="25">
        <v>11500</v>
      </c>
      <c r="F14" s="26">
        <f t="shared" si="0"/>
        <v>500</v>
      </c>
      <c r="G14" s="27">
        <f t="shared" si="1"/>
        <v>0.958333333333333</v>
      </c>
      <c r="H14" s="27">
        <f t="shared" si="2"/>
        <v>0.0447761194029851</v>
      </c>
      <c r="I14" s="28"/>
    </row>
    <row r="15" ht="15" customHeight="1">
      <c r="B15" s="23">
        <v>1.5</v>
      </c>
      <c r="C15" s="24" t="s">
        <v>39</v>
      </c>
      <c r="D15" s="25">
        <v>8000</v>
      </c>
      <c r="E15" s="25">
        <v>8200</v>
      </c>
      <c r="F15" s="26">
        <f t="shared" si="0"/>
        <v>-200</v>
      </c>
      <c r="G15" s="27">
        <f t="shared" si="1"/>
        <v>1.025</v>
      </c>
      <c r="H15" s="27">
        <f t="shared" si="2"/>
        <v>0.0298507462686567</v>
      </c>
      <c r="I15" s="29" t="s">
        <v>40</v>
      </c>
    </row>
    <row r="16" ht="15" customHeight="1">
      <c r="B16" s="30"/>
      <c r="C16" s="31" t="s">
        <v>41</v>
      </c>
      <c r="D16" s="32">
        <f t="shared" si="3" ref="D16:E16">SUM(D11:D15)</f>
        <v>108000</v>
      </c>
      <c r="E16" s="32">
        <f t="shared" si="3"/>
        <v>101200</v>
      </c>
      <c r="F16" s="32">
        <f t="shared" si="0"/>
        <v>6800</v>
      </c>
      <c r="G16" s="33">
        <f t="shared" si="1"/>
        <v>0.937037037037037</v>
      </c>
      <c r="H16" s="33">
        <f t="shared" si="2"/>
        <v>0.402985074626866</v>
      </c>
      <c r="I16" s="34"/>
    </row>
    <row r="17" ht="15" customHeight="1">
      <c r="B17" s="15">
        <v>2</v>
      </c>
      <c r="C17" s="16" t="s">
        <v>2</v>
      </c>
      <c r="D17" s="17"/>
      <c r="E17" s="17"/>
      <c r="F17" s="17"/>
      <c r="G17" s="17"/>
      <c r="H17" s="17"/>
      <c r="I17" s="17"/>
    </row>
    <row r="18" ht="15" customHeight="1">
      <c r="B18" s="18">
        <v>2.1</v>
      </c>
      <c r="C18" s="19" t="s">
        <v>42</v>
      </c>
      <c r="D18" s="20">
        <v>35000</v>
      </c>
      <c r="E18" s="20">
        <v>33000</v>
      </c>
      <c r="F18" s="21">
        <f t="shared" si="0"/>
        <v>2000</v>
      </c>
      <c r="G18" s="22">
        <f t="shared" si="1"/>
        <v>0.942857142857143</v>
      </c>
      <c r="H18" s="22">
        <f t="shared" si="2"/>
        <v>0.130597014925373</v>
      </c>
      <c r="I18" s="4" t="s">
        <v>43</v>
      </c>
    </row>
    <row r="19" ht="15" customHeight="1">
      <c r="B19" s="23">
        <v>2.2</v>
      </c>
      <c r="C19" s="24" t="s">
        <v>44</v>
      </c>
      <c r="D19" s="25">
        <v>15000</v>
      </c>
      <c r="E19" s="25">
        <v>14200</v>
      </c>
      <c r="F19" s="26">
        <f t="shared" si="0"/>
        <v>800</v>
      </c>
      <c r="G19" s="27">
        <f t="shared" si="1"/>
        <v>0.946666666666667</v>
      </c>
      <c r="H19" s="27">
        <f t="shared" si="2"/>
        <v>0.0559701492537313</v>
      </c>
      <c r="I19" s="28"/>
    </row>
    <row r="20" ht="15" customHeight="1">
      <c r="B20" s="23">
        <v>2.3</v>
      </c>
      <c r="C20" s="24" t="s">
        <v>45</v>
      </c>
      <c r="D20" s="25">
        <v>5000</v>
      </c>
      <c r="E20" s="25">
        <v>4800</v>
      </c>
      <c r="F20" s="26">
        <f t="shared" si="0"/>
        <v>200</v>
      </c>
      <c r="G20" s="27">
        <f t="shared" si="1"/>
        <v>0.96</v>
      </c>
      <c r="H20" s="27">
        <f t="shared" si="2"/>
        <v>0.0186567164179104</v>
      </c>
      <c r="I20" s="28"/>
    </row>
    <row r="21" ht="15" customHeight="1">
      <c r="B21" s="23">
        <v>2.4</v>
      </c>
      <c r="C21" s="24" t="s">
        <v>46</v>
      </c>
      <c r="D21" s="25">
        <v>8000</v>
      </c>
      <c r="E21" s="25">
        <v>7500</v>
      </c>
      <c r="F21" s="26">
        <f t="shared" si="0"/>
        <v>500</v>
      </c>
      <c r="G21" s="27">
        <f t="shared" si="1"/>
        <v>0.9375</v>
      </c>
      <c r="H21" s="27">
        <f t="shared" si="2"/>
        <v>0.0298507462686567</v>
      </c>
      <c r="I21" s="28"/>
    </row>
    <row r="22" ht="15" customHeight="1">
      <c r="B22" s="30"/>
      <c r="C22" s="31" t="s">
        <v>47</v>
      </c>
      <c r="D22" s="32">
        <f t="shared" si="4" ref="D22:E22">SUM(D18:D21)</f>
        <v>63000</v>
      </c>
      <c r="E22" s="32">
        <f t="shared" si="4"/>
        <v>59500</v>
      </c>
      <c r="F22" s="32">
        <f t="shared" si="0"/>
        <v>3500</v>
      </c>
      <c r="G22" s="33">
        <f t="shared" si="1"/>
        <v>0.944444444444444</v>
      </c>
      <c r="H22" s="33">
        <f t="shared" si="2"/>
        <v>0.235074626865672</v>
      </c>
      <c r="I22" s="34"/>
    </row>
    <row r="23" ht="15" customHeight="1">
      <c r="B23" s="15">
        <v>3</v>
      </c>
      <c r="C23" s="16" t="s">
        <v>3</v>
      </c>
      <c r="D23" s="17"/>
      <c r="E23" s="17"/>
      <c r="F23" s="17"/>
      <c r="G23" s="17"/>
      <c r="H23" s="17"/>
      <c r="I23" s="17"/>
    </row>
    <row r="24" ht="15" customHeight="1">
      <c r="B24" s="18">
        <v>3.1</v>
      </c>
      <c r="C24" s="19" t="s">
        <v>48</v>
      </c>
      <c r="D24" s="20">
        <v>10000</v>
      </c>
      <c r="E24" s="20">
        <v>9500</v>
      </c>
      <c r="F24" s="21">
        <f t="shared" si="0"/>
        <v>500</v>
      </c>
      <c r="G24" s="22">
        <f t="shared" si="1"/>
        <v>0.95</v>
      </c>
      <c r="H24" s="22">
        <f t="shared" si="2"/>
        <v>0.0373134328358209</v>
      </c>
      <c r="I24" s="4" t="s">
        <v>49</v>
      </c>
    </row>
    <row r="25" ht="15" customHeight="1">
      <c r="B25" s="23">
        <v>3.2</v>
      </c>
      <c r="C25" s="24" t="s">
        <v>50</v>
      </c>
      <c r="D25" s="25">
        <v>4000</v>
      </c>
      <c r="E25" s="25">
        <v>3800</v>
      </c>
      <c r="F25" s="26">
        <f t="shared" si="0"/>
        <v>200</v>
      </c>
      <c r="G25" s="27">
        <f t="shared" si="1"/>
        <v>0.95</v>
      </c>
      <c r="H25" s="27">
        <f t="shared" si="2"/>
        <v>0.0149253731343284</v>
      </c>
      <c r="I25" s="28"/>
    </row>
    <row r="26" ht="15" customHeight="1">
      <c r="B26" s="23">
        <v>3.3</v>
      </c>
      <c r="C26" s="24" t="s">
        <v>51</v>
      </c>
      <c r="D26" s="25">
        <v>2000</v>
      </c>
      <c r="E26" s="25">
        <v>1900</v>
      </c>
      <c r="F26" s="26">
        <f t="shared" si="0"/>
        <v>100</v>
      </c>
      <c r="G26" s="27">
        <f t="shared" si="1"/>
        <v>0.95</v>
      </c>
      <c r="H26" s="27">
        <f t="shared" si="2"/>
        <v>0.00746268656716418</v>
      </c>
      <c r="I26" s="28"/>
    </row>
    <row r="27" ht="15" customHeight="1">
      <c r="B27" s="30"/>
      <c r="C27" s="31" t="s">
        <v>52</v>
      </c>
      <c r="D27" s="32">
        <f t="shared" si="5" ref="D27:E46">SUM(D24:D26)</f>
        <v>16000</v>
      </c>
      <c r="E27" s="32">
        <f t="shared" si="5"/>
        <v>15200</v>
      </c>
      <c r="F27" s="32">
        <f t="shared" si="0"/>
        <v>800</v>
      </c>
      <c r="G27" s="33">
        <f t="shared" si="1"/>
        <v>0.95</v>
      </c>
      <c r="H27" s="33">
        <f t="shared" si="2"/>
        <v>0.0597014925373134</v>
      </c>
      <c r="I27" s="34"/>
    </row>
    <row r="28" ht="15" customHeight="1">
      <c r="B28" s="15">
        <v>4</v>
      </c>
      <c r="C28" s="16" t="s">
        <v>9</v>
      </c>
      <c r="D28" s="17"/>
      <c r="E28" s="17"/>
      <c r="F28" s="17"/>
      <c r="G28" s="17"/>
      <c r="H28" s="17"/>
      <c r="I28" s="17"/>
    </row>
    <row r="29" ht="15" customHeight="1">
      <c r="B29" s="18">
        <v>4.1</v>
      </c>
      <c r="C29" s="19" t="s">
        <v>53</v>
      </c>
      <c r="D29" s="20">
        <v>22000</v>
      </c>
      <c r="E29" s="20">
        <v>21000</v>
      </c>
      <c r="F29" s="21">
        <f t="shared" si="0"/>
        <v>1000</v>
      </c>
      <c r="G29" s="22">
        <f t="shared" si="1"/>
        <v>0.954545454545455</v>
      </c>
      <c r="H29" s="22">
        <f t="shared" si="2"/>
        <v>0.082089552238806</v>
      </c>
      <c r="I29" s="35"/>
    </row>
    <row r="30" ht="15" customHeight="1">
      <c r="B30" s="23">
        <v>4.2</v>
      </c>
      <c r="C30" s="24" t="s">
        <v>54</v>
      </c>
      <c r="D30" s="25">
        <v>12000</v>
      </c>
      <c r="E30" s="25">
        <v>12500</v>
      </c>
      <c r="F30" s="26">
        <f t="shared" si="0"/>
        <v>-500</v>
      </c>
      <c r="G30" s="27">
        <f t="shared" si="1"/>
        <v>1.04166666666667</v>
      </c>
      <c r="H30" s="27">
        <f t="shared" si="2"/>
        <v>0.0447761194029851</v>
      </c>
      <c r="I30" s="29" t="s">
        <v>55</v>
      </c>
    </row>
    <row r="31" ht="15" customHeight="1">
      <c r="B31" s="23">
        <v>4.3</v>
      </c>
      <c r="C31" s="24" t="s">
        <v>56</v>
      </c>
      <c r="D31" s="25">
        <v>6000</v>
      </c>
      <c r="E31" s="25">
        <v>0</v>
      </c>
      <c r="F31" s="26">
        <f t="shared" si="0"/>
        <v>6000</v>
      </c>
      <c r="G31" s="27">
        <f t="shared" si="1"/>
        <v>0</v>
      </c>
      <c r="H31" s="27">
        <f t="shared" si="2"/>
        <v>0.0223880597014925</v>
      </c>
      <c r="I31" s="29" t="s">
        <v>57</v>
      </c>
    </row>
    <row r="32" ht="15" customHeight="1">
      <c r="B32" s="30"/>
      <c r="C32" s="31" t="s">
        <v>58</v>
      </c>
      <c r="D32" s="32">
        <f t="shared" si="5"/>
        <v>40000</v>
      </c>
      <c r="E32" s="32">
        <f t="shared" si="5"/>
        <v>33500</v>
      </c>
      <c r="F32" s="32">
        <f t="shared" si="0"/>
        <v>6500</v>
      </c>
      <c r="G32" s="33">
        <f t="shared" si="1"/>
        <v>0.8375</v>
      </c>
      <c r="H32" s="33">
        <f t="shared" si="2"/>
        <v>0.149253731343284</v>
      </c>
      <c r="I32" s="34"/>
    </row>
    <row r="33" ht="15" customHeight="1">
      <c r="B33" s="15">
        <v>5</v>
      </c>
      <c r="C33" s="16" t="s">
        <v>59</v>
      </c>
      <c r="D33" s="17"/>
      <c r="E33" s="17"/>
      <c r="F33" s="17"/>
      <c r="G33" s="17"/>
      <c r="H33" s="17"/>
      <c r="I33" s="17"/>
    </row>
    <row r="34" ht="15" customHeight="1">
      <c r="B34" s="18">
        <v>5.1</v>
      </c>
      <c r="C34" s="19" t="s">
        <v>60</v>
      </c>
      <c r="D34" s="20">
        <v>3000</v>
      </c>
      <c r="E34" s="20">
        <v>2800</v>
      </c>
      <c r="F34" s="21">
        <f t="shared" si="0"/>
        <v>200</v>
      </c>
      <c r="G34" s="22">
        <f t="shared" si="1"/>
        <v>0.933333333333333</v>
      </c>
      <c r="H34" s="22">
        <f t="shared" si="2"/>
        <v>0.0111940298507463</v>
      </c>
      <c r="I34" s="35"/>
    </row>
    <row r="35" ht="15" customHeight="1">
      <c r="B35" s="23">
        <v>5.2</v>
      </c>
      <c r="C35" s="24" t="s">
        <v>61</v>
      </c>
      <c r="D35" s="25">
        <v>4000</v>
      </c>
      <c r="E35" s="25">
        <v>3500</v>
      </c>
      <c r="F35" s="26">
        <f t="shared" si="0"/>
        <v>500</v>
      </c>
      <c r="G35" s="27">
        <f t="shared" si="1"/>
        <v>0.875</v>
      </c>
      <c r="H35" s="27">
        <f t="shared" si="2"/>
        <v>0.0149253731343284</v>
      </c>
      <c r="I35" s="28"/>
    </row>
    <row r="36" ht="15" customHeight="1">
      <c r="B36" s="30"/>
      <c r="C36" s="31" t="s">
        <v>62</v>
      </c>
      <c r="D36" s="32">
        <f t="shared" si="6" ref="D36:E36">SUM(D34:D35)</f>
        <v>7000</v>
      </c>
      <c r="E36" s="32">
        <f t="shared" si="6"/>
        <v>6300</v>
      </c>
      <c r="F36" s="32">
        <f t="shared" si="0"/>
        <v>700</v>
      </c>
      <c r="G36" s="33">
        <f t="shared" si="1"/>
        <v>0.9</v>
      </c>
      <c r="H36" s="33">
        <f t="shared" si="2"/>
        <v>0.0261194029850746</v>
      </c>
      <c r="I36" s="34"/>
    </row>
    <row r="37" ht="15" customHeight="1">
      <c r="B37" s="15">
        <v>6</v>
      </c>
      <c r="C37" s="16" t="s">
        <v>63</v>
      </c>
      <c r="D37" s="17"/>
      <c r="E37" s="17"/>
      <c r="F37" s="17"/>
      <c r="G37" s="17"/>
      <c r="H37" s="17"/>
      <c r="I37" s="17"/>
    </row>
    <row r="38" ht="15" customHeight="1">
      <c r="B38" s="18">
        <v>6.1</v>
      </c>
      <c r="C38" s="19" t="s">
        <v>64</v>
      </c>
      <c r="D38" s="20">
        <v>2500</v>
      </c>
      <c r="E38" s="20">
        <v>2500</v>
      </c>
      <c r="F38" s="21">
        <f t="shared" si="0"/>
        <v>0</v>
      </c>
      <c r="G38" s="22">
        <f t="shared" si="1"/>
        <v>1</v>
      </c>
      <c r="H38" s="22">
        <f t="shared" si="2"/>
        <v>0.00932835820895522</v>
      </c>
      <c r="I38" s="4" t="s">
        <v>65</v>
      </c>
    </row>
    <row r="39" ht="15" customHeight="1">
      <c r="B39" s="23">
        <v>6.2</v>
      </c>
      <c r="C39" s="24" t="s">
        <v>66</v>
      </c>
      <c r="D39" s="25">
        <v>5000</v>
      </c>
      <c r="E39" s="25">
        <v>5000</v>
      </c>
      <c r="F39" s="26">
        <f t="shared" si="0"/>
        <v>0</v>
      </c>
      <c r="G39" s="27">
        <f t="shared" si="1"/>
        <v>1</v>
      </c>
      <c r="H39" s="27">
        <f t="shared" si="2"/>
        <v>0.0186567164179104</v>
      </c>
      <c r="I39" s="28"/>
    </row>
    <row r="40" ht="15" customHeight="1">
      <c r="B40" s="23">
        <v>6.3</v>
      </c>
      <c r="C40" s="24" t="s">
        <v>67</v>
      </c>
      <c r="D40" s="25">
        <v>3000</v>
      </c>
      <c r="E40" s="25">
        <v>1500</v>
      </c>
      <c r="F40" s="26">
        <f t="shared" si="0"/>
        <v>1500</v>
      </c>
      <c r="G40" s="27">
        <f t="shared" si="1"/>
        <v>0.5</v>
      </c>
      <c r="H40" s="27">
        <f t="shared" si="2"/>
        <v>0.0111940298507463</v>
      </c>
      <c r="I40" s="29" t="s">
        <v>68</v>
      </c>
    </row>
    <row r="41" ht="15" customHeight="1">
      <c r="B41" s="30"/>
      <c r="C41" s="31" t="s">
        <v>69</v>
      </c>
      <c r="D41" s="32">
        <f t="shared" si="5"/>
        <v>10500</v>
      </c>
      <c r="E41" s="32">
        <f t="shared" si="5"/>
        <v>9000</v>
      </c>
      <c r="F41" s="32">
        <f t="shared" si="0"/>
        <v>1500</v>
      </c>
      <c r="G41" s="33">
        <f t="shared" si="1"/>
        <v>0.857142857142857</v>
      </c>
      <c r="H41" s="33">
        <f t="shared" si="2"/>
        <v>0.0391791044776119</v>
      </c>
      <c r="I41" s="34"/>
    </row>
    <row r="42" ht="15" customHeight="1">
      <c r="B42" s="15">
        <v>7</v>
      </c>
      <c r="C42" s="16" t="s">
        <v>24</v>
      </c>
      <c r="D42" s="17"/>
      <c r="E42" s="17"/>
      <c r="F42" s="17"/>
      <c r="G42" s="17"/>
      <c r="H42" s="17"/>
      <c r="I42" s="17"/>
    </row>
    <row r="43" ht="15" customHeight="1">
      <c r="B43" s="18">
        <v>7.1</v>
      </c>
      <c r="C43" s="19" t="s">
        <v>70</v>
      </c>
      <c r="D43" s="20">
        <v>4000</v>
      </c>
      <c r="E43" s="20">
        <v>4000</v>
      </c>
      <c r="F43" s="21">
        <f t="shared" si="0"/>
        <v>0</v>
      </c>
      <c r="G43" s="22">
        <f t="shared" si="1"/>
        <v>1</v>
      </c>
      <c r="H43" s="22">
        <f t="shared" si="2"/>
        <v>0.0149253731343284</v>
      </c>
      <c r="I43" s="35"/>
    </row>
    <row r="44" ht="15" customHeight="1">
      <c r="B44" s="23">
        <v>7.2</v>
      </c>
      <c r="C44" s="24" t="s">
        <v>71</v>
      </c>
      <c r="D44" s="25">
        <v>3000</v>
      </c>
      <c r="E44" s="25">
        <v>2600</v>
      </c>
      <c r="F44" s="26">
        <f t="shared" si="0"/>
        <v>400</v>
      </c>
      <c r="G44" s="27">
        <f t="shared" si="1"/>
        <v>0.866666666666667</v>
      </c>
      <c r="H44" s="27">
        <f t="shared" si="2"/>
        <v>0.0111940298507463</v>
      </c>
      <c r="I44" s="28"/>
    </row>
    <row r="45" ht="15" customHeight="1">
      <c r="B45" s="23">
        <v>7.3</v>
      </c>
      <c r="C45" s="24" t="s">
        <v>72</v>
      </c>
      <c r="D45" s="25">
        <v>1500</v>
      </c>
      <c r="E45" s="25">
        <v>1200</v>
      </c>
      <c r="F45" s="26">
        <f t="shared" si="0"/>
        <v>300</v>
      </c>
      <c r="G45" s="27">
        <f t="shared" si="1"/>
        <v>0.8</v>
      </c>
      <c r="H45" s="27">
        <f t="shared" si="2"/>
        <v>0.00559701492537313</v>
      </c>
      <c r="I45" s="28"/>
    </row>
    <row r="46" ht="15" customHeight="1">
      <c r="B46" s="30"/>
      <c r="C46" s="31" t="s">
        <v>73</v>
      </c>
      <c r="D46" s="32">
        <f t="shared" si="5"/>
        <v>8500</v>
      </c>
      <c r="E46" s="32">
        <f t="shared" si="5"/>
        <v>7800</v>
      </c>
      <c r="F46" s="32">
        <f t="shared" si="0"/>
        <v>700</v>
      </c>
      <c r="G46" s="33">
        <f t="shared" si="1"/>
        <v>0.917647058823529</v>
      </c>
      <c r="H46" s="33">
        <f t="shared" si="2"/>
        <v>0.0317164179104478</v>
      </c>
      <c r="I46" s="34"/>
    </row>
    <row r="47" ht="15" customHeight="1">
      <c r="B47" s="15">
        <v>8</v>
      </c>
      <c r="C47" s="16" t="s">
        <v>25</v>
      </c>
      <c r="D47" s="17"/>
      <c r="E47" s="17"/>
      <c r="F47" s="17"/>
      <c r="G47" s="17"/>
      <c r="H47" s="17"/>
      <c r="I47" s="17"/>
    </row>
    <row r="48" ht="15" customHeight="1">
      <c r="B48" s="18">
        <v>8.1</v>
      </c>
      <c r="C48" s="19" t="s">
        <v>74</v>
      </c>
      <c r="D48" s="20">
        <v>15000</v>
      </c>
      <c r="E48" s="20">
        <v>3000</v>
      </c>
      <c r="F48" s="21">
        <f t="shared" si="0"/>
        <v>12000</v>
      </c>
      <c r="G48" s="22">
        <f t="shared" si="1"/>
        <v>0.2</v>
      </c>
      <c r="H48" s="22">
        <f t="shared" si="2"/>
        <v>0.0559701492537313</v>
      </c>
      <c r="I48" s="4" t="s">
        <v>75</v>
      </c>
    </row>
    <row r="49" ht="15" customHeight="1">
      <c r="B49" s="30"/>
      <c r="C49" s="31" t="s">
        <v>76</v>
      </c>
      <c r="D49" s="32">
        <f t="shared" si="7" ref="D49:E49">SUM(D48:D48)</f>
        <v>15000</v>
      </c>
      <c r="E49" s="32">
        <f t="shared" si="7"/>
        <v>3000</v>
      </c>
      <c r="F49" s="32">
        <f t="shared" si="0"/>
        <v>12000</v>
      </c>
      <c r="G49" s="33">
        <f t="shared" si="1"/>
        <v>0.2</v>
      </c>
      <c r="H49" s="33">
        <f t="shared" si="2"/>
        <v>0.0559701492537313</v>
      </c>
      <c r="I49" s="34"/>
    </row>
    <row r="50" ht="15" customHeight="1">
      <c r="B50" s="36"/>
      <c r="C50" s="36" t="s">
        <v>77</v>
      </c>
      <c r="D50" s="37">
        <f t="shared" si="8" ref="D50:E50">D16+D22+D27+D32+D36+D41+D46+D49</f>
        <v>268000</v>
      </c>
      <c r="E50" s="37">
        <f t="shared" si="8"/>
        <v>235500</v>
      </c>
      <c r="F50" s="37">
        <f t="shared" si="0"/>
        <v>32500</v>
      </c>
      <c r="G50" s="38">
        <f t="shared" si="1"/>
        <v>0.878731343283582</v>
      </c>
      <c r="H50" s="38">
        <f t="shared" si="2"/>
        <v>1</v>
      </c>
      <c r="I50" s="36"/>
    </row>
  </sheetData>
  <mergeCells>
    <mergeCell ref="B2:D2"/>
  </mergeCells>
  <conditionalFormatting sqref="F10:F49">
    <cfRule type="cellIs" dxfId="0" priority="6" operator="lessThan" text="null">
      <formula>0</formula>
    </cfRule>
  </conditionalFormatting>
  <conditionalFormatting sqref="F10:F49">
    <cfRule type="cellIs" dxfId="1" priority="5" operator="greaterThan" text="null">
      <formula>0</formula>
    </cfRule>
  </conditionalFormatting>
  <conditionalFormatting sqref="G10:G49">
    <cfRule type="cellIs" dxfId="2" priority="4" operator="greaterThan" text="null">
      <formula>1</formula>
    </cfRule>
  </conditionalFormatting>
  <conditionalFormatting sqref="F11:F50">
    <cfRule type="cellIs" dxfId="3" priority="3" operator="lessThan" text="null">
      <formula>0</formula>
    </cfRule>
  </conditionalFormatting>
  <conditionalFormatting sqref="F11:F50">
    <cfRule type="cellIs" dxfId="4" priority="2" operator="greaterThan" text="null">
      <formula>0</formula>
    </cfRule>
  </conditionalFormatting>
  <conditionalFormatting sqref="G11:G50">
    <cfRule type="cellIs" dxfId="3" priority="1" operator="greaterThan" text="null">
      <formula>1</formula>
    </cfRule>
  </conditionalFormatting>
  <dataValidations count="1">
    <dataValidation allowBlank="1" error="Please select a valid status" errorTitle="Invalid Status" showErrorMessage="1" sqref="F7" type="list">
      <formula1>"Not Started,In Progress,On Hold,Completed,Cancelled"</formula1>
    </dataValidation>
  </dataValidation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drawing r:id="rId1"/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97645C8-8468-3801-1978-45C42FA95F52}" mc:Ignorable="x14ac xr xr2 xr3">
  <dimension ref="A1:CV10000"/>
  <sheetViews>
    <sheetView showGridLines="0" zoomScale="90" workbookViewId="0">
      <pane xSplit="2" ySplit="5" topLeftCell="C6" activePane="bottomRight" state="frozen"/>
      <selection pane="bottomLeft" activeCell="A6" sqref="A6"/>
      <selection pane="topRight" activeCell="C1" sqref="C1"/>
      <selection pane="bottomRight" activeCell="F9" sqref="F9"/>
    </sheetView>
  </sheetViews>
  <sheetFormatPr defaultRowHeight="15" defaultColWidth="7.75390625" customHeight="1"/>
  <cols>
    <col min="1" max="1" width="3.75390625" customWidth="1"/>
    <col min="2" max="2" width="40.00390625" customWidth="1"/>
    <col min="3" max="14" width="12.875" customWidth="1"/>
    <col min="15" max="15" width="14.375" customWidth="1"/>
  </cols>
  <sheetData>
    <row r="2" ht="22.5" customHeight="1">
      <c r="B2" s="2" t="s">
        <v>78</v>
      </c>
      <c r="C2" s="2"/>
      <c r="D2" s="2"/>
      <c r="E2" s="2"/>
    </row>
    <row r="3" ht="15.75" customHeight="1">
      <c r="B3" s="39" cm="1" t="str">
        <f t="array" ref="B3">'Project Budget'!C4</f>
        <v>Office Renovation Phase 2</v>
      </c>
    </row>
    <row r="5" ht="15" customHeight="1">
      <c r="B5" s="36" t="s">
        <v>79</v>
      </c>
      <c r="C5" s="13" t="s">
        <v>80</v>
      </c>
      <c r="D5" s="13" t="s">
        <v>81</v>
      </c>
      <c r="E5" s="13" t="s">
        <v>82</v>
      </c>
      <c r="F5" s="13" t="s">
        <v>83</v>
      </c>
      <c r="G5" s="13" t="s">
        <v>84</v>
      </c>
      <c r="H5" s="13" t="s">
        <v>85</v>
      </c>
      <c r="I5" s="13" t="s">
        <v>86</v>
      </c>
      <c r="J5" s="13" t="s">
        <v>87</v>
      </c>
      <c r="K5" s="13" t="s">
        <v>88</v>
      </c>
      <c r="L5" s="13" t="s">
        <v>89</v>
      </c>
      <c r="M5" s="13" t="s">
        <v>90</v>
      </c>
      <c r="N5" s="13" t="s">
        <v>91</v>
      </c>
      <c r="O5" s="36" t="s">
        <v>92</v>
      </c>
    </row>
    <row r="6" ht="15" customHeight="1">
      <c r="B6" s="19" t="s">
        <v>0</v>
      </c>
      <c r="C6" s="20">
        <v>8000</v>
      </c>
      <c r="D6" s="20">
        <v>9000</v>
      </c>
      <c r="E6" s="20">
        <v>10000</v>
      </c>
      <c r="F6" s="20">
        <v>12000</v>
      </c>
      <c r="G6" s="20">
        <v>14000</v>
      </c>
      <c r="H6" s="20">
        <v>13000</v>
      </c>
      <c r="I6" s="20">
        <v>12000</v>
      </c>
      <c r="J6" s="20">
        <v>11000</v>
      </c>
      <c r="K6" s="20">
        <v>10500</v>
      </c>
      <c r="L6" s="20">
        <v>0</v>
      </c>
      <c r="M6" s="20">
        <v>0</v>
      </c>
      <c r="N6" s="20">
        <v>0</v>
      </c>
      <c r="O6" s="21">
        <f t="shared" si="0" ref="O6:O13">SUM(C6:N6)</f>
        <v>99500</v>
      </c>
    </row>
    <row r="7" ht="15" customHeight="1">
      <c r="B7" s="40" t="s">
        <v>2</v>
      </c>
      <c r="C7" s="41">
        <v>2000</v>
      </c>
      <c r="D7" s="41">
        <v>5000</v>
      </c>
      <c r="E7" s="41">
        <v>8000</v>
      </c>
      <c r="F7" s="41">
        <v>10000</v>
      </c>
      <c r="G7" s="41">
        <v>8000</v>
      </c>
      <c r="H7" s="41">
        <v>6000</v>
      </c>
      <c r="I7" s="41">
        <v>5000</v>
      </c>
      <c r="J7" s="41">
        <v>3000</v>
      </c>
      <c r="K7" s="41">
        <v>2500</v>
      </c>
      <c r="L7" s="41">
        <v>0</v>
      </c>
      <c r="M7" s="41">
        <v>0</v>
      </c>
      <c r="N7" s="41">
        <v>0</v>
      </c>
      <c r="O7" s="42">
        <f t="shared" si="0"/>
        <v>49500</v>
      </c>
    </row>
    <row r="8" ht="15" customHeight="1">
      <c r="B8" s="24" t="s">
        <v>3</v>
      </c>
      <c r="C8" s="25">
        <v>1500</v>
      </c>
      <c r="D8" s="25">
        <v>2000</v>
      </c>
      <c r="E8" s="25">
        <v>2000</v>
      </c>
      <c r="F8" s="25">
        <v>2000</v>
      </c>
      <c r="G8" s="25">
        <v>1500</v>
      </c>
      <c r="H8" s="25">
        <v>1500</v>
      </c>
      <c r="I8" s="25">
        <v>1500</v>
      </c>
      <c r="J8" s="25">
        <v>1000</v>
      </c>
      <c r="K8" s="25">
        <v>1000</v>
      </c>
      <c r="L8" s="25">
        <v>0</v>
      </c>
      <c r="M8" s="25">
        <v>0</v>
      </c>
      <c r="N8" s="25">
        <v>0</v>
      </c>
      <c r="O8" s="26">
        <f t="shared" si="0"/>
        <v>14000</v>
      </c>
    </row>
    <row r="9" ht="15" customHeight="1">
      <c r="B9" s="40" t="s">
        <v>9</v>
      </c>
      <c r="C9" s="41">
        <v>0</v>
      </c>
      <c r="D9" s="41">
        <v>3000</v>
      </c>
      <c r="E9" s="41">
        <v>5000</v>
      </c>
      <c r="F9" s="41">
        <v>5000</v>
      </c>
      <c r="G9" s="41">
        <v>5000</v>
      </c>
      <c r="H9" s="41">
        <v>5000</v>
      </c>
      <c r="I9" s="41">
        <v>5000</v>
      </c>
      <c r="J9" s="41">
        <v>3000</v>
      </c>
      <c r="K9" s="41">
        <v>2000</v>
      </c>
      <c r="L9" s="41">
        <v>0</v>
      </c>
      <c r="M9" s="41">
        <v>0</v>
      </c>
      <c r="N9" s="41">
        <v>0</v>
      </c>
      <c r="O9" s="42">
        <f t="shared" si="0"/>
        <v>33000</v>
      </c>
    </row>
    <row r="10" ht="15" customHeight="1">
      <c r="B10" s="24" t="s">
        <v>59</v>
      </c>
      <c r="C10" s="25">
        <v>500</v>
      </c>
      <c r="D10" s="25">
        <v>700</v>
      </c>
      <c r="E10" s="25">
        <v>800</v>
      </c>
      <c r="F10" s="25">
        <v>800</v>
      </c>
      <c r="G10" s="25">
        <v>700</v>
      </c>
      <c r="H10" s="25">
        <v>700</v>
      </c>
      <c r="I10" s="25">
        <v>700</v>
      </c>
      <c r="J10" s="25">
        <v>600</v>
      </c>
      <c r="K10" s="25">
        <v>500</v>
      </c>
      <c r="L10" s="25">
        <v>0</v>
      </c>
      <c r="M10" s="25">
        <v>0</v>
      </c>
      <c r="N10" s="25">
        <v>0</v>
      </c>
      <c r="O10" s="26">
        <f t="shared" si="0"/>
        <v>6000</v>
      </c>
    </row>
    <row r="11" ht="15" customHeight="1">
      <c r="B11" s="40" t="s">
        <v>63</v>
      </c>
      <c r="C11" s="41">
        <v>2500</v>
      </c>
      <c r="D11" s="41">
        <v>500</v>
      </c>
      <c r="E11" s="41">
        <v>500</v>
      </c>
      <c r="F11" s="41">
        <v>500</v>
      </c>
      <c r="G11" s="41">
        <v>1500</v>
      </c>
      <c r="H11" s="41">
        <v>500</v>
      </c>
      <c r="I11" s="41">
        <v>500</v>
      </c>
      <c r="J11" s="41">
        <v>500</v>
      </c>
      <c r="K11" s="41">
        <v>1500</v>
      </c>
      <c r="L11" s="41">
        <v>0</v>
      </c>
      <c r="M11" s="41">
        <v>0</v>
      </c>
      <c r="N11" s="41">
        <v>0</v>
      </c>
      <c r="O11" s="42">
        <f t="shared" si="0"/>
        <v>8500</v>
      </c>
    </row>
    <row r="12" ht="15" customHeight="1">
      <c r="B12" s="24" t="s">
        <v>24</v>
      </c>
      <c r="C12" s="25">
        <v>800</v>
      </c>
      <c r="D12" s="25">
        <v>800</v>
      </c>
      <c r="E12" s="25">
        <v>850</v>
      </c>
      <c r="F12" s="25">
        <v>900</v>
      </c>
      <c r="G12" s="25">
        <v>900</v>
      </c>
      <c r="H12" s="25">
        <v>850</v>
      </c>
      <c r="I12" s="25">
        <v>850</v>
      </c>
      <c r="J12" s="25">
        <v>800</v>
      </c>
      <c r="K12" s="25">
        <v>800</v>
      </c>
      <c r="L12" s="25">
        <v>0</v>
      </c>
      <c r="M12" s="25">
        <v>0</v>
      </c>
      <c r="N12" s="25">
        <v>0</v>
      </c>
      <c r="O12" s="26">
        <f t="shared" si="0"/>
        <v>7550</v>
      </c>
    </row>
    <row r="13" ht="15" customHeight="1">
      <c r="B13" s="43" t="s">
        <v>25</v>
      </c>
      <c r="C13" s="44">
        <v>0</v>
      </c>
      <c r="D13" s="44">
        <v>0</v>
      </c>
      <c r="E13" s="44">
        <v>500</v>
      </c>
      <c r="F13" s="44">
        <v>0</v>
      </c>
      <c r="G13" s="44">
        <v>1000</v>
      </c>
      <c r="H13" s="44">
        <v>0</v>
      </c>
      <c r="I13" s="44">
        <v>500</v>
      </c>
      <c r="J13" s="44">
        <v>0</v>
      </c>
      <c r="K13" s="44">
        <v>1000</v>
      </c>
      <c r="L13" s="44">
        <v>0</v>
      </c>
      <c r="M13" s="44">
        <v>0</v>
      </c>
      <c r="N13" s="44">
        <v>0</v>
      </c>
      <c r="O13" s="45">
        <f t="shared" si="0"/>
        <v>3000</v>
      </c>
    </row>
    <row r="14" ht="15" customHeight="1">
      <c r="B14" s="36" t="s">
        <v>93</v>
      </c>
      <c r="C14" s="37">
        <f t="shared" si="1" ref="C14:O14">SUM(C6:C13)</f>
        <v>15300</v>
      </c>
      <c r="D14" s="37">
        <f t="shared" si="1"/>
        <v>21000</v>
      </c>
      <c r="E14" s="37">
        <f t="shared" si="1"/>
        <v>27650</v>
      </c>
      <c r="F14" s="37">
        <f t="shared" si="1"/>
        <v>31200</v>
      </c>
      <c r="G14" s="37">
        <f t="shared" si="1"/>
        <v>32600</v>
      </c>
      <c r="H14" s="37">
        <f t="shared" si="1"/>
        <v>27550</v>
      </c>
      <c r="I14" s="37">
        <f t="shared" si="1"/>
        <v>26050</v>
      </c>
      <c r="J14" s="37">
        <f t="shared" si="1"/>
        <v>19900</v>
      </c>
      <c r="K14" s="37">
        <f t="shared" si="1"/>
        <v>19800</v>
      </c>
      <c r="L14" s="37">
        <f t="shared" si="1"/>
        <v>0</v>
      </c>
      <c r="M14" s="37">
        <f t="shared" si="1"/>
        <v>0</v>
      </c>
      <c r="N14" s="37">
        <f t="shared" si="1"/>
        <v>0</v>
      </c>
      <c r="O14" s="37">
        <f t="shared" si="1"/>
        <v>221050</v>
      </c>
    </row>
    <row r="15" ht="15" customHeight="1">
      <c r="B15" s="46" t="s">
        <v>94</v>
      </c>
      <c r="C15" s="47" cm="1">
        <f t="array" ref="C15">C14</f>
        <v>15300</v>
      </c>
      <c r="D15" s="47">
        <f t="shared" si="2" ref="D15:N15">C15+D14</f>
        <v>36300</v>
      </c>
      <c r="E15" s="47">
        <f t="shared" si="2"/>
        <v>63950</v>
      </c>
      <c r="F15" s="47">
        <f t="shared" si="2"/>
        <v>95150</v>
      </c>
      <c r="G15" s="47">
        <f t="shared" si="2"/>
        <v>127750</v>
      </c>
      <c r="H15" s="47">
        <f t="shared" si="2"/>
        <v>155300</v>
      </c>
      <c r="I15" s="47">
        <f t="shared" si="2"/>
        <v>181350</v>
      </c>
      <c r="J15" s="47">
        <f t="shared" si="2"/>
        <v>201250</v>
      </c>
      <c r="K15" s="47">
        <f t="shared" si="2"/>
        <v>221050</v>
      </c>
      <c r="L15" s="47">
        <f t="shared" si="2"/>
        <v>221050</v>
      </c>
      <c r="M15" s="47">
        <f t="shared" si="2"/>
        <v>221050</v>
      </c>
      <c r="N15" s="47">
        <f t="shared" si="2"/>
        <v>221050</v>
      </c>
      <c r="O15" s="47" cm="1">
        <f t="array" ref="O15">N15</f>
        <v>221050</v>
      </c>
    </row>
    <row r="16" ht="15" customHeight="1">
      <c r="B16" s="48" t="s">
        <v>95</v>
      </c>
      <c r="O16" s="49" cm="1">
        <f t="array" ref="O16">'Project Budget'!D50</f>
        <v>268000</v>
      </c>
    </row>
    <row r="17" ht="15" customHeight="1">
      <c r="B17" s="48" t="s">
        <v>96</v>
      </c>
      <c r="O17" s="49">
        <f>O16-O15</f>
        <v>46950</v>
      </c>
    </row>
  </sheetData>
  <mergeCells>
    <mergeCell ref="B2:E2"/>
  </mergeCell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Shortcut</cp:lastModifiedBy>
  <dcterms:created xsi:type="dcterms:W3CDTF">2025-05-22T23:41:35Z</dcterms:created>
  <dcterms:modified xsi:type="dcterms:W3CDTF">2025-05-22T23:45:09Z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c7c31d2c-ff7c-439b-829d-0dec4c2f4007</vt:lpwstr>
  </property>
</Properties>
</file>