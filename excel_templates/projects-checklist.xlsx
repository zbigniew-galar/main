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r:id="rId1" name="Checklist" sheetId="1"/>
    <sheet r:id="rId2" name="Instructions" sheetId="2"/>
  </sheets>
  <definedNames>
    <definedName name="_xlnm.Print_Area" localSheetId="0">Checklist!$B$2:$H$23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<sst xmlns="http://schemas.openxmlformats.org/spreadsheetml/2006/main" count="61" uniqueCount="61">
  <si>
    <t>Checklist</t>
  </si>
  <si>
    <t>Progress</t>
  </si>
  <si>
    <t>Total Tasks:</t>
  </si>
  <si>
    <t>Completed:</t>
  </si>
  <si>
    <t>% Complete:</t>
  </si>
  <si>
    <t>#</t>
  </si>
  <si>
    <t>Task / Item</t>
  </si>
  <si>
    <t>Status</t>
  </si>
  <si>
    <t>Priority</t>
  </si>
  <si>
    <t>Due Date</t>
  </si>
  <si>
    <t>Assigned To</t>
  </si>
  <si>
    <t>Notes</t>
  </si>
  <si>
    <t>Planning</t>
  </si>
  <si>
    <t>Define project scope and objectives</t>
  </si>
  <si>
    <t>Done</t>
  </si>
  <si>
    <t>High</t>
  </si>
  <si>
    <t>Alex</t>
  </si>
  <si>
    <t>Completed kickoff meeting</t>
  </si>
  <si>
    <t>Identify stakeholders</t>
  </si>
  <si>
    <t>Create project charter</t>
  </si>
  <si>
    <t>In Progress</t>
  </si>
  <si>
    <t>Jordan</t>
  </si>
  <si>
    <t>Draft under review</t>
  </si>
  <si>
    <t>Develop project schedule</t>
  </si>
  <si>
    <t>Not Started</t>
  </si>
  <si>
    <t>Medium</t>
  </si>
  <si>
    <t>Sam</t>
  </si>
  <si>
    <t>Execution</t>
  </si>
  <si>
    <t>Assign team resources</t>
  </si>
  <si>
    <t>Set up project tools and workspace</t>
  </si>
  <si>
    <t>Begin phase 1 deliverables</t>
  </si>
  <si>
    <t>Team</t>
  </si>
  <si>
    <t>Conduct weekly status meetings</t>
  </si>
  <si>
    <t>Recurring</t>
  </si>
  <si>
    <t>Review &amp; Close</t>
  </si>
  <si>
    <t>Review deliverables against requirements</t>
  </si>
  <si>
    <t>Gather feedback from stakeholders</t>
  </si>
  <si>
    <t>Document lessons learned</t>
  </si>
  <si>
    <t>Low</t>
  </si>
  <si>
    <t>Archive project files</t>
  </si>
  <si>
    <t>Checklist Instructions</t>
  </si>
  <si>
    <t>Getting Started</t>
  </si>
  <si>
    <t>Enter your tasks in the 'Task / Item' column (Column C).</t>
  </si>
  <si>
    <t>Set the Status using the dropdown: Done, In Progress, or Not Started.</t>
  </si>
  <si>
    <t>Assign a Priority level: High, Medium, or Low.</t>
  </si>
  <si>
    <t>Enter the Due Date and Assigned To fields for each task.</t>
  </si>
  <si>
    <t>Use the Notes column for any additional details.</t>
  </si>
  <si>
    <t>Sections</t>
  </si>
  <si>
    <t>Tasks are organized into sections: Planning, Execution, and Review &amp; Close.</t>
  </si>
  <si>
    <t>To add a new section, insert a row and merge columns B through H.</t>
  </si>
  <si>
    <t>Section headers use the peach background color for visual distinction.</t>
  </si>
  <si>
    <t>Progress Tracking</t>
  </si>
  <si>
    <t>The Progress summary at the top automatically calculates:</t>
  </si>
  <si>
    <t xml:space="preserve">  • Total Tasks — count of all numbered items</t>
  </si>
  <si>
    <t xml:space="preserve">  • Completed — count of tasks marked 'Done'</t>
  </si>
  <si>
    <t xml:space="preserve">  • % Complete — percentage of tasks finished</t>
  </si>
  <si>
    <t>Conditional Formatting</t>
  </si>
  <si>
    <t>Status column changes color based on value (green=Done, yellow=In Progress, red=Not Started).</t>
  </si>
  <si>
    <t>Priority column is color-coded (red=High, orange=Medium, blue=Low).</t>
  </si>
  <si>
    <t>Completed tasks show strikethrough formatting.</t>
  </si>
  <si>
    <t>Overdue tasks (past due date and not Done) are highlighted.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</si>
</sst>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0.0%"/>
    <numFmt numFmtId="172" formatCode="mm/dd/yyyy"/>
  </numFmts>
  <fonts count="10">
    <font>
      <b val="0"/>
      <i val="0"/>
      <sz val="12"/>
      <color theme="1"/>
      <name val="Aptos Narrow"/>
      <scheme val="minor"/>
    </font>
    <font>
      <b/>
      <i val="0"/>
      <sz val="18"/>
      <color rgb="FF223759"/>
      <name val="Aptos"/>
    </font>
    <font>
      <b/>
      <i val="0"/>
      <sz val="13"/>
      <color rgb="FF223759"/>
      <name val="Aptos"/>
    </font>
    <font>
      <b/>
      <i val="0"/>
      <sz val="11"/>
      <color rgb="FF223759"/>
      <name val="Aptos"/>
    </font>
    <font>
      <b val="0"/>
      <i val="0"/>
      <sz val="11"/>
      <color auto="1"/>
      <name val="Aptos"/>
    </font>
    <font>
      <b/>
      <i val="0"/>
      <sz val="11"/>
      <color auto="1"/>
      <name val="Aptos"/>
    </font>
    <font>
      <b/>
      <i val="0"/>
      <sz val="11"/>
      <color rgb="FFFFFFFF"/>
      <name val="Aptos"/>
    </font>
    <font>
      <b/>
      <i val="0"/>
      <sz val="11"/>
      <color rgb="FF20354A"/>
      <name val="Aptos"/>
    </font>
    <font>
      <b val="0"/>
      <i val="0"/>
      <sz val="11"/>
      <color rgb="FF0070C0"/>
      <name val="Aptos"/>
    </font>
    <font>
      <b val="0"/>
      <i val="0"/>
      <sz val="11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3A4F6B"/>
      </patternFill>
    </fill>
    <fill>
      <patternFill patternType="solid">
        <fgColor rgb="FFFAECE0"/>
      </patternFill>
    </fill>
  </fills>
  <borders count="15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 style="thin">
        <color rgb="FFD0D0D0"/>
      </left>
    </border>
    <border>
      <right style="thin">
        <color rgb="FFD0D0D0"/>
      </right>
    </border>
    <border>
      <left style="hair">
        <color rgb="FFE0E0E0"/>
      </left>
      <top style="hair">
        <color rgb="FFE0E0E0"/>
      </top>
    </border>
    <border>
      <left style="hair">
        <color rgb="FFE0E0E0"/>
      </left>
      <right style="hair">
        <color rgb="FFE0E0E0"/>
      </right>
      <top style="hair">
        <color rgb="FFE0E0E0"/>
      </top>
    </border>
    <border>
      <left style="hair">
        <color rgb="FFE0E0E0"/>
      </left>
      <right/>
      <top style="hair">
        <color rgb="FFE0E0E0"/>
      </top>
      <bottom/>
      <diagonal/>
    </border>
    <border>
      <left style="hair">
        <color rgb="FFE0E0E0"/>
      </left>
      <right/>
      <top style="hair">
        <color rgb="FFE0E0E0"/>
      </top>
      <bottom style="hair">
        <color rgb="FFE0E0E0"/>
      </bottom>
      <diagonal/>
    </border>
    <border>
      <left style="hair">
        <color rgb="FFE0E0E0"/>
      </left>
      <top style="hair">
        <color rgb="FFE0E0E0"/>
      </top>
      <bottom style="hair">
        <color rgb="FFE0E0E0"/>
      </bottom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hair">
        <color rgb="FFE0E0E0"/>
      </left>
      <right style="hair">
        <color rgb="FFE0E0E0"/>
      </right>
      <top style="hair">
        <color rgb="FFE0E0E0"/>
      </top>
      <bottom/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1"/>
  </cellStyleXfs>
  <cellXfs count="26">
    <xf numFmtId="0" fontId="0" fillId="0" borderId="1" xfId="0"/>
    <xf numFmtId="0" fontId="1" fillId="0" borderId="1" xfId="0">
      <alignment vertical="center"/>
    </xf>
    <xf numFmtId="0" fontId="2" fillId="0" borderId="1" xfId="0">
      <alignment vertical="center"/>
    </xf>
    <xf numFmtId="0" fontId="3" fillId="0" borderId="1" xfId="0">
      <alignment vertical="center"/>
    </xf>
    <xf numFmtId="1" fontId="4" fillId="0" borderId="1" xfId="0">
      <alignment horizontal="left" vertical="center"/>
    </xf>
    <xf numFmtId="171" fontId="5" fillId="0" borderId="1" xfId="0">
      <alignment horizontal="left" vertical="center"/>
    </xf>
    <xf numFmtId="0" fontId="6" fillId="2" borderId="11" xfId="0">
      <alignment horizontal="center" vertical="center"/>
    </xf>
    <xf numFmtId="0" fontId="6" fillId="2" borderId="1" xfId="0">
      <alignment horizontal="left" vertical="center"/>
    </xf>
    <xf numFmtId="0" fontId="6" fillId="2" borderId="1" xfId="0">
      <alignment horizontal="center" vertical="center"/>
    </xf>
    <xf numFmtId="0" fontId="6" fillId="2" borderId="12" xfId="0">
      <alignment horizontal="left" vertical="center"/>
    </xf>
    <xf numFmtId="0" fontId="7" fillId="3" borderId="11" xfId="0">
      <alignment vertical="center"/>
    </xf>
    <xf numFmtId="0" fontId="4" fillId="0" borderId="12" xfId="0">
      <alignment vertical="center"/>
    </xf>
    <xf numFmtId="1" fontId="4" fillId="0" borderId="7" xfId="0">
      <alignment horizontal="center" vertical="center"/>
    </xf>
    <xf numFmtId="0" fontId="8" fillId="0" borderId="7" xfId="0">
      <alignment horizontal="left" vertical="center"/>
    </xf>
    <xf numFmtId="0" fontId="8" fillId="0" borderId="7" xfId="0">
      <alignment horizontal="center" vertical="center"/>
    </xf>
    <xf numFmtId="172" fontId="8" fillId="0" borderId="7" xfId="0">
      <alignment horizontal="center" vertical="center"/>
    </xf>
    <xf numFmtId="0" fontId="8" fillId="0" borderId="13" xfId="0">
      <alignment horizontal="left" vertical="center"/>
    </xf>
    <xf numFmtId="1" fontId="9" fillId="0" borderId="7" xfId="0">
      <alignment horizontal="center" vertical="center"/>
    </xf>
    <xf numFmtId="0" fontId="4" fillId="0" borderId="13" xfId="0">
      <alignment horizontal="left" vertical="center"/>
    </xf>
    <xf numFmtId="1" fontId="9" fillId="0" borderId="8" xfId="0">
      <alignment horizontal="center" vertical="center"/>
    </xf>
    <xf numFmtId="0" fontId="8" fillId="0" borderId="8" xfId="0">
      <alignment horizontal="left" vertical="center"/>
    </xf>
    <xf numFmtId="0" fontId="8" fillId="0" borderId="8" xfId="0">
      <alignment horizontal="center" vertical="center"/>
    </xf>
    <xf numFmtId="172" fontId="8" fillId="0" borderId="8" xfId="0">
      <alignment horizontal="center" vertical="center"/>
    </xf>
    <xf numFmtId="0" fontId="4" fillId="0" borderId="14" xfId="0">
      <alignment horizontal="left" vertical="center"/>
    </xf>
    <xf numFmtId="0" fontId="8" fillId="0" borderId="14" xfId="0">
      <alignment horizontal="left" vertical="center"/>
    </xf>
    <xf numFmtId="0" fontId="4" fillId="0" borderId="1" xfId="0">
      <alignment vertical="center"/>
    </xf>
  </cellXfs>
  <cellStyles count="1">
    <cellStyle name="Normal" xfId="0" builtinId="0"/>
  </cellStyles>
  <dxfs count="8">
    <dxf>
      <font>
        <color rgb="FF006100"/>
      </font>
    </dxf>
    <dxf>
      <font>
        <color rgb="FF906000"/>
      </font>
    </dxf>
    <dxf>
      <font>
        <color rgb="FFCC0000"/>
      </font>
    </dxf>
    <dxf>
      <font>
        <b/>
        <sz val="11"/>
        <color rgb="FFCC0000"/>
        <name val="Aptos"/>
      </font>
    </dxf>
    <dxf>
      <font>
        <color rgb="FF808000"/>
      </font>
    </dxf>
    <dxf>
      <font>
        <color rgb="FF808080"/>
      </font>
    </dxf>
    <dxf>
      <font>
        <b/>
        <sz val="11"/>
        <color rgb="FFFF0000"/>
        <name val="Aptos"/>
      </font>
    </dxf>
    <dxf>
      <font>
        <strike/>
        <color rgb="FF80808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1FDC189-0CC8-F063-F2F8-9E4539886188}" mc:Ignorable="x14ac xr xr2 xr3">
  <dimension ref="A1:CV10000"/>
  <sheetViews>
    <sheetView showGridLines="0" zoomScale="90" workbookViewId="0">
      <pane xSplit="1" ySplit="8" topLeftCell="B9" activePane="bottomRight" state="frozen"/>
      <selection pane="bottomLeft" activeCell="A9" sqref="A9"/>
      <selection pane="topRight" activeCell="B1" sqref="B1"/>
      <selection pane="bottomRight" activeCell="D11" sqref="D11"/>
    </sheetView>
  </sheetViews>
  <sheetFormatPr defaultRowHeight="15.997499999999997" defaultColWidth="9.00390625" customHeight="1"/>
  <cols>
    <col min="1" max="1" width="2.50390625" customWidth="1"/>
    <col min="2" max="2" width="10.625" customWidth="1"/>
    <col min="3" max="3" width="34.375" customWidth="1"/>
    <col min="4" max="4" width="13.75390625" customWidth="1"/>
    <col min="5" max="5" width="11.875" customWidth="1"/>
    <col min="6" max="6" width="13.75390625" customWidth="1"/>
    <col min="7" max="7" width="16.875" customWidth="1"/>
    <col min="8" max="8" width="23.125" customWidth="1"/>
    <col min="9" max="9" width="8.25390625" customWidth="1"/>
  </cols>
  <sheetData>
    <row r="1" ht="15" customHeight="1"/>
    <row r="2" ht="24" customHeight="1">
      <c r="B2" s="1" t="s">
        <v>0</v>
      </c>
    </row>
    <row r="3" ht="15" customHeight="1"/>
    <row r="4" ht="18" customHeight="1">
      <c r="B4" s="2" t="s">
        <v>1</v>
      </c>
    </row>
    <row r="5" ht="19.5" customHeight="1">
      <c r="B5" s="3" t="s">
        <v>2</v>
      </c>
      <c r="C5" s="4">
        <f>COUNT(B9:B100)</f>
        <v>12</v>
      </c>
      <c r="D5" s="3" t="s">
        <v>3</v>
      </c>
      <c r="E5" s="4">
        <f>COUNTIF(D9:D100,"Done")</f>
        <v>2</v>
      </c>
      <c r="F5" s="3" t="s">
        <v>4</v>
      </c>
      <c r="G5" s="5">
        <f>IF(C5&gt;0,E5/C5,0)</f>
        <v>0.166666666666667</v>
      </c>
    </row>
    <row r="6" ht="15" customHeight="1"/>
    <row r="7" ht="15" customHeight="1"/>
    <row r="8" ht="18" customHeight="1">
      <c r="B8" s="6" t="s">
        <v>5</v>
      </c>
      <c r="C8" s="7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9" t="s">
        <v>11</v>
      </c>
    </row>
    <row r="9" ht="18" customHeight="1">
      <c r="B9" s="10" t="s">
        <v>12</v>
      </c>
      <c r="H9" s="11"/>
    </row>
    <row r="10" ht="16.5" customHeight="1">
      <c r="B10" s="12">
        <f t="shared" si="0" ref="B10:B23">COUNTA(C$10:C10)</f>
        <v>1</v>
      </c>
      <c r="C10" s="13" t="s">
        <v>13</v>
      </c>
      <c r="D10" s="14" t="s">
        <v>14</v>
      </c>
      <c r="E10" s="14" t="s">
        <v>15</v>
      </c>
      <c r="F10" s="15">
        <v>46082.5</v>
      </c>
      <c r="G10" s="13" t="s">
        <v>16</v>
      </c>
      <c r="H10" s="16" t="s">
        <v>17</v>
      </c>
    </row>
    <row r="11" ht="16.5" customHeight="1">
      <c r="B11" s="17">
        <f t="shared" si="0"/>
        <v>2</v>
      </c>
      <c r="C11" s="13" t="s">
        <v>18</v>
      </c>
      <c r="D11" s="14" t="s">
        <v>14</v>
      </c>
      <c r="E11" s="14" t="s">
        <v>15</v>
      </c>
      <c r="F11" s="15">
        <v>46084.5</v>
      </c>
      <c r="G11" s="13" t="s">
        <v>16</v>
      </c>
      <c r="H11" s="18"/>
    </row>
    <row r="12" ht="16.5" customHeight="1">
      <c r="B12" s="17">
        <f t="shared" si="0"/>
        <v>3</v>
      </c>
      <c r="C12" s="13" t="s">
        <v>19</v>
      </c>
      <c r="D12" s="14" t="s">
        <v>20</v>
      </c>
      <c r="E12" s="14" t="s">
        <v>15</v>
      </c>
      <c r="F12" s="15">
        <v>46091.5</v>
      </c>
      <c r="G12" s="13" t="s">
        <v>21</v>
      </c>
      <c r="H12" s="16" t="s">
        <v>22</v>
      </c>
    </row>
    <row r="13" ht="16.5" customHeight="1">
      <c r="B13" s="19">
        <f t="shared" si="0"/>
        <v>4</v>
      </c>
      <c r="C13" s="20" t="s">
        <v>23</v>
      </c>
      <c r="D13" s="21" t="s">
        <v>24</v>
      </c>
      <c r="E13" s="21" t="s">
        <v>25</v>
      </c>
      <c r="F13" s="22">
        <v>46096.5</v>
      </c>
      <c r="G13" s="20" t="s">
        <v>26</v>
      </c>
      <c r="H13" s="23"/>
    </row>
    <row r="14" ht="18" customHeight="1">
      <c r="B14" s="10" t="s">
        <v>27</v>
      </c>
      <c r="H14" s="11"/>
    </row>
    <row r="15" ht="16.5" customHeight="1">
      <c r="B15" s="12">
        <f t="shared" si="0"/>
        <v>5</v>
      </c>
      <c r="C15" s="13" t="s">
        <v>28</v>
      </c>
      <c r="D15" s="14" t="s">
        <v>24</v>
      </c>
      <c r="E15" s="14" t="s">
        <v>15</v>
      </c>
      <c r="F15" s="15">
        <v>46099.5</v>
      </c>
      <c r="G15" s="13" t="s">
        <v>21</v>
      </c>
      <c r="H15" s="18"/>
    </row>
    <row r="16" ht="16.5" customHeight="1">
      <c r="B16" s="17">
        <f t="shared" si="0"/>
        <v>6</v>
      </c>
      <c r="C16" s="13" t="s">
        <v>29</v>
      </c>
      <c r="D16" s="14" t="s">
        <v>24</v>
      </c>
      <c r="E16" s="14" t="s">
        <v>25</v>
      </c>
      <c r="F16" s="15">
        <v>46100.5</v>
      </c>
      <c r="G16" s="13" t="s">
        <v>26</v>
      </c>
      <c r="H16" s="18"/>
    </row>
    <row r="17" ht="16.5" customHeight="1">
      <c r="B17" s="17">
        <f t="shared" si="0"/>
        <v>7</v>
      </c>
      <c r="C17" s="13" t="s">
        <v>30</v>
      </c>
      <c r="D17" s="14" t="s">
        <v>24</v>
      </c>
      <c r="E17" s="14" t="s">
        <v>15</v>
      </c>
      <c r="F17" s="15">
        <v>46103.5</v>
      </c>
      <c r="G17" s="13" t="s">
        <v>31</v>
      </c>
      <c r="H17" s="18"/>
    </row>
    <row r="18" ht="16.5" customHeight="1">
      <c r="B18" s="19">
        <f t="shared" si="0"/>
        <v>8</v>
      </c>
      <c r="C18" s="20" t="s">
        <v>32</v>
      </c>
      <c r="D18" s="21" t="s">
        <v>24</v>
      </c>
      <c r="E18" s="21" t="s">
        <v>25</v>
      </c>
      <c r="F18" s="22">
        <v>46106.5</v>
      </c>
      <c r="G18" s="20" t="s">
        <v>16</v>
      </c>
      <c r="H18" s="24" t="s">
        <v>33</v>
      </c>
    </row>
    <row r="19" ht="18" customHeight="1">
      <c r="B19" s="10" t="s">
        <v>34</v>
      </c>
      <c r="H19" s="11"/>
    </row>
    <row r="20" ht="16.5" customHeight="1">
      <c r="B20" s="12">
        <f t="shared" si="0"/>
        <v>9</v>
      </c>
      <c r="C20" s="13" t="s">
        <v>35</v>
      </c>
      <c r="D20" s="14" t="s">
        <v>24</v>
      </c>
      <c r="E20" s="14" t="s">
        <v>15</v>
      </c>
      <c r="F20" s="15">
        <v>46117.5</v>
      </c>
      <c r="G20" s="13" t="s">
        <v>16</v>
      </c>
      <c r="H20" s="18"/>
    </row>
    <row r="21" ht="16.5" customHeight="1">
      <c r="B21" s="17">
        <f t="shared" si="0"/>
        <v>10</v>
      </c>
      <c r="C21" s="13" t="s">
        <v>36</v>
      </c>
      <c r="D21" s="14" t="s">
        <v>24</v>
      </c>
      <c r="E21" s="14" t="s">
        <v>25</v>
      </c>
      <c r="F21" s="15">
        <v>46120.5</v>
      </c>
      <c r="G21" s="13" t="s">
        <v>21</v>
      </c>
      <c r="H21" s="18"/>
    </row>
    <row r="22" ht="16.5" customHeight="1">
      <c r="B22" s="17">
        <f t="shared" si="0"/>
        <v>11</v>
      </c>
      <c r="C22" s="13" t="s">
        <v>37</v>
      </c>
      <c r="D22" s="14" t="s">
        <v>24</v>
      </c>
      <c r="E22" s="14" t="s">
        <v>38</v>
      </c>
      <c r="F22" s="15">
        <v>46122.5</v>
      </c>
      <c r="G22" s="13" t="s">
        <v>26</v>
      </c>
      <c r="H22" s="18"/>
    </row>
    <row r="23" ht="16.5" customHeight="1">
      <c r="B23" s="19">
        <f t="shared" si="0"/>
        <v>12</v>
      </c>
      <c r="C23" s="20" t="s">
        <v>39</v>
      </c>
      <c r="D23" s="21" t="s">
        <v>24</v>
      </c>
      <c r="E23" s="21" t="s">
        <v>38</v>
      </c>
      <c r="F23" s="22">
        <v>46124.5</v>
      </c>
      <c r="G23" s="20" t="s">
        <v>26</v>
      </c>
      <c r="H23" s="23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9:H9"/>
    <mergeCell ref="B14:H14"/>
    <mergeCell ref="B19:H19"/>
  </mergeCells>
  <conditionalFormatting sqref="D10:D100">
    <cfRule type="cellIs" dxfId="0" priority="18" operator="equal" text="null">
      <formula>"Done"</formula>
    </cfRule>
  </conditionalFormatting>
  <conditionalFormatting sqref="D10:D100">
    <cfRule type="cellIs" dxfId="1" priority="17" operator="equal" text="null">
      <formula>"In Progress"</formula>
    </cfRule>
  </conditionalFormatting>
  <conditionalFormatting sqref="D10:D100">
    <cfRule type="cellIs" dxfId="2" priority="16" operator="equal" text="null">
      <formula>"Not Started"</formula>
    </cfRule>
  </conditionalFormatting>
  <conditionalFormatting sqref="E10:E100">
    <cfRule type="cellIs" dxfId="3" priority="15" operator="equal" text="null">
      <formula>"High"</formula>
    </cfRule>
  </conditionalFormatting>
  <conditionalFormatting sqref="E10:E100">
    <cfRule type="cellIs" dxfId="4" priority="14" operator="equal" text="null">
      <formula>"Medium"</formula>
    </cfRule>
  </conditionalFormatting>
  <conditionalFormatting sqref="E10:E100">
    <cfRule type="cellIs" dxfId="5" priority="13" operator="equal" text="null">
      <formula>"Low"</formula>
    </cfRule>
  </conditionalFormatting>
  <conditionalFormatting sqref="F10:F13">
    <cfRule type="expression" dxfId="6" priority="8" text="null">
      <formula>AND(F10&lt;TODAY(),$D10&lt;&gt;"Done")</formula>
    </cfRule>
  </conditionalFormatting>
  <conditionalFormatting sqref="F15:F18">
    <cfRule type="expression" dxfId="6" priority="7" text="null">
      <formula>AND(F15&lt;TODAY(),$D15&lt;&gt;"Done")</formula>
    </cfRule>
  </conditionalFormatting>
  <conditionalFormatting sqref="F20:F23">
    <cfRule type="expression" dxfId="6" priority="6" text="null">
      <formula>AND(F20&lt;TODAY(),$D20&lt;&gt;"Done")</formula>
    </cfRule>
  </conditionalFormatting>
  <conditionalFormatting sqref="F25:F100">
    <cfRule type="expression" dxfId="6" priority="5" text="null">
      <formula>AND(F25&lt;TODAY(),$D25&lt;&gt;"Done")</formula>
    </cfRule>
  </conditionalFormatting>
  <conditionalFormatting sqref="C10:C13">
    <cfRule type="expression" dxfId="7" priority="4" text="null">
      <formula>$D10="Done"</formula>
    </cfRule>
  </conditionalFormatting>
  <conditionalFormatting sqref="C15:C18">
    <cfRule type="expression" dxfId="7" priority="3" text="null">
      <formula>$D15="Done"</formula>
    </cfRule>
  </conditionalFormatting>
  <conditionalFormatting sqref="C20:C23">
    <cfRule type="expression" dxfId="7" priority="2" text="null">
      <formula>$D20="Done"</formula>
    </cfRule>
  </conditionalFormatting>
  <conditionalFormatting sqref="C25:C100">
    <cfRule type="expression" dxfId="7" priority="1" text="null">
      <formula>$D25="Done"</formula>
    </cfRule>
  </conditionalFormatting>
  <dataValidations count="6">
    <dataValidation allowBlank="1" prompt="Select priority" promptTitle="Priority" showErrorMessage="1" showInputMessage="1" sqref="E20:E40" type="list">
      <formula1>"High,Medium,Low"</formula1>
    </dataValidation>
    <dataValidation allowBlank="1" prompt="Select priority" promptTitle="Priority" showErrorMessage="1" showInputMessage="1" sqref="E15:E18" type="list">
      <formula1>"High,Medium,Low"</formula1>
    </dataValidation>
    <dataValidation allowBlank="1" prompt="Select priority" promptTitle="Priority" showErrorMessage="1" showInputMessage="1" sqref="E10:E13" type="list">
      <formula1>"High,Medium,Low"</formula1>
    </dataValidation>
    <dataValidation allowBlank="1" prompt="Select status" promptTitle="Status" showErrorMessage="1" showInputMessage="1" sqref="D20:D40" type="list">
      <formula1>"Done,In Progress,Not Started"</formula1>
    </dataValidation>
    <dataValidation allowBlank="1" prompt="Select status" promptTitle="Status" showErrorMessage="1" showInputMessage="1" sqref="D15:D18" type="list">
      <formula1>"Done,In Progress,Not Started"</formula1>
    </dataValidation>
    <dataValidation allowBlank="1" prompt="Select status" promptTitle="Status" showErrorMessage="1" showInputMessage="1" sqref="D10:D13" type="list">
      <formula1>"Done,In Progress,Not Started"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5810358-D8F8-6D48-3A98-55217098CE58}" mc:Ignorable="x14ac xr xr2 xr3">
  <dimension ref="A1:CV10000"/>
  <sheetViews>
    <sheetView showGridLines="0" workbookViewId="0" tabSelected="1">
      <pane xSplit="1" ySplit="3" topLeftCell="B4" activePane="bottomRight" state="frozen"/>
      <selection pane="bottomLeft" activeCell="A4" sqref="A4"/>
      <selection pane="topRight" activeCell="B1" sqref="B1"/>
      <selection pane="bottomRight" activeCell="A1" sqref="A1"/>
    </sheetView>
  </sheetViews>
  <sheetFormatPr defaultRowHeight="15" defaultColWidth="7.75390625" customHeight="1"/>
  <cols>
    <col min="1" max="1" width="2.875" customWidth="1"/>
    <col min="2" max="2" width="75.00390625" customWidth="1"/>
  </cols>
  <sheetData>
    <row r="2" ht="23.25" customHeight="1">
      <c r="B2" s="1" t="s">
        <v>40</v>
      </c>
    </row>
    <row r="4" ht="17.25" customHeight="1">
      <c r="B4" s="2" t="s">
        <v>41</v>
      </c>
    </row>
    <row r="5" ht="15" customHeight="1">
      <c r="B5" s="25" t="s">
        <v>42</v>
      </c>
    </row>
    <row r="6" ht="15" customHeight="1">
      <c r="B6" s="25" t="s">
        <v>43</v>
      </c>
    </row>
    <row r="7" ht="15" customHeight="1">
      <c r="B7" s="25" t="s">
        <v>44</v>
      </c>
    </row>
    <row r="8" ht="15" customHeight="1">
      <c r="B8" s="25" t="s">
        <v>45</v>
      </c>
    </row>
    <row r="9" ht="15" customHeight="1">
      <c r="B9" s="25" t="s">
        <v>46</v>
      </c>
    </row>
    <row r="11" ht="17.25" customHeight="1">
      <c r="B11" s="2" t="s">
        <v>47</v>
      </c>
    </row>
    <row r="12" ht="15" customHeight="1">
      <c r="B12" s="25" t="s">
        <v>48</v>
      </c>
    </row>
    <row r="13" ht="15" customHeight="1">
      <c r="B13" s="25" t="s">
        <v>49</v>
      </c>
    </row>
    <row r="14" ht="15" customHeight="1">
      <c r="B14" s="25" t="s">
        <v>50</v>
      </c>
    </row>
    <row r="16" ht="17.25" customHeight="1">
      <c r="B16" s="2" t="s">
        <v>51</v>
      </c>
    </row>
    <row r="17" ht="15" customHeight="1">
      <c r="B17" s="25" t="s">
        <v>52</v>
      </c>
    </row>
    <row r="18" ht="15" customHeight="1">
      <c r="B18" s="25" t="s">
        <v>53</v>
      </c>
    </row>
    <row r="19" ht="15" customHeight="1">
      <c r="B19" s="25" t="s">
        <v>54</v>
      </c>
    </row>
    <row r="20" ht="15" customHeight="1">
      <c r="B20" s="25" t="s">
        <v>55</v>
      </c>
    </row>
    <row r="22" ht="17.25" customHeight="1">
      <c r="B22" s="2" t="s">
        <v>56</v>
      </c>
    </row>
    <row r="23" ht="15" customHeight="1">
      <c r="B23" s="25" t="s">
        <v>57</v>
      </c>
    </row>
    <row r="24" ht="15" customHeight="1">
      <c r="B24" s="25" t="s">
        <v>58</v>
      </c>
    </row>
    <row r="25" ht="15" customHeight="1">
      <c r="B25" s="25" t="s">
        <v>59</v>
      </c>
    </row>
    <row r="26" ht="15" customHeight="1">
      <c r="B26" s="25" t="s">
        <v>60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ec67dcbc-bd76-44bd-aebb-616bfc538080</vt:lpwstr>
  </property>
</Properties>
</file>