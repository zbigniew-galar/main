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Leave-Summary" sheetId="1"/>
    <sheet r:id="rId2" name="Leave-Log" sheetId="2"/>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<sst xmlns="http://schemas.openxmlformats.org/spreadsheetml/2006/main" count="38" uniqueCount="38">
  <si>
    <t>EMPLOYEE LEAVE TRACKER</t>
  </si>
  <si>
    <t>Year:</t>
  </si>
  <si>
    <t>Employee</t>
  </si>
  <si>
    <t>Department</t>
  </si>
  <si>
    <t>Vacation</t>
  </si>
  <si>
    <t>Sick Leave</t>
  </si>
  <si>
    <t>Personal</t>
  </si>
  <si>
    <t>Total</t>
  </si>
  <si>
    <t>Allowed</t>
  </si>
  <si>
    <t>Taken</t>
  </si>
  <si>
    <t>Balance</t>
  </si>
  <si>
    <t>Sarah Johnson</t>
  </si>
  <si>
    <t>Marketing</t>
  </si>
  <si>
    <t>Michael Chen</t>
  </si>
  <si>
    <t>Engineering</t>
  </si>
  <si>
    <t>Emily Davis</t>
  </si>
  <si>
    <t>Sales</t>
  </si>
  <si>
    <t>Robert Wilson</t>
  </si>
  <si>
    <t>Lisa Brown</t>
  </si>
  <si>
    <t>HR</t>
  </si>
  <si>
    <t>TOTAL / AVERAGE</t>
  </si>
  <si>
    <t>LEAVE LOG</t>
  </si>
  <si>
    <t>Enter all leave requests below. The Summary sheet auto-calculates from this log.</t>
  </si>
  <si>
    <t>Employee Name</t>
  </si>
  <si>
    <t>Date</t>
  </si>
  <si>
    <t>Leave Type</t>
  </si>
  <si>
    <t>Days</t>
  </si>
  <si>
    <t>Return Date</t>
  </si>
  <si>
    <t>Notes</t>
  </si>
  <si>
    <t>Status</t>
  </si>
  <si>
    <t>Family vacation</t>
  </si>
  <si>
    <t>Approved</t>
  </si>
  <si>
    <t>Sick</t>
  </si>
  <si>
    <t>Ski trip</t>
  </si>
  <si>
    <t>Appointment</t>
  </si>
  <si>
    <t>Spring break</t>
  </si>
  <si>
    <t>Flu</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</si>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</sst>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1" formatCode="0.0"/>
    <numFmt numFmtId="172" formatCode="mm/dd/yyyy"/>
  </numFmts>
  <fonts count="12">
    <font>
      <b val="0"/>
      <i val="0"/>
      <sz val="12"/>
      <color theme="1"/>
      <name val="Calibri"/>
      <scheme val="minor"/>
    </font>
    <font>
      <b val="0"/>
      <i val="0"/>
      <sz val="12"/>
      <color theme="1"/>
      <name val="Aptos Narrow"/>
      <scheme val="minor"/>
    </font>
    <font>
      <b/>
      <i val="0"/>
      <sz val="18"/>
      <color rgb="FF2F3542"/>
      <name val="Aptos"/>
    </font>
    <font>
      <b/>
      <i val="0"/>
      <sz val="11"/>
      <color rgb="FF57606F"/>
      <name val="Aptos"/>
    </font>
    <font>
      <b/>
      <i val="0"/>
      <sz val="11"/>
      <color rgb="FF0070C0"/>
      <name val="Aptos"/>
    </font>
    <font>
      <b val="0"/>
      <i val="0"/>
      <sz val="11"/>
      <color auto="1"/>
      <name val="Aptos"/>
    </font>
    <font>
      <b/>
      <i val="0"/>
      <sz val="13"/>
      <color rgb="FFFFFFFF"/>
      <name val="Aptos"/>
    </font>
    <font>
      <b/>
      <i val="0"/>
      <sz val="11"/>
      <color rgb="FFFFFFFF"/>
      <name val="Aptos"/>
    </font>
    <font>
      <b val="0"/>
      <i val="0"/>
      <sz val="11"/>
      <color rgb="FF0070C0"/>
      <name val="Aptos"/>
    </font>
    <font>
      <b/>
      <i val="0"/>
      <sz val="14"/>
      <color rgb="FF2F3542"/>
      <name val="Aptos"/>
    </font>
    <font>
      <b val="0"/>
      <i/>
      <sz val="11"/>
      <color rgb="FF57606F"/>
      <name val="Aptos"/>
    </font>
    <font>
      <b val="0"/>
      <i val="0"/>
      <sz val="11"/>
      <color rgb="FF0000CC"/>
      <name val="Aptos"/>
    </font>
  </fonts>
  <fills count="11">
    <fill>
      <patternFill patternType="none"/>
    </fill>
    <fill>
      <patternFill patternType="gray125"/>
    </fill>
    <fill>
      <patternFill patternType="solid">
        <fgColor rgb="FF2F3542"/>
      </patternFill>
    </fill>
    <fill>
      <patternFill patternType="solid">
        <fgColor rgb="FF3498DB"/>
      </patternFill>
    </fill>
    <fill>
      <patternFill patternType="solid">
        <fgColor rgb="FFE74C3C"/>
      </patternFill>
    </fill>
    <fill>
      <patternFill patternType="solid">
        <fgColor rgb="FFF39C12"/>
      </patternFill>
    </fill>
    <fill>
      <patternFill patternType="solid">
        <fgColor rgb="FF5DADE2"/>
      </patternFill>
    </fill>
    <fill>
      <patternFill patternType="solid">
        <fgColor rgb="FFEC7063"/>
      </patternFill>
    </fill>
    <fill>
      <patternFill patternType="solid">
        <fgColor rgb="FFF5B041"/>
      </patternFill>
    </fill>
    <fill>
      <patternFill patternType="solid">
        <fgColor rgb="FF57606F"/>
      </patternFill>
    </fill>
    <fill>
      <patternFill patternType="solid">
        <fgColor rgb="FFF8F9FA"/>
      </patternFill>
    </fill>
  </fills>
  <borders count="9">
    <border>
      <left/>
      <right/>
      <top/>
      <bottom/>
    </border>
    <border>
      <left/>
      <right/>
      <top/>
      <bottom/>
      <diagonal/>
    </border>
    <border>
      <left/>
      <right/>
      <top/>
      <bottom/>
    </border>
    <border>
      <top style="thin">
        <color rgb="FFE0E0E0"/>
      </top>
    </border>
    <border>
      <top style="thin">
        <color rgb="FFE8E8E8"/>
      </top>
    </border>
    <border>
      <top style="thin">
        <color rgb="FFE8E8E8"/>
      </top>
      <bottom style="thin">
        <color rgb="FFE8E8E8"/>
      </bottom>
    </border>
    <border>
      <left/>
      <right/>
      <top style="thin">
        <color rgb="FFE0E0E0"/>
      </top>
      <bottom/>
      <diagonal/>
    </border>
    <border>
      <left/>
      <right/>
      <top style="thin">
        <color rgb="FFE8E8E8"/>
      </top>
      <bottom/>
      <diagonal/>
    </border>
    <border>
      <left/>
      <right/>
      <top style="thin">
        <color rgb="FFE8E8E8"/>
      </top>
      <bottom style="thin">
        <color rgb="FFE8E8E8"/>
      </bottom>
      <diagonal/>
    </border>
  </borders>
  <cellStyleXfs count="1">
    <xf numFmtId="0" fontId="0" fillId="0" borderId="1"/>
  </cellStyleXfs>
  <cellXfs count="49">
    <xf numFmtId="0" fontId="0" fillId="0" borderId="1" xfId="0"/>
    <xf numFmtId="0" fontId="2" fillId="0" borderId="1" xfId="0">
      <alignment vertical="top"/>
    </xf>
    <xf numFmtId="0" fontId="3" fillId="0" borderId="1" xfId="0">
      <alignment horizontal="right" vertical="top"/>
    </xf>
    <xf numFmtId="1" fontId="4" fillId="0" borderId="1" xfId="0">
      <alignment vertical="top"/>
    </xf>
    <xf numFmtId="0" fontId="5" fillId="2" borderId="1" xfId="0">
      <alignment vertical="top"/>
    </xf>
    <xf numFmtId="0" fontId="6" fillId="2" borderId="1" xfId="0">
      <alignment horizontal="left" vertical="center"/>
    </xf>
    <xf numFmtId="0" fontId="6" fillId="3" borderId="1" xfId="0">
      <alignment horizontal="center" vertical="top"/>
    </xf>
    <xf numFmtId="0" fontId="6" fillId="4" borderId="1" xfId="0">
      <alignment horizontal="center" vertical="top"/>
    </xf>
    <xf numFmtId="0" fontId="6" fillId="5" borderId="1" xfId="0">
      <alignment horizontal="center" vertical="top"/>
    </xf>
    <xf numFmtId="0" fontId="6" fillId="2" borderId="1" xfId="0">
      <alignment horizontal="center" vertical="top"/>
    </xf>
    <xf numFmtId="0" fontId="6" fillId="2" borderId="1" xfId="0">
      <alignment vertical="top"/>
    </xf>
    <xf numFmtId="0" fontId="7" fillId="6" borderId="1" xfId="0">
      <alignment horizontal="center" vertical="top"/>
    </xf>
    <xf numFmtId="0" fontId="7" fillId="7" borderId="1" xfId="0">
      <alignment horizontal="center" vertical="top"/>
    </xf>
    <xf numFmtId="0" fontId="7" fillId="8" borderId="1" xfId="0">
      <alignment horizontal="center" vertical="top"/>
    </xf>
    <xf numFmtId="0" fontId="7" fillId="9" borderId="1" xfId="0">
      <alignment horizontal="center" vertical="top"/>
    </xf>
    <xf numFmtId="0" fontId="8" fillId="0" borderId="1" xfId="0">
      <alignment vertical="top"/>
    </xf>
    <xf numFmtId="1" fontId="8" fillId="0" borderId="1" xfId="0">
      <alignment horizontal="center" vertical="top"/>
    </xf>
    <xf numFmtId="1" fontId="5" fillId="0" borderId="1" xfId="0">
      <alignment horizontal="center" vertical="top"/>
    </xf>
    <xf numFmtId="0" fontId="8" fillId="10" borderId="6" xfId="0">
      <alignment vertical="top"/>
    </xf>
    <xf numFmtId="1" fontId="8" fillId="10" borderId="6" xfId="0">
      <alignment horizontal="center" vertical="top"/>
    </xf>
    <xf numFmtId="1" fontId="5" fillId="10" borderId="6" xfId="0">
      <alignment horizontal="center" vertical="top"/>
    </xf>
    <xf numFmtId="0" fontId="8" fillId="0" borderId="6" xfId="0">
      <alignment vertical="top"/>
    </xf>
    <xf numFmtId="1" fontId="8" fillId="0" borderId="6" xfId="0">
      <alignment horizontal="center" vertical="top"/>
    </xf>
    <xf numFmtId="1" fontId="5" fillId="0" borderId="6" xfId="0">
      <alignment horizontal="center" vertical="top"/>
    </xf>
    <xf numFmtId="0" fontId="7" fillId="2" borderId="1" xfId="0">
      <alignment horizontal="left" vertical="top"/>
    </xf>
    <xf numFmtId="0" fontId="7" fillId="2" borderId="1" xfId="0">
      <alignment horizontal="center" vertical="top"/>
    </xf>
    <xf numFmtId="171" fontId="7" fillId="2" borderId="1" xfId="0">
      <alignment horizontal="center" vertical="top"/>
    </xf>
    <xf numFmtId="1" fontId="7" fillId="2" borderId="1" xfId="0">
      <alignment horizontal="center" vertical="top"/>
    </xf>
    <xf numFmtId="0" fontId="9" fillId="0" borderId="1" xfId="0">
      <alignment vertical="top"/>
    </xf>
    <xf numFmtId="0" fontId="10" fillId="0" borderId="1" xfId="0">
      <alignment vertical="top"/>
    </xf>
    <xf numFmtId="172" fontId="8" fillId="0" borderId="1" xfId="0">
      <alignment horizontal="center" vertical="top"/>
    </xf>
    <xf numFmtId="0" fontId="8" fillId="0" borderId="1" xfId="0">
      <alignment horizontal="center" vertical="top"/>
    </xf>
    <xf numFmtId="172" fontId="5" fillId="0" borderId="1" xfId="0">
      <alignment horizontal="center" vertical="top"/>
    </xf>
    <xf numFmtId="172" fontId="8" fillId="10" borderId="6" xfId="0">
      <alignment horizontal="center" vertical="top"/>
    </xf>
    <xf numFmtId="0" fontId="8" fillId="10" borderId="6" xfId="0">
      <alignment horizontal="center" vertical="top"/>
    </xf>
    <xf numFmtId="172" fontId="5" fillId="10" borderId="6" xfId="0">
      <alignment horizontal="center" vertical="top"/>
    </xf>
    <xf numFmtId="172" fontId="8" fillId="0" borderId="6" xfId="0">
      <alignment horizontal="center" vertical="top"/>
    </xf>
    <xf numFmtId="0" fontId="8" fillId="0" borderId="6" xfId="0">
      <alignment horizontal="center" vertical="top"/>
    </xf>
    <xf numFmtId="172" fontId="5" fillId="0" borderId="6" xfId="0">
      <alignment horizontal="center" vertical="top"/>
    </xf>
    <xf numFmtId="0" fontId="11" fillId="0" borderId="7" xfId="0">
      <alignment vertical="top"/>
    </xf>
    <xf numFmtId="172" fontId="11" fillId="0" borderId="7" xfId="0">
      <alignment horizontal="center" vertical="top"/>
    </xf>
    <xf numFmtId="0" fontId="11" fillId="0" borderId="7" xfId="0">
      <alignment horizontal="center" vertical="top"/>
    </xf>
    <xf numFmtId="1" fontId="11" fillId="0" borderId="7" xfId="0">
      <alignment horizontal="center" vertical="top"/>
    </xf>
    <xf numFmtId="172" fontId="5" fillId="0" borderId="7" xfId="0">
      <alignment horizontal="center" vertical="top"/>
    </xf>
    <xf numFmtId="0" fontId="11" fillId="0" borderId="8" xfId="0">
      <alignment vertical="top"/>
    </xf>
    <xf numFmtId="172" fontId="11" fillId="0" borderId="8" xfId="0">
      <alignment horizontal="center" vertical="top"/>
    </xf>
    <xf numFmtId="0" fontId="11" fillId="0" borderId="8" xfId="0">
      <alignment horizontal="center" vertical="top"/>
    </xf>
    <xf numFmtId="1" fontId="11" fillId="0" borderId="8" xfId="0">
      <alignment horizontal="center" vertical="top"/>
    </xf>
    <xf numFmtId="172" fontId="5" fillId="0" borderId="8" xfId="0">
      <alignment horizontal="center" vertical="top"/>
    </xf>
  </cellXfs>
  <cellStyles count="1">
    <cellStyle name="Normal" xfId="0" builtinId="0"/>
  </cellStyles>
  <dxfs count="9">
    <dxf>
      <font>
        <color rgb="FF856404"/>
      </font>
    </dxf>
    <dxf>
      <font>
        <b/>
        <sz val="11"/>
        <color rgb="FF721C24"/>
        <name val="Aptos"/>
      </font>
    </dxf>
    <dxf>
      <font>
        <color rgb="FF1A5276"/>
      </font>
    </dxf>
    <dxf>
      <font>
        <color rgb="FF922B21"/>
      </font>
    </dxf>
    <dxf>
      <font>
        <color rgb="FF7E5109"/>
      </font>
    </dxf>
    <dxf>
      <font>
        <color rgb="FF196F3D"/>
      </font>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E5C3FB8-28B8-B348-A3B4-F9D6FD8929F8}" mc:Ignorable="x14ac xr xr2 xr3">
  <dimension ref="A1:CV10000"/>
  <sheetViews>
    <sheetView showGridLines="0" workbookViewId="0" tabSelected="1">
      <pane xSplit="1" ySplit="5" topLeftCell="B6" activePane="bottomRight" state="frozen"/>
      <selection pane="bottomLeft" activeCell="A6" sqref="A6"/>
      <selection pane="topRight" activeCell="B1" sqref="B1"/>
      <selection pane="bottomRight" activeCell="K7" sqref="K7"/>
    </sheetView>
  </sheetViews>
  <sheetFormatPr defaultRowHeight="15" defaultColWidth="7.75390625" customHeight="1"/>
  <cols>
    <col min="1" max="1" width="3.375" customWidth="1"/>
    <col min="2" max="2" width="19.375" customWidth="1"/>
    <col min="3" max="3" width="13.75390625" customWidth="1"/>
    <col min="4" max="14" width="11.25390625" customWidth="1"/>
  </cols>
  <sheetData>
    <row r="2" ht="24" customHeight="1">
      <c r="B2" s="1" t="s">
        <v>0</v>
      </c>
      <c r="H2" s="2" t="s">
        <v>1</v>
      </c>
      <c r="I2" s="3">
        <v>2026</v>
      </c>
    </row>
    <row r="3" ht="15" customHeight="1">
      <c r="B3" s="4"/>
      <c r="C3" s="4"/>
      <c r="D3" s="4"/>
      <c r="E3" s="4"/>
      <c r="F3" s="4"/>
      <c r="G3" s="4"/>
      <c r="H3" s="4"/>
      <c r="I3" s="4"/>
      <c r="J3" s="4"/>
      <c r="K3" s="4"/>
      <c r="L3" s="4"/>
      <c r="M3" s="4"/>
      <c r="N3" s="4"/>
    </row>
    <row r="4" ht="18.75" customHeight="1">
      <c r="B4" s="5" t="s">
        <v>2</v>
      </c>
      <c r="C4" s="5" t="s">
        <v>3</v>
      </c>
      <c r="D4" s="6" t="s">
        <v>4</v>
      </c>
      <c r="G4" s="7" t="s">
        <v>5</v>
      </c>
      <c r="J4" s="8" t="s">
        <v>6</v>
      </c>
      <c r="M4" s="9" t="s">
        <v>7</v>
      </c>
    </row>
    <row r="5" ht="15" customHeight="1">
      <c r="B5" s="10"/>
      <c r="C5" s="10"/>
      <c r="D5" s="11" t="s">
        <v>8</v>
      </c>
      <c r="E5" s="11" t="s">
        <v>9</v>
      </c>
      <c r="F5" s="11" t="s">
        <v>10</v>
      </c>
      <c r="G5" s="12" t="s">
        <v>8</v>
      </c>
      <c r="H5" s="12" t="s">
        <v>9</v>
      </c>
      <c r="I5" s="12" t="s">
        <v>10</v>
      </c>
      <c r="J5" s="13" t="s">
        <v>8</v>
      </c>
      <c r="K5" s="13" t="s">
        <v>9</v>
      </c>
      <c r="L5" s="13" t="s">
        <v>10</v>
      </c>
      <c r="M5" s="14" t="s">
        <v>9</v>
      </c>
      <c r="N5" s="14" t="s">
        <v>10</v>
      </c>
    </row>
    <row r="6" ht="15" customHeight="1">
      <c r="B6" s="15" t="s">
        <v>11</v>
      </c>
      <c r="C6" s="15" t="s">
        <v>12</v>
      </c>
      <c r="D6" s="16">
        <v>15</v>
      </c>
      <c r="E6" s="17">
        <f>_xlfn.SUMIFS('Leave-Log'!E:E,'Leave-Log'!B:B,B6,'Leave-Log'!D:D,"Vacation")</f>
        <v>3</v>
      </c>
      <c r="F6" s="17">
        <f t="shared" si="0" ref="F6:L10">D6-E6</f>
        <v>12</v>
      </c>
      <c r="G6" s="16">
        <v>10</v>
      </c>
      <c r="H6" s="17">
        <f>_xlfn.SUMIFS('Leave-Log'!E:E,'Leave-Log'!B:B,B6,'Leave-Log'!D:D,"Sick")</f>
        <v>1</v>
      </c>
      <c r="I6" s="17">
        <f t="shared" si="0"/>
        <v>9</v>
      </c>
      <c r="J6" s="16">
        <v>3</v>
      </c>
      <c r="K6" s="17">
        <f>_xlfn.SUMIFS('Leave-Log'!E:E,'Leave-Log'!B:B,B6,'Leave-Log'!D:D,"Personal")</f>
        <v>0</v>
      </c>
      <c r="L6" s="17">
        <f t="shared" si="0"/>
        <v>3</v>
      </c>
      <c r="M6" s="17">
        <f t="shared" si="1" ref="M6:N10">E6+H6+K6</f>
        <v>4</v>
      </c>
      <c r="N6" s="17">
        <f t="shared" si="1"/>
        <v>24</v>
      </c>
    </row>
    <row r="7" ht="15" customHeight="1">
      <c r="B7" s="18" t="s">
        <v>13</v>
      </c>
      <c r="C7" s="18" t="s">
        <v>14</v>
      </c>
      <c r="D7" s="19">
        <v>20</v>
      </c>
      <c r="E7" s="20">
        <f>_xlfn.SUMIFS('Leave-Log'!E:E,'Leave-Log'!B:B,B7,'Leave-Log'!D:D,"Vacation")</f>
        <v>5</v>
      </c>
      <c r="F7" s="20">
        <f t="shared" si="0"/>
        <v>15</v>
      </c>
      <c r="G7" s="19">
        <v>12</v>
      </c>
      <c r="H7" s="20">
        <f>_xlfn.SUMIFS('Leave-Log'!E:E,'Leave-Log'!B:B,B7,'Leave-Log'!D:D,"Sick")</f>
        <v>0</v>
      </c>
      <c r="I7" s="20">
        <f t="shared" si="0"/>
        <v>12</v>
      </c>
      <c r="J7" s="19">
        <v>3</v>
      </c>
      <c r="K7" s="20">
        <f>_xlfn.SUMIFS('Leave-Log'!E:E,'Leave-Log'!B:B,B7,'Leave-Log'!D:D,"Personal")</f>
        <v>1</v>
      </c>
      <c r="L7" s="20">
        <f t="shared" si="0"/>
        <v>2</v>
      </c>
      <c r="M7" s="20">
        <f t="shared" si="1"/>
        <v>6</v>
      </c>
      <c r="N7" s="20">
        <f t="shared" si="1"/>
        <v>29</v>
      </c>
    </row>
    <row r="8" ht="15" customHeight="1">
      <c r="B8" s="21" t="s">
        <v>15</v>
      </c>
      <c r="C8" s="21" t="s">
        <v>16</v>
      </c>
      <c r="D8" s="22">
        <v>15</v>
      </c>
      <c r="E8" s="23">
        <f>_xlfn.SUMIFS('Leave-Log'!E:E,'Leave-Log'!B:B,B8,'Leave-Log'!D:D,"Vacation")</f>
        <v>4</v>
      </c>
      <c r="F8" s="23">
        <f t="shared" si="0"/>
        <v>11</v>
      </c>
      <c r="G8" s="22">
        <v>10</v>
      </c>
      <c r="H8" s="23">
        <f>_xlfn.SUMIFS('Leave-Log'!E:E,'Leave-Log'!B:B,B8,'Leave-Log'!D:D,"Sick")</f>
        <v>0</v>
      </c>
      <c r="I8" s="23">
        <f t="shared" si="0"/>
        <v>10</v>
      </c>
      <c r="J8" s="22">
        <v>3</v>
      </c>
      <c r="K8" s="23">
        <f>_xlfn.SUMIFS('Leave-Log'!E:E,'Leave-Log'!B:B,B8,'Leave-Log'!D:D,"Personal")</f>
        <v>0</v>
      </c>
      <c r="L8" s="23">
        <f t="shared" si="0"/>
        <v>3</v>
      </c>
      <c r="M8" s="23">
        <f t="shared" si="1"/>
        <v>4</v>
      </c>
      <c r="N8" s="23">
        <f t="shared" si="1"/>
        <v>24</v>
      </c>
    </row>
    <row r="9" ht="15" customHeight="1">
      <c r="B9" s="18" t="s">
        <v>17</v>
      </c>
      <c r="C9" s="18" t="s">
        <v>14</v>
      </c>
      <c r="D9" s="19">
        <v>20</v>
      </c>
      <c r="E9" s="20">
        <f>_xlfn.SUMIFS('Leave-Log'!E:E,'Leave-Log'!B:B,B9,'Leave-Log'!D:D,"Vacation")</f>
        <v>0</v>
      </c>
      <c r="F9" s="20">
        <f t="shared" si="0"/>
        <v>20</v>
      </c>
      <c r="G9" s="19">
        <v>12</v>
      </c>
      <c r="H9" s="20">
        <f>_xlfn.SUMIFS('Leave-Log'!E:E,'Leave-Log'!B:B,B9,'Leave-Log'!D:D,"Sick")</f>
        <v>2</v>
      </c>
      <c r="I9" s="20">
        <f t="shared" si="0"/>
        <v>10</v>
      </c>
      <c r="J9" s="19">
        <v>3</v>
      </c>
      <c r="K9" s="20">
        <f>_xlfn.SUMIFS('Leave-Log'!E:E,'Leave-Log'!B:B,B9,'Leave-Log'!D:D,"Personal")</f>
        <v>0</v>
      </c>
      <c r="L9" s="20">
        <f t="shared" si="0"/>
        <v>3</v>
      </c>
      <c r="M9" s="20">
        <f t="shared" si="1"/>
        <v>2</v>
      </c>
      <c r="N9" s="20">
        <f t="shared" si="1"/>
        <v>33</v>
      </c>
    </row>
    <row r="10" ht="15" customHeight="1">
      <c r="B10" s="21" t="s">
        <v>18</v>
      </c>
      <c r="C10" s="21" t="s">
        <v>19</v>
      </c>
      <c r="D10" s="22">
        <v>18</v>
      </c>
      <c r="E10" s="23">
        <f>_xlfn.SUMIFS('Leave-Log'!E:E,'Leave-Log'!B:B,B10,'Leave-Log'!D:D,"Vacation")</f>
        <v>0</v>
      </c>
      <c r="F10" s="23">
        <f t="shared" si="0"/>
        <v>18</v>
      </c>
      <c r="G10" s="22">
        <v>10</v>
      </c>
      <c r="H10" s="23">
        <f>_xlfn.SUMIFS('Leave-Log'!E:E,'Leave-Log'!B:B,B10,'Leave-Log'!D:D,"Sick")</f>
        <v>0</v>
      </c>
      <c r="I10" s="23">
        <f t="shared" si="0"/>
        <v>10</v>
      </c>
      <c r="J10" s="22">
        <v>3</v>
      </c>
      <c r="K10" s="23">
        <f>_xlfn.SUMIFS('Leave-Log'!E:E,'Leave-Log'!B:B,B10,'Leave-Log'!D:D,"Personal")</f>
        <v>0</v>
      </c>
      <c r="L10" s="23">
        <f t="shared" si="0"/>
        <v>3</v>
      </c>
      <c r="M10" s="23">
        <f t="shared" si="1"/>
        <v>0</v>
      </c>
      <c r="N10" s="23">
        <f t="shared" si="1"/>
        <v>31</v>
      </c>
    </row>
    <row r="11" ht="15" customHeight="1">
      <c r="B11" s="24" t="s">
        <v>20</v>
      </c>
      <c r="C11" s="25"/>
      <c r="D11" s="26">
        <f t="shared" si="3" ref="D11:J11">AVERAGE(D6:D10)</f>
        <v>17.6</v>
      </c>
      <c r="E11" s="27">
        <f t="shared" si="2" ref="E11:N11">SUM(E6:E10)</f>
        <v>12</v>
      </c>
      <c r="F11" s="27">
        <f t="shared" si="2"/>
        <v>76</v>
      </c>
      <c r="G11" s="26">
        <f t="shared" si="3"/>
        <v>10.8</v>
      </c>
      <c r="H11" s="27">
        <f t="shared" si="2"/>
        <v>3</v>
      </c>
      <c r="I11" s="27">
        <f t="shared" si="2"/>
        <v>51</v>
      </c>
      <c r="J11" s="26">
        <f t="shared" si="3"/>
        <v>3</v>
      </c>
      <c r="K11" s="27">
        <f t="shared" si="2"/>
        <v>1</v>
      </c>
      <c r="L11" s="27">
        <f t="shared" si="2"/>
        <v>14</v>
      </c>
      <c r="M11" s="27">
        <f t="shared" si="2"/>
        <v>16</v>
      </c>
      <c r="N11" s="27">
        <f t="shared" si="2"/>
        <v>141</v>
      </c>
    </row>
  </sheetData>
  <mergeCells>
    <mergeCell ref="B2:F2"/>
    <mergeCell ref="B4:B5"/>
    <mergeCell ref="C4:C5"/>
    <mergeCell ref="D4:F4"/>
    <mergeCell ref="G4:I4"/>
    <mergeCell ref="J4:L4"/>
    <mergeCell ref="M4:N4"/>
  </mergeCells>
  <conditionalFormatting sqref="F6:F15">
    <cfRule type="cellIs" dxfId="0" priority="8" operator="lessThan" text="null">
      <formula>3</formula>
    </cfRule>
  </conditionalFormatting>
  <conditionalFormatting sqref="F6:F15">
    <cfRule type="cellIs" dxfId="1" priority="7" operator="lessThanOrEqual" text="null">
      <formula>0</formula>
    </cfRule>
  </conditionalFormatting>
  <conditionalFormatting sqref="I6:I15">
    <cfRule type="cellIs" dxfId="0" priority="6" operator="lessThan" text="null">
      <formula>3</formula>
    </cfRule>
  </conditionalFormatting>
  <conditionalFormatting sqref="I6:I15">
    <cfRule type="cellIs" dxfId="1" priority="5" operator="lessThanOrEqual" text="null">
      <formula>0</formula>
    </cfRule>
  </conditionalFormatting>
  <conditionalFormatting sqref="L6:L15">
    <cfRule type="cellIs" dxfId="0" priority="4" operator="lessThan" text="null">
      <formula>3</formula>
    </cfRule>
  </conditionalFormatting>
  <conditionalFormatting sqref="L6:L15">
    <cfRule type="cellIs" dxfId="1" priority="3" operator="lessThanOrEqual" text="null">
      <formula>0</formula>
    </cfRule>
  </conditionalFormatting>
  <conditionalFormatting sqref="N6:N15">
    <cfRule type="cellIs" dxfId="0" priority="2" operator="lessThan" text="null">
      <formula>3</formula>
    </cfRule>
  </conditionalFormatting>
  <conditionalFormatting sqref="N6:N15">
    <cfRule type="cellIs" dxfId="1" priority="1" operator="lessThanOrEqual" text="null">
      <formula>0</formula>
    </cfRule>
  </conditionalFormatting>
  <printOptions/>
  <pageMargins left="0.7" right="0.7" top="0.75" bottom="0.75" header="0.3" footer="0.3"/>
  <pageSetup paperSize="1" pageOrder="downThenOver"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4526B6D-EFD4-9B38-65B8-09A4D1619248}" mc:Ignorable="x14ac xr xr2 xr3">
  <dimension ref="A1:CV10000"/>
  <sheetViews>
    <sheetView showGridLines="0" zoomScale="90" workbookViewId="0">
      <pane xSplit="1" ySplit="4" topLeftCell="F5" activePane="bottomRight" state="frozen"/>
      <selection pane="bottomLeft" activeCell="A5" sqref="A5"/>
      <selection pane="topRight" activeCell="B1" sqref="B1"/>
      <selection pane="bottomRight" activeCell="E2" sqref="E2:G2"/>
    </sheetView>
  </sheetViews>
  <sheetFormatPr defaultRowHeight="15" defaultColWidth="7.75390625" customHeight="1"/>
  <cols>
    <col min="1" max="1" width="3.375" customWidth="1"/>
    <col min="2" max="2" width="19.375" customWidth="1"/>
    <col min="3" max="3" width="13.75390625" customWidth="1"/>
    <col min="4" max="4" width="11.875" customWidth="1"/>
    <col min="5" max="5" width="10.00390625" customWidth="1"/>
    <col min="6" max="6" width="11.875" customWidth="1"/>
    <col min="7" max="7" width="47.50390625" customWidth="1"/>
    <col min="8" max="8" width="13.125" customWidth="1"/>
  </cols>
  <sheetData>
    <row r="2" ht="19.5" customHeight="1">
      <c r="B2" s="28" t="s">
        <v>21</v>
      </c>
      <c r="E2" s="29" t="s">
        <v>22</v>
      </c>
    </row>
    <row r="3" ht="15" customHeight="1">
      <c r="B3" s="4"/>
      <c r="C3" s="4"/>
      <c r="D3" s="4"/>
      <c r="E3" s="4"/>
      <c r="F3" s="4"/>
      <c r="G3" s="4"/>
      <c r="H3" s="4"/>
    </row>
    <row r="4" ht="15" customHeight="1">
      <c r="B4" s="24" t="s">
        <v>23</v>
      </c>
      <c r="C4" s="25" t="s">
        <v>24</v>
      </c>
      <c r="D4" s="25" t="s">
        <v>25</v>
      </c>
      <c r="E4" s="25" t="s">
        <v>26</v>
      </c>
      <c r="F4" s="25" t="s">
        <v>27</v>
      </c>
      <c r="G4" s="24" t="s">
        <v>28</v>
      </c>
      <c r="H4" s="24" t="s">
        <v>29</v>
      </c>
    </row>
    <row r="5" ht="15" customHeight="1">
      <c r="B5" s="15" t="s">
        <v>11</v>
      </c>
      <c r="C5" s="30">
        <v>46034</v>
      </c>
      <c r="D5" s="31" t="s">
        <v>4</v>
      </c>
      <c r="E5" s="16">
        <v>3</v>
      </c>
      <c r="F5" s="32">
        <f t="shared" si="0" ref="F5:F10">C5+E5</f>
        <v>46037</v>
      </c>
      <c r="G5" s="15" t="s">
        <v>30</v>
      </c>
      <c r="H5" s="15" t="s">
        <v>31</v>
      </c>
    </row>
    <row r="6" ht="15" customHeight="1">
      <c r="B6" s="18" t="s">
        <v>11</v>
      </c>
      <c r="C6" s="33">
        <v>46086</v>
      </c>
      <c r="D6" s="34" t="s">
        <v>32</v>
      </c>
      <c r="E6" s="19">
        <v>1</v>
      </c>
      <c r="F6" s="35">
        <f t="shared" si="0"/>
        <v>46087</v>
      </c>
      <c r="G6" s="18"/>
      <c r="H6" s="18" t="s">
        <v>31</v>
      </c>
    </row>
    <row r="7" ht="15" customHeight="1">
      <c r="B7" s="21" t="s">
        <v>13</v>
      </c>
      <c r="C7" s="36">
        <v>46067</v>
      </c>
      <c r="D7" s="37" t="s">
        <v>4</v>
      </c>
      <c r="E7" s="22">
        <v>5</v>
      </c>
      <c r="F7" s="38">
        <f t="shared" si="0"/>
        <v>46072</v>
      </c>
      <c r="G7" s="21" t="s">
        <v>33</v>
      </c>
      <c r="H7" s="21" t="s">
        <v>31</v>
      </c>
    </row>
    <row r="8" ht="15" customHeight="1">
      <c r="B8" s="18" t="s">
        <v>13</v>
      </c>
      <c r="C8" s="33">
        <v>46042</v>
      </c>
      <c r="D8" s="34" t="s">
        <v>6</v>
      </c>
      <c r="E8" s="19">
        <v>1</v>
      </c>
      <c r="F8" s="35">
        <f t="shared" si="0"/>
        <v>46043</v>
      </c>
      <c r="G8" s="18" t="s">
        <v>34</v>
      </c>
      <c r="H8" s="18" t="s">
        <v>31</v>
      </c>
    </row>
    <row r="9" ht="15" customHeight="1">
      <c r="B9" s="21" t="s">
        <v>15</v>
      </c>
      <c r="C9" s="36">
        <v>46096</v>
      </c>
      <c r="D9" s="37" t="s">
        <v>4</v>
      </c>
      <c r="E9" s="22">
        <v>4</v>
      </c>
      <c r="F9" s="38">
        <f t="shared" si="0"/>
        <v>46100</v>
      </c>
      <c r="G9" s="21" t="s">
        <v>35</v>
      </c>
      <c r="H9" s="21" t="s">
        <v>31</v>
      </c>
    </row>
    <row r="10" ht="15" customHeight="1">
      <c r="B10" s="18" t="s">
        <v>17</v>
      </c>
      <c r="C10" s="33">
        <v>46055</v>
      </c>
      <c r="D10" s="34" t="s">
        <v>32</v>
      </c>
      <c r="E10" s="19">
        <v>2</v>
      </c>
      <c r="F10" s="35">
        <f t="shared" si="0"/>
        <v>46057</v>
      </c>
      <c r="G10" s="18" t="s">
        <v>36</v>
      </c>
      <c r="H10" s="18" t="s">
        <v>31</v>
      </c>
    </row>
    <row r="11" ht="15" customHeight="1">
      <c r="B11" s="39"/>
      <c r="C11" s="40"/>
      <c r="D11" s="41"/>
      <c r="E11" s="42"/>
      <c r="F11" s="43"/>
      <c r="G11" s="39"/>
      <c r="H11" s="39"/>
    </row>
    <row r="12" ht="15" customHeight="1">
      <c r="B12" s="39"/>
      <c r="C12" s="40"/>
      <c r="D12" s="41"/>
      <c r="E12" s="42"/>
      <c r="F12" s="43"/>
      <c r="G12" s="39"/>
      <c r="H12" s="39"/>
    </row>
    <row r="13" ht="15" customHeight="1">
      <c r="B13" s="39"/>
      <c r="C13" s="40"/>
      <c r="D13" s="41"/>
      <c r="E13" s="42"/>
      <c r="F13" s="43" t="str">
        <f t="shared" si="1" ref="F13:F30">IF(C13="","",C13+E13)</f>
        <v/>
      </c>
      <c r="G13" s="39"/>
      <c r="H13" s="39"/>
    </row>
    <row r="14" ht="15" customHeight="1">
      <c r="B14" s="39"/>
      <c r="C14" s="40"/>
      <c r="D14" s="41"/>
      <c r="E14" s="42"/>
      <c r="F14" s="43" t="str">
        <f t="shared" si="1"/>
        <v/>
      </c>
      <c r="G14" s="39"/>
      <c r="H14" s="39"/>
    </row>
    <row r="15" ht="15" customHeight="1">
      <c r="B15" s="39"/>
      <c r="C15" s="40"/>
      <c r="D15" s="41"/>
      <c r="E15" s="42"/>
      <c r="F15" s="43" t="str">
        <f t="shared" si="1"/>
        <v/>
      </c>
      <c r="G15" s="39"/>
      <c r="H15" s="39"/>
    </row>
    <row r="16" ht="15" customHeight="1">
      <c r="B16" s="39"/>
      <c r="C16" s="40"/>
      <c r="D16" s="41"/>
      <c r="E16" s="42"/>
      <c r="F16" s="43" t="str">
        <f t="shared" si="1"/>
        <v/>
      </c>
      <c r="G16" s="39"/>
      <c r="H16" s="39"/>
    </row>
    <row r="17" ht="15" customHeight="1">
      <c r="B17" s="39"/>
      <c r="C17" s="40"/>
      <c r="D17" s="41"/>
      <c r="E17" s="42"/>
      <c r="F17" s="43" t="str">
        <f t="shared" si="1"/>
        <v/>
      </c>
      <c r="G17" s="39"/>
      <c r="H17" s="39"/>
    </row>
    <row r="18" ht="15" customHeight="1">
      <c r="B18" s="39"/>
      <c r="C18" s="40"/>
      <c r="D18" s="41"/>
      <c r="E18" s="42"/>
      <c r="F18" s="43" t="str">
        <f t="shared" si="1"/>
        <v/>
      </c>
      <c r="G18" s="39"/>
      <c r="H18" s="39"/>
    </row>
    <row r="19" ht="15" customHeight="1">
      <c r="B19" s="39"/>
      <c r="C19" s="40"/>
      <c r="D19" s="41"/>
      <c r="E19" s="42"/>
      <c r="F19" s="43" t="str">
        <f t="shared" si="1"/>
        <v/>
      </c>
      <c r="G19" s="39"/>
      <c r="H19" s="39"/>
    </row>
    <row r="20" ht="15" customHeight="1">
      <c r="B20" s="39"/>
      <c r="C20" s="40"/>
      <c r="D20" s="41"/>
      <c r="E20" s="42"/>
      <c r="F20" s="43" t="str">
        <f t="shared" si="1"/>
        <v/>
      </c>
      <c r="G20" s="39"/>
      <c r="H20" s="39"/>
    </row>
    <row r="21" ht="15" customHeight="1">
      <c r="B21" s="39"/>
      <c r="C21" s="40"/>
      <c r="D21" s="41"/>
      <c r="E21" s="42"/>
      <c r="F21" s="43" t="str">
        <f t="shared" si="1"/>
        <v/>
      </c>
      <c r="G21" s="39"/>
      <c r="H21" s="39"/>
    </row>
    <row r="22" ht="15" customHeight="1">
      <c r="B22" s="39"/>
      <c r="C22" s="40"/>
      <c r="D22" s="41"/>
      <c r="E22" s="42"/>
      <c r="F22" s="43" t="str">
        <f t="shared" si="1"/>
        <v/>
      </c>
      <c r="G22" s="39"/>
      <c r="H22" s="39"/>
    </row>
    <row r="23" ht="15" customHeight="1">
      <c r="B23" s="39"/>
      <c r="C23" s="40"/>
      <c r="D23" s="41"/>
      <c r="E23" s="42"/>
      <c r="F23" s="43" t="str">
        <f t="shared" si="1"/>
        <v/>
      </c>
      <c r="G23" s="39"/>
      <c r="H23" s="39"/>
    </row>
    <row r="24" ht="15" customHeight="1">
      <c r="B24" s="39"/>
      <c r="C24" s="40"/>
      <c r="D24" s="41"/>
      <c r="E24" s="42"/>
      <c r="F24" s="43" t="str">
        <f t="shared" si="1"/>
        <v/>
      </c>
      <c r="G24" s="39"/>
      <c r="H24" s="39"/>
    </row>
    <row r="25" ht="15" customHeight="1">
      <c r="B25" s="39"/>
      <c r="C25" s="40"/>
      <c r="D25" s="41"/>
      <c r="E25" s="42"/>
      <c r="F25" s="43" t="str">
        <f t="shared" si="1"/>
        <v/>
      </c>
      <c r="G25" s="39"/>
      <c r="H25" s="39"/>
    </row>
    <row r="26" ht="15" customHeight="1">
      <c r="B26" s="39"/>
      <c r="C26" s="40"/>
      <c r="D26" s="41"/>
      <c r="E26" s="42"/>
      <c r="F26" s="43" t="str">
        <f t="shared" si="1"/>
        <v/>
      </c>
      <c r="G26" s="39"/>
      <c r="H26" s="39"/>
    </row>
    <row r="27" ht="15" customHeight="1">
      <c r="B27" s="39"/>
      <c r="C27" s="40"/>
      <c r="D27" s="41"/>
      <c r="E27" s="42"/>
      <c r="F27" s="43" t="str">
        <f t="shared" si="1"/>
        <v/>
      </c>
      <c r="G27" s="39"/>
      <c r="H27" s="39"/>
    </row>
    <row r="28" ht="15" customHeight="1">
      <c r="B28" s="39"/>
      <c r="C28" s="40"/>
      <c r="D28" s="41"/>
      <c r="E28" s="42"/>
      <c r="F28" s="43" t="str">
        <f t="shared" si="1"/>
        <v/>
      </c>
      <c r="G28" s="39"/>
      <c r="H28" s="39"/>
    </row>
    <row r="29" ht="15" customHeight="1">
      <c r="B29" s="39"/>
      <c r="C29" s="40"/>
      <c r="D29" s="41"/>
      <c r="E29" s="42"/>
      <c r="F29" s="43" t="str">
        <f t="shared" si="1"/>
        <v/>
      </c>
      <c r="G29" s="39"/>
      <c r="H29" s="39"/>
    </row>
    <row r="30" ht="15" customHeight="1">
      <c r="B30" s="44"/>
      <c r="C30" s="45"/>
      <c r="D30" s="46"/>
      <c r="E30" s="47"/>
      <c r="F30" s="48" t="str">
        <f t="shared" si="1"/>
        <v/>
      </c>
      <c r="G30" s="44"/>
      <c r="H30" s="44"/>
    </row>
  </sheetData>
  <mergeCells>
    <mergeCell ref="B2:D2"/>
    <mergeCell ref="E2:G2"/>
  </mergeCells>
  <conditionalFormatting sqref="D5:D40">
    <cfRule type="containsText" dxfId="2" priority="7" operator="containsText" text="Vacation">
      <formula>NOT(ISERROR(SEARCH("Vacation",D5)))</formula>
    </cfRule>
  </conditionalFormatting>
  <conditionalFormatting sqref="D5:D40">
    <cfRule type="containsText" dxfId="3" priority="6" operator="containsText" text="Sick">
      <formula>NOT(ISERROR(SEARCH("Sick",D5)))</formula>
    </cfRule>
  </conditionalFormatting>
  <conditionalFormatting sqref="D5:D40">
    <cfRule type="containsText" dxfId="4" priority="5" operator="containsText" text="Personal">
      <formula>NOT(ISERROR(SEARCH("Personal",D5)))</formula>
    </cfRule>
  </conditionalFormatting>
  <conditionalFormatting sqref="D5:D40">
    <cfRule type="containsText" dxfId="5" priority="4" operator="containsText" text="Holiday">
      <formula>NOT(ISERROR(SEARCH("Holiday",D5)))</formula>
    </cfRule>
  </conditionalFormatting>
  <conditionalFormatting sqref="H5:H40">
    <cfRule type="containsText" dxfId="6" priority="3" operator="containsText" text="Approved">
      <formula>NOT(ISERROR(SEARCH("Approved",H5)))</formula>
    </cfRule>
  </conditionalFormatting>
  <conditionalFormatting sqref="H5:H40">
    <cfRule type="containsText" dxfId="7" priority="2" operator="containsText" text="Denied">
      <formula>NOT(ISERROR(SEARCH("Denied",H5)))</formula>
    </cfRule>
  </conditionalFormatting>
  <conditionalFormatting sqref="H5:H40">
    <cfRule type="containsText" dxfId="8" priority="1" operator="containsText" text="Pending">
      <formula>NOT(ISERROR(SEARCH("Pending",H5)))</formula>
    </cfRule>
  </conditionalFormatting>
  <dataValidations count="2">
    <dataValidation allowBlank="1" prompt="Select approval status" promptTitle="Status" showErrorMessage="1" showInputMessage="1" sqref="H5 H6 H7 H8 H9 H10 H11 H12 H13 H14 H15 H16 H17 H18 H19 H20 H21 H22 H23 H24 H25 H26 H27 H28 H29 H30 H31 H32 H33 H34 H35 H36 H37 H38 H39 H40" type="list">
      <formula1>"Pending,Approved,Denied"</formula1>
    </dataValidation>
    <dataValidation allowBlank="1" prompt="Select leave type" promptTitle="Leave Type" showErrorMessage="1" showInputMessage="1" sqref="D5 D6 D7 D8 D9 D10 D11 D12 D13 D14 D15 D16 D17 D18 D19 D20 D21 D22 D23 D24 D25 D26 D27 D28 D29 D30 D31 D32 D33 D34 D35 D36 D37 D38 D39 D40" type="list">
      <formula1>"Vacation,Sick,Personal,Holiday"</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5b1107f3-2f76-4df6-b7ca-57926049d6dc</vt:lpwstr>
  </property>
</Properties>
</file>