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Net Worth" sheetId="1"/>
    <sheet r:id="rId2" name="Monthly Tracking" sheetId="2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<sst xmlns="http://schemas.openxmlformats.org/spreadsheetml/2006/main" count="65" uniqueCount="65">
  <si>
    <t>Net Worth Statement</t>
  </si>
  <si>
    <t>Personal financial snapshot — track your assets, liabilities, and net worth over time</t>
  </si>
  <si>
    <t>NET WORTH</t>
  </si>
  <si>
    <t>ASSETS</t>
  </si>
  <si>
    <t>LIABILITIES</t>
  </si>
  <si>
    <t>Cash &amp; Bank Accounts</t>
  </si>
  <si>
    <t>Mortgage &amp; Real Estate Debt</t>
  </si>
  <si>
    <t>Checking Account</t>
  </si>
  <si>
    <t>Primary Mortgage</t>
  </si>
  <si>
    <t>Savings Account</t>
  </si>
  <si>
    <t>Home Equity Loan / HELOC</t>
  </si>
  <si>
    <t>Money Market</t>
  </si>
  <si>
    <t>Subtotal</t>
  </si>
  <si>
    <t>Cash on Hand</t>
  </si>
  <si>
    <t>Loans</t>
  </si>
  <si>
    <t>Auto Loan</t>
  </si>
  <si>
    <t>Investment Accounts</t>
  </si>
  <si>
    <t>Student Loans</t>
  </si>
  <si>
    <t>401(k)</t>
  </si>
  <si>
    <t>Personal Loan</t>
  </si>
  <si>
    <t>IRA / Roth IRA</t>
  </si>
  <si>
    <t>Brokerage Account</t>
  </si>
  <si>
    <t>Credit Cards &amp; Other Debt</t>
  </si>
  <si>
    <t>HSA</t>
  </si>
  <si>
    <t>Credit Card 1</t>
  </si>
  <si>
    <t>Other Investments</t>
  </si>
  <si>
    <t>Credit Card 2</t>
  </si>
  <si>
    <t>Other Debt</t>
  </si>
  <si>
    <t>Real Estate &amp; Property</t>
  </si>
  <si>
    <t>Primary Residence</t>
  </si>
  <si>
    <t>Other Real Estate</t>
  </si>
  <si>
    <t>Key Ratios</t>
  </si>
  <si>
    <t>Debt-to-Asset Ratio</t>
  </si>
  <si>
    <t>Other Assets</t>
  </si>
  <si>
    <t>Liquid Assets / Liabilities</t>
  </si>
  <si>
    <t>Vehicles</t>
  </si>
  <si>
    <t>Home Equity</t>
  </si>
  <si>
    <t>Jewelry / Collectibles</t>
  </si>
  <si>
    <t>Other</t>
  </si>
  <si>
    <t>TOTAL ASSETS</t>
  </si>
  <si>
    <t>TOTAL LIABILITIES</t>
  </si>
  <si>
    <t>Cash &amp; Bank</t>
  </si>
  <si>
    <t>Mortgage &amp; RE</t>
  </si>
  <si>
    <t>Investments</t>
  </si>
  <si>
    <t>Real Estate</t>
  </si>
  <si>
    <t>Credit Cards &amp; Other</t>
  </si>
  <si>
    <t>Net Worth — Monthly Tracking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</si>
  <si>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</si>
  <si>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</si>
  <si>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</si>
  <si>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</si>
  <si>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</si>
  <si>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</si>
  <si>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</si>
  <si>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</si>
  <si>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</si>
  <si>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</si>
  <si>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</si>
  <si>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</si>
  <si>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</si>
  <si>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Assets</t>
  </si>
  <si>
    <t>Total Liabilities</t>
  </si>
  <si>
    <t>Net Worth</t>
  </si>
  <si>
    <t>Month-over-Month Change</t>
  </si>
  <si>
    <t>MoM 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</si>
</sst>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1" formatCode="\$#,##0"/>
    <numFmt numFmtId="174" formatCode="0.0%"/>
    <numFmt numFmtId="175" formatCode="0.0\x"/>
    <numFmt numFmtId="180" formatCode="\$#,##0;\(\$#,##0\);&quot;-&quot;"/>
  </numFmts>
  <fonts count="14">
    <font>
      <b val="0"/>
      <i val="0"/>
      <sz val="12"/>
      <color theme="1"/>
      <name val="Calibri"/>
      <scheme val="minor"/>
    </font>
    <font>
      <b/>
      <i val="0"/>
      <sz val="18"/>
      <color rgb="FF1F3864"/>
      <name val="Aptos"/>
    </font>
    <font>
      <b val="0"/>
      <i val="0"/>
      <sz val="11"/>
      <color rgb="FF808080"/>
      <name val="Aptos"/>
    </font>
    <font>
      <b/>
      <i val="0"/>
      <sz val="12"/>
      <color rgb="FFFFFFFF"/>
      <name val="Aptos"/>
    </font>
    <font>
      <b/>
      <i val="0"/>
      <sz val="14"/>
      <color rgb="FFFFFFFF"/>
      <name val="Aptos"/>
    </font>
    <font>
      <b/>
      <i val="0"/>
      <sz val="11"/>
      <color rgb="FF1F3864"/>
      <name val="Aptos"/>
    </font>
    <font>
      <b val="0"/>
      <i val="0"/>
      <sz val="11"/>
      <color auto="1"/>
      <name val="Aptos"/>
    </font>
    <font>
      <b val="0"/>
      <i val="0"/>
      <sz val="11"/>
      <color rgb="FF333333"/>
      <name val="Aptos"/>
    </font>
    <font>
      <b val="0"/>
      <i val="0"/>
      <sz val="11"/>
      <color rgb="FF0070C0"/>
      <name val="Aptos"/>
    </font>
    <font>
      <b/>
      <i val="0"/>
      <sz val="11"/>
      <color rgb="FF000000"/>
      <name val="Aptos"/>
    </font>
    <font>
      <b/>
      <i val="0"/>
      <sz val="11"/>
      <color rgb="FF548235"/>
      <name val="Aptos"/>
    </font>
    <font>
      <b/>
      <i val="0"/>
      <sz val="11"/>
      <color rgb="FFC55A11"/>
      <name val="Aptos"/>
    </font>
    <font>
      <b/>
      <i val="0"/>
      <sz val="11"/>
      <color rgb="FFFFFFFF"/>
      <name val="Aptos"/>
    </font>
    <font>
      <b val="0"/>
      <i val="0"/>
      <sz val="11"/>
      <color rgb="FF000000"/>
      <name val="Aptos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548235"/>
      </patternFill>
    </fill>
    <fill>
      <patternFill patternType="solid">
        <fgColor rgb="FFC55A11"/>
      </patternFill>
    </fill>
    <fill>
      <patternFill patternType="solid">
        <fgColor rgb="FFE2EFDA"/>
      </patternFill>
    </fill>
    <fill>
      <patternFill patternType="solid">
        <fgColor rgb="FFFCE4CC"/>
      </patternFill>
    </fill>
    <fill>
      <patternFill patternType="solid">
        <fgColor rgb="FFD6E4F0"/>
      </patternFill>
    </fill>
    <fill>
      <patternFill patternType="solid">
        <fgColor rgb="FF2F5496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double">
        <color rgb="FF1F3864"/>
      </top>
      <bottom style="thin">
        <color rgb="FF1F3864"/>
      </bottom>
      <diagonal/>
    </border>
  </borders>
  <cellStyleXfs count="1">
    <xf numFmtId="0" fontId="0" fillId="0" borderId="1"/>
  </cellStyleXfs>
  <cellXfs count="30">
    <xf numFmtId="0" fontId="0" fillId="0" borderId="1" xfId="0"/>
    <xf numFmtId="0" fontId="1" fillId="0" borderId="1" xfId="0">
      <alignment vertical="top"/>
    </xf>
    <xf numFmtId="0" fontId="2" fillId="0" borderId="1" xfId="0">
      <alignment vertical="top"/>
    </xf>
    <xf numFmtId="0" fontId="3" fillId="2" borderId="1" xfId="0">
      <alignment horizontal="left" vertical="center"/>
    </xf>
    <xf numFmtId="171" fontId="4" fillId="2" borderId="1" xfId="0">
      <alignment horizontal="right" vertical="center"/>
    </xf>
    <xf numFmtId="0" fontId="3" fillId="3" borderId="2" xfId="0">
      <alignment vertical="top"/>
    </xf>
    <xf numFmtId="0" fontId="3" fillId="4" borderId="2" xfId="0">
      <alignment vertical="top"/>
    </xf>
    <xf numFmtId="0" fontId="5" fillId="5" borderId="2" xfId="0">
      <alignment vertical="top"/>
    </xf>
    <xf numFmtId="0" fontId="6" fillId="5" borderId="2" xfId="0">
      <alignment vertical="top"/>
    </xf>
    <xf numFmtId="0" fontId="5" fillId="6" borderId="2" xfId="0">
      <alignment vertical="top"/>
    </xf>
    <xf numFmtId="0" fontId="6" fillId="6" borderId="2" xfId="0">
      <alignment vertical="top"/>
    </xf>
    <xf numFmtId="0" fontId="7" fillId="0" borderId="2" xfId="0">
      <alignment horizontal="left" vertical="center" indent="1"/>
    </xf>
    <xf numFmtId="171" fontId="8" fillId="0" borderId="2" xfId="0">
      <alignment horizontal="right" vertical="center"/>
    </xf>
    <xf numFmtId="0" fontId="9" fillId="0" borderId="2" xfId="0">
      <alignment horizontal="right" vertical="center"/>
    </xf>
    <xf numFmtId="171" fontId="9" fillId="0" borderId="2" xfId="0">
      <alignment horizontal="right" vertical="center"/>
    </xf>
    <xf numFmtId="0" fontId="5" fillId="7" borderId="2" xfId="0">
      <alignment vertical="top"/>
    </xf>
    <xf numFmtId="0" fontId="6" fillId="7" borderId="2" xfId="0">
      <alignment vertical="top"/>
    </xf>
    <xf numFmtId="0" fontId="7" fillId="7" borderId="2" xfId="0">
      <alignment horizontal="left" vertical="center" indent="1"/>
    </xf>
    <xf numFmtId="174" fontId="9" fillId="7" borderId="2" xfId="0">
      <alignment horizontal="right" vertical="center"/>
    </xf>
    <xf numFmtId="175" fontId="9" fillId="7" borderId="2" xfId="0">
      <alignment horizontal="right" vertical="center"/>
    </xf>
    <xf numFmtId="171" fontId="9" fillId="7" borderId="2" xfId="0">
      <alignment horizontal="right" vertical="center"/>
    </xf>
    <xf numFmtId="0" fontId="10" fillId="0" borderId="3" xfId="0">
      <alignment vertical="top"/>
    </xf>
    <xf numFmtId="171" fontId="9" fillId="0" borderId="3" xfId="0">
      <alignment horizontal="right" vertical="center"/>
    </xf>
    <xf numFmtId="0" fontId="11" fillId="0" borderId="3" xfId="0">
      <alignment vertical="top"/>
    </xf>
    <xf numFmtId="0" fontId="12" fillId="8" borderId="2" xfId="0">
      <alignment horizontal="center" vertical="center"/>
    </xf>
    <xf numFmtId="171" fontId="8" fillId="5" borderId="2" xfId="0">
      <alignment horizontal="right" vertical="center"/>
    </xf>
    <xf numFmtId="171" fontId="8" fillId="6" borderId="2" xfId="0">
      <alignment horizontal="right" vertical="center"/>
    </xf>
    <xf numFmtId="0" fontId="7" fillId="0" borderId="2" xfId="0">
      <alignment vertical="top"/>
    </xf>
    <xf numFmtId="180" fontId="13" fillId="0" borderId="2" xfId="0">
      <alignment horizontal="right" vertical="center"/>
    </xf>
    <xf numFmtId="174" fontId="13" fillId="0" borderId="2" xfId="0">
      <alignment horizontal="center" vertical="center"/>
    </xf>
  </cellXfs>
  <cellStyles count="1">
    <cellStyle name="Normal" xfId="0" builtinId="0"/>
  </cellStyles>
  <dxfs count="2">
    <dxf>
      <font>
        <color rgb="FF9C0006"/>
      </font>
    </dxf>
    <dxf>
      <font>
        <color rgb="FF006100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1f3965"/>
                </a:solidFill>
                <a:latin typeface="Aptos"/>
              </a:defRPr>
            </a:pPr>
            <a:r>
              <a:rPr sz="1050" b="0">
                <a:solidFill>
                  <a:srgbClr val="1f3965"/>
                </a:solidFill>
                <a:latin typeface="Aptos"/>
              </a:rPr>
              <a:t>Asset Allocation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pieChart chartType="10">
        <c:ser seriesType="3">
          <c:idx val="0"/>
          <c:order val="0"/>
          <c:spPr>
            <a:ln w="19050">
              <a:solidFill>
                <a:srgbClr val="ffffff"/>
              </a:solidFill>
            </a:ln>
          </c:spPr>
          <c:cat>
            <c:strRef>
              <c:f>'Net Worth'!$B$49:$B$52</c:f>
            </c:strRef>
          </c:cat>
          <c:val>
            <c:numRef>
              <c:f>'Net Worth'!$C$49:$C$52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txPr>
              <a:bodyPr/>
              <a:p>
                <a:pPr>
                  <a:defRPr b="0">
                    <a:solidFill>
                      <a:srgbClr val="333232"/>
                    </a:solidFill>
                    <a:latin typeface="Aptos"/>
                  </a:defRPr>
                </a:pPr>
                <a:r>
                  <a:rPr b="0">
                    <a:solidFill>
                      <a:srgbClr val="333232"/>
                    </a:solidFill>
                    <a:latin typeface="Aptos"/>
                  </a:rPr>
                  <a:t/>
                </a:r>
                <a:endParaRPr/>
              </a:p>
            </c:txPr>
            <c:dLblPos val="outEnd"/>
            <c:showLeaderLines val="1"/>
            <c:showBubbleSize val="0"/>
            <c:showLegendKey val="0"/>
            <c:showPercent val="1"/>
            <c:showCatName val="1"/>
            <c:showSerName val="0"/>
            <c:showVal val="0"/>
            <c:separator>: </c:separator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xtLst/>
          <c:explosion val="0"/>
          <c:dPt>
            <c:idx val="0"/>
            <c:invertIfNegative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1"/>
            <c:invertIfNegative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2"/>
            <c:invertIfNegative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3"/>
            <c:invertIfNegative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</c:ser>
        <c:varyColors val="1"/>
        <c:firstSliceAng val="0"/>
      </c:pieChart>
      <c:spPr>
        <a:noFill/>
        <a:ln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efffe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Aptos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Aptos"/>
        </a:rPr>
        <a:t/>
      </a:r>
      <a:endParaRPr/>
    </a:p>
  </c:tx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1f3965"/>
                </a:solidFill>
                <a:latin typeface="Aptos"/>
              </a:defRPr>
            </a:pPr>
            <a:r>
              <a:rPr sz="1050" b="0">
                <a:solidFill>
                  <a:srgbClr val="1f3965"/>
                </a:solidFill>
                <a:latin typeface="Aptos"/>
              </a:rPr>
              <a:t>Liabilities Breakdown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pieChart chartType="10">
        <c:ser seriesType="3">
          <c:dPt>
            <c:idx val="0"/>
            <c:invertIfNegative val="0"/>
            <c:spPr>
              <a:solidFill>
                <a:schemeClr val="accent1"/>
              </a:solidFill>
              <a:ln w="19050">
                <a:solidFill>
                  <a:srgbClr val="fefffe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1"/>
            <c:invertIfNegative val="0"/>
            <c:spPr>
              <a:solidFill>
                <a:schemeClr val="accent3"/>
              </a:solidFill>
              <a:ln w="19050">
                <a:solidFill>
                  <a:srgbClr val="fefffe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2"/>
            <c:invertIfNegative val="0"/>
            <c:spPr>
              <a:solidFill>
                <a:schemeClr val="accent5"/>
              </a:solidFill>
              <a:ln w="19050">
                <a:solidFill>
                  <a:srgbClr val="fefffe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idx val="0"/>
          <c:order val="0"/>
          <c:spPr>
            <a:ln w="19050">
              <a:solidFill>
                <a:srgbClr val="ffffff"/>
              </a:solidFill>
            </a:ln>
          </c:spPr>
          <c:cat>
            <c:strRef>
              <c:f>'Net Worth'!$E$49:$E$51</c:f>
            </c:strRef>
          </c:cat>
          <c:val>
            <c:numRef>
              <c:f>'Net Worth'!$F$49:$F$51</c:f>
              <c:numCache>
                <c:formatCode>General</c:formatCode>
              </c:numCache>
            </c:numRef>
          </c:val>
          <c:dLbls>
            <c:spPr>
              <a:noFill/>
              <a:ln>
                <a:noFill/>
              </a:ln>
            </c:spPr>
            <c:txPr>
              <a:bodyPr/>
              <a:p>
                <a:pPr>
                  <a:defRPr b="0">
                    <a:solidFill>
                      <a:srgbClr val="333232"/>
                    </a:solidFill>
                    <a:latin typeface="Aptos"/>
                  </a:defRPr>
                </a:pPr>
                <a:r>
                  <a:rPr b="0">
                    <a:solidFill>
                      <a:srgbClr val="333232"/>
                    </a:solidFill>
                    <a:latin typeface="Aptos"/>
                  </a:rPr>
                  <a:t/>
                </a:r>
                <a:endParaRPr/>
              </a:p>
            </c:txPr>
            <c:dLblPos val="outEnd"/>
            <c:showLeaderLines val="1"/>
            <c:showBubbleSize val="0"/>
            <c:showLegendKey val="0"/>
            <c:showPercent val="1"/>
            <c:showCatName val="1"/>
            <c:showSerName val="0"/>
            <c:showVal val="0"/>
            <c:separator>: </c:separator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xtLst/>
          <c:explosion val="0"/>
        </c:ser>
        <c:varyColors val="1"/>
        <c:firstSliceAng val="0"/>
      </c:pieChart>
      <c:spPr>
        <a:noFill/>
        <a:ln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efffe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Aptos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Aptos"/>
        </a:rPr>
        <a:t/>
      </a:r>
      <a:endParaRPr/>
    </a:p>
  </c:tx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Net Worth Trend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ineChart chartType="8">
        <c:ser seriesType="2">
          <c:idx val="0"/>
          <c:order val="0"/>
          <c:tx>
            <c:strRef>
              <c:f>'Monthly Tracking'!$B$5</c:f>
            </c:strRef>
          </c:tx>
          <c:spPr>
            <a:solidFill>
              <a:schemeClr val="accent1"/>
            </a:solidFill>
            <a:ln w="19050"/>
          </c:spPr>
          <c:cat>
            <c:strRef>
              <c:f>'Monthly Tracking'!$C$4:$N$4</c:f>
            </c:strRef>
          </c:cat>
          <c:val>
            <c:numRef>
              <c:f>'Monthly Tracking'!$C$5:$N$5</c:f>
              <c:numCache>
                <c:formatCode>\$#,##0</c:formatCode>
              </c:numCache>
            </c:numRef>
          </c:val>
          <c:extLst/>
          <c:smooth val="0"/>
          <c:marker>
            <c:symbol val="none"/>
            <c:spPr/>
          </c:marker>
        </c:ser>
        <c:ser seriesType="2">
          <c:idx val="1"/>
          <c:order val="1"/>
          <c:tx>
            <c:strRef>
              <c:f>'Monthly Tracking'!$B$6</c:f>
            </c:strRef>
          </c:tx>
          <c:spPr>
            <a:solidFill>
              <a:schemeClr val="accent2"/>
            </a:solidFill>
            <a:ln w="19050"/>
          </c:spPr>
          <c:cat>
            <c:strRef>
              <c:f>'Monthly Tracking'!$C$4:$N$4</c:f>
            </c:strRef>
          </c:cat>
          <c:val>
            <c:numRef>
              <c:f>'Monthly Tracking'!$C$6:$N$6</c:f>
              <c:numCache>
                <c:formatCode>\$#,##0</c:formatCode>
              </c:numCache>
            </c:numRef>
          </c:val>
          <c:extLst/>
          <c:smooth val="0"/>
          <c:marker>
            <c:symbol val="none"/>
            <c:spPr/>
          </c:marker>
        </c:ser>
        <c:ser seriesType="2">
          <c:idx val="2"/>
          <c:order val="2"/>
          <c:tx>
            <c:strRef>
              <c:f>'Monthly Tracking'!$B$7</c:f>
            </c:strRef>
          </c:tx>
          <c:spPr>
            <a:solidFill>
              <a:schemeClr val="accent3"/>
            </a:solidFill>
            <a:ln w="19050"/>
          </c:spPr>
          <c:cat>
            <c:strRef>
              <c:f>'Monthly Tracking'!$C$4:$N$4</c:f>
            </c:strRef>
          </c:cat>
          <c:val>
            <c:numRef>
              <c:f>'Monthly Tracking'!$C$7:$N$7</c:f>
              <c:numCache>
                <c:formatCode>\$#,##0</c:formatCode>
              </c:numCache>
            </c:numRef>
          </c:val>
          <c:extLst/>
          <c:smooth val="0"/>
          <c:marker>
            <c:symbol val="none"/>
            <c:spPr/>
          </c:marker>
        </c:ser>
        <c:axId val="95975781"/>
        <c:axId val="70662416"/>
        <c:grouping val="standard"/>
        <c:varyColors val="0"/>
        <c:smooth val="0"/>
        <c:marker val="0"/>
      </c:lineChart>
      <c:catAx axisType="0">
        <c:axId val="95975781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70662416"/>
      </c:catAx>
      <c:valAx axisType="3">
        <c:axId val="70662416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\$#,##0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95975781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1">
  <a:schemeClr val="accent1"/>
  <a:schemeClr val="accent3"/>
  <a:schemeClr val="accent5"/>
  <a:schemeClr val="accent1">
    <a:lumMod val="60000"/>
  </a:schemeClr>
  <a:schemeClr val="accent3">
    <a:lumMod val="60000"/>
  </a:schemeClr>
  <a:schemeClr val="accent5">
    <a:lumMod val="60000"/>
  </a:schemeClr>
  <a:schemeClr val="accent1">
    <a:lumMod val="80000"/>
    <a:lumOff val="20000"/>
  </a:schemeClr>
  <a:schemeClr val="accent3">
    <a:lumMod val="80000"/>
    <a:lumOff val="20000"/>
  </a:schemeClr>
  <a:schemeClr val="accent5">
    <a:lumMod val="80000"/>
    <a:lumOff val="20000"/>
  </a:schemeClr>
  <a:schemeClr val="accent1">
    <a:lumMod val="80000"/>
  </a:schemeClr>
  <a:schemeClr val="accent3">
    <a:lumMod val="80000"/>
  </a:schemeClr>
  <a:schemeClr val="accent5">
    <a:lumMod val="80000"/>
  </a:schemeClr>
  <a:schemeClr val="accent1">
    <a:lumMod val="60000"/>
    <a:lumOff val="40000"/>
  </a:schemeClr>
  <a:schemeClr val="accent3">
    <a:lumMod val="60000"/>
    <a:lumOff val="40000"/>
  </a:schemeClr>
  <a:schemeClr val="accent5">
    <a:lumMod val="60000"/>
    <a:lumOff val="40000"/>
  </a:schemeClr>
  <a:schemeClr val="accent1">
    <a:lumMod val="50000"/>
  </a:schemeClr>
  <a:schemeClr val="accent3">
    <a:lumMod val="50000"/>
  </a:schemeClr>
  <a:schemeClr val="accent5">
    <a:lumMod val="50000"/>
  </a:schemeClr>
  <a:schemeClr val="accent1">
    <a:lumMod val="70000"/>
    <a:lumOff val="30000"/>
  </a:schemeClr>
  <a:schemeClr val="accent3">
    <a:lumMod val="70000"/>
    <a:lumOff val="30000"/>
  </a:schemeClr>
  <a:schemeClr val="accent5">
    <a:lumMod val="70000"/>
    <a:lumOff val="30000"/>
  </a:schemeClr>
  <a:schemeClr val="accent1">
    <a:lumMod val="70000"/>
  </a:schemeClr>
  <a:schemeClr val="accent3">
    <a:lumMod val="70000"/>
  </a:schemeClr>
  <a:schemeClr val="accent5">
    <a:lumMod val="70000"/>
  </a:schemeClr>
  <a:schemeClr val="accent1">
    <a:lumMod val="50000"/>
    <a:lumOff val="50000"/>
  </a:schemeClr>
  <a:schemeClr val="accent3">
    <a:lumMod val="50000"/>
    <a:lumOff val="50000"/>
  </a:schemeClr>
  <a:schemeClr val="accent5">
    <a:lumMod val="50000"/>
    <a:lumOff val="50000"/>
  </a:schemeClr>
</cs:colorStyle>
</file>

<file path=xl/charts/colors3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31</xdr:row>
      <xdr:rowOff>31750</xdr:rowOff>
    </xdr:from>
    <xdr:to>
      <xdr:col>6</xdr:col>
      <xdr:colOff>15875</xdr:colOff>
      <xdr:row>55</xdr:row>
      <xdr:rowOff>31750</xdr:rowOff>
    </xdr:to>
    <xdr:graphicFrame>
      <xdr:nvGraphicFramePr>
        <xdr:cNvPr id="14" name="AssetAllocation"/>
        <xdr:cNvGraphicFramePr>
          <a:graphicFrameLocks noChangeAspect="0"/>
        </xdr:cNvGraphicFramePr>
      </xdr:nvGraphicFramePr>
      <xdr:xfrm>
        <a:off x="142875" y="6572250"/>
        <a:ext cx="6858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55</xdr:row>
      <xdr:rowOff>127000</xdr:rowOff>
    </xdr:from>
    <xdr:to>
      <xdr:col>6</xdr:col>
      <xdr:colOff>15875</xdr:colOff>
      <xdr:row>75</xdr:row>
      <xdr:rowOff>127000</xdr:rowOff>
    </xdr:to>
    <xdr:graphicFrame>
      <xdr:nvGraphicFramePr>
        <xdr:cNvPr id="15" name="LiabilitiesBreakdown"/>
        <xdr:cNvGraphicFramePr>
          <a:graphicFrameLocks noChangeAspect="0"/>
        </xdr:cNvGraphicFramePr>
      </xdr:nvGraphicFramePr>
      <xdr:xfrm>
        <a:off x="142875" y="10477500"/>
        <a:ext cx="6858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6</xdr:col>
      <xdr:colOff>47625</xdr:colOff>
      <xdr:row>30</xdr:row>
      <xdr:rowOff>0</xdr:rowOff>
    </xdr:to>
    <xdr:graphicFrame>
      <xdr:nvGraphicFramePr>
        <xdr:cNvPr id="2" name="NetWorthTrend"/>
        <xdr:cNvGraphicFramePr>
          <a:graphicFrameLocks noChangeAspect="0"/>
        </xdr:cNvGraphicFramePr>
      </xdr:nvGraphicFramePr>
      <xdr:xfrm>
        <a:off x="142875" y="2209800"/>
        <a:ext cx="5715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8D617EC-5761-0F38-C488-88EE1836D6B1}" mc:Ignorable="x14ac xr xr2 xr3">
  <dimension ref="A1:CV10000"/>
  <sheetViews>
    <sheetView showGridLines="0" zoomScale="90" workbookViewId="0" tabSelected="1">
      <pane xSplit="1" ySplit="6" topLeftCell="B19" activePane="bottomRight" state="frozen"/>
      <selection pane="bottomLeft" activeCell="A7" sqref="A7"/>
      <selection pane="topRight" activeCell="B1" sqref="B1"/>
      <selection pane="bottomRight" activeCell="A1" sqref="A1"/>
    </sheetView>
  </sheetViews>
  <sheetFormatPr defaultRowHeight="15" defaultColWidth="7.75390625" customHeight="1"/>
  <cols>
    <col min="1" max="1" width="1.875" customWidth="1"/>
    <col min="2" max="2" width="26.875" customWidth="1"/>
    <col min="3" max="3" width="15.625" customWidth="1"/>
    <col min="4" max="4" width="4.375" customWidth="1"/>
    <col min="5" max="5" width="26.875" customWidth="1"/>
    <col min="6" max="6" width="15.625" customWidth="1"/>
    <col min="7" max="7" width="1.875" customWidth="1"/>
  </cols>
  <sheetData>
    <row r="2" ht="24" customHeight="1">
      <c r="B2" s="1" t="s">
        <v>0</v>
      </c>
    </row>
    <row r="3" ht="15.75" customHeight="1">
      <c r="B3" s="2" t="s">
        <v>1</v>
      </c>
    </row>
    <row r="5" ht="20.25" customHeight="1">
      <c r="B5" s="3" t="s">
        <v>2</v>
      </c>
      <c r="D5" s="4">
        <f>C30-F30</f>
        <v>341300</v>
      </c>
    </row>
    <row r="7" ht="17.25" customHeight="1">
      <c r="B7" s="5" t="s">
        <v>3</v>
      </c>
      <c r="E7" s="6" t="s">
        <v>4</v>
      </c>
    </row>
    <row r="8" ht="16.5" customHeight="1">
      <c r="B8" s="7" t="s">
        <v>5</v>
      </c>
      <c r="C8" s="8"/>
      <c r="E8" s="9" t="s">
        <v>6</v>
      </c>
      <c r="F8" s="10"/>
    </row>
    <row r="9" ht="15.75" customHeight="1">
      <c r="B9" s="11" t="s">
        <v>7</v>
      </c>
      <c r="C9" s="12">
        <v>8500</v>
      </c>
      <c r="E9" s="11" t="s">
        <v>8</v>
      </c>
      <c r="F9" s="12">
        <v>285000</v>
      </c>
    </row>
    <row r="10" ht="15.75" customHeight="1">
      <c r="B10" s="11" t="s">
        <v>9</v>
      </c>
      <c r="C10" s="12">
        <v>25000</v>
      </c>
      <c r="E10" s="11" t="s">
        <v>10</v>
      </c>
      <c r="F10" s="12">
        <v>0</v>
      </c>
    </row>
    <row r="11" ht="16.5" customHeight="1">
      <c r="B11" s="11" t="s">
        <v>11</v>
      </c>
      <c r="C11" s="12">
        <v>15000</v>
      </c>
      <c r="E11" s="13" t="s">
        <v>12</v>
      </c>
      <c r="F11" s="14">
        <f>SUM(F9:F10)</f>
        <v>285000</v>
      </c>
    </row>
    <row r="12" ht="16.5" customHeight="1">
      <c r="B12" s="11" t="s">
        <v>13</v>
      </c>
      <c r="C12" s="12">
        <v>500</v>
      </c>
      <c r="E12" s="9" t="s">
        <v>14</v>
      </c>
      <c r="F12" s="10"/>
    </row>
    <row r="13" ht="16.5" customHeight="1">
      <c r="B13" s="13" t="s">
        <v>12</v>
      </c>
      <c r="C13" s="14">
        <f>SUM(C9:C12)</f>
        <v>49000</v>
      </c>
      <c r="E13" s="11" t="s">
        <v>15</v>
      </c>
      <c r="F13" s="12">
        <v>15000</v>
      </c>
    </row>
    <row r="14" ht="16.5" customHeight="1">
      <c r="B14" s="7" t="s">
        <v>16</v>
      </c>
      <c r="C14" s="8"/>
      <c r="E14" s="11" t="s">
        <v>17</v>
      </c>
      <c r="F14" s="12">
        <v>28000</v>
      </c>
    </row>
    <row r="15" ht="15.75" customHeight="1">
      <c r="B15" s="11" t="s">
        <v>18</v>
      </c>
      <c r="C15" s="12">
        <v>85000</v>
      </c>
      <c r="E15" s="11" t="s">
        <v>19</v>
      </c>
      <c r="F15" s="12">
        <v>0</v>
      </c>
    </row>
    <row r="16" ht="16.5" customHeight="1">
      <c r="B16" s="11" t="s">
        <v>20</v>
      </c>
      <c r="C16" s="12">
        <v>42000</v>
      </c>
      <c r="E16" s="13" t="s">
        <v>12</v>
      </c>
      <c r="F16" s="14">
        <f t="shared" si="0" ref="F16:F21">SUM(F13:F15)</f>
        <v>43000</v>
      </c>
    </row>
    <row r="17" ht="16.5" customHeight="1">
      <c r="B17" s="11" t="s">
        <v>21</v>
      </c>
      <c r="C17" s="12">
        <v>35000</v>
      </c>
      <c r="E17" s="9" t="s">
        <v>22</v>
      </c>
      <c r="F17" s="10"/>
    </row>
    <row r="18" ht="15.75" customHeight="1">
      <c r="B18" s="11" t="s">
        <v>23</v>
      </c>
      <c r="C18" s="12">
        <v>8000</v>
      </c>
      <c r="E18" s="11" t="s">
        <v>24</v>
      </c>
      <c r="F18" s="12">
        <v>3200</v>
      </c>
    </row>
    <row r="19" ht="15.75" customHeight="1">
      <c r="B19" s="11" t="s">
        <v>25</v>
      </c>
      <c r="C19" s="12">
        <v>5000</v>
      </c>
      <c r="E19" s="11" t="s">
        <v>26</v>
      </c>
      <c r="F19" s="12">
        <v>1500</v>
      </c>
    </row>
    <row r="20" ht="16.5" customHeight="1">
      <c r="B20" s="13" t="s">
        <v>12</v>
      </c>
      <c r="C20" s="14">
        <f>SUM(C15:C19)</f>
        <v>175000</v>
      </c>
      <c r="E20" s="11" t="s">
        <v>27</v>
      </c>
      <c r="F20" s="12">
        <v>0</v>
      </c>
    </row>
    <row r="21" ht="16.5" customHeight="1">
      <c r="B21" s="7" t="s">
        <v>28</v>
      </c>
      <c r="C21" s="8"/>
      <c r="E21" s="13" t="s">
        <v>12</v>
      </c>
      <c r="F21" s="14">
        <f t="shared" si="0"/>
        <v>4700</v>
      </c>
    </row>
    <row r="22" ht="15.75" customHeight="1">
      <c r="B22" s="11" t="s">
        <v>29</v>
      </c>
      <c r="C22" s="12">
        <v>425000</v>
      </c>
    </row>
    <row r="23" ht="16.5" customHeight="1">
      <c r="B23" s="11" t="s">
        <v>30</v>
      </c>
      <c r="C23" s="12">
        <v>0</v>
      </c>
      <c r="E23" s="15" t="s">
        <v>31</v>
      </c>
      <c r="F23" s="16"/>
    </row>
    <row r="24" ht="16.5" customHeight="1">
      <c r="B24" s="13" t="s">
        <v>12</v>
      </c>
      <c r="C24" s="14">
        <f>SUM(C22:C23)</f>
        <v>425000</v>
      </c>
      <c r="E24" s="17" t="s">
        <v>32</v>
      </c>
      <c r="F24" s="18">
        <f>IF(C30&gt;0,F30/C30,0)</f>
        <v>0.493620178041543</v>
      </c>
    </row>
    <row r="25" ht="16.5" customHeight="1">
      <c r="B25" s="7" t="s">
        <v>33</v>
      </c>
      <c r="C25" s="8"/>
      <c r="E25" s="17" t="s">
        <v>34</v>
      </c>
      <c r="F25" s="19">
        <f>IF(F30&gt;0,(C13+C20)/F30,0)</f>
        <v>0.673279230538022</v>
      </c>
    </row>
    <row r="26" ht="16.5" customHeight="1">
      <c r="B26" s="11" t="s">
        <v>35</v>
      </c>
      <c r="C26" s="12">
        <v>22000</v>
      </c>
      <c r="E26" s="17" t="s">
        <v>36</v>
      </c>
      <c r="F26" s="20">
        <f>C22-F9</f>
        <v>140000</v>
      </c>
    </row>
    <row r="27" ht="15.75" customHeight="1">
      <c r="B27" s="11" t="s">
        <v>37</v>
      </c>
      <c r="C27" s="12">
        <v>3000</v>
      </c>
    </row>
    <row r="28" ht="15.75" customHeight="1">
      <c r="B28" s="11" t="s">
        <v>38</v>
      </c>
      <c r="C28" s="12">
        <v>0</v>
      </c>
    </row>
    <row r="29" ht="16.5" customHeight="1">
      <c r="B29" s="13" t="s">
        <v>12</v>
      </c>
      <c r="C29" s="14">
        <f>SUM(C26:C28)</f>
        <v>25000</v>
      </c>
    </row>
    <row r="30" ht="16.5" customHeight="1">
      <c r="B30" s="21" t="s">
        <v>39</v>
      </c>
      <c r="C30" s="22">
        <f>C13+C20+C24+C29</f>
        <v>674000</v>
      </c>
      <c r="E30" s="23" t="s">
        <v>40</v>
      </c>
      <c r="F30" s="22">
        <f>F11+F16+F21</f>
        <v>332700</v>
      </c>
    </row>
    <row r="49" ht="16.5" customHeight="1" hidden="1">
      <c r="B49" t="s">
        <v>41</v>
      </c>
      <c r="C49" cm="1">
        <f t="array" ref="C49">C13</f>
        <v>49000</v>
      </c>
      <c r="E49" t="s">
        <v>42</v>
      </c>
      <c r="F49" cm="1">
        <f t="array" ref="F49">F11</f>
        <v>285000</v>
      </c>
    </row>
    <row r="50" ht="16.5" customHeight="1" hidden="1">
      <c r="B50" t="s">
        <v>43</v>
      </c>
      <c r="C50" cm="1">
        <f t="array" ref="C50">C20</f>
        <v>175000</v>
      </c>
      <c r="E50" t="s">
        <v>14</v>
      </c>
      <c r="F50" cm="1">
        <f t="array" ref="F50">F16</f>
        <v>43000</v>
      </c>
    </row>
    <row r="51" ht="16.5" customHeight="1" hidden="1">
      <c r="B51" t="s">
        <v>44</v>
      </c>
      <c r="C51" cm="1">
        <f t="array" ref="C51">C24</f>
        <v>425000</v>
      </c>
      <c r="E51" t="s">
        <v>45</v>
      </c>
      <c r="F51" cm="1">
        <f t="array" ref="F51">F21</f>
        <v>4700</v>
      </c>
    </row>
    <row r="52" ht="16.5" customHeight="1" hidden="1">
      <c r="B52" t="s">
        <v>33</v>
      </c>
      <c r="C52" cm="1">
        <f t="array" ref="C52">C29</f>
        <v>25000</v>
      </c>
    </row>
  </sheetData>
  <mergeCells>
    <mergeCell ref="B2:F2"/>
    <mergeCell ref="B3:F3"/>
    <mergeCell ref="B5:C5"/>
    <mergeCell ref="D5:F5"/>
    <mergeCell ref="B7:C7"/>
    <mergeCell ref="E7:F7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83590E8-7FA8-BF98-D075-D38A969301A8}" mc:Ignorable="x14ac xr xr2 xr3">
  <dimension ref="A1:CV10000"/>
  <sheetViews>
    <sheetView showGridLines="0" workbookViewId="0">
      <pane xSplit="1" ySplit="4" topLeftCell="B5" activePane="bottomRight" state="frozen"/>
      <selection pane="bottomLeft" activeCell="A5" sqref="A5"/>
      <selection pane="topRight" activeCell="B1" sqref="B1"/>
      <selection pane="bottomRight" activeCell="A1" sqref="A1"/>
    </sheetView>
  </sheetViews>
  <sheetFormatPr defaultRowHeight="15" defaultColWidth="7.75390625" customHeight="1"/>
  <cols>
    <col min="1" max="1" width="1.875" customWidth="1"/>
    <col min="2" max="2" width="19.375" customWidth="1"/>
    <col min="3" max="14" width="13.75390625" customWidth="1"/>
  </cols>
  <sheetData>
    <row r="2" ht="24" customHeight="1">
      <c r="B2" s="1" t="s">
        <v>46</v>
      </c>
    </row>
    <row r="4" ht="15" customHeight="1">
      <c r="B4" s="24" t="s">
        <v>47</v>
      </c>
      <c r="C4" s="24" t="s">
        <v>48</v>
      </c>
      <c r="D4" s="24" t="s">
        <v>49</v>
      </c>
      <c r="E4" s="24" t="s">
        <v>50</v>
      </c>
      <c r="F4" s="24" t="s">
        <v>51</v>
      </c>
      <c r="G4" s="24" t="s">
        <v>52</v>
      </c>
      <c r="H4" s="24" t="s">
        <v>53</v>
      </c>
      <c r="I4" s="24" t="s">
        <v>54</v>
      </c>
      <c r="J4" s="24" t="s">
        <v>55</v>
      </c>
      <c r="K4" s="24" t="s">
        <v>56</v>
      </c>
      <c r="L4" s="24" t="s">
        <v>57</v>
      </c>
      <c r="M4" s="24" t="s">
        <v>58</v>
      </c>
      <c r="N4" s="24" t="s">
        <v>59</v>
      </c>
    </row>
    <row r="5" ht="15" customHeight="1">
      <c r="B5" s="7" t="s">
        <v>60</v>
      </c>
      <c r="C5" s="25">
        <v>670000</v>
      </c>
      <c r="D5" s="25">
        <v>675000</v>
      </c>
      <c r="E5" s="25">
        <v>682000</v>
      </c>
      <c r="F5" s="25">
        <v>688000</v>
      </c>
      <c r="G5" s="25">
        <v>695000</v>
      </c>
      <c r="H5" s="25">
        <v>700000</v>
      </c>
      <c r="I5" s="25">
        <v>708000</v>
      </c>
      <c r="J5" s="25">
        <v>715000</v>
      </c>
      <c r="K5" s="25">
        <v>722000</v>
      </c>
      <c r="L5" s="25">
        <v>730000</v>
      </c>
      <c r="M5" s="25">
        <v>738000</v>
      </c>
      <c r="N5" s="25">
        <v>674000</v>
      </c>
    </row>
    <row r="6" ht="15" customHeight="1">
      <c r="B6" s="9" t="s">
        <v>61</v>
      </c>
      <c r="C6" s="26">
        <v>335000</v>
      </c>
      <c r="D6" s="26">
        <v>333000</v>
      </c>
      <c r="E6" s="26">
        <v>331000</v>
      </c>
      <c r="F6" s="26">
        <v>329000</v>
      </c>
      <c r="G6" s="26">
        <v>327000</v>
      </c>
      <c r="H6" s="26">
        <v>325000</v>
      </c>
      <c r="I6" s="26">
        <v>323000</v>
      </c>
      <c r="J6" s="26">
        <v>321000</v>
      </c>
      <c r="K6" s="26">
        <v>319000</v>
      </c>
      <c r="L6" s="26">
        <v>317000</v>
      </c>
      <c r="M6" s="26">
        <v>315000</v>
      </c>
      <c r="N6" s="26">
        <v>313000</v>
      </c>
    </row>
    <row r="7" ht="15" customHeight="1">
      <c r="B7" s="15" t="s">
        <v>62</v>
      </c>
      <c r="C7" s="20">
        <f t="shared" si="0" ref="C7:N7">C5-C6</f>
        <v>335000</v>
      </c>
      <c r="D7" s="20">
        <f t="shared" si="0"/>
        <v>342000</v>
      </c>
      <c r="E7" s="20">
        <f t="shared" si="0"/>
        <v>351000</v>
      </c>
      <c r="F7" s="20">
        <f t="shared" si="0"/>
        <v>359000</v>
      </c>
      <c r="G7" s="20">
        <f t="shared" si="0"/>
        <v>368000</v>
      </c>
      <c r="H7" s="20">
        <f t="shared" si="0"/>
        <v>375000</v>
      </c>
      <c r="I7" s="20">
        <f t="shared" si="0"/>
        <v>385000</v>
      </c>
      <c r="J7" s="20">
        <f t="shared" si="0"/>
        <v>394000</v>
      </c>
      <c r="K7" s="20">
        <f t="shared" si="0"/>
        <v>403000</v>
      </c>
      <c r="L7" s="20">
        <f t="shared" si="0"/>
        <v>413000</v>
      </c>
      <c r="M7" s="20">
        <f t="shared" si="0"/>
        <v>423000</v>
      </c>
      <c r="N7" s="20">
        <f t="shared" si="0"/>
        <v>361000</v>
      </c>
    </row>
    <row r="8" ht="15" customHeight="1">
      <c r="B8" s="27" t="s">
        <v>63</v>
      </c>
      <c r="C8" s="28"/>
      <c r="D8" s="28">
        <f t="shared" si="1" ref="D8:N8">D7-C7</f>
        <v>7000</v>
      </c>
      <c r="E8" s="28">
        <f t="shared" si="1"/>
        <v>9000</v>
      </c>
      <c r="F8" s="28">
        <f t="shared" si="1"/>
        <v>8000</v>
      </c>
      <c r="G8" s="28">
        <f t="shared" si="1"/>
        <v>9000</v>
      </c>
      <c r="H8" s="28">
        <f t="shared" si="1"/>
        <v>7000</v>
      </c>
      <c r="I8" s="28">
        <f t="shared" si="1"/>
        <v>10000</v>
      </c>
      <c r="J8" s="28">
        <f t="shared" si="1"/>
        <v>9000</v>
      </c>
      <c r="K8" s="28">
        <f t="shared" si="1"/>
        <v>9000</v>
      </c>
      <c r="L8" s="28">
        <f t="shared" si="1"/>
        <v>10000</v>
      </c>
      <c r="M8" s="28">
        <f t="shared" si="1"/>
        <v>10000</v>
      </c>
      <c r="N8" s="28">
        <f t="shared" si="1"/>
        <v>-62000</v>
      </c>
    </row>
    <row r="9" ht="15" customHeight="1">
      <c r="B9" s="27" t="s">
        <v>64</v>
      </c>
      <c r="C9" s="29"/>
      <c r="D9" s="29">
        <f t="shared" si="2" ref="D9:N9">IF(C7&lt;&gt;0,D8/C7,"")</f>
        <v>0.0208955223880597</v>
      </c>
      <c r="E9" s="29">
        <f t="shared" si="2"/>
        <v>0.0263157894736842</v>
      </c>
      <c r="F9" s="29">
        <f t="shared" si="2"/>
        <v>0.0227920227920228</v>
      </c>
      <c r="G9" s="29">
        <f t="shared" si="2"/>
        <v>0.0250696378830084</v>
      </c>
      <c r="H9" s="29">
        <f t="shared" si="2"/>
        <v>0.0190217391304348</v>
      </c>
      <c r="I9" s="29">
        <f t="shared" si="2"/>
        <v>0.0266666666666667</v>
      </c>
      <c r="J9" s="29">
        <f t="shared" si="2"/>
        <v>0.0233766233766234</v>
      </c>
      <c r="K9" s="29">
        <f t="shared" si="2"/>
        <v>0.0228426395939086</v>
      </c>
      <c r="L9" s="29">
        <f t="shared" si="2"/>
        <v>0.0248138957816377</v>
      </c>
      <c r="M9" s="29">
        <f t="shared" si="2"/>
        <v>0.0242130750605327</v>
      </c>
      <c r="N9" s="29">
        <f t="shared" si="2"/>
        <v>-0.146572104018913</v>
      </c>
    </row>
  </sheetData>
  <mergeCells>
    <mergeCell ref="B2:N2"/>
  </mergeCells>
  <conditionalFormatting sqref="D8:N8">
    <cfRule type="cellIs" dxfId="0" priority="4" operator="lessThan" text="null">
      <formula>0</formula>
    </cfRule>
  </conditionalFormatting>
  <conditionalFormatting sqref="D8:N8">
    <cfRule type="cellIs" dxfId="1" priority="3" operator="greaterThan" text="null">
      <formula>0</formula>
    </cfRule>
  </conditionalFormatting>
  <conditionalFormatting sqref="D9:N9">
    <cfRule type="cellIs" dxfId="0" priority="2" operator="lessThan" text="null">
      <formula>0</formula>
    </cfRule>
  </conditionalFormatting>
  <conditionalFormatting sqref="D9:N9">
    <cfRule type="cellIs" dxfId="1" priority="1" operator="greaterThan" text="null">
      <formula>0</formula>
    </cfRule>
  </conditionalFormatting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2cd25042-9067-4dc3-893d-1d5e08001e1c</vt:lpwstr>
  </property>
</Properties>
</file>