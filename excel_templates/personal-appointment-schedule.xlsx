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Default Extension="jpg" ContentType="image/jpg"/>
  <Default Extension="tiff" ContentType="image/tiff"/>
  <Default Extension="jpeg" ContentType="image/jpeg"/>
  <Default Extension="png" ContentType="image/png"/>
  <Default Extension="bmp" ContentType="image/bmp"/>
  <Default Extension="gif" ContentType="image/gif"/>
  <Default Extension="svg" ContentType="image/svg+xml"/>
  <Default Extension="emf" ContentType="image/x-emf"/>
  <Default Extension="wmf" ContentType="image/x-wmf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xl/metadata.xml" ContentType="application/vnd.openxmlformats-officedocument.spreadsheetml.sheetMetadata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/xl/workbook.xml"/><Relationship Id="rId2" Type="http://schemas.openxmlformats.org/package/2006/relationships/metadata/core-properties" Target="/docProps/core.xml"/><Relationship Id="rId3" Type="http://schemas.openxmlformats.org/officeDocument/2006/relationships/extended-properties" Target="/docProps/app.xml"/><Relationship Id="rId4" Type="http://schemas.openxmlformats.org/officeDocument/2006/relationships/custom-properties" Target="/docProps/custom.xml"/></Relationships>
</file>

<file path=xl/workbook.xml><?xml version="1.0" encoding="utf-8"?>
<workbook xmlns="http://schemas.openxmlformats.org/spreadsheetml/2006/main" xmlns:r="http://schemas.openxmlformats.org/officeDocument/2006/relationships">
  <bookViews>
    <workbookView/>
  </bookViews>
  <sheets>
    <sheet r:id="rId1" name="Appointment Schedule" sheetId="1"/>
  </sheets>
  <calcPr calcId="0" iterateCount="100" iterateDelta="0.001"/>
</workbook>
</file>

<file path=xl/metadata.xml><?xml version="1.0" encoding="utf-8"?>
<metadata xmlns="http://schemas.openxmlformats.org/spreadsheetml/2006/main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haredStrings.xml><?xml version="1.0" encoding="utf-8"?>
<sst xmlns="http://schemas.openxmlformats.org/spreadsheetml/2006/main" count="47" uniqueCount="47">
  <si>
    <t>APPOINTMENT SCHEDULE</t>
  </si>
  <si>
    <t>Date:</t>
  </si>
  <si>
    <t>Provider:</t>
  </si>
  <si>
    <t>Dr. Sarah Mitchell</t>
  </si>
  <si>
    <t>Time</t>
  </si>
  <si>
    <t>Client / Patient</t>
  </si>
  <si>
    <t>Service / Purpose</t>
  </si>
  <si>
    <t>Duration</t>
  </si>
  <si>
    <t>Phone / Contact</t>
  </si>
  <si>
    <t>Notes</t>
  </si>
  <si>
    <t>Status</t>
  </si>
  <si>
    <t>Maria Rodriguez</t>
  </si>
  <si>
    <t>Annual Physical</t>
  </si>
  <si>
    <t>60 min</t>
  </si>
  <si>
    <t>(555) 234-5678</t>
  </si>
  <si>
    <t>New patient</t>
  </si>
  <si>
    <t>Confirmed</t>
  </si>
  <si>
    <t>James Chen</t>
  </si>
  <si>
    <t>Follow-up Visit</t>
  </si>
  <si>
    <t>30 min</t>
  </si>
  <si>
    <t>(555) 345-6789</t>
  </si>
  <si>
    <t>Lab results review</t>
  </si>
  <si>
    <t>Emily Watson</t>
  </si>
  <si>
    <t>Consultation</t>
  </si>
  <si>
    <t>45 min</t>
  </si>
  <si>
    <t>(555) 456-7890</t>
  </si>
  <si>
    <t>Referral from Dr. Park</t>
  </si>
  <si>
    <t>Pending</t>
  </si>
  <si>
    <t>Robert Davis</t>
  </si>
  <si>
    <t>Physical Therapy</t>
  </si>
  <si>
    <t>(555) 567-8901</t>
  </si>
  <si>
    <t>☕ LUNCH BREAK ☕</t>
  </si>
  <si>
    <t>Lisa Johnson</t>
  </si>
  <si>
    <t>Check-up</t>
  </si>
  <si>
    <t>(555) 678-9012</t>
  </si>
  <si>
    <t>Insurance: Blue Cross</t>
  </si>
  <si>
    <t>David Kim</t>
  </si>
  <si>
    <t>(555) 789-0123</t>
  </si>
  <si>
    <t>Sarah Brown</t>
  </si>
  <si>
    <t>(555) 890-1234</t>
  </si>
  <si>
    <t>Post-surgery check</t>
  </si>
  <si>
    <t>DAILY SUMMARY</t>
  </si>
  <si>
    <t>Total Appointments</t>
  </si>
  <si>
    <t>Cancelled</t>
  </si>
  <si>
    <t>No Show</t>
  </si>
  <si>
    <t>Completed</t>
  </si>
  <si>
    <t>Utilization Rate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</si>
</sst>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1">
    <numFmt numFmtId="171" formatCode="dddd\,\ mmmm\ d\,\ yyyy"/>
  </numFmts>
  <fonts count="12">
    <font>
      <b val="0"/>
      <i val="0"/>
      <sz val="12"/>
      <color theme="1"/>
      <name val="Aptos Narrow"/>
      <scheme val="minor"/>
    </font>
    <font>
      <b/>
      <i val="0"/>
      <sz val="18"/>
      <color rgb="FF2F3542"/>
      <name val="Aptos"/>
    </font>
    <font>
      <b/>
      <i val="0"/>
      <sz val="11"/>
      <color rgb="FF57606F"/>
      <name val="Aptos"/>
    </font>
    <font>
      <b/>
      <i val="0"/>
      <sz val="11"/>
      <color rgb="FF0070C0"/>
      <name val="Aptos"/>
    </font>
    <font>
      <b val="0"/>
      <i val="0"/>
      <sz val="11"/>
      <color rgb="FF0070C0"/>
      <name val="Aptos"/>
    </font>
    <font>
      <b val="0"/>
      <i val="0"/>
      <sz val="11"/>
      <color theme="1"/>
      <name val="Aptos"/>
    </font>
    <font>
      <b/>
      <i val="0"/>
      <sz val="12"/>
      <color rgb="FFFFFFFF"/>
      <name val="Aptos"/>
    </font>
    <font>
      <b/>
      <i val="0"/>
      <sz val="11"/>
      <color rgb="FF2F3542"/>
      <name val="Aptos"/>
    </font>
    <font>
      <b val="0"/>
      <i/>
      <sz val="11"/>
      <color rgb="FF999999"/>
      <name val="Aptos"/>
    </font>
    <font>
      <b val="0"/>
      <i val="0"/>
      <sz val="11"/>
      <color rgb="FF999999"/>
      <name val="Aptos"/>
    </font>
    <font>
      <b val="0"/>
      <i val="0"/>
      <sz val="11"/>
      <color rgb="FF2F3542"/>
      <name val="Aptos"/>
    </font>
    <font>
      <b/>
      <i val="0"/>
      <sz val="11"/>
      <color rgb="FF000000"/>
      <name val="Aptos"/>
    </font>
  </fonts>
  <fills count="5">
    <fill>
      <patternFill patternType="none"/>
    </fill>
    <fill>
      <patternFill patternType="gray125"/>
    </fill>
    <fill>
      <patternFill patternType="solid">
        <fgColor rgb="FF2F3542"/>
      </patternFill>
    </fill>
    <fill>
      <patternFill patternType="solid">
        <fgColor rgb="FFF5F6F8"/>
      </patternFill>
    </fill>
    <fill>
      <patternFill patternType="solid">
        <fgColor rgb="FFE9ECEF"/>
      </patternFill>
    </fill>
  </fills>
  <borders count="8">
    <border>
      <left/>
      <right/>
      <top/>
      <bottom/>
    </border>
    <border>
      <left/>
      <right/>
      <top/>
      <bottom/>
      <diagonal/>
    </border>
    <border>
      <left/>
      <right/>
      <top/>
      <bottom style="medium">
        <color rgb="FF2F3542"/>
      </bottom>
      <diagonal/>
    </border>
    <border>
      <left/>
      <right/>
      <top style="thin">
        <color rgb="FFE0E0E0"/>
      </top>
      <bottom/>
      <diagonal/>
    </border>
    <border>
      <left/>
      <right/>
      <top style="thin">
        <color rgb="FFADB5BD"/>
      </top>
      <bottom style="thin">
        <color rgb="FFADB5BD"/>
      </bottom>
      <diagonal/>
    </border>
    <border>
      <left/>
      <right/>
      <top style="thin">
        <color rgb="FFE0E0E0"/>
      </top>
      <bottom style="thin">
        <color rgb="FFE0E0E0"/>
      </bottom>
      <diagonal/>
    </border>
    <border>
      <left style="thin">
        <color rgb="FFD1D5DA"/>
      </left>
      <right style="thin">
        <color rgb="FFD1D5DA"/>
      </right>
      <top style="thin">
        <color rgb="FFD1D5DA"/>
      </top>
      <bottom style="thin">
        <color rgb="FFD1D5DA"/>
      </bottom>
      <diagonal/>
    </border>
    <border>
      <left/>
      <right/>
      <top/>
      <bottom style="thin">
        <color rgb="FFE0E0E0"/>
      </bottom>
      <diagonal/>
    </border>
  </borders>
  <cellStyleXfs count="1">
    <xf numFmtId="0" fontId="0" fillId="0" borderId="1"/>
  </cellStyleXfs>
  <cellXfs count="44">
    <xf numFmtId="0" fontId="0" fillId="0" borderId="1" xfId="0"/>
    <xf numFmtId="0" fontId="1" fillId="0" borderId="1" xfId="0"/>
    <xf numFmtId="0" fontId="2" fillId="0" borderId="1" xfId="0"/>
    <xf numFmtId="171" fontId="3" fillId="0" borderId="1" xfId="0">
      <alignment horizontal="left" vertical="bottom"/>
    </xf>
    <xf numFmtId="0" fontId="4" fillId="0" borderId="1" xfId="0"/>
    <xf numFmtId="0" fontId="5" fillId="0" borderId="2" xfId="0"/>
    <xf numFmtId="0" fontId="6" fillId="2" borderId="1" xfId="0">
      <alignment horizontal="center" vertical="bottom"/>
    </xf>
    <xf numFmtId="0" fontId="6" fillId="2" borderId="1" xfId="0">
      <alignment horizontal="left" vertical="bottom"/>
    </xf>
    <xf numFmtId="18" fontId="7" fillId="0" borderId="1" xfId="0">
      <alignment horizontal="center" vertical="bottom"/>
    </xf>
    <xf numFmtId="0" fontId="4" fillId="0" borderId="1" xfId="0">
      <alignment horizontal="center" vertical="bottom"/>
    </xf>
    <xf numFmtId="18" fontId="7" fillId="3" borderId="3" xfId="0">
      <alignment horizontal="center" vertical="bottom"/>
    </xf>
    <xf numFmtId="0" fontId="5" fillId="3" borderId="3" xfId="0"/>
    <xf numFmtId="0" fontId="5" fillId="3" borderId="3" xfId="0">
      <alignment horizontal="center" vertical="bottom"/>
    </xf>
    <xf numFmtId="0" fontId="4" fillId="3" borderId="3" xfId="0">
      <alignment horizontal="center" vertical="bottom"/>
    </xf>
    <xf numFmtId="18" fontId="7" fillId="0" borderId="3" xfId="0">
      <alignment horizontal="center" vertical="bottom"/>
    </xf>
    <xf numFmtId="0" fontId="4" fillId="0" borderId="3" xfId="0"/>
    <xf numFmtId="0" fontId="4" fillId="0" borderId="3" xfId="0">
      <alignment horizontal="center" vertical="bottom"/>
    </xf>
    <xf numFmtId="18" fontId="7" fillId="0" borderId="4" xfId="0">
      <alignment horizontal="center" vertical="bottom"/>
    </xf>
    <xf numFmtId="0" fontId="8" fillId="0" borderId="4" xfId="0">
      <alignment horizontal="center" vertical="bottom"/>
    </xf>
    <xf numFmtId="0" fontId="5" fillId="0" borderId="4" xfId="0"/>
    <xf numFmtId="0" fontId="5" fillId="0" borderId="4" xfId="0">
      <alignment horizontal="center" vertical="bottom"/>
    </xf>
    <xf numFmtId="0" fontId="4" fillId="0" borderId="4" xfId="0">
      <alignment horizontal="center" vertical="bottom"/>
    </xf>
    <xf numFmtId="18" fontId="7" fillId="3" borderId="1" xfId="0">
      <alignment horizontal="center" vertical="bottom"/>
    </xf>
    <xf numFmtId="0" fontId="4" fillId="3" borderId="1" xfId="0"/>
    <xf numFmtId="0" fontId="4" fillId="3" borderId="1" xfId="0">
      <alignment horizontal="center" vertical="bottom"/>
    </xf>
    <xf numFmtId="18" fontId="7" fillId="4" borderId="3" xfId="0">
      <alignment horizontal="center" vertical="bottom"/>
    </xf>
    <xf numFmtId="0" fontId="9" fillId="4" borderId="3" xfId="0">
      <alignment horizontal="center" vertical="bottom"/>
    </xf>
    <xf numFmtId="0" fontId="5" fillId="4" borderId="3" xfId="0"/>
    <xf numFmtId="0" fontId="5" fillId="4" borderId="3" xfId="0">
      <alignment horizontal="center" vertical="bottom"/>
    </xf>
    <xf numFmtId="0" fontId="4" fillId="4" borderId="3" xfId="0">
      <alignment horizontal="center" vertical="bottom"/>
    </xf>
    <xf numFmtId="0" fontId="4" fillId="3" borderId="3" xfId="0"/>
    <xf numFmtId="0" fontId="5" fillId="0" borderId="3" xfId="0"/>
    <xf numFmtId="0" fontId="5" fillId="0" borderId="3" xfId="0">
      <alignment horizontal="center" vertical="bottom"/>
    </xf>
    <xf numFmtId="18" fontId="7" fillId="3" borderId="5" xfId="0">
      <alignment horizontal="center" vertical="bottom"/>
    </xf>
    <xf numFmtId="0" fontId="5" fillId="3" borderId="5" xfId="0"/>
    <xf numFmtId="0" fontId="5" fillId="3" borderId="5" xfId="0">
      <alignment horizontal="center" vertical="bottom"/>
    </xf>
    <xf numFmtId="0" fontId="4" fillId="3" borderId="5" xfId="0">
      <alignment horizontal="center" vertical="bottom"/>
    </xf>
    <xf numFmtId="0" fontId="6" fillId="2" borderId="1" xfId="0"/>
    <xf numFmtId="0" fontId="10" fillId="0" borderId="6" xfId="0"/>
    <xf numFmtId="0" fontId="11" fillId="0" borderId="6" xfId="0">
      <alignment horizontal="center" vertical="bottom"/>
    </xf>
    <xf numFmtId="0" fontId="10" fillId="3" borderId="6" xfId="0"/>
    <xf numFmtId="0" fontId="11" fillId="3" borderId="6" xfId="0">
      <alignment horizontal="center" vertical="bottom"/>
    </xf>
    <xf numFmtId="0" fontId="10" fillId="0" borderId="7" xfId="0"/>
    <xf numFmtId="9" fontId="11" fillId="0" borderId="7" xfId="0">
      <alignment horizontal="center" vertical="bottom"/>
    </xf>
  </cellXfs>
  <cellStyles count="1">
    <cellStyle name="Normal" xfId="0" builtinId="0"/>
  </cellStyles>
  <dxfs count="4">
    <dxf>
      <font>
        <color rgb="FF155724"/>
      </font>
    </dxf>
    <dxf>
      <font>
        <color rgb="FF856404"/>
      </font>
    </dxf>
    <dxf>
      <font>
        <color rgb="FF721C24"/>
      </font>
    </dxf>
    <dxf>
      <font>
        <color rgb="FF004085"/>
      </font>
    </dxf>
  </dxfs>
  <tableStyles count="0" defaultTableStyle="TableStyleMedium2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Relationship Id="rId3" Type="http://schemas.openxmlformats.org/officeDocument/2006/relationships/theme" Target="theme/theme1.xml"/><Relationship Id="rId4" Type="http://schemas.openxmlformats.org/officeDocument/2006/relationships/sharedStrings" Target="sharedStrings.xml"/><Relationship Id="rId5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xr:uid="{F9901008-4D01-43DC-0F48-5389EC690508}" mc:Ignorable="x14ac xr xr2 xr3">
  <dimension ref="A1:CV10000"/>
  <sheetViews>
    <sheetView showGridLines="0" zoomScale="90" workbookViewId="0" tabSelected="1">
      <pane xSplit="1" ySplit="5" topLeftCell="B6" activePane="bottomRight" state="frozen"/>
      <selection pane="bottomLeft" activeCell="A6" sqref="A6"/>
      <selection pane="topRight" activeCell="B1" sqref="B1"/>
      <selection pane="bottomRight" activeCell="C32" sqref="C32"/>
    </sheetView>
  </sheetViews>
  <sheetFormatPr defaultRowHeight="15.997499999999997" defaultColWidth="9.00390625" customHeight="1"/>
  <cols>
    <col min="1" max="1" width="3.375" customWidth="1"/>
    <col min="2" max="2" width="18.125" customWidth="1"/>
    <col min="3" max="3" width="21.25390625" customWidth="1"/>
    <col min="4" max="4" width="18.75390625" customWidth="1"/>
    <col min="5" max="5" width="10.00390625" customWidth="1"/>
    <col min="6" max="6" width="15.625" customWidth="1"/>
    <col min="7" max="7" width="25.00390625" customWidth="1"/>
    <col min="8" max="8" width="13.125" customWidth="1"/>
  </cols>
  <sheetData>
    <row r="1" ht="16.5" customHeight="1"/>
    <row r="2" ht="23.25" customHeight="1">
      <c r="B2" s="1" t="s">
        <v>0</v>
      </c>
    </row>
    <row r="3" ht="15" customHeight="1">
      <c r="B3" s="2" t="s">
        <v>1</v>
      </c>
      <c r="C3" s="3">
        <f>TODAY()</f>
        <v>46101</v>
      </c>
      <c r="F3" s="2" t="s">
        <v>2</v>
      </c>
      <c r="G3" s="4" t="s">
        <v>3</v>
      </c>
    </row>
    <row r="4" ht="16.5" customHeight="1">
      <c r="B4" s="5"/>
      <c r="C4" s="5"/>
      <c r="D4" s="5"/>
      <c r="E4" s="5"/>
      <c r="F4" s="5"/>
      <c r="G4" s="5"/>
      <c r="H4" s="5"/>
    </row>
    <row r="5" ht="16.5" customHeight="1">
      <c r="B5" s="6" t="s">
        <v>4</v>
      </c>
      <c r="C5" s="7" t="s">
        <v>5</v>
      </c>
      <c r="D5" s="7" t="s">
        <v>6</v>
      </c>
      <c r="E5" s="6" t="s">
        <v>7</v>
      </c>
      <c r="F5" s="6" t="s">
        <v>8</v>
      </c>
      <c r="G5" s="7" t="s">
        <v>9</v>
      </c>
      <c r="H5" s="6" t="s">
        <v>10</v>
      </c>
    </row>
    <row r="6" ht="15" customHeight="1">
      <c r="B6" s="8">
        <f>TIME(8,0,0)</f>
        <v>0.3333333333333333</v>
      </c>
      <c r="C6" s="4" t="s">
        <v>11</v>
      </c>
      <c r="D6" s="4" t="s">
        <v>12</v>
      </c>
      <c r="E6" s="9" t="s">
        <v>13</v>
      </c>
      <c r="F6" s="9" t="s">
        <v>14</v>
      </c>
      <c r="G6" s="4" t="s">
        <v>15</v>
      </c>
      <c r="H6" s="9" t="s">
        <v>16</v>
      </c>
    </row>
    <row r="7" ht="15" customHeight="1">
      <c r="B7" s="10">
        <f>TIME(8,30,0)</f>
        <v>0.3541666666666667</v>
      </c>
      <c r="C7" s="11"/>
      <c r="D7" s="11"/>
      <c r="E7" s="12"/>
      <c r="F7" s="12"/>
      <c r="G7" s="11"/>
      <c r="H7" s="13"/>
    </row>
    <row r="8" ht="15" customHeight="1">
      <c r="B8" s="14">
        <f>TIME(9,0,0)</f>
        <v>0.375</v>
      </c>
      <c r="C8" s="15" t="s">
        <v>17</v>
      </c>
      <c r="D8" s="15" t="s">
        <v>18</v>
      </c>
      <c r="E8" s="16" t="s">
        <v>19</v>
      </c>
      <c r="F8" s="16" t="s">
        <v>20</v>
      </c>
      <c r="G8" s="15" t="s">
        <v>21</v>
      </c>
      <c r="H8" s="16" t="s">
        <v>16</v>
      </c>
    </row>
    <row r="9" ht="15" customHeight="1">
      <c r="B9" s="10">
        <f>TIME(9,30,0)</f>
        <v>0.3958333333333333</v>
      </c>
      <c r="C9" s="11"/>
      <c r="D9" s="11"/>
      <c r="E9" s="12"/>
      <c r="F9" s="12"/>
      <c r="G9" s="11"/>
      <c r="H9" s="13"/>
    </row>
    <row r="10" ht="15" customHeight="1">
      <c r="B10" s="14">
        <f>TIME(10,0,0)</f>
        <v>0.4166666666666667</v>
      </c>
      <c r="C10" s="15" t="s">
        <v>22</v>
      </c>
      <c r="D10" s="15" t="s">
        <v>23</v>
      </c>
      <c r="E10" s="16" t="s">
        <v>24</v>
      </c>
      <c r="F10" s="16" t="s">
        <v>25</v>
      </c>
      <c r="G10" s="15" t="s">
        <v>26</v>
      </c>
      <c r="H10" s="16" t="s">
        <v>27</v>
      </c>
    </row>
    <row r="11" ht="15" customHeight="1">
      <c r="B11" s="10">
        <f>TIME(10,30,0)</f>
        <v>0.4375</v>
      </c>
      <c r="C11" s="11"/>
      <c r="D11" s="11"/>
      <c r="E11" s="12"/>
      <c r="F11" s="12"/>
      <c r="G11" s="11"/>
      <c r="H11" s="13"/>
    </row>
    <row r="12" ht="15" customHeight="1">
      <c r="B12" s="17">
        <f>TIME(11,0,0)</f>
        <v>0.4583333333333333</v>
      </c>
      <c r="C12" s="18"/>
      <c r="D12" s="19"/>
      <c r="E12" s="20"/>
      <c r="F12" s="20"/>
      <c r="G12" s="19"/>
      <c r="H12" s="21"/>
    </row>
    <row r="13" ht="15" customHeight="1">
      <c r="B13" s="22">
        <f>TIME(11,30,0)</f>
        <v>0.4791666666666667</v>
      </c>
      <c r="C13" s="23" t="s">
        <v>28</v>
      </c>
      <c r="D13" s="23" t="s">
        <v>29</v>
      </c>
      <c r="E13" s="24" t="s">
        <v>13</v>
      </c>
      <c r="F13" s="24" t="s">
        <v>30</v>
      </c>
      <c r="G13" s="23"/>
      <c r="H13" s="24" t="s">
        <v>16</v>
      </c>
    </row>
    <row r="14" ht="15" customHeight="1">
      <c r="B14" s="25">
        <f>TIME(12,0,0)</f>
        <v>0.5</v>
      </c>
      <c r="C14" s="26" t="s">
        <v>31</v>
      </c>
      <c r="D14" s="27"/>
      <c r="E14" s="28"/>
      <c r="F14" s="28"/>
      <c r="G14" s="27"/>
      <c r="H14" s="29"/>
    </row>
    <row r="15" ht="15" customHeight="1">
      <c r="B15" s="10">
        <f>TIME(12,30,0)</f>
        <v>0.5208333333333334</v>
      </c>
      <c r="C15" s="30" t="s">
        <v>32</v>
      </c>
      <c r="D15" s="30" t="s">
        <v>33</v>
      </c>
      <c r="E15" s="13" t="s">
        <v>19</v>
      </c>
      <c r="F15" s="13" t="s">
        <v>34</v>
      </c>
      <c r="G15" s="30" t="s">
        <v>35</v>
      </c>
      <c r="H15" s="13" t="s">
        <v>27</v>
      </c>
    </row>
    <row r="16" ht="15" customHeight="1">
      <c r="B16" s="14">
        <f>TIME(13,0,0)</f>
        <v>0.5416666666666666</v>
      </c>
      <c r="C16" s="31"/>
      <c r="D16" s="31"/>
      <c r="E16" s="32"/>
      <c r="F16" s="32"/>
      <c r="G16" s="31"/>
      <c r="H16" s="16"/>
    </row>
    <row r="17" ht="15" customHeight="1">
      <c r="B17" s="10">
        <f>TIME(13,30,0)</f>
        <v>0.5625</v>
      </c>
      <c r="C17" s="11"/>
      <c r="D17" s="11"/>
      <c r="E17" s="12"/>
      <c r="F17" s="12"/>
      <c r="G17" s="11"/>
      <c r="H17" s="13"/>
    </row>
    <row r="18" ht="15" customHeight="1">
      <c r="B18" s="14">
        <f>TIME(14,0,0)</f>
        <v>0.5833333333333334</v>
      </c>
      <c r="C18" s="15" t="s">
        <v>36</v>
      </c>
      <c r="D18" s="15" t="s">
        <v>23</v>
      </c>
      <c r="E18" s="16" t="s">
        <v>24</v>
      </c>
      <c r="F18" s="16" t="s">
        <v>37</v>
      </c>
      <c r="G18" s="15"/>
      <c r="H18" s="16" t="s">
        <v>16</v>
      </c>
    </row>
    <row r="19" ht="15" customHeight="1">
      <c r="B19" s="10">
        <f>TIME(14,30,0)</f>
        <v>0.6041666666666666</v>
      </c>
      <c r="C19" s="11"/>
      <c r="D19" s="11"/>
      <c r="E19" s="12"/>
      <c r="F19" s="12"/>
      <c r="G19" s="11"/>
      <c r="H19" s="13"/>
    </row>
    <row r="20" ht="15" customHeight="1">
      <c r="B20" s="14">
        <f>TIME(15,0,0)</f>
        <v>0.625</v>
      </c>
      <c r="C20" s="31"/>
      <c r="D20" s="31"/>
      <c r="E20" s="32"/>
      <c r="F20" s="32"/>
      <c r="G20" s="31"/>
      <c r="H20" s="16"/>
    </row>
    <row r="21" ht="15" customHeight="1">
      <c r="B21" s="10">
        <f>TIME(15,30,0)</f>
        <v>0.6458333333333334</v>
      </c>
      <c r="C21" s="11"/>
      <c r="D21" s="11"/>
      <c r="E21" s="12"/>
      <c r="F21" s="12"/>
      <c r="G21" s="11"/>
      <c r="H21" s="13"/>
    </row>
    <row r="22" ht="15" customHeight="1">
      <c r="B22" s="14">
        <f>TIME(16,0,0)</f>
        <v>0.6666666666666666</v>
      </c>
      <c r="C22" s="15" t="s">
        <v>38</v>
      </c>
      <c r="D22" s="15" t="s">
        <v>18</v>
      </c>
      <c r="E22" s="16" t="s">
        <v>19</v>
      </c>
      <c r="F22" s="16" t="s">
        <v>39</v>
      </c>
      <c r="G22" s="15" t="s">
        <v>40</v>
      </c>
      <c r="H22" s="16" t="s">
        <v>16</v>
      </c>
    </row>
    <row r="23" ht="15" customHeight="1">
      <c r="B23" s="10">
        <f>TIME(16,30,0)</f>
        <v>0.6875</v>
      </c>
      <c r="C23" s="11"/>
      <c r="D23" s="11"/>
      <c r="E23" s="12"/>
      <c r="F23" s="12"/>
      <c r="G23" s="11"/>
      <c r="H23" s="13"/>
    </row>
    <row r="24" ht="15" customHeight="1">
      <c r="B24" s="14">
        <f>TIME(17,0,0)</f>
        <v>0.7083333333333334</v>
      </c>
      <c r="C24" s="31"/>
      <c r="D24" s="31"/>
      <c r="E24" s="32"/>
      <c r="F24" s="32"/>
      <c r="G24" s="31"/>
      <c r="H24" s="16"/>
    </row>
    <row r="25" ht="15" customHeight="1">
      <c r="B25" s="33">
        <f>TIME(17,30,0)</f>
        <v>0.7291666666666666</v>
      </c>
      <c r="C25" s="34"/>
      <c r="D25" s="34"/>
      <c r="E25" s="35"/>
      <c r="F25" s="35"/>
      <c r="G25" s="34"/>
      <c r="H25" s="36"/>
    </row>
    <row r="26" ht="16.5" customHeight="1"/>
    <row r="27" ht="16.5" customHeight="1">
      <c r="B27" s="37" t="s">
        <v>41</v>
      </c>
      <c r="C27" s="37"/>
    </row>
    <row r="28" ht="15" customHeight="1">
      <c r="B28" s="38" t="s">
        <v>42</v>
      </c>
      <c r="C28" s="39">
        <f>COUNTA(C6:C25)-COUNTIF(C6:C25,"*LUNCH*")</f>
        <v>7</v>
      </c>
    </row>
    <row r="29" ht="15" customHeight="1">
      <c r="B29" s="40" t="s">
        <v>16</v>
      </c>
      <c r="C29" s="41">
        <f>COUNTIF(H6:H25,"Confirmed")</f>
        <v>5</v>
      </c>
    </row>
    <row r="30" ht="15" customHeight="1">
      <c r="B30" s="38" t="s">
        <v>27</v>
      </c>
      <c r="C30" s="39">
        <f>COUNTIF(H6:H25,"Pending")</f>
        <v>2</v>
      </c>
    </row>
    <row r="31" ht="15" customHeight="1">
      <c r="B31" s="40" t="s">
        <v>43</v>
      </c>
      <c r="C31" s="41">
        <f>COUNTIF(H6:H25,"Cancelled")</f>
        <v>0</v>
      </c>
    </row>
    <row r="32" ht="15" customHeight="1">
      <c r="B32" s="38" t="s">
        <v>44</v>
      </c>
      <c r="C32" s="39">
        <f>COUNTIF(H6:H25,"No Show")</f>
        <v>0</v>
      </c>
    </row>
    <row r="33" ht="15" customHeight="1">
      <c r="B33" s="40" t="s">
        <v>45</v>
      </c>
      <c r="C33" s="41">
        <f>COUNTIF(H6:H25,"Completed")</f>
        <v>0</v>
      </c>
    </row>
    <row r="34" ht="15" customHeight="1">
      <c r="B34" s="42" t="s">
        <v>46</v>
      </c>
      <c r="C34" s="43">
        <f>C28/19</f>
        <v>0.368421052631579</v>
      </c>
    </row>
    <row r="35" ht="16.5" customHeight="1"/>
    <row r="36" ht="16.5" customHeight="1"/>
    <row r="37" ht="16.5" customHeight="1"/>
    <row r="38" ht="16.5" customHeight="1"/>
    <row r="39" ht="16.5" customHeight="1"/>
    <row r="40" ht="16.5" customHeight="1"/>
    <row r="41" ht="16.5" customHeight="1"/>
    <row r="42" ht="16.5" customHeight="1"/>
    <row r="43" ht="16.5" customHeight="1"/>
    <row r="44" ht="16.5" customHeight="1"/>
    <row r="45" ht="16.5" customHeight="1"/>
    <row r="46" ht="16.5" customHeight="1"/>
    <row r="47" ht="16.5" customHeight="1"/>
    <row r="48" ht="16.5" customHeight="1"/>
    <row r="49" ht="16.5" customHeight="1"/>
    <row r="50" ht="16.5" customHeight="1"/>
    <row r="51" ht="16.5" customHeight="1"/>
    <row r="52" ht="16.5" customHeight="1"/>
    <row r="53" ht="16.5" customHeight="1"/>
    <row r="54" ht="16.5" customHeight="1"/>
    <row r="55" ht="16.5" customHeight="1"/>
    <row r="56" ht="16.5" customHeight="1"/>
    <row r="57" ht="16.5" customHeight="1"/>
    <row r="58" ht="16.5" customHeight="1"/>
    <row r="59" ht="16.5" customHeight="1"/>
    <row r="60" ht="16.5" customHeight="1"/>
    <row r="61" ht="16.5" customHeight="1"/>
    <row r="62" ht="16.5" customHeight="1"/>
    <row r="63" ht="16.5" customHeight="1"/>
    <row r="64" ht="16.5" customHeight="1"/>
    <row r="65" ht="16.5" customHeight="1"/>
    <row r="66" ht="16.5" customHeight="1"/>
    <row r="67" ht="16.5" customHeight="1"/>
    <row r="68" ht="16.5" customHeight="1"/>
    <row r="69" ht="16.5" customHeight="1"/>
    <row r="70" ht="16.5" customHeight="1"/>
    <row r="71" ht="16.5" customHeight="1"/>
    <row r="72" ht="16.5" customHeight="1"/>
    <row r="73" ht="16.5" customHeight="1"/>
    <row r="74" ht="16.5" customHeight="1"/>
    <row r="75" ht="16.5" customHeight="1"/>
    <row r="76" ht="16.5" customHeight="1"/>
    <row r="77" ht="16.5" customHeight="1"/>
    <row r="78" ht="16.5" customHeight="1"/>
    <row r="79" ht="16.5" customHeight="1"/>
    <row r="80" ht="16.5" customHeight="1"/>
    <row r="81" ht="16.5" customHeight="1"/>
    <row r="82" ht="16.5" customHeight="1"/>
    <row r="83" ht="16.5" customHeight="1"/>
    <row r="84" ht="16.5" customHeight="1"/>
    <row r="85" ht="16.5" customHeight="1"/>
    <row r="86" ht="16.5" customHeight="1"/>
    <row r="87" ht="16.5" customHeight="1"/>
    <row r="88" ht="16.5" customHeight="1"/>
    <row r="89" ht="16.5" customHeight="1"/>
    <row r="90" ht="16.5" customHeight="1"/>
    <row r="91" ht="16.5" customHeight="1"/>
    <row r="92" ht="16.5" customHeight="1"/>
    <row r="93" ht="16.5" customHeight="1"/>
    <row r="94" ht="16.5" customHeight="1"/>
    <row r="95" ht="16.5" customHeight="1"/>
    <row r="96" ht="16.5" customHeight="1"/>
    <row r="97" ht="16.5" customHeight="1"/>
    <row r="98" ht="16.5" customHeight="1"/>
    <row r="99" ht="16.5" customHeight="1"/>
    <row r="100" ht="16.5" customHeight="1"/>
    <row r="101" ht="16.5" customHeight="1"/>
    <row r="102" ht="16.5" customHeight="1"/>
    <row r="103" ht="16.5" customHeight="1"/>
    <row r="104" ht="16.5" customHeight="1"/>
    <row r="105" ht="16.5" customHeight="1"/>
    <row r="106" ht="16.5" customHeight="1"/>
    <row r="107" ht="16.5" customHeight="1"/>
    <row r="108" ht="16.5" customHeight="1"/>
    <row r="109" ht="16.5" customHeight="1"/>
    <row r="110" ht="16.5" customHeight="1"/>
    <row r="111" ht="16.5" customHeight="1"/>
    <row r="112" ht="16.5" customHeight="1"/>
    <row r="113" ht="16.5" customHeight="1"/>
    <row r="114" ht="16.5" customHeight="1"/>
    <row r="115" ht="16.5" customHeight="1"/>
    <row r="116" ht="16.5" customHeight="1"/>
    <row r="117" ht="16.5" customHeight="1"/>
    <row r="118" ht="16.5" customHeight="1"/>
    <row r="119" ht="16.5" customHeight="1"/>
    <row r="120" ht="16.5" customHeight="1"/>
    <row r="121" ht="16.5" customHeight="1"/>
    <row r="122" ht="16.5" customHeight="1"/>
    <row r="123" ht="16.5" customHeight="1"/>
    <row r="124" ht="16.5" customHeight="1"/>
    <row r="125" ht="16.5" customHeight="1"/>
    <row r="126" ht="16.5" customHeight="1"/>
    <row r="127" ht="16.5" customHeight="1"/>
    <row r="128" ht="16.5" customHeight="1"/>
    <row r="129" ht="16.5" customHeight="1"/>
    <row r="130" ht="16.5" customHeight="1"/>
    <row r="131" ht="16.5" customHeight="1"/>
    <row r="132" ht="16.5" customHeight="1"/>
    <row r="133" ht="16.5" customHeight="1"/>
    <row r="134" ht="16.5" customHeight="1"/>
    <row r="135" ht="16.5" customHeight="1"/>
    <row r="136" ht="16.5" customHeight="1"/>
    <row r="137" ht="16.5" customHeight="1"/>
    <row r="138" ht="16.5" customHeight="1"/>
    <row r="139" ht="16.5" customHeight="1"/>
    <row r="140" ht="16.5" customHeight="1"/>
    <row r="141" ht="16.5" customHeight="1"/>
    <row r="142" ht="16.5" customHeight="1"/>
    <row r="143" ht="16.5" customHeight="1"/>
    <row r="144" ht="16.5" customHeight="1"/>
    <row r="145" ht="16.5" customHeight="1"/>
    <row r="146" ht="16.5" customHeight="1"/>
    <row r="147" ht="16.5" customHeight="1"/>
    <row r="148" ht="16.5" customHeight="1"/>
    <row r="149" ht="16.5" customHeight="1"/>
    <row r="150" ht="16.5" customHeight="1"/>
    <row r="151" ht="16.5" customHeight="1"/>
    <row r="152" ht="16.5" customHeight="1"/>
    <row r="153" ht="16.5" customHeight="1"/>
    <row r="154" ht="16.5" customHeight="1"/>
    <row r="155" ht="16.5" customHeight="1"/>
    <row r="156" ht="16.5" customHeight="1"/>
    <row r="157" ht="16.5" customHeight="1"/>
    <row r="158" ht="16.5" customHeight="1"/>
    <row r="159" ht="16.5" customHeight="1"/>
    <row r="160" ht="16.5" customHeight="1"/>
    <row r="161" ht="16.5" customHeight="1"/>
    <row r="162" ht="16.5" customHeight="1"/>
    <row r="163" ht="16.5" customHeight="1"/>
    <row r="164" ht="16.5" customHeight="1"/>
    <row r="165" ht="16.5" customHeight="1"/>
    <row r="166" ht="16.5" customHeight="1"/>
    <row r="167" ht="16.5" customHeight="1"/>
    <row r="168" ht="16.5" customHeight="1"/>
    <row r="169" ht="16.5" customHeight="1"/>
    <row r="170" ht="16.5" customHeight="1"/>
    <row r="171" ht="16.5" customHeight="1"/>
    <row r="172" ht="16.5" customHeight="1"/>
    <row r="173" ht="16.5" customHeight="1"/>
    <row r="174" ht="16.5" customHeight="1"/>
    <row r="175" ht="16.5" customHeight="1"/>
    <row r="176" ht="16.5" customHeight="1"/>
    <row r="177" ht="16.5" customHeight="1"/>
    <row r="178" ht="16.5" customHeight="1"/>
    <row r="179" ht="16.5" customHeight="1"/>
    <row r="180" ht="16.5" customHeight="1"/>
    <row r="181" ht="16.5" customHeight="1"/>
    <row r="182" ht="16.5" customHeight="1"/>
    <row r="183" ht="16.5" customHeight="1"/>
    <row r="184" ht="16.5" customHeight="1"/>
    <row r="185" ht="16.5" customHeight="1"/>
    <row r="186" ht="16.5" customHeight="1"/>
    <row r="187" ht="16.5" customHeight="1"/>
    <row r="188" ht="16.5" customHeight="1"/>
    <row r="189" ht="16.5" customHeight="1"/>
    <row r="190" ht="16.5" customHeight="1"/>
    <row r="191" ht="16.5" customHeight="1"/>
    <row r="192" ht="16.5" customHeight="1"/>
    <row r="193" ht="16.5" customHeight="1"/>
    <row r="194" ht="16.5" customHeight="1"/>
    <row r="195" ht="16.5" customHeight="1"/>
    <row r="196" ht="16.5" customHeight="1"/>
    <row r="197" ht="16.5" customHeight="1"/>
    <row r="198" ht="16.5" customHeight="1"/>
    <row r="199" ht="16.5" customHeight="1"/>
    <row r="200" ht="16.5" customHeight="1"/>
    <row r="201" ht="16.5" customHeight="1"/>
    <row r="202" ht="16.5" customHeight="1"/>
    <row r="203" ht="16.5" customHeight="1"/>
    <row r="204" ht="16.5" customHeight="1"/>
    <row r="205" ht="16.5" customHeight="1"/>
    <row r="206" ht="16.5" customHeight="1"/>
    <row r="207" ht="16.5" customHeight="1"/>
    <row r="208" ht="16.5" customHeight="1"/>
    <row r="209" ht="16.5" customHeight="1"/>
    <row r="210" ht="16.5" customHeight="1"/>
    <row r="211" ht="16.5" customHeight="1"/>
    <row r="212" ht="16.5" customHeight="1"/>
    <row r="213" ht="16.5" customHeight="1"/>
    <row r="214" ht="16.5" customHeight="1"/>
    <row r="215" ht="16.5" customHeight="1"/>
    <row r="216" ht="16.5" customHeight="1"/>
    <row r="217" ht="16.5" customHeight="1"/>
    <row r="218" ht="16.5" customHeight="1"/>
    <row r="219" ht="16.5" customHeight="1"/>
    <row r="220" ht="16.5" customHeight="1"/>
    <row r="221" ht="16.5" customHeight="1"/>
    <row r="222" ht="16.5" customHeight="1"/>
    <row r="223" ht="16.5" customHeight="1"/>
    <row r="224" ht="16.5" customHeight="1"/>
    <row r="225" ht="16.5" customHeight="1"/>
    <row r="226" ht="16.5" customHeight="1"/>
    <row r="227" ht="16.5" customHeight="1"/>
    <row r="228" ht="16.5" customHeight="1"/>
    <row r="229" ht="16.5" customHeight="1"/>
    <row r="230" ht="16.5" customHeight="1"/>
    <row r="231" ht="16.5" customHeight="1"/>
    <row r="232" ht="16.5" customHeight="1"/>
    <row r="233" ht="16.5" customHeight="1"/>
    <row r="234" ht="16.5" customHeight="1"/>
    <row r="235" ht="16.5" customHeight="1"/>
    <row r="236" ht="16.5" customHeight="1"/>
    <row r="237" ht="16.5" customHeight="1"/>
    <row r="238" ht="16.5" customHeight="1"/>
    <row r="239" ht="16.5" customHeight="1"/>
    <row r="240" ht="16.5" customHeight="1"/>
    <row r="241" ht="16.5" customHeight="1"/>
    <row r="242" ht="16.5" customHeight="1"/>
    <row r="243" ht="16.5" customHeight="1"/>
    <row r="244" ht="16.5" customHeight="1"/>
    <row r="245" ht="16.5" customHeight="1"/>
    <row r="246" ht="16.5" customHeight="1"/>
    <row r="247" ht="16.5" customHeight="1"/>
    <row r="248" ht="16.5" customHeight="1"/>
    <row r="249" ht="16.5" customHeight="1"/>
    <row r="250" ht="16.5" customHeight="1"/>
    <row r="251" ht="16.5" customHeight="1"/>
    <row r="252" ht="16.5" customHeight="1"/>
    <row r="253" ht="16.5" customHeight="1"/>
    <row r="254" ht="16.5" customHeight="1"/>
    <row r="255" ht="16.5" customHeight="1"/>
    <row r="256" ht="16.5" customHeight="1"/>
    <row r="257" ht="16.5" customHeight="1"/>
    <row r="258" ht="16.5" customHeight="1"/>
    <row r="259" ht="16.5" customHeight="1"/>
    <row r="260" ht="16.5" customHeight="1"/>
    <row r="261" ht="16.5" customHeight="1"/>
    <row r="262" ht="16.5" customHeight="1"/>
    <row r="263" ht="16.5" customHeight="1"/>
    <row r="264" ht="16.5" customHeight="1"/>
    <row r="265" ht="16.5" customHeight="1"/>
    <row r="266" ht="16.5" customHeight="1"/>
    <row r="267" ht="16.5" customHeight="1"/>
    <row r="268" ht="16.5" customHeight="1"/>
    <row r="269" ht="16.5" customHeight="1"/>
    <row r="270" ht="16.5" customHeight="1"/>
    <row r="271" ht="16.5" customHeight="1"/>
    <row r="272" ht="16.5" customHeight="1"/>
    <row r="273" ht="16.5" customHeight="1"/>
    <row r="274" ht="16.5" customHeight="1"/>
    <row r="275" ht="16.5" customHeight="1"/>
    <row r="276" ht="16.5" customHeight="1"/>
    <row r="277" ht="16.5" customHeight="1"/>
    <row r="278" ht="16.5" customHeight="1"/>
    <row r="279" ht="16.5" customHeight="1"/>
    <row r="280" ht="16.5" customHeight="1"/>
    <row r="281" ht="16.5" customHeight="1"/>
    <row r="282" ht="16.5" customHeight="1"/>
    <row r="283" ht="16.5" customHeight="1"/>
    <row r="284" ht="16.5" customHeight="1"/>
    <row r="285" ht="16.5" customHeight="1"/>
    <row r="286" ht="16.5" customHeight="1"/>
    <row r="287" ht="16.5" customHeight="1"/>
    <row r="288" ht="16.5" customHeight="1"/>
    <row r="289" ht="16.5" customHeight="1"/>
    <row r="290" ht="16.5" customHeight="1"/>
    <row r="291" ht="16.5" customHeight="1"/>
    <row r="292" ht="16.5" customHeight="1"/>
    <row r="293" ht="16.5" customHeight="1"/>
    <row r="294" ht="16.5" customHeight="1"/>
    <row r="295" ht="16.5" customHeight="1"/>
    <row r="296" ht="16.5" customHeight="1"/>
    <row r="297" ht="16.5" customHeight="1"/>
    <row r="298" ht="16.5" customHeight="1"/>
    <row r="299" ht="16.5" customHeight="1"/>
    <row r="300" ht="16.5" customHeight="1"/>
    <row r="301" ht="16.5" customHeight="1"/>
    <row r="302" ht="16.5" customHeight="1"/>
    <row r="303" ht="16.5" customHeight="1"/>
    <row r="304" ht="16.5" customHeight="1"/>
    <row r="305" ht="16.5" customHeight="1"/>
    <row r="306" ht="16.5" customHeight="1"/>
    <row r="307" ht="16.5" customHeight="1"/>
    <row r="308" ht="16.5" customHeight="1"/>
    <row r="309" ht="16.5" customHeight="1"/>
    <row r="310" ht="16.5" customHeight="1"/>
    <row r="311" ht="16.5" customHeight="1"/>
    <row r="312" ht="16.5" customHeight="1"/>
    <row r="313" ht="16.5" customHeight="1"/>
    <row r="314" ht="16.5" customHeight="1"/>
    <row r="315" ht="16.5" customHeight="1"/>
    <row r="316" ht="16.5" customHeight="1"/>
    <row r="317" ht="16.5" customHeight="1"/>
    <row r="318" ht="16.5" customHeight="1"/>
    <row r="319" ht="16.5" customHeight="1"/>
    <row r="320" ht="16.5" customHeight="1"/>
    <row r="321" ht="16.5" customHeight="1"/>
    <row r="322" ht="16.5" customHeight="1"/>
    <row r="323" ht="16.5" customHeight="1"/>
    <row r="324" ht="16.5" customHeight="1"/>
    <row r="325" ht="16.5" customHeight="1"/>
    <row r="326" ht="16.5" customHeight="1"/>
    <row r="327" ht="16.5" customHeight="1"/>
    <row r="328" ht="16.5" customHeight="1"/>
    <row r="329" ht="16.5" customHeight="1"/>
    <row r="330" ht="16.5" customHeight="1"/>
    <row r="331" ht="16.5" customHeight="1"/>
    <row r="332" ht="16.5" customHeight="1"/>
    <row r="333" ht="16.5" customHeight="1"/>
    <row r="334" ht="16.5" customHeight="1"/>
    <row r="335" ht="16.5" customHeight="1"/>
    <row r="336" ht="16.5" customHeight="1"/>
    <row r="337" ht="16.5" customHeight="1"/>
    <row r="338" ht="16.5" customHeight="1"/>
    <row r="339" ht="16.5" customHeight="1"/>
    <row r="340" ht="16.5" customHeight="1"/>
    <row r="341" ht="16.5" customHeight="1"/>
    <row r="342" ht="16.5" customHeight="1"/>
    <row r="343" ht="16.5" customHeight="1"/>
    <row r="344" ht="16.5" customHeight="1"/>
    <row r="345" ht="16.5" customHeight="1"/>
    <row r="346" ht="16.5" customHeight="1"/>
    <row r="347" ht="16.5" customHeight="1"/>
    <row r="348" ht="16.5" customHeight="1"/>
    <row r="349" ht="16.5" customHeight="1"/>
    <row r="350" ht="16.5" customHeight="1"/>
    <row r="351" ht="16.5" customHeight="1"/>
    <row r="352" ht="16.5" customHeight="1"/>
    <row r="353" ht="16.5" customHeight="1"/>
    <row r="354" ht="16.5" customHeight="1"/>
    <row r="355" ht="16.5" customHeight="1"/>
    <row r="356" ht="16.5" customHeight="1"/>
    <row r="357" ht="16.5" customHeight="1"/>
    <row r="358" ht="16.5" customHeight="1"/>
    <row r="359" ht="16.5" customHeight="1"/>
    <row r="360" ht="16.5" customHeight="1"/>
    <row r="361" ht="16.5" customHeight="1"/>
    <row r="362" ht="16.5" customHeight="1"/>
    <row r="363" ht="16.5" customHeight="1"/>
    <row r="364" ht="16.5" customHeight="1"/>
    <row r="365" ht="16.5" customHeight="1"/>
    <row r="366" ht="16.5" customHeight="1"/>
    <row r="367" ht="16.5" customHeight="1"/>
    <row r="368" ht="16.5" customHeight="1"/>
    <row r="369" ht="16.5" customHeight="1"/>
    <row r="370" ht="16.5" customHeight="1"/>
    <row r="371" ht="16.5" customHeight="1"/>
    <row r="372" ht="16.5" customHeight="1"/>
    <row r="373" ht="16.5" customHeight="1"/>
    <row r="374" ht="16.5" customHeight="1"/>
    <row r="375" ht="16.5" customHeight="1"/>
    <row r="376" ht="16.5" customHeight="1"/>
    <row r="377" ht="16.5" customHeight="1"/>
    <row r="378" ht="16.5" customHeight="1"/>
    <row r="379" ht="16.5" customHeight="1"/>
    <row r="380" ht="16.5" customHeight="1"/>
    <row r="381" ht="16.5" customHeight="1"/>
    <row r="382" ht="16.5" customHeight="1"/>
    <row r="383" ht="16.5" customHeight="1"/>
    <row r="384" ht="16.5" customHeight="1"/>
    <row r="385" ht="16.5" customHeight="1"/>
    <row r="386" ht="16.5" customHeight="1"/>
    <row r="387" ht="16.5" customHeight="1"/>
    <row r="388" ht="16.5" customHeight="1"/>
    <row r="389" ht="16.5" customHeight="1"/>
    <row r="390" ht="16.5" customHeight="1"/>
    <row r="391" ht="16.5" customHeight="1"/>
    <row r="392" ht="16.5" customHeight="1"/>
    <row r="393" ht="16.5" customHeight="1"/>
    <row r="394" ht="16.5" customHeight="1"/>
    <row r="395" ht="16.5" customHeight="1"/>
    <row r="396" ht="16.5" customHeight="1"/>
    <row r="397" ht="16.5" customHeight="1"/>
    <row r="398" ht="16.5" customHeight="1"/>
    <row r="399" ht="16.5" customHeight="1"/>
    <row r="400" ht="16.5" customHeight="1"/>
    <row r="401" ht="16.5" customHeight="1"/>
    <row r="402" ht="16.5" customHeight="1"/>
    <row r="403" ht="16.5" customHeight="1"/>
    <row r="404" ht="16.5" customHeight="1"/>
    <row r="405" ht="16.5" customHeight="1"/>
    <row r="406" ht="16.5" customHeight="1"/>
    <row r="407" ht="16.5" customHeight="1"/>
    <row r="408" ht="16.5" customHeight="1"/>
    <row r="409" ht="16.5" customHeight="1"/>
    <row r="410" ht="16.5" customHeight="1"/>
    <row r="411" ht="16.5" customHeight="1"/>
    <row r="412" ht="16.5" customHeight="1"/>
    <row r="413" ht="16.5" customHeight="1"/>
    <row r="414" ht="16.5" customHeight="1"/>
    <row r="415" ht="16.5" customHeight="1"/>
    <row r="416" ht="16.5" customHeight="1"/>
    <row r="417" ht="16.5" customHeight="1"/>
    <row r="418" ht="16.5" customHeight="1"/>
    <row r="419" ht="16.5" customHeight="1"/>
    <row r="420" ht="16.5" customHeight="1"/>
    <row r="421" ht="16.5" customHeight="1"/>
    <row r="422" ht="16.5" customHeight="1"/>
    <row r="423" ht="16.5" customHeight="1"/>
    <row r="424" ht="16.5" customHeight="1"/>
    <row r="425" ht="16.5" customHeight="1"/>
    <row r="426" ht="16.5" customHeight="1"/>
    <row r="427" ht="16.5" customHeight="1"/>
    <row r="428" ht="16.5" customHeight="1"/>
    <row r="429" ht="16.5" customHeight="1"/>
    <row r="430" ht="16.5" customHeight="1"/>
    <row r="431" ht="16.5" customHeight="1"/>
    <row r="432" ht="16.5" customHeight="1"/>
    <row r="433" ht="16.5" customHeight="1"/>
    <row r="434" ht="16.5" customHeight="1"/>
    <row r="435" ht="16.5" customHeight="1"/>
    <row r="436" ht="16.5" customHeight="1"/>
    <row r="437" ht="16.5" customHeight="1"/>
    <row r="438" ht="16.5" customHeight="1"/>
    <row r="439" ht="16.5" customHeight="1"/>
    <row r="440" ht="16.5" customHeight="1"/>
    <row r="441" ht="16.5" customHeight="1"/>
    <row r="442" ht="16.5" customHeight="1"/>
    <row r="443" ht="16.5" customHeight="1"/>
    <row r="444" ht="16.5" customHeight="1"/>
    <row r="445" ht="16.5" customHeight="1"/>
    <row r="446" ht="16.5" customHeight="1"/>
    <row r="447" ht="16.5" customHeight="1"/>
    <row r="448" ht="16.5" customHeight="1"/>
    <row r="449" ht="16.5" customHeight="1"/>
    <row r="450" ht="16.5" customHeight="1"/>
    <row r="451" ht="16.5" customHeight="1"/>
    <row r="452" ht="16.5" customHeight="1"/>
    <row r="453" ht="16.5" customHeight="1"/>
    <row r="454" ht="16.5" customHeight="1"/>
    <row r="455" ht="16.5" customHeight="1"/>
    <row r="456" ht="16.5" customHeight="1"/>
    <row r="457" ht="16.5" customHeight="1"/>
    <row r="458" ht="16.5" customHeight="1"/>
    <row r="459" ht="16.5" customHeight="1"/>
    <row r="460" ht="16.5" customHeight="1"/>
    <row r="461" ht="16.5" customHeight="1"/>
    <row r="462" ht="16.5" customHeight="1"/>
    <row r="463" ht="16.5" customHeight="1"/>
    <row r="464" ht="16.5" customHeight="1"/>
    <row r="465" ht="16.5" customHeight="1"/>
    <row r="466" ht="16.5" customHeight="1"/>
    <row r="467" ht="16.5" customHeight="1"/>
    <row r="468" ht="16.5" customHeight="1"/>
    <row r="469" ht="16.5" customHeight="1"/>
    <row r="470" ht="16.5" customHeight="1"/>
    <row r="471" ht="16.5" customHeight="1"/>
    <row r="472" ht="16.5" customHeight="1"/>
    <row r="473" ht="16.5" customHeight="1"/>
    <row r="474" ht="16.5" customHeight="1"/>
    <row r="475" ht="16.5" customHeight="1"/>
    <row r="476" ht="16.5" customHeight="1"/>
    <row r="477" ht="16.5" customHeight="1"/>
    <row r="478" ht="16.5" customHeight="1"/>
    <row r="479" ht="16.5" customHeight="1"/>
    <row r="480" ht="16.5" customHeight="1"/>
    <row r="481" ht="16.5" customHeight="1"/>
    <row r="482" ht="16.5" customHeight="1"/>
    <row r="483" ht="16.5" customHeight="1"/>
    <row r="484" ht="16.5" customHeight="1"/>
    <row r="485" ht="16.5" customHeight="1"/>
    <row r="486" ht="16.5" customHeight="1"/>
    <row r="487" ht="16.5" customHeight="1"/>
    <row r="488" ht="16.5" customHeight="1"/>
    <row r="489" ht="16.5" customHeight="1"/>
    <row r="490" ht="16.5" customHeight="1"/>
    <row r="491" ht="16.5" customHeight="1"/>
    <row r="492" ht="16.5" customHeight="1"/>
    <row r="493" ht="16.5" customHeight="1"/>
    <row r="494" ht="16.5" customHeight="1"/>
    <row r="495" ht="16.5" customHeight="1"/>
    <row r="496" ht="16.5" customHeight="1"/>
    <row r="497" ht="16.5" customHeight="1"/>
    <row r="498" ht="16.5" customHeight="1"/>
    <row r="499" ht="16.5" customHeight="1"/>
    <row r="500" ht="16.5" customHeight="1"/>
    <row r="501" ht="16.5" customHeight="1"/>
    <row r="502" ht="16.5" customHeight="1"/>
    <row r="503" ht="16.5" customHeight="1"/>
    <row r="504" ht="16.5" customHeight="1"/>
    <row r="505" ht="16.5" customHeight="1"/>
    <row r="506" ht="16.5" customHeight="1"/>
    <row r="507" ht="16.5" customHeight="1"/>
    <row r="508" ht="16.5" customHeight="1"/>
    <row r="509" ht="16.5" customHeight="1"/>
    <row r="510" ht="16.5" customHeight="1"/>
    <row r="511" ht="16.5" customHeight="1"/>
    <row r="512" ht="16.5" customHeight="1"/>
    <row r="513" ht="16.5" customHeight="1"/>
    <row r="514" ht="16.5" customHeight="1"/>
    <row r="515" ht="16.5" customHeight="1"/>
    <row r="516" ht="16.5" customHeight="1"/>
    <row r="517" ht="16.5" customHeight="1"/>
    <row r="518" ht="16.5" customHeight="1"/>
    <row r="519" ht="16.5" customHeight="1"/>
    <row r="520" ht="16.5" customHeight="1"/>
    <row r="521" ht="16.5" customHeight="1"/>
    <row r="522" ht="16.5" customHeight="1"/>
    <row r="523" ht="16.5" customHeight="1"/>
    <row r="524" ht="16.5" customHeight="1"/>
    <row r="525" ht="16.5" customHeight="1"/>
    <row r="526" ht="16.5" customHeight="1"/>
    <row r="527" ht="16.5" customHeight="1"/>
    <row r="528" ht="16.5" customHeight="1"/>
    <row r="529" ht="16.5" customHeight="1"/>
    <row r="530" ht="16.5" customHeight="1"/>
    <row r="531" ht="16.5" customHeight="1"/>
    <row r="532" ht="16.5" customHeight="1"/>
    <row r="533" ht="16.5" customHeight="1"/>
    <row r="534" ht="16.5" customHeight="1"/>
    <row r="535" ht="16.5" customHeight="1"/>
    <row r="536" ht="16.5" customHeight="1"/>
    <row r="537" ht="16.5" customHeight="1"/>
    <row r="538" ht="16.5" customHeight="1"/>
    <row r="539" ht="16.5" customHeight="1"/>
    <row r="540" ht="16.5" customHeight="1"/>
    <row r="541" ht="16.5" customHeight="1"/>
    <row r="542" ht="16.5" customHeight="1"/>
    <row r="543" ht="16.5" customHeight="1"/>
    <row r="544" ht="16.5" customHeight="1"/>
    <row r="545" ht="16.5" customHeight="1"/>
    <row r="546" ht="16.5" customHeight="1"/>
    <row r="547" ht="16.5" customHeight="1"/>
    <row r="548" ht="16.5" customHeight="1"/>
    <row r="549" ht="16.5" customHeight="1"/>
    <row r="550" ht="16.5" customHeight="1"/>
    <row r="551" ht="16.5" customHeight="1"/>
    <row r="552" ht="16.5" customHeight="1"/>
    <row r="553" ht="16.5" customHeight="1"/>
    <row r="554" ht="16.5" customHeight="1"/>
    <row r="555" ht="16.5" customHeight="1"/>
    <row r="556" ht="16.5" customHeight="1"/>
    <row r="557" ht="16.5" customHeight="1"/>
    <row r="558" ht="16.5" customHeight="1"/>
    <row r="559" ht="16.5" customHeight="1"/>
    <row r="560" ht="16.5" customHeight="1"/>
    <row r="561" ht="16.5" customHeight="1"/>
    <row r="562" ht="16.5" customHeight="1"/>
    <row r="563" ht="16.5" customHeight="1"/>
    <row r="564" ht="16.5" customHeight="1"/>
    <row r="565" ht="16.5" customHeight="1"/>
    <row r="566" ht="16.5" customHeight="1"/>
    <row r="567" ht="16.5" customHeight="1"/>
    <row r="568" ht="16.5" customHeight="1"/>
    <row r="569" ht="16.5" customHeight="1"/>
    <row r="570" ht="16.5" customHeight="1"/>
    <row r="571" ht="16.5" customHeight="1"/>
    <row r="572" ht="16.5" customHeight="1"/>
    <row r="573" ht="16.5" customHeight="1"/>
    <row r="574" ht="16.5" customHeight="1"/>
    <row r="575" ht="16.5" customHeight="1"/>
    <row r="576" ht="16.5" customHeight="1"/>
    <row r="577" ht="16.5" customHeight="1"/>
    <row r="578" ht="16.5" customHeight="1"/>
    <row r="579" ht="16.5" customHeight="1"/>
    <row r="580" ht="16.5" customHeight="1"/>
    <row r="581" ht="16.5" customHeight="1"/>
    <row r="582" ht="16.5" customHeight="1"/>
    <row r="583" ht="16.5" customHeight="1"/>
    <row r="584" ht="16.5" customHeight="1"/>
    <row r="585" ht="16.5" customHeight="1"/>
    <row r="586" ht="16.5" customHeight="1"/>
    <row r="587" ht="16.5" customHeight="1"/>
    <row r="588" ht="16.5" customHeight="1"/>
    <row r="589" ht="16.5" customHeight="1"/>
    <row r="590" ht="16.5" customHeight="1"/>
    <row r="591" ht="16.5" customHeight="1"/>
    <row r="592" ht="16.5" customHeight="1"/>
    <row r="593" ht="16.5" customHeight="1"/>
    <row r="594" ht="16.5" customHeight="1"/>
    <row r="595" ht="16.5" customHeight="1"/>
    <row r="596" ht="16.5" customHeight="1"/>
    <row r="597" ht="16.5" customHeight="1"/>
    <row r="598" ht="16.5" customHeight="1"/>
    <row r="599" ht="16.5" customHeight="1"/>
    <row r="600" ht="16.5" customHeight="1"/>
    <row r="601" ht="16.5" customHeight="1"/>
    <row r="602" ht="16.5" customHeight="1"/>
    <row r="603" ht="16.5" customHeight="1"/>
    <row r="604" ht="16.5" customHeight="1"/>
    <row r="605" ht="16.5" customHeight="1"/>
    <row r="606" ht="16.5" customHeight="1"/>
    <row r="607" ht="16.5" customHeight="1"/>
    <row r="608" ht="16.5" customHeight="1"/>
    <row r="609" ht="16.5" customHeight="1"/>
    <row r="610" ht="16.5" customHeight="1"/>
    <row r="611" ht="16.5" customHeight="1"/>
    <row r="612" ht="16.5" customHeight="1"/>
    <row r="613" ht="16.5" customHeight="1"/>
    <row r="614" ht="16.5" customHeight="1"/>
    <row r="615" ht="16.5" customHeight="1"/>
    <row r="616" ht="16.5" customHeight="1"/>
    <row r="617" ht="16.5" customHeight="1"/>
    <row r="618" ht="16.5" customHeight="1"/>
    <row r="619" ht="16.5" customHeight="1"/>
    <row r="620" ht="16.5" customHeight="1"/>
    <row r="621" ht="16.5" customHeight="1"/>
    <row r="622" ht="16.5" customHeight="1"/>
    <row r="623" ht="16.5" customHeight="1"/>
    <row r="624" ht="16.5" customHeight="1"/>
    <row r="625" ht="16.5" customHeight="1"/>
    <row r="626" ht="16.5" customHeight="1"/>
    <row r="627" ht="16.5" customHeight="1"/>
    <row r="628" ht="16.5" customHeight="1"/>
    <row r="629" ht="16.5" customHeight="1"/>
    <row r="630" ht="16.5" customHeight="1"/>
    <row r="631" ht="16.5" customHeight="1"/>
    <row r="632" ht="16.5" customHeight="1"/>
    <row r="633" ht="16.5" customHeight="1"/>
    <row r="634" ht="16.5" customHeight="1"/>
    <row r="635" ht="16.5" customHeight="1"/>
    <row r="636" ht="16.5" customHeight="1"/>
    <row r="637" ht="16.5" customHeight="1"/>
    <row r="638" ht="16.5" customHeight="1"/>
    <row r="639" ht="16.5" customHeight="1"/>
    <row r="640" ht="16.5" customHeight="1"/>
    <row r="641" ht="16.5" customHeight="1"/>
    <row r="642" ht="16.5" customHeight="1"/>
    <row r="643" ht="16.5" customHeight="1"/>
    <row r="644" ht="16.5" customHeight="1"/>
    <row r="645" ht="16.5" customHeight="1"/>
    <row r="646" ht="16.5" customHeight="1"/>
    <row r="647" ht="16.5" customHeight="1"/>
    <row r="648" ht="16.5" customHeight="1"/>
    <row r="649" ht="16.5" customHeight="1"/>
    <row r="650" ht="16.5" customHeight="1"/>
    <row r="651" ht="16.5" customHeight="1"/>
    <row r="652" ht="16.5" customHeight="1"/>
    <row r="653" ht="16.5" customHeight="1"/>
    <row r="654" ht="16.5" customHeight="1"/>
    <row r="655" ht="16.5" customHeight="1"/>
    <row r="656" ht="16.5" customHeight="1"/>
    <row r="657" ht="16.5" customHeight="1"/>
    <row r="658" ht="16.5" customHeight="1"/>
    <row r="659" ht="16.5" customHeight="1"/>
    <row r="660" ht="16.5" customHeight="1"/>
    <row r="661" ht="16.5" customHeight="1"/>
    <row r="662" ht="16.5" customHeight="1"/>
    <row r="663" ht="16.5" customHeight="1"/>
    <row r="664" ht="16.5" customHeight="1"/>
    <row r="665" ht="16.5" customHeight="1"/>
    <row r="666" ht="16.5" customHeight="1"/>
    <row r="667" ht="16.5" customHeight="1"/>
    <row r="668" ht="16.5" customHeight="1"/>
    <row r="669" ht="16.5" customHeight="1"/>
    <row r="670" ht="16.5" customHeight="1"/>
    <row r="671" ht="16.5" customHeight="1"/>
    <row r="672" ht="16.5" customHeight="1"/>
    <row r="673" ht="16.5" customHeight="1"/>
    <row r="674" ht="16.5" customHeight="1"/>
    <row r="675" ht="16.5" customHeight="1"/>
    <row r="676" ht="16.5" customHeight="1"/>
    <row r="677" ht="16.5" customHeight="1"/>
    <row r="678" ht="16.5" customHeight="1"/>
    <row r="679" ht="16.5" customHeight="1"/>
    <row r="680" ht="16.5" customHeight="1"/>
    <row r="681" ht="16.5" customHeight="1"/>
    <row r="682" ht="16.5" customHeight="1"/>
    <row r="683" ht="16.5" customHeight="1"/>
    <row r="684" ht="16.5" customHeight="1"/>
    <row r="685" ht="16.5" customHeight="1"/>
    <row r="686" ht="16.5" customHeight="1"/>
    <row r="687" ht="16.5" customHeight="1"/>
    <row r="688" ht="16.5" customHeight="1"/>
    <row r="689" ht="16.5" customHeight="1"/>
    <row r="690" ht="16.5" customHeight="1"/>
    <row r="691" ht="16.5" customHeight="1"/>
    <row r="692" ht="16.5" customHeight="1"/>
    <row r="693" ht="16.5" customHeight="1"/>
    <row r="694" ht="16.5" customHeight="1"/>
    <row r="695" ht="16.5" customHeight="1"/>
    <row r="696" ht="16.5" customHeight="1"/>
    <row r="697" ht="16.5" customHeight="1"/>
    <row r="698" ht="16.5" customHeight="1"/>
    <row r="699" ht="16.5" customHeight="1"/>
    <row r="700" ht="16.5" customHeight="1"/>
    <row r="701" ht="16.5" customHeight="1"/>
    <row r="702" ht="16.5" customHeight="1"/>
    <row r="703" ht="16.5" customHeight="1"/>
    <row r="704" ht="16.5" customHeight="1"/>
    <row r="705" ht="16.5" customHeight="1"/>
    <row r="706" ht="16.5" customHeight="1"/>
    <row r="707" ht="16.5" customHeight="1"/>
    <row r="708" ht="16.5" customHeight="1"/>
    <row r="709" ht="16.5" customHeight="1"/>
    <row r="710" ht="16.5" customHeight="1"/>
    <row r="711" ht="16.5" customHeight="1"/>
    <row r="712" ht="16.5" customHeight="1"/>
    <row r="713" ht="16.5" customHeight="1"/>
    <row r="714" ht="16.5" customHeight="1"/>
    <row r="715" ht="16.5" customHeight="1"/>
    <row r="716" ht="16.5" customHeight="1"/>
    <row r="717" ht="16.5" customHeight="1"/>
    <row r="718" ht="16.5" customHeight="1"/>
    <row r="719" ht="16.5" customHeight="1"/>
    <row r="720" ht="16.5" customHeight="1"/>
    <row r="721" ht="16.5" customHeight="1"/>
    <row r="722" ht="16.5" customHeight="1"/>
    <row r="723" ht="16.5" customHeight="1"/>
    <row r="724" ht="16.5" customHeight="1"/>
    <row r="725" ht="16.5" customHeight="1"/>
    <row r="726" ht="16.5" customHeight="1"/>
    <row r="727" ht="16.5" customHeight="1"/>
    <row r="728" ht="16.5" customHeight="1"/>
    <row r="729" ht="16.5" customHeight="1"/>
    <row r="730" ht="16.5" customHeight="1"/>
    <row r="731" ht="16.5" customHeight="1"/>
    <row r="732" ht="16.5" customHeight="1"/>
    <row r="733" ht="16.5" customHeight="1"/>
    <row r="734" ht="16.5" customHeight="1"/>
    <row r="735" ht="16.5" customHeight="1"/>
    <row r="736" ht="16.5" customHeight="1"/>
    <row r="737" ht="16.5" customHeight="1"/>
    <row r="738" ht="16.5" customHeight="1"/>
    <row r="739" ht="16.5" customHeight="1"/>
    <row r="740" ht="16.5" customHeight="1"/>
    <row r="741" ht="16.5" customHeight="1"/>
    <row r="742" ht="16.5" customHeight="1"/>
    <row r="743" ht="16.5" customHeight="1"/>
    <row r="744" ht="16.5" customHeight="1"/>
    <row r="745" ht="16.5" customHeight="1"/>
    <row r="746" ht="16.5" customHeight="1"/>
    <row r="747" ht="16.5" customHeight="1"/>
    <row r="748" ht="16.5" customHeight="1"/>
    <row r="749" ht="16.5" customHeight="1"/>
    <row r="750" ht="16.5" customHeight="1"/>
    <row r="751" ht="16.5" customHeight="1"/>
    <row r="752" ht="16.5" customHeight="1"/>
    <row r="753" ht="16.5" customHeight="1"/>
    <row r="754" ht="16.5" customHeight="1"/>
    <row r="755" ht="16.5" customHeight="1"/>
    <row r="756" ht="16.5" customHeight="1"/>
    <row r="757" ht="16.5" customHeight="1"/>
    <row r="758" ht="16.5" customHeight="1"/>
    <row r="759" ht="16.5" customHeight="1"/>
    <row r="760" ht="16.5" customHeight="1"/>
    <row r="761" ht="16.5" customHeight="1"/>
    <row r="762" ht="16.5" customHeight="1"/>
    <row r="763" ht="16.5" customHeight="1"/>
    <row r="764" ht="16.5" customHeight="1"/>
    <row r="765" ht="16.5" customHeight="1"/>
    <row r="766" ht="16.5" customHeight="1"/>
    <row r="767" ht="16.5" customHeight="1"/>
    <row r="768" ht="16.5" customHeight="1"/>
    <row r="769" ht="16.5" customHeight="1"/>
    <row r="770" ht="16.5" customHeight="1"/>
    <row r="771" ht="16.5" customHeight="1"/>
    <row r="772" ht="16.5" customHeight="1"/>
    <row r="773" ht="16.5" customHeight="1"/>
    <row r="774" ht="16.5" customHeight="1"/>
    <row r="775" ht="16.5" customHeight="1"/>
    <row r="776" ht="16.5" customHeight="1"/>
    <row r="777" ht="16.5" customHeight="1"/>
    <row r="778" ht="16.5" customHeight="1"/>
    <row r="779" ht="16.5" customHeight="1"/>
    <row r="780" ht="16.5" customHeight="1"/>
    <row r="781" ht="16.5" customHeight="1"/>
    <row r="782" ht="16.5" customHeight="1"/>
    <row r="783" ht="16.5" customHeight="1"/>
    <row r="784" ht="16.5" customHeight="1"/>
    <row r="785" ht="16.5" customHeight="1"/>
    <row r="786" ht="16.5" customHeight="1"/>
    <row r="787" ht="16.5" customHeight="1"/>
    <row r="788" ht="16.5" customHeight="1"/>
    <row r="789" ht="16.5" customHeight="1"/>
    <row r="790" ht="16.5" customHeight="1"/>
    <row r="791" ht="16.5" customHeight="1"/>
    <row r="792" ht="16.5" customHeight="1"/>
    <row r="793" ht="16.5" customHeight="1"/>
    <row r="794" ht="16.5" customHeight="1"/>
    <row r="795" ht="16.5" customHeight="1"/>
    <row r="796" ht="16.5" customHeight="1"/>
    <row r="797" ht="16.5" customHeight="1"/>
    <row r="798" ht="16.5" customHeight="1"/>
    <row r="799" ht="16.5" customHeight="1"/>
    <row r="800" ht="16.5" customHeight="1"/>
    <row r="801" ht="16.5" customHeight="1"/>
    <row r="802" ht="16.5" customHeight="1"/>
    <row r="803" ht="16.5" customHeight="1"/>
    <row r="804" ht="16.5" customHeight="1"/>
    <row r="805" ht="16.5" customHeight="1"/>
    <row r="806" ht="16.5" customHeight="1"/>
    <row r="807" ht="16.5" customHeight="1"/>
    <row r="808" ht="16.5" customHeight="1"/>
    <row r="809" ht="16.5" customHeight="1"/>
    <row r="810" ht="16.5" customHeight="1"/>
    <row r="811" ht="16.5" customHeight="1"/>
    <row r="812" ht="16.5" customHeight="1"/>
    <row r="813" ht="16.5" customHeight="1"/>
    <row r="814" ht="16.5" customHeight="1"/>
    <row r="815" ht="16.5" customHeight="1"/>
    <row r="816" ht="16.5" customHeight="1"/>
    <row r="817" ht="16.5" customHeight="1"/>
    <row r="818" ht="16.5" customHeight="1"/>
    <row r="819" ht="16.5" customHeight="1"/>
    <row r="820" ht="16.5" customHeight="1"/>
    <row r="821" ht="16.5" customHeight="1"/>
    <row r="822" ht="16.5" customHeight="1"/>
    <row r="823" ht="16.5" customHeight="1"/>
    <row r="824" ht="16.5" customHeight="1"/>
    <row r="825" ht="16.5" customHeight="1"/>
    <row r="826" ht="16.5" customHeight="1"/>
    <row r="827" ht="16.5" customHeight="1"/>
    <row r="828" ht="16.5" customHeight="1"/>
    <row r="829" ht="16.5" customHeight="1"/>
    <row r="830" ht="16.5" customHeight="1"/>
    <row r="831" ht="16.5" customHeight="1"/>
    <row r="832" ht="16.5" customHeight="1"/>
    <row r="833" ht="16.5" customHeight="1"/>
    <row r="834" ht="16.5" customHeight="1"/>
    <row r="835" ht="16.5" customHeight="1"/>
    <row r="836" ht="16.5" customHeight="1"/>
    <row r="837" ht="16.5" customHeight="1"/>
    <row r="838" ht="16.5" customHeight="1"/>
    <row r="839" ht="16.5" customHeight="1"/>
    <row r="840" ht="16.5" customHeight="1"/>
    <row r="841" ht="16.5" customHeight="1"/>
    <row r="842" ht="16.5" customHeight="1"/>
    <row r="843" ht="16.5" customHeight="1"/>
    <row r="844" ht="16.5" customHeight="1"/>
    <row r="845" ht="16.5" customHeight="1"/>
    <row r="846" ht="16.5" customHeight="1"/>
    <row r="847" ht="16.5" customHeight="1"/>
    <row r="848" ht="16.5" customHeight="1"/>
    <row r="849" ht="16.5" customHeight="1"/>
    <row r="850" ht="16.5" customHeight="1"/>
    <row r="851" ht="16.5" customHeight="1"/>
    <row r="852" ht="16.5" customHeight="1"/>
    <row r="853" ht="16.5" customHeight="1"/>
    <row r="854" ht="16.5" customHeight="1"/>
    <row r="855" ht="16.5" customHeight="1"/>
    <row r="856" ht="16.5" customHeight="1"/>
    <row r="857" ht="16.5" customHeight="1"/>
    <row r="858" ht="16.5" customHeight="1"/>
    <row r="859" ht="16.5" customHeight="1"/>
    <row r="860" ht="16.5" customHeight="1"/>
    <row r="861" ht="16.5" customHeight="1"/>
    <row r="862" ht="16.5" customHeight="1"/>
    <row r="863" ht="16.5" customHeight="1"/>
    <row r="864" ht="16.5" customHeight="1"/>
    <row r="865" ht="16.5" customHeight="1"/>
    <row r="866" ht="16.5" customHeight="1"/>
    <row r="867" ht="16.5" customHeight="1"/>
    <row r="868" ht="16.5" customHeight="1"/>
    <row r="869" ht="16.5" customHeight="1"/>
    <row r="870" ht="16.5" customHeight="1"/>
    <row r="871" ht="16.5" customHeight="1"/>
    <row r="872" ht="16.5" customHeight="1"/>
    <row r="873" ht="16.5" customHeight="1"/>
    <row r="874" ht="16.5" customHeight="1"/>
    <row r="875" ht="16.5" customHeight="1"/>
    <row r="876" ht="16.5" customHeight="1"/>
    <row r="877" ht="16.5" customHeight="1"/>
    <row r="878" ht="16.5" customHeight="1"/>
    <row r="879" ht="16.5" customHeight="1"/>
    <row r="880" ht="16.5" customHeight="1"/>
    <row r="881" ht="16.5" customHeight="1"/>
    <row r="882" ht="16.5" customHeight="1"/>
    <row r="883" ht="16.5" customHeight="1"/>
    <row r="884" ht="16.5" customHeight="1"/>
    <row r="885" ht="16.5" customHeight="1"/>
    <row r="886" ht="16.5" customHeight="1"/>
    <row r="887" ht="16.5" customHeight="1"/>
    <row r="888" ht="16.5" customHeight="1"/>
    <row r="889" ht="16.5" customHeight="1"/>
    <row r="890" ht="16.5" customHeight="1"/>
    <row r="891" ht="16.5" customHeight="1"/>
    <row r="892" ht="16.5" customHeight="1"/>
    <row r="893" ht="16.5" customHeight="1"/>
    <row r="894" ht="16.5" customHeight="1"/>
    <row r="895" ht="16.5" customHeight="1"/>
    <row r="896" ht="16.5" customHeight="1"/>
    <row r="897" ht="16.5" customHeight="1"/>
    <row r="898" ht="16.5" customHeight="1"/>
    <row r="899" ht="16.5" customHeight="1"/>
    <row r="900" ht="16.5" customHeight="1"/>
    <row r="901" ht="16.5" customHeight="1"/>
    <row r="902" ht="16.5" customHeight="1"/>
    <row r="903" ht="16.5" customHeight="1"/>
    <row r="904" ht="16.5" customHeight="1"/>
    <row r="905" ht="16.5" customHeight="1"/>
    <row r="906" ht="16.5" customHeight="1"/>
    <row r="907" ht="16.5" customHeight="1"/>
    <row r="908" ht="16.5" customHeight="1"/>
    <row r="909" ht="16.5" customHeight="1"/>
    <row r="910" ht="16.5" customHeight="1"/>
    <row r="911" ht="16.5" customHeight="1"/>
    <row r="912" ht="16.5" customHeight="1"/>
    <row r="913" ht="16.5" customHeight="1"/>
    <row r="914" ht="16.5" customHeight="1"/>
    <row r="915" ht="16.5" customHeight="1"/>
    <row r="916" ht="16.5" customHeight="1"/>
    <row r="917" ht="16.5" customHeight="1"/>
    <row r="918" ht="16.5" customHeight="1"/>
    <row r="919" ht="16.5" customHeight="1"/>
    <row r="920" ht="16.5" customHeight="1"/>
    <row r="921" ht="16.5" customHeight="1"/>
    <row r="922" ht="16.5" customHeight="1"/>
    <row r="923" ht="16.5" customHeight="1"/>
    <row r="924" ht="16.5" customHeight="1"/>
    <row r="925" ht="16.5" customHeight="1"/>
    <row r="926" ht="16.5" customHeight="1"/>
    <row r="927" ht="16.5" customHeight="1"/>
    <row r="928" ht="16.5" customHeight="1"/>
    <row r="929" ht="16.5" customHeight="1"/>
    <row r="930" ht="16.5" customHeight="1"/>
    <row r="931" ht="16.5" customHeight="1"/>
    <row r="932" ht="16.5" customHeight="1"/>
    <row r="933" ht="16.5" customHeight="1"/>
    <row r="934" ht="16.5" customHeight="1"/>
    <row r="935" ht="16.5" customHeight="1"/>
    <row r="936" ht="16.5" customHeight="1"/>
    <row r="937" ht="16.5" customHeight="1"/>
    <row r="938" ht="16.5" customHeight="1"/>
    <row r="939" ht="16.5" customHeight="1"/>
    <row r="940" ht="16.5" customHeight="1"/>
    <row r="941" ht="16.5" customHeight="1"/>
    <row r="942" ht="16.5" customHeight="1"/>
    <row r="943" ht="16.5" customHeight="1"/>
    <row r="944" ht="16.5" customHeight="1"/>
    <row r="945" ht="16.5" customHeight="1"/>
    <row r="946" ht="16.5" customHeight="1"/>
    <row r="947" ht="16.5" customHeight="1"/>
    <row r="948" ht="16.5" customHeight="1"/>
    <row r="949" ht="16.5" customHeight="1"/>
    <row r="950" ht="16.5" customHeight="1"/>
    <row r="951" ht="16.5" customHeight="1"/>
    <row r="952" ht="16.5" customHeight="1"/>
    <row r="953" ht="16.5" customHeight="1"/>
    <row r="954" ht="16.5" customHeight="1"/>
    <row r="955" ht="16.5" customHeight="1"/>
    <row r="956" ht="16.5" customHeight="1"/>
    <row r="957" ht="16.5" customHeight="1"/>
    <row r="958" ht="16.5" customHeight="1"/>
    <row r="959" ht="16.5" customHeight="1"/>
    <row r="960" ht="16.5" customHeight="1"/>
    <row r="961" ht="16.5" customHeight="1"/>
    <row r="962" ht="16.5" customHeight="1"/>
    <row r="963" ht="16.5" customHeight="1"/>
    <row r="964" ht="16.5" customHeight="1"/>
    <row r="965" ht="16.5" customHeight="1"/>
    <row r="966" ht="16.5" customHeight="1"/>
    <row r="967" ht="16.5" customHeight="1"/>
    <row r="968" ht="16.5" customHeight="1"/>
    <row r="969" ht="16.5" customHeight="1"/>
    <row r="970" ht="16.5" customHeight="1"/>
    <row r="971" ht="16.5" customHeight="1"/>
    <row r="972" ht="16.5" customHeight="1"/>
    <row r="973" ht="16.5" customHeight="1"/>
    <row r="974" ht="16.5" customHeight="1"/>
    <row r="975" ht="16.5" customHeight="1"/>
    <row r="976" ht="16.5" customHeight="1"/>
    <row r="977" ht="16.5" customHeight="1"/>
    <row r="978" ht="16.5" customHeight="1"/>
    <row r="979" ht="16.5" customHeight="1"/>
    <row r="980" ht="16.5" customHeight="1"/>
    <row r="981" ht="16.5" customHeight="1"/>
    <row r="982" ht="16.5" customHeight="1"/>
    <row r="983" ht="16.5" customHeight="1"/>
    <row r="984" ht="16.5" customHeight="1"/>
    <row r="985" ht="16.5" customHeight="1"/>
    <row r="986" ht="16.5" customHeight="1"/>
    <row r="987" ht="16.5" customHeight="1"/>
    <row r="988" ht="16.5" customHeight="1"/>
    <row r="989" ht="16.5" customHeight="1"/>
    <row r="990" ht="16.5" customHeight="1"/>
    <row r="991" ht="16.5" customHeight="1"/>
    <row r="992" ht="16.5" customHeight="1"/>
    <row r="993" ht="16.5" customHeight="1"/>
    <row r="994" ht="16.5" customHeight="1"/>
    <row r="995" ht="16.5" customHeight="1"/>
    <row r="996" ht="16.5" customHeight="1"/>
    <row r="997" ht="16.5" customHeight="1"/>
    <row r="998" ht="16.5" customHeight="1"/>
    <row r="999" ht="16.5" customHeight="1"/>
    <row r="1000" ht="16.5" customHeight="1"/>
  </sheetData>
  <mergeCells>
    <mergeCell ref="B2:E2"/>
    <mergeCell ref="C3:E3"/>
    <mergeCell ref="G3:H3"/>
    <mergeCell ref="C14:G14"/>
    <mergeCell ref="B27:C27"/>
  </mergeCells>
  <conditionalFormatting sqref="H6:H25">
    <cfRule type="cellIs" dxfId="0" priority="5" operator="equal" text="null">
      <formula>"Confirmed"</formula>
    </cfRule>
  </conditionalFormatting>
  <conditionalFormatting sqref="H6:H25">
    <cfRule type="cellIs" dxfId="1" priority="4" operator="equal" text="null">
      <formula>"Pending"</formula>
    </cfRule>
  </conditionalFormatting>
  <conditionalFormatting sqref="H6:H25">
    <cfRule type="cellIs" dxfId="2" priority="3" operator="equal" text="null">
      <formula>"Cancelled"</formula>
    </cfRule>
  </conditionalFormatting>
  <conditionalFormatting sqref="H6:H25">
    <cfRule type="cellIs" dxfId="2" priority="2" operator="equal" text="null">
      <formula>"No Show"</formula>
    </cfRule>
  </conditionalFormatting>
  <conditionalFormatting sqref="H6:H25">
    <cfRule type="cellIs" dxfId="3" priority="1" operator="equal" text="null">
      <formula>"Completed"</formula>
    </cfRule>
  </conditionalFormatting>
  <dataValidations count="1">
    <dataValidation allowBlank="1" prompt="Select appointment status" promptTitle="Status" showErrorMessage="1" showInputMessage="1" sqref="H6 H7 H8 H9 H10 H11 H12 H13 H14 H15 H16 H17 H18 H19 H20 H21 H22 H23 H24 H25" type="list">
      <formula1>"Confirmed,Pending,Cancelled,No Show,Completed"</formula1>
    </dataValidation>
  </dataValidations>
  <printOptions/>
  <pageMargins left="0.7" right="0.7" top="0.75" bottom="0.75" header="0.3" footer="0.3"/>
  <pageSetup paperSize="1" pageOrder="downThenOver" orientation="portrait"/>
  <headerFooter>
    <oddHeader>&amp;L&amp;C&amp;R</oddHeader>
    <oddFooter>&amp;L&amp;C&amp;R</oddFooter>
  </headerFooter>
  <extLst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>Shortcut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Shortcut</dc:creator>
  <cp:lastModifiedBy>Shortcut</cp:lastModifiedBy>
  <dcterms:created xsi:type="dcterms:W3CDTF">2025-05-22T23:41:35Z</dcterms:created>
  <dcterms:modified xsi:type="dcterms:W3CDTF">2025-05-22T23:45:09Z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shortcut_file_id">
    <vt:lpwstr>326e09bf-fc22-413b-b568-829c81701887</vt:lpwstr>
  </property>
</Properties>
</file>