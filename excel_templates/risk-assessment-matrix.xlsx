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Risk-Matrix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<sst xmlns="http://schemas.openxmlformats.org/spreadsheetml/2006/main" count="59" uniqueCount="59">
  <si>
    <t>RISK ASSESSMENT MATRIX</t>
  </si>
  <si>
    <t>IMPACT</t>
  </si>
  <si>
    <t>Negligible</t>
  </si>
  <si>
    <t>Minor</t>
  </si>
  <si>
    <t>Moderate</t>
  </si>
  <si>
    <t>Major</t>
  </si>
  <si>
    <t>Catastrophic</t>
  </si>
  <si>
    <t>Almost Certain</t>
  </si>
  <si>
    <t>Likely</t>
  </si>
  <si>
    <t>Possible</t>
  </si>
  <si>
    <t>Unlikely</t>
  </si>
  <si>
    <t>Rare</t>
  </si>
  <si>
    <t>RISK LEVELS:</t>
  </si>
  <si>
    <t>Low (1-4)</t>
  </si>
  <si>
    <t>Medium (5-9)</t>
  </si>
  <si>
    <t>High (10-16)</t>
  </si>
  <si>
    <t>Critical (17-25)</t>
  </si>
  <si>
    <t>RISK REGISTER</t>
  </si>
  <si>
    <t>ID</t>
  </si>
  <si>
    <t>Risk Description</t>
  </si>
  <si>
    <t>Category</t>
  </si>
  <si>
    <t>Likelihood (1-5)</t>
  </si>
  <si>
    <t>Impact (1-5)</t>
  </si>
  <si>
    <t>Risk Score</t>
  </si>
  <si>
    <t>Risk Level</t>
  </si>
  <si>
    <t>Mitigation Strategy</t>
  </si>
  <si>
    <t>Owner</t>
  </si>
  <si>
    <t>Status</t>
  </si>
  <si>
    <t>Due Date</t>
  </si>
  <si>
    <t>R-001</t>
  </si>
  <si>
    <t>Data breach from external attack</t>
  </si>
  <si>
    <t>Cybersecurity</t>
  </si>
  <si>
    <t>High</t>
  </si>
  <si>
    <t>Implement multi-factor authentication</t>
  </si>
  <si>
    <t>IT Director</t>
  </si>
  <si>
    <t>Open</t>
  </si>
  <si>
    <t>2026-06-30</t>
  </si>
  <si>
    <t>R-002</t>
  </si>
  <si>
    <t>Key supplier goes out of business</t>
  </si>
  <si>
    <t>Supply Chain</t>
  </si>
  <si>
    <t>Medium</t>
  </si>
  <si>
    <t>Diversify supplier base; maintain safety stock</t>
  </si>
  <si>
    <t>Procurement Lead</t>
  </si>
  <si>
    <t>In Progress</t>
  </si>
  <si>
    <t>2026-05-15</t>
  </si>
  <si>
    <t>R-003</t>
  </si>
  <si>
    <t>Regulatory compliance failure</t>
  </si>
  <si>
    <t>Legal / Compliance</t>
  </si>
  <si>
    <t>Quarterly compliance audits; legal review</t>
  </si>
  <si>
    <t>Compliance Officer</t>
  </si>
  <si>
    <t>2026-04-30</t>
  </si>
  <si>
    <t>R-004</t>
  </si>
  <si>
    <t/>
  </si>
  <si>
    <t>R-005</t>
  </si>
  <si>
    <t>R-006</t>
  </si>
  <si>
    <t>R-007</t>
  </si>
  <si>
    <t>R-008</t>
  </si>
  <si>
    <t>R-009</t>
  </si>
  <si>
    <t>R-010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</si>
</sst>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yyyy-mm-dd"/>
  </numFmts>
  <fonts count="14">
    <font>
      <b val="0"/>
      <i val="0"/>
      <sz val="12"/>
      <color theme="1"/>
      <name val="Aptos Narrow"/>
      <scheme val="minor"/>
    </font>
    <font>
      <b/>
      <i val="0"/>
      <sz val="16"/>
      <color rgb="FF1F2937"/>
      <name val="Aptos Narrow"/>
    </font>
    <font>
      <b/>
      <i val="0"/>
      <sz val="12"/>
      <color theme="1"/>
      <name val="Aptos Narrow"/>
    </font>
    <font>
      <b/>
      <i val="0"/>
      <sz val="11"/>
      <color rgb="FFFFFFFF"/>
      <name val="Aptos Narrow"/>
    </font>
    <font>
      <b/>
      <i val="0"/>
      <sz val="14"/>
      <color rgb="FF713F12"/>
      <name val="Aptos Narrow"/>
    </font>
    <font>
      <b/>
      <i val="0"/>
      <sz val="14"/>
      <color rgb="FF7C2D12"/>
      <name val="Aptos Narrow"/>
    </font>
    <font>
      <b/>
      <i val="0"/>
      <sz val="14"/>
      <color rgb="FF7F1D1D"/>
      <name val="Aptos Narrow"/>
    </font>
    <font>
      <b/>
      <i val="0"/>
      <sz val="14"/>
      <color rgb="FF065F46"/>
      <name val="Aptos Narrow"/>
    </font>
    <font>
      <b/>
      <i val="0"/>
      <sz val="11"/>
      <color theme="1"/>
      <name val="Aptos Narrow"/>
    </font>
    <font>
      <b/>
      <i val="0"/>
      <sz val="11"/>
      <color rgb="FF065F46"/>
      <name val="Aptos Narrow"/>
    </font>
    <font>
      <b/>
      <i val="0"/>
      <sz val="11"/>
      <color rgb="FF713F12"/>
      <name val="Aptos Narrow"/>
    </font>
    <font>
      <b/>
      <i val="0"/>
      <sz val="11"/>
      <color rgb="FF7C2D12"/>
      <name val="Aptos Narrow"/>
    </font>
    <font>
      <b/>
      <i val="0"/>
      <sz val="11"/>
      <color rgb="FF7F1D1D"/>
      <name val="Aptos Narrow"/>
    </font>
    <font>
      <b val="0"/>
      <i val="0"/>
      <sz val="11"/>
      <color theme="1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4B5563"/>
      </patternFill>
    </fill>
    <fill>
      <patternFill patternType="solid">
        <fgColor rgb="FFFEF9C3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1"/>
  </cellStyleXfs>
  <cellXfs count="23">
    <xf numFmtId="0" fontId="0" fillId="0" borderId="1" xfId="0"/>
    <xf numFmtId="0" fontId="1" fillId="0" borderId="1" xfId="0"/>
    <xf numFmtId="0" fontId="2" fillId="0" borderId="1" xfId="0">
      <alignment horizontal="center" vertical="bottom"/>
    </xf>
    <xf numFmtId="0" fontId="3" fillId="2" borderId="2" xfId="0">
      <alignment horizontal="center" vertical="bottom"/>
    </xf>
    <xf numFmtId="0" fontId="3" fillId="3" borderId="2" xfId="0">
      <alignment horizontal="center" vertical="bottom"/>
    </xf>
    <xf numFmtId="0" fontId="3" fillId="2" borderId="1" xfId="0">
      <alignment horizontal="right" vertical="center"/>
    </xf>
    <xf numFmtId="0" fontId="3" fillId="3" borderId="1" xfId="0">
      <alignment horizontal="center" vertical="center"/>
    </xf>
    <xf numFmtId="0" fontId="4" fillId="4" borderId="2" xfId="0">
      <alignment horizontal="center" vertical="center"/>
    </xf>
    <xf numFmtId="0" fontId="5" fillId="5" borderId="2" xfId="0">
      <alignment horizontal="center" vertical="center"/>
    </xf>
    <xf numFmtId="0" fontId="6" fillId="6" borderId="2" xfId="0">
      <alignment horizontal="center" vertical="center"/>
    </xf>
    <xf numFmtId="0" fontId="7" fillId="7" borderId="2" xfId="0">
      <alignment horizontal="center" vertical="center"/>
    </xf>
    <xf numFmtId="0" fontId="8" fillId="0" borderId="1" xfId="0"/>
    <xf numFmtId="0" fontId="9" fillId="7" borderId="1" xfId="0">
      <alignment horizontal="center" vertical="bottom"/>
    </xf>
    <xf numFmtId="0" fontId="10" fillId="4" borderId="1" xfId="0">
      <alignment horizontal="center" vertical="bottom"/>
    </xf>
    <xf numFmtId="0" fontId="11" fillId="5" borderId="1" xfId="0">
      <alignment horizontal="center" vertical="bottom"/>
    </xf>
    <xf numFmtId="0" fontId="12" fillId="6" borderId="1" xfId="0">
      <alignment horizontal="center" vertical="bottom"/>
    </xf>
    <xf numFmtId="0" fontId="3" fillId="2" borderId="3" xfId="0">
      <alignment horizontal="center" vertical="center" wrapText="1"/>
    </xf>
    <xf numFmtId="0" fontId="13" fillId="8" borderId="3" xfId="0">
      <alignment horizontal="center" vertical="center"/>
    </xf>
    <xf numFmtId="0" fontId="13" fillId="8" borderId="3" xfId="0">
      <alignment vertical="center"/>
    </xf>
    <xf numFmtId="171" fontId="13" fillId="8" borderId="3" xfId="0">
      <alignment horizontal="center" vertical="center"/>
    </xf>
    <xf numFmtId="0" fontId="13" fillId="9" borderId="3" xfId="0">
      <alignment horizontal="center" vertical="center"/>
    </xf>
    <xf numFmtId="0" fontId="13" fillId="9" borderId="3" xfId="0">
      <alignment vertical="center"/>
    </xf>
    <xf numFmtId="171" fontId="13" fillId="9" borderId="3" xfId="0">
      <alignment horizontal="center" vertical="center"/>
    </xf>
  </cellXfs>
  <cellStyles count="1">
    <cellStyle name="Normal" xfId="0" builtinId="0"/>
  </cellStyles>
  <dxfs count="7">
    <dxf>
      <font>
        <b/>
        <sz val="11"/>
        <color rgb="FF7F1D1D"/>
        <name val="Aptos Narrow"/>
      </font>
      <fill>
        <patternFill patternType="solid">
          <fgColor rgb="FFFEE2E2"/>
          <bgColor rgb="FFFEE2E2"/>
        </patternFill>
      </fill>
    </dxf>
    <dxf>
      <font>
        <b/>
        <sz val="11"/>
        <color rgb="FF7C2D12"/>
        <name val="Aptos Narrow"/>
      </font>
      <fill>
        <patternFill patternType="solid">
          <fgColor rgb="FFFFEDD5"/>
          <bgColor rgb="FFFFEDD5"/>
        </patternFill>
      </fill>
    </dxf>
    <dxf>
      <font>
        <b/>
        <sz val="11"/>
        <color rgb="FF713F12"/>
        <name val="Aptos Narrow"/>
      </font>
      <fill>
        <patternFill patternType="solid">
          <fgColor rgb="FFFEF9C3"/>
          <bgColor rgb="FFFEF9C3"/>
        </patternFill>
      </fill>
    </dxf>
    <dxf>
      <font>
        <b/>
        <sz val="11"/>
        <color rgb="FF065F46"/>
        <name val="Aptos Narrow"/>
      </font>
      <fill>
        <patternFill patternType="solid">
          <fgColor rgb="FFD1FAE5"/>
          <bgColor rgb="FFD1FAE5"/>
        </patternFill>
      </fill>
    </dxf>
    <dxf>
      <font>
        <color rgb="FF7F1D1D"/>
      </font>
      <fill>
        <patternFill patternType="solid">
          <fgColor rgb="FFFEE2E2"/>
          <bgColor rgb="FFFEE2E2"/>
        </patternFill>
      </fill>
    </dxf>
    <dxf>
      <font>
        <color rgb="FF713F12"/>
      </font>
      <fill>
        <patternFill patternType="solid">
          <fgColor rgb="FFFEF9C3"/>
          <bgColor rgb="FFFEF9C3"/>
        </patternFill>
      </fill>
    </dxf>
    <dxf>
      <font>
        <color rgb="FF065F46"/>
      </font>
      <fill>
        <patternFill patternType="solid">
          <fgColor rgb="FFD1FAE5"/>
          <bgColor rgb="FFD1FAE5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3EEA348-C498-439A-6EF6-ADB615BE7F86}" mc:Ignorable="x14ac xr xr2 xr3">
  <dimension ref="A1:CV10000"/>
  <sheetViews>
    <sheetView showGridLines="0" topLeftCell="A1" zoomScale="90" workbookViewId="0" tabSelected="1">
      <selection activeCell="A1" sqref="A1"/>
    </sheetView>
  </sheetViews>
  <sheetFormatPr defaultRowHeight="15.997499999999997" defaultColWidth="9.00390625" customHeight="1"/>
  <cols>
    <col min="1" max="1" width="1.25390625" customWidth="1"/>
    <col min="2" max="2" width="20.00390625" customWidth="1"/>
    <col min="3" max="3" width="31.25390625" customWidth="1"/>
    <col min="4" max="4" width="16.25390625" customWidth="1"/>
    <col min="5" max="5" width="17.50390625" customWidth="1"/>
    <col min="6" max="6" width="11.25390625" customWidth="1"/>
    <col min="7" max="7" width="12.22265625" customWidth="1"/>
    <col min="8" max="8" width="17.50390625" customWidth="1"/>
    <col min="9" max="9" width="37.50390625" customWidth="1"/>
    <col min="10" max="10" width="16.25390625" customWidth="1"/>
    <col min="11" max="11" width="11.25390625" customWidth="1"/>
    <col min="12" max="12" width="12.50390625" customWidth="1"/>
  </cols>
  <sheetData>
    <row r="1" ht="16.5" customHeight="1"/>
    <row r="2" ht="22.5" customHeight="1">
      <c r="B2" s="1" t="s">
        <v>0</v>
      </c>
    </row>
    <row r="3" ht="16.5" customHeight="1"/>
    <row r="4" ht="16.5" customHeight="1">
      <c r="E4" s="2" t="s">
        <v>1</v>
      </c>
    </row>
    <row r="5" ht="15.75" customHeight="1"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</row>
    <row r="6" ht="15.75" customHeight="1">
      <c r="D6" s="4">
        <v>1</v>
      </c>
      <c r="E6" s="4">
        <v>2</v>
      </c>
      <c r="F6" s="4">
        <v>3</v>
      </c>
      <c r="G6" s="4">
        <v>4</v>
      </c>
      <c r="H6" s="4">
        <v>5</v>
      </c>
    </row>
    <row r="7" ht="19.5" customHeight="1">
      <c r="B7" s="5" t="s">
        <v>7</v>
      </c>
      <c r="C7" s="6">
        <v>5</v>
      </c>
      <c r="D7" s="7">
        <v>5</v>
      </c>
      <c r="E7" s="8">
        <v>10</v>
      </c>
      <c r="F7" s="8">
        <v>15</v>
      </c>
      <c r="G7" s="9">
        <v>20</v>
      </c>
      <c r="H7" s="9">
        <v>25</v>
      </c>
    </row>
    <row r="8" ht="19.5" customHeight="1">
      <c r="B8" s="5" t="s">
        <v>8</v>
      </c>
      <c r="C8" s="6">
        <v>4</v>
      </c>
      <c r="D8" s="10">
        <v>4</v>
      </c>
      <c r="E8" s="7">
        <v>8</v>
      </c>
      <c r="F8" s="8">
        <v>12</v>
      </c>
      <c r="G8" s="8">
        <v>16</v>
      </c>
      <c r="H8" s="9">
        <v>20</v>
      </c>
    </row>
    <row r="9" ht="19.5" customHeight="1">
      <c r="B9" s="5" t="s">
        <v>9</v>
      </c>
      <c r="C9" s="6">
        <v>3</v>
      </c>
      <c r="D9" s="10">
        <v>3</v>
      </c>
      <c r="E9" s="7">
        <v>6</v>
      </c>
      <c r="F9" s="7">
        <v>9</v>
      </c>
      <c r="G9" s="8">
        <v>12</v>
      </c>
      <c r="H9" s="8">
        <v>15</v>
      </c>
    </row>
    <row r="10" ht="19.5" customHeight="1">
      <c r="B10" s="5" t="s">
        <v>10</v>
      </c>
      <c r="C10" s="6">
        <v>2</v>
      </c>
      <c r="D10" s="10">
        <v>2</v>
      </c>
      <c r="E10" s="10">
        <v>4</v>
      </c>
      <c r="F10" s="7">
        <v>6</v>
      </c>
      <c r="G10" s="7">
        <v>8</v>
      </c>
      <c r="H10" s="8">
        <v>10</v>
      </c>
    </row>
    <row r="11" ht="19.5" customHeight="1">
      <c r="B11" s="5" t="s">
        <v>11</v>
      </c>
      <c r="C11" s="6">
        <v>1</v>
      </c>
      <c r="D11" s="10">
        <v>1</v>
      </c>
      <c r="E11" s="10">
        <v>2</v>
      </c>
      <c r="F11" s="10">
        <v>3</v>
      </c>
      <c r="G11" s="10">
        <v>4</v>
      </c>
      <c r="H11" s="7">
        <v>5</v>
      </c>
    </row>
    <row r="12" ht="16.5" customHeight="1"/>
    <row r="13" ht="15.75" customHeight="1">
      <c r="B13" s="11" t="s">
        <v>12</v>
      </c>
      <c r="D13" s="12" t="s">
        <v>13</v>
      </c>
      <c r="E13" s="13" t="s">
        <v>14</v>
      </c>
      <c r="F13" s="14" t="s">
        <v>15</v>
      </c>
      <c r="G13" s="15" t="s">
        <v>16</v>
      </c>
    </row>
    <row r="14" ht="16.5" customHeight="1"/>
    <row r="15" ht="22.5" customHeight="1">
      <c r="B15" s="1" t="s">
        <v>17</v>
      </c>
    </row>
    <row r="16" ht="16.5" customHeight="1"/>
    <row r="17" ht="29.25" customHeight="1">
      <c r="B17" s="16" t="s">
        <v>18</v>
      </c>
      <c r="C17" s="16" t="s">
        <v>19</v>
      </c>
      <c r="D17" s="16" t="s">
        <v>20</v>
      </c>
      <c r="E17" s="16" t="s">
        <v>21</v>
      </c>
      <c r="F17" s="16" t="s">
        <v>22</v>
      </c>
      <c r="G17" s="16" t="s">
        <v>23</v>
      </c>
      <c r="H17" s="16" t="s">
        <v>24</v>
      </c>
      <c r="I17" s="16" t="s">
        <v>25</v>
      </c>
      <c r="J17" s="16" t="s">
        <v>26</v>
      </c>
      <c r="K17" s="16" t="s">
        <v>27</v>
      </c>
      <c r="L17" s="16" t="s">
        <v>28</v>
      </c>
    </row>
    <row r="18" ht="15.75" customHeight="1">
      <c r="B18" s="17" t="s">
        <v>29</v>
      </c>
      <c r="C18" s="18" t="s">
        <v>30</v>
      </c>
      <c r="D18" s="18" t="s">
        <v>31</v>
      </c>
      <c r="E18" s="17">
        <v>3</v>
      </c>
      <c r="F18" s="17">
        <v>5</v>
      </c>
      <c r="G18" s="17">
        <f t="shared" si="0" ref="G18:G20">E18*F18</f>
        <v>15</v>
      </c>
      <c r="H18" s="17" t="str">
        <f t="shared" si="1" ref="H18:H20">IF(G18&gt;=17,"Critical",IF(G18&gt;=10,"High",IF(G18&gt;=5,"Medium","Low")))</f>
        <v>High</v>
      </c>
      <c r="I18" s="18" t="s">
        <v>33</v>
      </c>
      <c r="J18" s="18" t="s">
        <v>34</v>
      </c>
      <c r="K18" s="17" t="s">
        <v>35</v>
      </c>
      <c r="L18" s="19" t="s">
        <v>36</v>
      </c>
    </row>
    <row r="19" ht="15.75" customHeight="1">
      <c r="B19" s="20" t="s">
        <v>37</v>
      </c>
      <c r="C19" s="21" t="s">
        <v>38</v>
      </c>
      <c r="D19" s="21" t="s">
        <v>39</v>
      </c>
      <c r="E19" s="20">
        <v>2</v>
      </c>
      <c r="F19" s="20">
        <v>4</v>
      </c>
      <c r="G19" s="20">
        <f t="shared" si="0"/>
        <v>8</v>
      </c>
      <c r="H19" s="20" t="str">
        <f t="shared" si="1"/>
        <v>Medium</v>
      </c>
      <c r="I19" s="21" t="s">
        <v>41</v>
      </c>
      <c r="J19" s="21" t="s">
        <v>42</v>
      </c>
      <c r="K19" s="20" t="s">
        <v>43</v>
      </c>
      <c r="L19" s="22" t="s">
        <v>44</v>
      </c>
    </row>
    <row r="20" ht="15.75" customHeight="1">
      <c r="B20" s="17" t="s">
        <v>45</v>
      </c>
      <c r="C20" s="18" t="s">
        <v>46</v>
      </c>
      <c r="D20" s="18" t="s">
        <v>47</v>
      </c>
      <c r="E20" s="17">
        <v>3</v>
      </c>
      <c r="F20" s="17">
        <v>4</v>
      </c>
      <c r="G20" s="17">
        <f t="shared" si="0"/>
        <v>12</v>
      </c>
      <c r="H20" s="17" t="str">
        <f t="shared" si="1"/>
        <v>High</v>
      </c>
      <c r="I20" s="18" t="s">
        <v>48</v>
      </c>
      <c r="J20" s="18" t="s">
        <v>49</v>
      </c>
      <c r="K20" s="17" t="s">
        <v>35</v>
      </c>
      <c r="L20" s="19" t="s">
        <v>50</v>
      </c>
    </row>
    <row r="21" ht="15.75" customHeight="1">
      <c r="B21" s="20" t="s">
        <v>51</v>
      </c>
      <c r="C21" s="21"/>
      <c r="D21" s="21"/>
      <c r="E21" s="20"/>
      <c r="F21" s="20"/>
      <c r="G21" s="20" t="str">
        <f t="shared" si="2" ref="G21:G27">IF(AND(E21&lt;&gt;"",F21&lt;&gt;""),E21*F21,"")</f>
        <v/>
      </c>
      <c r="H21" s="20" t="str">
        <f t="shared" si="3" ref="H21:H27">IF(G21="","",IF(G21&gt;=17,"Critical",IF(G21&gt;=10,"High",IF(G21&gt;=5,"Medium","Low"))))</f>
        <v/>
      </c>
      <c r="I21" s="21"/>
      <c r="J21" s="21"/>
      <c r="K21" s="20"/>
      <c r="L21" s="20"/>
    </row>
    <row r="22" ht="15.75" customHeight="1">
      <c r="B22" s="17" t="s">
        <v>53</v>
      </c>
      <c r="C22" s="18"/>
      <c r="D22" s="18"/>
      <c r="E22" s="17"/>
      <c r="F22" s="17"/>
      <c r="G22" s="17" t="str">
        <f t="shared" si="2"/>
        <v/>
      </c>
      <c r="H22" s="17" t="str">
        <f t="shared" si="3"/>
        <v/>
      </c>
      <c r="I22" s="18"/>
      <c r="J22" s="18"/>
      <c r="K22" s="17"/>
      <c r="L22" s="17"/>
    </row>
    <row r="23" ht="15.75" customHeight="1">
      <c r="B23" s="20" t="s">
        <v>54</v>
      </c>
      <c r="C23" s="21"/>
      <c r="D23" s="21"/>
      <c r="E23" s="20"/>
      <c r="F23" s="20"/>
      <c r="G23" s="20" t="str">
        <f t="shared" si="2"/>
        <v/>
      </c>
      <c r="H23" s="20" t="str">
        <f t="shared" si="3"/>
        <v/>
      </c>
      <c r="I23" s="21"/>
      <c r="J23" s="21"/>
      <c r="K23" s="20"/>
      <c r="L23" s="20"/>
    </row>
    <row r="24" ht="15.75" customHeight="1">
      <c r="B24" s="17" t="s">
        <v>55</v>
      </c>
      <c r="C24" s="18"/>
      <c r="D24" s="18"/>
      <c r="E24" s="17"/>
      <c r="F24" s="17"/>
      <c r="G24" s="17" t="str">
        <f t="shared" si="2"/>
        <v/>
      </c>
      <c r="H24" s="17" t="str">
        <f t="shared" si="3"/>
        <v/>
      </c>
      <c r="I24" s="18"/>
      <c r="J24" s="18"/>
      <c r="K24" s="17"/>
      <c r="L24" s="17"/>
    </row>
    <row r="25" ht="15.75" customHeight="1">
      <c r="B25" s="20" t="s">
        <v>56</v>
      </c>
      <c r="C25" s="21"/>
      <c r="D25" s="21"/>
      <c r="E25" s="20"/>
      <c r="F25" s="20"/>
      <c r="G25" s="20" t="str">
        <f t="shared" si="2"/>
        <v/>
      </c>
      <c r="H25" s="20" t="str">
        <f t="shared" si="3"/>
        <v/>
      </c>
      <c r="I25" s="21"/>
      <c r="J25" s="21"/>
      <c r="K25" s="20"/>
      <c r="L25" s="20"/>
    </row>
    <row r="26" ht="15.75" customHeight="1">
      <c r="B26" s="17" t="s">
        <v>57</v>
      </c>
      <c r="C26" s="18"/>
      <c r="D26" s="18"/>
      <c r="E26" s="17"/>
      <c r="F26" s="17"/>
      <c r="G26" s="17" t="str">
        <f t="shared" si="2"/>
        <v/>
      </c>
      <c r="H26" s="17" t="str">
        <f t="shared" si="3"/>
        <v/>
      </c>
      <c r="I26" s="18"/>
      <c r="J26" s="18"/>
      <c r="K26" s="17"/>
      <c r="L26" s="17"/>
    </row>
    <row r="27" ht="15.75" customHeight="1">
      <c r="B27" s="20" t="s">
        <v>58</v>
      </c>
      <c r="C27" s="21"/>
      <c r="D27" s="21"/>
      <c r="E27" s="20"/>
      <c r="F27" s="20"/>
      <c r="G27" s="20" t="str">
        <f t="shared" si="2"/>
        <v/>
      </c>
      <c r="H27" s="20" t="str">
        <f t="shared" si="3"/>
        <v/>
      </c>
      <c r="I27" s="21"/>
      <c r="J27" s="21"/>
      <c r="K27" s="20"/>
      <c r="L27" s="20"/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conditionalFormatting sqref="H18:H27">
    <cfRule type="containsText" dxfId="0" priority="7" operator="containsText" text="Critical">
      <formula>NOT(ISERROR(SEARCH("Critical",H18)))</formula>
    </cfRule>
  </conditionalFormatting>
  <conditionalFormatting sqref="H18:H27">
    <cfRule type="containsText" dxfId="1" priority="6" operator="containsText" text="High">
      <formula>NOT(ISERROR(SEARCH("High",H18)))</formula>
    </cfRule>
  </conditionalFormatting>
  <conditionalFormatting sqref="H18:H27">
    <cfRule type="containsText" dxfId="2" priority="5" operator="containsText" text="Medium">
      <formula>NOT(ISERROR(SEARCH("Medium",H18)))</formula>
    </cfRule>
  </conditionalFormatting>
  <conditionalFormatting sqref="H18:H27">
    <cfRule type="containsText" dxfId="3" priority="4" operator="containsText" text="Low">
      <formula>NOT(ISERROR(SEARCH("Low",H18)))</formula>
    </cfRule>
  </conditionalFormatting>
  <conditionalFormatting sqref="K18:K27">
    <cfRule type="containsText" dxfId="4" priority="3" operator="containsText" text="Open">
      <formula>NOT(ISERROR(SEARCH("Open",K18)))</formula>
    </cfRule>
  </conditionalFormatting>
  <conditionalFormatting sqref="K18:K27">
    <cfRule type="containsText" dxfId="5" priority="2" operator="containsText" text="In Progress">
      <formula>NOT(ISERROR(SEARCH("In Progress",K18)))</formula>
    </cfRule>
  </conditionalFormatting>
  <conditionalFormatting sqref="K18:K27">
    <cfRule type="containsText" dxfId="6" priority="1" operator="containsText" text="Closed">
      <formula>NOT(ISERROR(SEARCH("Closed",K18)))</formula>
    </cfRule>
  </conditionalFormatting>
  <dataValidations count="40">
    <dataValidation allowBlank="1" showErrorMessage="1" showInputMessage="1" sqref="D27" type="list">
      <formula1>"Cybersecurity,Financial,Operational,Legal / Compliance,Supply Chain,Strategic,Reputational,Environmental,HR / People,Other"</formula1>
    </dataValidation>
    <dataValidation allowBlank="1" showErrorMessage="1" showInputMessage="1" sqref="D26" type="list">
      <formula1>"Cybersecurity,Financial,Operational,Legal / Compliance,Supply Chain,Strategic,Reputational,Environmental,HR / People,Other"</formula1>
    </dataValidation>
    <dataValidation allowBlank="1" showErrorMessage="1" showInputMessage="1" sqref="D25" type="list">
      <formula1>"Cybersecurity,Financial,Operational,Legal / Compliance,Supply Chain,Strategic,Reputational,Environmental,HR / People,Other"</formula1>
    </dataValidation>
    <dataValidation allowBlank="1" showErrorMessage="1" showInputMessage="1" sqref="D24" type="list">
      <formula1>"Cybersecurity,Financial,Operational,Legal / Compliance,Supply Chain,Strategic,Reputational,Environmental,HR / People,Other"</formula1>
    </dataValidation>
    <dataValidation allowBlank="1" showErrorMessage="1" showInputMessage="1" sqref="D23" type="list">
      <formula1>"Cybersecurity,Financial,Operational,Legal / Compliance,Supply Chain,Strategic,Reputational,Environmental,HR / People,Other"</formula1>
    </dataValidation>
    <dataValidation allowBlank="1" showErrorMessage="1" showInputMessage="1" sqref="D22" type="list">
      <formula1>"Cybersecurity,Financial,Operational,Legal / Compliance,Supply Chain,Strategic,Reputational,Environmental,HR / People,Other"</formula1>
    </dataValidation>
    <dataValidation allowBlank="1" showErrorMessage="1" showInputMessage="1" sqref="D21" type="list">
      <formula1>"Cybersecurity,Financial,Operational,Legal / Compliance,Supply Chain,Strategic,Reputational,Environmental,HR / People,Other"</formula1>
    </dataValidation>
    <dataValidation allowBlank="1" showErrorMessage="1" showInputMessage="1" sqref="D20" type="list">
      <formula1>"Cybersecurity,Financial,Operational,Legal / Compliance,Supply Chain,Strategic,Reputational,Environmental,HR / People,Other"</formula1>
    </dataValidation>
    <dataValidation allowBlank="1" showErrorMessage="1" showInputMessage="1" sqref="D19" type="list">
      <formula1>"Cybersecurity,Financial,Operational,Legal / Compliance,Supply Chain,Strategic,Reputational,Environmental,HR / People,Other"</formula1>
    </dataValidation>
    <dataValidation allowBlank="1" showErrorMessage="1" showInputMessage="1" sqref="D18" type="list">
      <formula1>"Cybersecurity,Financial,Operational,Legal / Compliance,Supply Chain,Strategic,Reputational,Environmental,HR / People,Other"</formula1>
    </dataValidation>
    <dataValidation allowBlank="1" showErrorMessage="1" showInputMessage="1" sqref="K27" type="list">
      <formula1>"Open,In Progress,Closed"</formula1>
    </dataValidation>
    <dataValidation allowBlank="1" showErrorMessage="1" showInputMessage="1" sqref="K26" type="list">
      <formula1>"Open,In Progress,Closed"</formula1>
    </dataValidation>
    <dataValidation allowBlank="1" showErrorMessage="1" showInputMessage="1" sqref="K25" type="list">
      <formula1>"Open,In Progress,Closed"</formula1>
    </dataValidation>
    <dataValidation allowBlank="1" showErrorMessage="1" showInputMessage="1" sqref="K24" type="list">
      <formula1>"Open,In Progress,Closed"</formula1>
    </dataValidation>
    <dataValidation allowBlank="1" showErrorMessage="1" showInputMessage="1" sqref="K23" type="list">
      <formula1>"Open,In Progress,Closed"</formula1>
    </dataValidation>
    <dataValidation allowBlank="1" showErrorMessage="1" showInputMessage="1" sqref="K22" type="list">
      <formula1>"Open,In Progress,Closed"</formula1>
    </dataValidation>
    <dataValidation allowBlank="1" showErrorMessage="1" showInputMessage="1" sqref="K21" type="list">
      <formula1>"Open,In Progress,Closed"</formula1>
    </dataValidation>
    <dataValidation allowBlank="1" showErrorMessage="1" showInputMessage="1" sqref="K20" type="list">
      <formula1>"Open,In Progress,Closed"</formula1>
    </dataValidation>
    <dataValidation allowBlank="1" showErrorMessage="1" showInputMessage="1" sqref="K19" type="list">
      <formula1>"Open,In Progress,Closed"</formula1>
    </dataValidation>
    <dataValidation allowBlank="1" showErrorMessage="1" showInputMessage="1" sqref="K18" type="list">
      <formula1>"Open,In Progress,Closed"</formula1>
    </dataValidation>
    <dataValidation allowBlank="1" prompt="Enter 1 (Negligible) to 5 (Catastrophic)" promptTitle="Impact" showErrorMessage="1" showInputMessage="1" sqref="F27" type="list">
      <formula1>"1,2,3,4,5"</formula1>
    </dataValidation>
    <dataValidation allowBlank="1" prompt="Enter 1 (Negligible) to 5 (Catastrophic)" promptTitle="Impact" showErrorMessage="1" showInputMessage="1" sqref="F26" type="list">
      <formula1>"1,2,3,4,5"</formula1>
    </dataValidation>
    <dataValidation allowBlank="1" prompt="Enter 1 (Negligible) to 5 (Catastrophic)" promptTitle="Impact" showErrorMessage="1" showInputMessage="1" sqref="F25" type="list">
      <formula1>"1,2,3,4,5"</formula1>
    </dataValidation>
    <dataValidation allowBlank="1" prompt="Enter 1 (Negligible) to 5 (Catastrophic)" promptTitle="Impact" showErrorMessage="1" showInputMessage="1" sqref="F24" type="list">
      <formula1>"1,2,3,4,5"</formula1>
    </dataValidation>
    <dataValidation allowBlank="1" prompt="Enter 1 (Negligible) to 5 (Catastrophic)" promptTitle="Impact" showErrorMessage="1" showInputMessage="1" sqref="F23" type="list">
      <formula1>"1,2,3,4,5"</formula1>
    </dataValidation>
    <dataValidation allowBlank="1" prompt="Enter 1 (Negligible) to 5 (Catastrophic)" promptTitle="Impact" showErrorMessage="1" showInputMessage="1" sqref="F22" type="list">
      <formula1>"1,2,3,4,5"</formula1>
    </dataValidation>
    <dataValidation allowBlank="1" prompt="Enter 1 (Negligible) to 5 (Catastrophic)" promptTitle="Impact" showErrorMessage="1" showInputMessage="1" sqref="F21" type="list">
      <formula1>"1,2,3,4,5"</formula1>
    </dataValidation>
    <dataValidation allowBlank="1" prompt="Enter 1 (Negligible) to 5 (Catastrophic)" promptTitle="Impact" showErrorMessage="1" showInputMessage="1" sqref="F20" type="list">
      <formula1>"1,2,3,4,5"</formula1>
    </dataValidation>
    <dataValidation allowBlank="1" prompt="Enter 1 (Negligible) to 5 (Catastrophic)" promptTitle="Impact" showErrorMessage="1" showInputMessage="1" sqref="F19" type="list">
      <formula1>"1,2,3,4,5"</formula1>
    </dataValidation>
    <dataValidation allowBlank="1" prompt="Enter 1 (Negligible) to 5 (Catastrophic)" promptTitle="Impact" showErrorMessage="1" showInputMessage="1" sqref="F18" type="list">
      <formula1>"1,2,3,4,5"</formula1>
    </dataValidation>
    <dataValidation allowBlank="1" prompt="Enter 1 (Rare) to 5 (Almost Certain)" promptTitle="Likelihood" showErrorMessage="1" showInputMessage="1" sqref="E27" type="list">
      <formula1>"1,2,3,4,5"</formula1>
    </dataValidation>
    <dataValidation allowBlank="1" prompt="Enter 1 (Rare) to 5 (Almost Certain)" promptTitle="Likelihood" showErrorMessage="1" showInputMessage="1" sqref="E26" type="list">
      <formula1>"1,2,3,4,5"</formula1>
    </dataValidation>
    <dataValidation allowBlank="1" prompt="Enter 1 (Rare) to 5 (Almost Certain)" promptTitle="Likelihood" showErrorMessage="1" showInputMessage="1" sqref="E25" type="list">
      <formula1>"1,2,3,4,5"</formula1>
    </dataValidation>
    <dataValidation allowBlank="1" prompt="Enter 1 (Rare) to 5 (Almost Certain)" promptTitle="Likelihood" showErrorMessage="1" showInputMessage="1" sqref="E24" type="list">
      <formula1>"1,2,3,4,5"</formula1>
    </dataValidation>
    <dataValidation allowBlank="1" prompt="Enter 1 (Rare) to 5 (Almost Certain)" promptTitle="Likelihood" showErrorMessage="1" showInputMessage="1" sqref="E23" type="list">
      <formula1>"1,2,3,4,5"</formula1>
    </dataValidation>
    <dataValidation allowBlank="1" prompt="Enter 1 (Rare) to 5 (Almost Certain)" promptTitle="Likelihood" showErrorMessage="1" showInputMessage="1" sqref="E22" type="list">
      <formula1>"1,2,3,4,5"</formula1>
    </dataValidation>
    <dataValidation allowBlank="1" prompt="Enter 1 (Rare) to 5 (Almost Certain)" promptTitle="Likelihood" showErrorMessage="1" showInputMessage="1" sqref="E21" type="list">
      <formula1>"1,2,3,4,5"</formula1>
    </dataValidation>
    <dataValidation allowBlank="1" prompt="Enter 1 (Rare) to 5 (Almost Certain)" promptTitle="Likelihood" showErrorMessage="1" showInputMessage="1" sqref="E20" type="list">
      <formula1>"1,2,3,4,5"</formula1>
    </dataValidation>
    <dataValidation allowBlank="1" prompt="Enter 1 (Rare) to 5 (Almost Certain)" promptTitle="Likelihood" showErrorMessage="1" showInputMessage="1" sqref="E19" type="list">
      <formula1>"1,2,3,4,5"</formula1>
    </dataValidation>
    <dataValidation allowBlank="1" prompt="Enter 1 (Rare) to 5 (Almost Certain)" promptTitle="Likelihood" showErrorMessage="1" showInputMessage="1" sqref="E18" type="list">
      <formula1>"1,2,3,4,5"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0b189b5a-060a-4e3c-93f4-244b42f4f568</vt:lpwstr>
  </property>
</Properties>
</file>