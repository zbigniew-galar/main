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Kanban Board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<sst xmlns="http://schemas.openxmlformats.org/spreadsheetml/2006/main" count="44" uniqueCount="44">
  <si>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KANBAN BOARD</t>
  </si>
  <si>
    <t>Project:</t>
  </si>
  <si>
    <t>Sample Project</t>
  </si>
  <si>
    <t>Total Tasks:</t>
  </si>
  <si>
    <t>Done %:</t>
  </si>
  <si>
    <t>Overdue:</t>
  </si>
  <si>
    <t>BACKLOG</t>
  </si>
  <si>
    <t>TO DO</t>
  </si>
  <si>
    <t>IN PROGRESS</t>
  </si>
  <si>
    <t>IN REVIEW</t>
  </si>
  <si>
    <t>DONE</t>
  </si>
  <si>
    <t>Tasks: 3 / WIP Limit: —</t>
  </si>
  <si>
    <t>Tasks: 2 / WIP Limit: 5</t>
  </si>
  <si>
    <t>Tasks: 3 / WIP Limit: 3</t>
  </si>
  <si>
    <t>Tasks: 2 / WIP Limit: 3</t>
  </si>
  <si>
    <t>Tasks: 2 / WIP Limit: —</t>
  </si>
  <si>
    <t>Task</t>
  </si>
  <si>
    <t>Assignee</t>
  </si>
  <si>
    <t>Priority</t>
  </si>
  <si>
    <t>Due Date</t>
  </si>
  <si>
    <t>Research competitor pricing</t>
  </si>
  <si>
    <t>Sarah M.</t>
  </si>
  <si>
    <t>Low</t>
  </si>
  <si>
    <t>Design landing page mockup</t>
  </si>
  <si>
    <t>High</t>
  </si>
  <si>
    <t>Build user dashboard</t>
  </si>
  <si>
    <t>David R.</t>
  </si>
  <si>
    <t>Payment integration</t>
  </si>
  <si>
    <t>Set up CI/CD pipeline</t>
  </si>
  <si>
    <t>James K.</t>
  </si>
  <si>
    <t>Update privacy policy</t>
  </si>
  <si>
    <t>Medium</t>
  </si>
  <si>
    <t>Write API documentation</t>
  </si>
  <si>
    <t>Migrate database to v3</t>
  </si>
  <si>
    <t>Email notification system</t>
  </si>
  <si>
    <t>User authentication module</t>
  </si>
  <si>
    <t>Plan Q3 marketing campaign</t>
  </si>
  <si>
    <t>Lisa T.</t>
  </si>
  <si>
    <t>Create onboarding flow</t>
  </si>
  <si>
    <t>LEGEND</t>
  </si>
  <si>
    <t>Priority:</t>
  </si>
  <si>
    <t>WIP Limits:</t>
  </si>
  <si>
    <t>When task count exceeds the WIP limit, the counter turns red.</t>
  </si>
  <si>
    <t>Due dates in the past are highlighted in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</si>
</sst>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m/dd/yyyy"/>
  </numFmts>
  <fonts count="20">
    <font>
      <b val="0"/>
      <i val="0"/>
      <sz val="12"/>
      <color theme="1"/>
      <name val="Aptos Narrow"/>
      <scheme val="minor"/>
    </font>
    <font>
      <b/>
      <i val="0"/>
      <sz val="16"/>
      <color rgb="FF233A6B"/>
      <name val="Aptos"/>
    </font>
    <font>
      <b/>
      <i val="0"/>
      <sz val="11"/>
      <color theme="1"/>
      <name val="Aptos"/>
    </font>
    <font>
      <b val="0"/>
      <i val="0"/>
      <sz val="11"/>
      <color rgb="FF0070C0"/>
      <name val="Aptos"/>
    </font>
    <font>
      <b val="0"/>
      <i val="0"/>
      <sz val="11"/>
      <color theme="1"/>
      <name val="Aptos"/>
    </font>
    <font>
      <b/>
      <i val="0"/>
      <sz val="13"/>
      <color rgb="FF404040"/>
      <name val="Aptos"/>
    </font>
    <font>
      <b/>
      <i val="0"/>
      <sz val="13"/>
      <color rgb="FF13458B"/>
      <name val="Aptos"/>
    </font>
    <font>
      <b/>
      <i val="0"/>
      <sz val="13"/>
      <color rgb="FFC46E1A"/>
      <name val="Aptos"/>
    </font>
    <font>
      <b/>
      <i val="0"/>
      <sz val="13"/>
      <color rgb="FF8B2D7B"/>
      <name val="Aptos"/>
    </font>
    <font>
      <b/>
      <i val="0"/>
      <sz val="13"/>
      <color rgb="FF196B2D"/>
      <name val="Aptos"/>
    </font>
    <font>
      <b val="0"/>
      <i val="0"/>
      <sz val="9"/>
      <color theme="1"/>
      <name val="Aptos"/>
    </font>
    <font>
      <b/>
      <i val="0"/>
      <sz val="11"/>
      <color rgb="FF404040"/>
      <name val="Aptos"/>
    </font>
    <font>
      <b/>
      <i val="0"/>
      <sz val="11"/>
      <color rgb="FF13458B"/>
      <name val="Aptos"/>
    </font>
    <font>
      <b/>
      <i val="0"/>
      <sz val="11"/>
      <color rgb="FFC46E1A"/>
      <name val="Aptos"/>
    </font>
    <font>
      <b/>
      <i val="0"/>
      <sz val="11"/>
      <color rgb="FF8B2D7B"/>
      <name val="Aptos"/>
    </font>
    <font>
      <b/>
      <i val="0"/>
      <sz val="11"/>
      <color rgb="FF196B2D"/>
      <name val="Aptos"/>
    </font>
    <font>
      <b val="0"/>
      <i val="0"/>
      <sz val="10"/>
      <color rgb="FF0000FF"/>
      <name val="Aptos"/>
    </font>
    <font>
      <b/>
      <i val="0"/>
      <sz val="11"/>
      <color rgb="FFCC0000"/>
      <name val="Aptos"/>
    </font>
    <font>
      <b/>
      <i val="0"/>
      <sz val="11"/>
      <color rgb="FFB87800"/>
      <name val="Aptos"/>
    </font>
    <font>
      <b val="0"/>
      <i val="0"/>
      <sz val="11"/>
      <color rgb="FF808080"/>
      <name val="Aptos"/>
    </font>
  </fonts>
  <fills count="1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CE4CC"/>
      </patternFill>
    </fill>
    <fill>
      <patternFill patternType="solid">
        <fgColor rgb="FFD5C5E8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FECF6"/>
      </patternFill>
    </fill>
    <fill>
      <patternFill patternType="solid">
        <fgColor rgb="FFE8F3FF"/>
      </patternFill>
    </fill>
    <fill>
      <patternFill patternType="solid">
        <fgColor rgb="FFEDE6F3"/>
      </patternFill>
    </fill>
    <fill>
      <patternFill patternType="solid">
        <fgColor rgb="FFE4F5E8"/>
      </patternFill>
    </fill>
    <fill>
      <patternFill patternType="solid">
        <fgColor rgb="FFFFC7C7"/>
      </patternFill>
    </fill>
    <fill>
      <patternFill patternType="solid">
        <fgColor rgb="FFFFEB9C"/>
      </patternFill>
    </fill>
  </fills>
  <borders count="21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404040"/>
      </bottom>
      <diagonal/>
    </border>
    <border>
      <left/>
      <right/>
      <top/>
      <bottom style="thin">
        <color rgb="FF13458B"/>
      </bottom>
      <diagonal/>
    </border>
    <border>
      <left/>
      <right/>
      <top/>
      <bottom style="thin">
        <color rgb="FFC46E1A"/>
      </bottom>
      <diagonal/>
    </border>
    <border>
      <left/>
      <right/>
      <top/>
      <bottom style="thin">
        <color rgb="FF8B2D7B"/>
      </bottom>
      <diagonal/>
    </border>
    <border>
      <left/>
      <right/>
      <top/>
      <bottom style="thin">
        <color rgb="FF196B2D"/>
      </bottom>
      <diagonal/>
    </border>
    <border>
      <left/>
      <right/>
      <top style="thin">
        <color rgb="FF404040"/>
      </top>
      <bottom/>
      <diagonal/>
    </border>
    <border>
      <left/>
      <right/>
      <top style="thin">
        <color rgb="FF13458B"/>
      </top>
      <bottom/>
      <diagonal/>
    </border>
    <border>
      <left/>
      <right/>
      <top style="thin">
        <color rgb="FFC46E1A"/>
      </top>
      <bottom/>
      <diagonal/>
    </border>
    <border>
      <left/>
      <right/>
      <top style="thin">
        <color rgb="FF8B2D7B"/>
      </top>
      <bottom/>
      <diagonal/>
    </border>
    <border>
      <left/>
      <right/>
      <top style="thin">
        <color rgb="FF196B2D"/>
      </top>
      <bottom/>
      <diagonal/>
    </border>
    <border>
      <left style="hair">
        <color rgb="FFD0D0D0"/>
      </left>
      <right style="hair">
        <color rgb="FFE8E8E8"/>
      </right>
      <top style="hair">
        <color rgb="FFD0D0D0"/>
      </top>
      <bottom style="hair">
        <color rgb="FFE8E8E8"/>
      </bottom>
      <diagonal/>
    </border>
    <border>
      <left style="hair">
        <color rgb="FFE8E8E8"/>
      </left>
      <right style="hair">
        <color rgb="FFE8E8E8"/>
      </right>
      <top style="hair">
        <color rgb="FFD0D0D0"/>
      </top>
      <bottom style="hair">
        <color rgb="FFE8E8E8"/>
      </bottom>
      <diagonal/>
    </border>
    <border>
      <left style="hair">
        <color rgb="FFE8E8E8"/>
      </left>
      <right style="hair">
        <color rgb="FFD0D0D0"/>
      </right>
      <top style="hair">
        <color rgb="FFD0D0D0"/>
      </top>
      <bottom style="hair">
        <color rgb="FFE8E8E8"/>
      </bottom>
      <diagonal/>
    </border>
    <border>
      <left style="hair">
        <color rgb="FFD0D0D0"/>
      </left>
      <right style="hair">
        <color rgb="FFE8E8E8"/>
      </right>
      <top style="hair">
        <color rgb="FFE8E8E8"/>
      </top>
      <bottom style="hair">
        <color rgb="FFE8E8E8"/>
      </bottom>
      <diagonal/>
    </border>
    <border>
      <left style="hair">
        <color rgb="FFE8E8E8"/>
      </left>
      <right style="hair">
        <color rgb="FFE8E8E8"/>
      </right>
      <top style="hair">
        <color rgb="FFE8E8E8"/>
      </top>
      <bottom style="hair">
        <color rgb="FFE8E8E8"/>
      </bottom>
      <diagonal/>
    </border>
    <border>
      <left style="hair">
        <color rgb="FFE8E8E8"/>
      </left>
      <right style="hair">
        <color rgb="FFD0D0D0"/>
      </right>
      <top style="hair">
        <color rgb="FFE8E8E8"/>
      </top>
      <bottom style="hair">
        <color rgb="FFE8E8E8"/>
      </bottom>
      <diagonal/>
    </border>
    <border>
      <left style="hair">
        <color rgb="FFD0D0D0"/>
      </left>
      <right style="hair">
        <color rgb="FFE8E8E8"/>
      </right>
      <top style="hair">
        <color rgb="FFE8E8E8"/>
      </top>
      <bottom style="hair">
        <color rgb="FFD0D0D0"/>
      </bottom>
      <diagonal/>
    </border>
    <border>
      <left style="hair">
        <color rgb="FFE8E8E8"/>
      </left>
      <right style="hair">
        <color rgb="FFE8E8E8"/>
      </right>
      <top style="hair">
        <color rgb="FFE8E8E8"/>
      </top>
      <bottom style="hair">
        <color rgb="FFD0D0D0"/>
      </bottom>
      <diagonal/>
    </border>
    <border>
      <left style="hair">
        <color rgb="FFE8E8E8"/>
      </left>
      <right style="hair">
        <color rgb="FFD0D0D0"/>
      </right>
      <top style="hair">
        <color rgb="FFE8E8E8"/>
      </top>
      <bottom style="hair">
        <color rgb="FFD0D0D0"/>
      </bottom>
      <diagonal/>
    </border>
  </borders>
  <cellStyleXfs count="1">
    <xf numFmtId="0" fontId="0" fillId="0" borderId="1"/>
  </cellStyleXfs>
  <cellXfs count="81">
    <xf numFmtId="0" fontId="0" fillId="0" borderId="1" xfId="0"/>
    <xf numFmtId="0" fontId="1" fillId="0" borderId="1" xfId="0"/>
    <xf numFmtId="0" fontId="2" fillId="0" borderId="1" xfId="0">
      <alignment horizontal="right" vertical="bottom"/>
    </xf>
    <xf numFmtId="0" fontId="3" fillId="0" borderId="1" xfId="0"/>
    <xf numFmtId="0" fontId="4" fillId="0" borderId="1" xfId="0"/>
    <xf numFmtId="9" fontId="4" fillId="0" borderId="1" xfId="0"/>
    <xf numFmtId="0" fontId="5" fillId="2" borderId="2" xfId="0">
      <alignment horizontal="center" vertical="center"/>
    </xf>
    <xf numFmtId="0" fontId="0" fillId="0" borderId="2" xfId="0"/>
    <xf numFmtId="0" fontId="6" fillId="3" borderId="3" xfId="0">
      <alignment horizontal="center" vertical="center"/>
    </xf>
    <xf numFmtId="0" fontId="0" fillId="0" borderId="3" xfId="0"/>
    <xf numFmtId="0" fontId="7" fillId="4" borderId="4" xfId="0">
      <alignment horizontal="center" vertical="center"/>
    </xf>
    <xf numFmtId="0" fontId="0" fillId="0" borderId="4" xfId="0"/>
    <xf numFmtId="0" fontId="8" fillId="5" borderId="5" xfId="0">
      <alignment horizontal="center" vertical="center"/>
    </xf>
    <xf numFmtId="0" fontId="0" fillId="0" borderId="5" xfId="0"/>
    <xf numFmtId="0" fontId="9" fillId="6" borderId="6" xfId="0">
      <alignment horizontal="center" vertical="center"/>
    </xf>
    <xf numFmtId="0" fontId="0" fillId="0" borderId="6" xfId="0"/>
    <xf numFmtId="0" fontId="10" fillId="0" borderId="7" xfId="0">
      <alignment horizontal="center" vertical="bottom"/>
    </xf>
    <xf numFmtId="0" fontId="0" fillId="0" borderId="7" xfId="0"/>
    <xf numFmtId="0" fontId="10" fillId="0" borderId="8" xfId="0">
      <alignment horizontal="center" vertical="bottom"/>
    </xf>
    <xf numFmtId="0" fontId="0" fillId="0" borderId="8" xfId="0"/>
    <xf numFmtId="0" fontId="10" fillId="0" borderId="9" xfId="0">
      <alignment horizontal="center" vertical="bottom"/>
    </xf>
    <xf numFmtId="0" fontId="0" fillId="0" borderId="9" xfId="0"/>
    <xf numFmtId="0" fontId="10" fillId="0" borderId="10" xfId="0">
      <alignment horizontal="center" vertical="bottom"/>
    </xf>
    <xf numFmtId="0" fontId="0" fillId="0" borderId="10" xfId="0"/>
    <xf numFmtId="0" fontId="10" fillId="0" borderId="11" xfId="0">
      <alignment horizontal="center" vertical="bottom"/>
    </xf>
    <xf numFmtId="0" fontId="0" fillId="0" borderId="11" xfId="0"/>
    <xf numFmtId="0" fontId="11" fillId="2" borderId="1" xfId="0">
      <alignment horizontal="center" vertical="bottom"/>
    </xf>
    <xf numFmtId="0" fontId="12" fillId="3" borderId="1" xfId="0">
      <alignment horizontal="center" vertical="bottom"/>
    </xf>
    <xf numFmtId="0" fontId="13" fillId="4" borderId="1" xfId="0">
      <alignment horizontal="center" vertical="bottom"/>
    </xf>
    <xf numFmtId="0" fontId="14" fillId="5" borderId="1" xfId="0">
      <alignment horizontal="center" vertical="bottom"/>
    </xf>
    <xf numFmtId="0" fontId="15" fillId="6" borderId="1" xfId="0">
      <alignment horizontal="center" vertical="bottom"/>
    </xf>
    <xf numFmtId="0" fontId="3" fillId="7" borderId="12" xfId="0"/>
    <xf numFmtId="0" fontId="3" fillId="7" borderId="13" xfId="0"/>
    <xf numFmtId="171" fontId="3" fillId="7" borderId="14" xfId="0"/>
    <xf numFmtId="0" fontId="3" fillId="8" borderId="12" xfId="0"/>
    <xf numFmtId="0" fontId="3" fillId="8" borderId="13" xfId="0"/>
    <xf numFmtId="171" fontId="3" fillId="8" borderId="14" xfId="0"/>
    <xf numFmtId="0" fontId="3" fillId="9" borderId="12" xfId="0"/>
    <xf numFmtId="0" fontId="3" fillId="9" borderId="13" xfId="0"/>
    <xf numFmtId="171" fontId="3" fillId="9" borderId="14" xfId="0"/>
    <xf numFmtId="0" fontId="3" fillId="10" borderId="12" xfId="0"/>
    <xf numFmtId="0" fontId="3" fillId="10" borderId="13" xfId="0"/>
    <xf numFmtId="171" fontId="3" fillId="10" borderId="14" xfId="0"/>
    <xf numFmtId="0" fontId="3" fillId="11" borderId="12" xfId="0"/>
    <xf numFmtId="0" fontId="3" fillId="11" borderId="13" xfId="0"/>
    <xf numFmtId="171" fontId="3" fillId="11" borderId="14" xfId="0"/>
    <xf numFmtId="0" fontId="3" fillId="0" borderId="15" xfId="0"/>
    <xf numFmtId="0" fontId="3" fillId="0" borderId="16" xfId="0"/>
    <xf numFmtId="171" fontId="3" fillId="0" borderId="17" xfId="0"/>
    <xf numFmtId="0" fontId="3" fillId="7" borderId="15" xfId="0"/>
    <xf numFmtId="0" fontId="3" fillId="7" borderId="16" xfId="0"/>
    <xf numFmtId="171" fontId="3" fillId="7" borderId="17" xfId="0"/>
    <xf numFmtId="0" fontId="16" fillId="8" borderId="15" xfId="0"/>
    <xf numFmtId="0" fontId="16" fillId="8" borderId="16" xfId="0"/>
    <xf numFmtId="171" fontId="16" fillId="8" borderId="17" xfId="0"/>
    <xf numFmtId="0" fontId="3" fillId="9" borderId="15" xfId="0"/>
    <xf numFmtId="0" fontId="3" fillId="9" borderId="16" xfId="0"/>
    <xf numFmtId="171" fontId="3" fillId="9" borderId="17" xfId="0"/>
    <xf numFmtId="0" fontId="16" fillId="10" borderId="15" xfId="0"/>
    <xf numFmtId="0" fontId="16" fillId="10" borderId="16" xfId="0"/>
    <xf numFmtId="171" fontId="16" fillId="10" borderId="17" xfId="0"/>
    <xf numFmtId="0" fontId="16" fillId="11" borderId="15" xfId="0"/>
    <xf numFmtId="0" fontId="16" fillId="11" borderId="16" xfId="0"/>
    <xf numFmtId="171" fontId="16" fillId="11" borderId="17" xfId="0"/>
    <xf numFmtId="0" fontId="16" fillId="0" borderId="15" xfId="0"/>
    <xf numFmtId="0" fontId="16" fillId="0" borderId="16" xfId="0"/>
    <xf numFmtId="171" fontId="16" fillId="0" borderId="17" xfId="0"/>
    <xf numFmtId="0" fontId="16" fillId="7" borderId="15" xfId="0"/>
    <xf numFmtId="0" fontId="16" fillId="7" borderId="16" xfId="0"/>
    <xf numFmtId="171" fontId="16" fillId="7" borderId="17" xfId="0"/>
    <xf numFmtId="0" fontId="16" fillId="9" borderId="15" xfId="0"/>
    <xf numFmtId="0" fontId="16" fillId="9" borderId="16" xfId="0"/>
    <xf numFmtId="171" fontId="16" fillId="9" borderId="17" xfId="0"/>
    <xf numFmtId="0" fontId="16" fillId="0" borderId="18" xfId="0"/>
    <xf numFmtId="0" fontId="16" fillId="0" borderId="19" xfId="0"/>
    <xf numFmtId="171" fontId="16" fillId="0" borderId="20" xfId="0"/>
    <xf numFmtId="0" fontId="11" fillId="0" borderId="1" xfId="0"/>
    <xf numFmtId="0" fontId="2" fillId="0" borderId="1" xfId="0"/>
    <xf numFmtId="0" fontId="17" fillId="12" borderId="1" xfId="0">
      <alignment horizontal="center" vertical="bottom"/>
    </xf>
    <xf numFmtId="0" fontId="18" fillId="13" borderId="1" xfId="0">
      <alignment horizontal="center" vertical="bottom"/>
    </xf>
    <xf numFmtId="0" fontId="19" fillId="0" borderId="1" xfId="0"/>
  </cellXfs>
  <cellStyles count="1">
    <cellStyle name="Normal" xfId="0" builtinId="0"/>
  </cellStyles>
  <dxfs count="4">
    <dxf>
      <font>
        <color rgb="FFCC0000"/>
      </font>
    </dxf>
    <dxf>
      <font>
        <b/>
        <sz val="11"/>
        <color rgb="FFCC0000"/>
        <name val="Aptos"/>
      </font>
    </dxf>
    <dxf>
      <font>
        <b/>
        <sz val="11"/>
        <color rgb="FFB87800"/>
        <name val="Aptos"/>
      </font>
    </dxf>
    <dxf>
      <font>
        <b/>
        <sz val="11"/>
        <color rgb="FF196B2D"/>
        <name val="Aptos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E10E78-1E28-BF02-9275-66530A694798}" mc:Ignorable="x14ac xr xr2 xr3">
  <sheetPr>
    <tabColor rgb="FF4472C4"/>
  </sheetPr>
  <dimension ref="A1:CV10000"/>
  <sheetViews>
    <sheetView showGridLines="0" zoomScale="90" workbookViewId="0" tabSelected="1">
      <pane xSplit="1" ySplit="7" topLeftCell="B8" activePane="bottomRight" state="frozen"/>
      <selection pane="bottomLeft" activeCell="A8" sqref="A8"/>
      <selection pane="topRight" activeCell="B1" sqref="B1"/>
      <selection pane="bottomRight" activeCell="A1" sqref="A1"/>
    </sheetView>
  </sheetViews>
  <sheetFormatPr defaultRowHeight="15.997499999999997" defaultColWidth="9.00390625" customHeight="1"/>
  <cols>
    <col min="1" max="1" width="3.375" customWidth="1"/>
    <col min="2" max="2" width="33.75390625" customWidth="1"/>
    <col min="3" max="3" width="13.75390625" customWidth="1"/>
    <col min="4" max="4" width="10.00390625" customWidth="1"/>
    <col min="5" max="5" width="11.875" customWidth="1"/>
    <col min="6" max="6" width="2.00390625" customWidth="1"/>
    <col min="7" max="7" width="33.75390625" customWidth="1"/>
    <col min="8" max="8" width="13.75390625" customWidth="1"/>
    <col min="9" max="9" width="10.00390625" customWidth="1"/>
    <col min="10" max="10" width="11.875" customWidth="1"/>
    <col min="11" max="11" width="7.50390625" customWidth="1"/>
    <col min="12" max="12" width="23.125" customWidth="1"/>
    <col min="13" max="13" width="13.75390625" customWidth="1"/>
    <col min="14" max="14" width="10.00390625" customWidth="1"/>
    <col min="15" max="15" width="11.875" customWidth="1"/>
    <col min="16" max="16" width="2.00390625" customWidth="1"/>
    <col min="17" max="17" width="23.125" customWidth="1"/>
    <col min="18" max="18" width="13.75390625" customWidth="1"/>
    <col min="19" max="19" width="10.00390625" customWidth="1"/>
    <col min="20" max="20" width="11.875" customWidth="1"/>
    <col min="21" max="21" width="2.00390625" customWidth="1"/>
    <col min="22" max="22" width="23.125" customWidth="1"/>
    <col min="23" max="23" width="13.75390625" customWidth="1"/>
    <col min="24" max="24" width="10.00390625" customWidth="1"/>
    <col min="25" max="25" width="11.875" customWidth="1"/>
  </cols>
  <sheetData>
    <row r="1" ht="16.5" customHeight="1"/>
    <row r="2" ht="22.5" customHeight="1">
      <c r="B2" s="1" t="s">
        <v>0</v>
      </c>
    </row>
    <row r="3" ht="15.75" customHeight="1">
      <c r="B3" s="2" t="s">
        <v>1</v>
      </c>
      <c r="C3" s="3" t="s">
        <v>2</v>
      </c>
      <c r="G3" s="2" t="s">
        <v>3</v>
      </c>
      <c r="H3" s="4">
        <f>COUNTA(B8:B27)+COUNTA(G8:G27)+COUNTA(L8:L27)+COUNTA(Q8:Q27)+COUNTA(V8:V27)</f>
        <v>12</v>
      </c>
      <c r="J3" s="2" t="s">
        <v>4</v>
      </c>
      <c r="K3" s="5">
        <f>IF(H3&gt;0,COUNTA(V8:V27)/H3,0)</f>
        <v>0.166666666666667</v>
      </c>
      <c r="L3" s="2" t="s">
        <v>5</v>
      </c>
      <c r="M3" s="4">
        <f>COUNTIF(E8:E27,"&lt;"&amp;TODAY())+COUNTIF(J8:J27,"&lt;"&amp;TODAY())+COUNTIF(O8:O27,"&lt;"&amp;TODAY())+COUNTIF(T8:T27,"&lt;"&amp;TODAY())</f>
        <v>0</v>
      </c>
    </row>
    <row r="4" ht="16.5" customHeight="1"/>
    <row r="5" ht="17.25" customHeight="1">
      <c r="B5" s="6" t="s">
        <v>6</v>
      </c>
      <c r="C5" s="7"/>
      <c r="D5" s="7"/>
      <c r="E5" s="7"/>
      <c r="G5" s="8" t="s">
        <v>7</v>
      </c>
      <c r="H5" s="9"/>
      <c r="I5" s="9"/>
      <c r="J5" s="9"/>
      <c r="L5" s="10" t="s">
        <v>8</v>
      </c>
      <c r="M5" s="11"/>
      <c r="N5" s="11"/>
      <c r="O5" s="11"/>
      <c r="Q5" s="12" t="s">
        <v>9</v>
      </c>
      <c r="R5" s="13"/>
      <c r="S5" s="13"/>
      <c r="T5" s="13"/>
      <c r="V5" s="14" t="s">
        <v>10</v>
      </c>
      <c r="W5" s="15"/>
      <c r="X5" s="15"/>
      <c r="Y5" s="15"/>
    </row>
    <row r="6" ht="12.75" customHeight="1">
      <c r="B6" s="16" t="str">
        <f t="shared" si="1" ref="B6:V6">"Tasks: "&amp;COUNTA(B8:B27)&amp;" / WIP Limit: —"</f>
        <v>Tasks: 3 / WIP Limit: —</v>
      </c>
      <c r="C6" s="17"/>
      <c r="D6" s="17"/>
      <c r="E6" s="17"/>
      <c r="G6" s="18" t="str">
        <f>"Tasks: "&amp;COUNTA(G8:G27)&amp;" / WIP Limit: 5"</f>
        <v>Tasks: 2 / WIP Limit: 5</v>
      </c>
      <c r="H6" s="19"/>
      <c r="I6" s="19"/>
      <c r="J6" s="19"/>
      <c r="L6" s="20" t="str">
        <f t="shared" si="0" ref="L6:Q6">"Tasks: "&amp;COUNTA(L8:L27)&amp;" / WIP Limit: 3"</f>
        <v>Tasks: 3 / WIP Limit: 3</v>
      </c>
      <c r="M6" s="21"/>
      <c r="N6" s="21"/>
      <c r="O6" s="21"/>
      <c r="Q6" s="22" t="str">
        <f t="shared" si="0"/>
        <v>Tasks: 2 / WIP Limit: 3</v>
      </c>
      <c r="R6" s="23"/>
      <c r="S6" s="23"/>
      <c r="T6" s="23"/>
      <c r="V6" s="24" t="str">
        <f t="shared" si="1"/>
        <v>Tasks: 2 / WIP Limit: —</v>
      </c>
      <c r="W6" s="25"/>
      <c r="X6" s="25"/>
      <c r="Y6" s="25"/>
    </row>
    <row r="7" ht="15.75" customHeight="1">
      <c r="B7" s="26" t="s">
        <v>16</v>
      </c>
      <c r="C7" s="26" t="s">
        <v>17</v>
      </c>
      <c r="D7" s="26" t="s">
        <v>18</v>
      </c>
      <c r="E7" s="26" t="s">
        <v>19</v>
      </c>
      <c r="G7" s="27" t="s">
        <v>16</v>
      </c>
      <c r="H7" s="27" t="s">
        <v>17</v>
      </c>
      <c r="I7" s="27" t="s">
        <v>18</v>
      </c>
      <c r="J7" s="27" t="s">
        <v>19</v>
      </c>
      <c r="L7" s="28" t="s">
        <v>16</v>
      </c>
      <c r="M7" s="28" t="s">
        <v>17</v>
      </c>
      <c r="N7" s="28" t="s">
        <v>18</v>
      </c>
      <c r="O7" s="28" t="s">
        <v>19</v>
      </c>
      <c r="Q7" s="29" t="s">
        <v>16</v>
      </c>
      <c r="R7" s="29" t="s">
        <v>17</v>
      </c>
      <c r="S7" s="29" t="s">
        <v>18</v>
      </c>
      <c r="T7" s="29" t="s">
        <v>19</v>
      </c>
      <c r="V7" s="30" t="s">
        <v>16</v>
      </c>
      <c r="W7" s="30" t="s">
        <v>17</v>
      </c>
      <c r="X7" s="30" t="s">
        <v>18</v>
      </c>
      <c r="Y7" s="30" t="s">
        <v>19</v>
      </c>
    </row>
    <row r="8" ht="15.75" customHeight="1">
      <c r="B8" s="31" t="s">
        <v>20</v>
      </c>
      <c r="C8" s="32" t="s">
        <v>21</v>
      </c>
      <c r="D8" s="32" t="s">
        <v>22</v>
      </c>
      <c r="E8" s="33">
        <v>46127</v>
      </c>
      <c r="G8" s="34" t="s">
        <v>23</v>
      </c>
      <c r="H8" s="35" t="s">
        <v>21</v>
      </c>
      <c r="I8" s="35" t="s">
        <v>24</v>
      </c>
      <c r="J8" s="36">
        <v>46109</v>
      </c>
      <c r="L8" s="37" t="s">
        <v>25</v>
      </c>
      <c r="M8" s="38" t="s">
        <v>26</v>
      </c>
      <c r="N8" s="38" t="s">
        <v>24</v>
      </c>
      <c r="O8" s="39">
        <v>46106</v>
      </c>
      <c r="Q8" s="40" t="s">
        <v>27</v>
      </c>
      <c r="R8" s="41" t="s">
        <v>26</v>
      </c>
      <c r="S8" s="41" t="s">
        <v>24</v>
      </c>
      <c r="T8" s="42">
        <v>46101</v>
      </c>
      <c r="V8" s="43" t="s">
        <v>28</v>
      </c>
      <c r="W8" s="44" t="s">
        <v>29</v>
      </c>
      <c r="X8" s="44" t="s">
        <v>24</v>
      </c>
      <c r="Y8" s="45">
        <v>46091</v>
      </c>
    </row>
    <row r="9" ht="15.75" customHeight="1">
      <c r="B9" s="46" t="s">
        <v>30</v>
      </c>
      <c r="C9" s="47" t="s">
        <v>29</v>
      </c>
      <c r="D9" s="47" t="s">
        <v>31</v>
      </c>
      <c r="E9" s="48">
        <v>46132</v>
      </c>
      <c r="G9" s="46" t="s">
        <v>32</v>
      </c>
      <c r="H9" s="47" t="s">
        <v>26</v>
      </c>
      <c r="I9" s="47" t="s">
        <v>31</v>
      </c>
      <c r="J9" s="48">
        <v>46113</v>
      </c>
      <c r="L9" s="46" t="s">
        <v>33</v>
      </c>
      <c r="M9" s="47" t="s">
        <v>29</v>
      </c>
      <c r="N9" s="47" t="s">
        <v>24</v>
      </c>
      <c r="O9" s="48">
        <v>46103</v>
      </c>
      <c r="Q9" s="46" t="s">
        <v>34</v>
      </c>
      <c r="R9" s="47" t="s">
        <v>21</v>
      </c>
      <c r="S9" s="47" t="s">
        <v>31</v>
      </c>
      <c r="T9" s="48">
        <v>46102</v>
      </c>
      <c r="V9" s="46" t="s">
        <v>35</v>
      </c>
      <c r="W9" s="47" t="s">
        <v>26</v>
      </c>
      <c r="X9" s="47" t="s">
        <v>24</v>
      </c>
      <c r="Y9" s="48">
        <v>46093</v>
      </c>
    </row>
    <row r="10" ht="15.75" customHeight="1">
      <c r="B10" s="49" t="s">
        <v>36</v>
      </c>
      <c r="C10" s="50" t="s">
        <v>37</v>
      </c>
      <c r="D10" s="50" t="s">
        <v>22</v>
      </c>
      <c r="E10" s="51">
        <v>46143</v>
      </c>
      <c r="G10" s="52"/>
      <c r="H10" s="53"/>
      <c r="I10" s="53"/>
      <c r="J10" s="54"/>
      <c r="L10" s="55" t="s">
        <v>38</v>
      </c>
      <c r="M10" s="56" t="s">
        <v>37</v>
      </c>
      <c r="N10" s="56" t="s">
        <v>31</v>
      </c>
      <c r="O10" s="57">
        <v>46111</v>
      </c>
      <c r="Q10" s="58"/>
      <c r="R10" s="59"/>
      <c r="S10" s="59"/>
      <c r="T10" s="60"/>
      <c r="V10" s="61"/>
      <c r="W10" s="62"/>
      <c r="X10" s="62"/>
      <c r="Y10" s="63"/>
    </row>
    <row r="11" ht="16.5" customHeight="1">
      <c r="B11" s="64"/>
      <c r="C11" s="65"/>
      <c r="D11" s="65"/>
      <c r="E11" s="66"/>
      <c r="G11" s="64"/>
      <c r="H11" s="65"/>
      <c r="I11" s="65"/>
      <c r="J11" s="66"/>
      <c r="L11" s="64"/>
      <c r="M11" s="65"/>
      <c r="N11" s="65"/>
      <c r="O11" s="66"/>
      <c r="Q11" s="64"/>
      <c r="R11" s="65"/>
      <c r="S11" s="65"/>
      <c r="T11" s="66"/>
      <c r="V11" s="64"/>
      <c r="W11" s="65"/>
      <c r="X11" s="65"/>
      <c r="Y11" s="66"/>
    </row>
    <row r="12" ht="16.5" customHeight="1">
      <c r="B12" s="67"/>
      <c r="C12" s="68"/>
      <c r="D12" s="68"/>
      <c r="E12" s="69"/>
      <c r="G12" s="52"/>
      <c r="H12" s="53"/>
      <c r="I12" s="53"/>
      <c r="J12" s="54"/>
      <c r="L12" s="70"/>
      <c r="M12" s="71"/>
      <c r="N12" s="71"/>
      <c r="O12" s="72"/>
      <c r="Q12" s="58"/>
      <c r="R12" s="59"/>
      <c r="S12" s="59"/>
      <c r="T12" s="60"/>
      <c r="V12" s="61"/>
      <c r="W12" s="62"/>
      <c r="X12" s="62"/>
      <c r="Y12" s="63"/>
    </row>
    <row r="13" ht="16.5" customHeight="1">
      <c r="B13" s="64"/>
      <c r="C13" s="65"/>
      <c r="D13" s="65"/>
      <c r="E13" s="66"/>
      <c r="G13" s="64"/>
      <c r="H13" s="65"/>
      <c r="I13" s="65"/>
      <c r="J13" s="66"/>
      <c r="L13" s="64"/>
      <c r="M13" s="65"/>
      <c r="N13" s="65"/>
      <c r="O13" s="66"/>
      <c r="Q13" s="64"/>
      <c r="R13" s="65"/>
      <c r="S13" s="65"/>
      <c r="T13" s="66"/>
      <c r="V13" s="64"/>
      <c r="W13" s="65"/>
      <c r="X13" s="65"/>
      <c r="Y13" s="66"/>
    </row>
    <row r="14" ht="16.5" customHeight="1">
      <c r="B14" s="67"/>
      <c r="C14" s="68"/>
      <c r="D14" s="68"/>
      <c r="E14" s="69"/>
      <c r="G14" s="52"/>
      <c r="H14" s="53"/>
      <c r="I14" s="53"/>
      <c r="J14" s="54"/>
      <c r="L14" s="70"/>
      <c r="M14" s="71"/>
      <c r="N14" s="71"/>
      <c r="O14" s="72"/>
      <c r="Q14" s="58"/>
      <c r="R14" s="59"/>
      <c r="S14" s="59"/>
      <c r="T14" s="60"/>
      <c r="V14" s="61"/>
      <c r="W14" s="62"/>
      <c r="X14" s="62"/>
      <c r="Y14" s="63"/>
    </row>
    <row r="15" ht="16.5" customHeight="1">
      <c r="B15" s="64"/>
      <c r="C15" s="65"/>
      <c r="D15" s="65"/>
      <c r="E15" s="66"/>
      <c r="G15" s="64"/>
      <c r="H15" s="65"/>
      <c r="I15" s="65"/>
      <c r="J15" s="66"/>
      <c r="L15" s="64"/>
      <c r="M15" s="65"/>
      <c r="N15" s="65"/>
      <c r="O15" s="66"/>
      <c r="Q15" s="64"/>
      <c r="R15" s="65"/>
      <c r="S15" s="65"/>
      <c r="T15" s="66"/>
      <c r="V15" s="64"/>
      <c r="W15" s="65"/>
      <c r="X15" s="65"/>
      <c r="Y15" s="66"/>
    </row>
    <row r="16" ht="16.5" customHeight="1">
      <c r="B16" s="67"/>
      <c r="C16" s="68"/>
      <c r="D16" s="68"/>
      <c r="E16" s="69"/>
      <c r="G16" s="52"/>
      <c r="H16" s="53"/>
      <c r="I16" s="53"/>
      <c r="J16" s="54"/>
      <c r="L16" s="70"/>
      <c r="M16" s="71"/>
      <c r="N16" s="71"/>
      <c r="O16" s="72"/>
      <c r="Q16" s="58"/>
      <c r="R16" s="59"/>
      <c r="S16" s="59"/>
      <c r="T16" s="60"/>
      <c r="V16" s="61"/>
      <c r="W16" s="62"/>
      <c r="X16" s="62"/>
      <c r="Y16" s="63"/>
    </row>
    <row r="17" ht="16.5" customHeight="1">
      <c r="B17" s="64"/>
      <c r="C17" s="65"/>
      <c r="D17" s="65"/>
      <c r="E17" s="66"/>
      <c r="G17" s="64"/>
      <c r="H17" s="65"/>
      <c r="I17" s="65"/>
      <c r="J17" s="66"/>
      <c r="L17" s="64"/>
      <c r="M17" s="65"/>
      <c r="N17" s="65"/>
      <c r="O17" s="66"/>
      <c r="Q17" s="64"/>
      <c r="R17" s="65"/>
      <c r="S17" s="65"/>
      <c r="T17" s="66"/>
      <c r="V17" s="64"/>
      <c r="W17" s="65"/>
      <c r="X17" s="65"/>
      <c r="Y17" s="66"/>
    </row>
    <row r="18" ht="16.5" customHeight="1">
      <c r="B18" s="67"/>
      <c r="C18" s="68"/>
      <c r="D18" s="68"/>
      <c r="E18" s="69"/>
      <c r="G18" s="52"/>
      <c r="H18" s="53"/>
      <c r="I18" s="53"/>
      <c r="J18" s="54"/>
      <c r="L18" s="70"/>
      <c r="M18" s="71"/>
      <c r="N18" s="71"/>
      <c r="O18" s="72"/>
      <c r="Q18" s="58"/>
      <c r="R18" s="59"/>
      <c r="S18" s="59"/>
      <c r="T18" s="60"/>
      <c r="V18" s="61"/>
      <c r="W18" s="62"/>
      <c r="X18" s="62"/>
      <c r="Y18" s="63"/>
    </row>
    <row r="19" ht="16.5" customHeight="1">
      <c r="B19" s="64"/>
      <c r="C19" s="65"/>
      <c r="D19" s="65"/>
      <c r="E19" s="66"/>
      <c r="G19" s="64"/>
      <c r="H19" s="65"/>
      <c r="I19" s="65"/>
      <c r="J19" s="66"/>
      <c r="L19" s="64"/>
      <c r="M19" s="65"/>
      <c r="N19" s="65"/>
      <c r="O19" s="66"/>
      <c r="Q19" s="64"/>
      <c r="R19" s="65"/>
      <c r="S19" s="65"/>
      <c r="T19" s="66"/>
      <c r="V19" s="64"/>
      <c r="W19" s="65"/>
      <c r="X19" s="65"/>
      <c r="Y19" s="66"/>
    </row>
    <row r="20" ht="16.5" customHeight="1">
      <c r="B20" s="67"/>
      <c r="C20" s="68"/>
      <c r="D20" s="68"/>
      <c r="E20" s="69"/>
      <c r="G20" s="52"/>
      <c r="H20" s="53"/>
      <c r="I20" s="53"/>
      <c r="J20" s="54"/>
      <c r="L20" s="70"/>
      <c r="M20" s="71"/>
      <c r="N20" s="71"/>
      <c r="O20" s="72"/>
      <c r="Q20" s="58"/>
      <c r="R20" s="59"/>
      <c r="S20" s="59"/>
      <c r="T20" s="60"/>
      <c r="V20" s="61"/>
      <c r="W20" s="62"/>
      <c r="X20" s="62"/>
      <c r="Y20" s="63"/>
    </row>
    <row r="21" ht="16.5" customHeight="1">
      <c r="B21" s="64"/>
      <c r="C21" s="65"/>
      <c r="D21" s="65"/>
      <c r="E21" s="66"/>
      <c r="G21" s="64"/>
      <c r="H21" s="65"/>
      <c r="I21" s="65"/>
      <c r="J21" s="66"/>
      <c r="L21" s="64"/>
      <c r="M21" s="65"/>
      <c r="N21" s="65"/>
      <c r="O21" s="66"/>
      <c r="Q21" s="64"/>
      <c r="R21" s="65"/>
      <c r="S21" s="65"/>
      <c r="T21" s="66"/>
      <c r="V21" s="64"/>
      <c r="W21" s="65"/>
      <c r="X21" s="65"/>
      <c r="Y21" s="66"/>
    </row>
    <row r="22" ht="16.5" customHeight="1">
      <c r="B22" s="67"/>
      <c r="C22" s="68"/>
      <c r="D22" s="68"/>
      <c r="E22" s="69"/>
      <c r="G22" s="52"/>
      <c r="H22" s="53"/>
      <c r="I22" s="53"/>
      <c r="J22" s="54"/>
      <c r="L22" s="70"/>
      <c r="M22" s="71"/>
      <c r="N22" s="71"/>
      <c r="O22" s="72"/>
      <c r="Q22" s="58"/>
      <c r="R22" s="59"/>
      <c r="S22" s="59"/>
      <c r="T22" s="60"/>
      <c r="V22" s="61"/>
      <c r="W22" s="62"/>
      <c r="X22" s="62"/>
      <c r="Y22" s="63"/>
    </row>
    <row r="23" ht="16.5" customHeight="1">
      <c r="B23" s="64"/>
      <c r="C23" s="65"/>
      <c r="D23" s="65"/>
      <c r="E23" s="66"/>
      <c r="G23" s="64"/>
      <c r="H23" s="65"/>
      <c r="I23" s="65"/>
      <c r="J23" s="66"/>
      <c r="L23" s="64"/>
      <c r="M23" s="65"/>
      <c r="N23" s="65"/>
      <c r="O23" s="66"/>
      <c r="Q23" s="64"/>
      <c r="R23" s="65"/>
      <c r="S23" s="65"/>
      <c r="T23" s="66"/>
      <c r="V23" s="64"/>
      <c r="W23" s="65"/>
      <c r="X23" s="65"/>
      <c r="Y23" s="66"/>
    </row>
    <row r="24" ht="16.5" customHeight="1">
      <c r="B24" s="67"/>
      <c r="C24" s="68"/>
      <c r="D24" s="68"/>
      <c r="E24" s="69"/>
      <c r="G24" s="52"/>
      <c r="H24" s="53"/>
      <c r="I24" s="53"/>
      <c r="J24" s="54"/>
      <c r="L24" s="70"/>
      <c r="M24" s="71"/>
      <c r="N24" s="71"/>
      <c r="O24" s="72"/>
      <c r="Q24" s="58"/>
      <c r="R24" s="59"/>
      <c r="S24" s="59"/>
      <c r="T24" s="60"/>
      <c r="V24" s="61"/>
      <c r="W24" s="62"/>
      <c r="X24" s="62"/>
      <c r="Y24" s="63"/>
    </row>
    <row r="25" ht="16.5" customHeight="1">
      <c r="B25" s="64"/>
      <c r="C25" s="65"/>
      <c r="D25" s="65"/>
      <c r="E25" s="66"/>
      <c r="G25" s="64"/>
      <c r="H25" s="65"/>
      <c r="I25" s="65"/>
      <c r="J25" s="66"/>
      <c r="L25" s="64"/>
      <c r="M25" s="65"/>
      <c r="N25" s="65"/>
      <c r="O25" s="66"/>
      <c r="Q25" s="64"/>
      <c r="R25" s="65"/>
      <c r="S25" s="65"/>
      <c r="T25" s="66"/>
      <c r="V25" s="64"/>
      <c r="W25" s="65"/>
      <c r="X25" s="65"/>
      <c r="Y25" s="66"/>
    </row>
    <row r="26" ht="16.5" customHeight="1">
      <c r="B26" s="67"/>
      <c r="C26" s="68"/>
      <c r="D26" s="68"/>
      <c r="E26" s="69"/>
      <c r="G26" s="52"/>
      <c r="H26" s="53"/>
      <c r="I26" s="53"/>
      <c r="J26" s="54"/>
      <c r="L26" s="70"/>
      <c r="M26" s="71"/>
      <c r="N26" s="71"/>
      <c r="O26" s="72"/>
      <c r="Q26" s="58"/>
      <c r="R26" s="59"/>
      <c r="S26" s="59"/>
      <c r="T26" s="60"/>
      <c r="V26" s="61"/>
      <c r="W26" s="62"/>
      <c r="X26" s="62"/>
      <c r="Y26" s="63"/>
    </row>
    <row r="27" ht="16.5" customHeight="1">
      <c r="B27" s="73"/>
      <c r="C27" s="74"/>
      <c r="D27" s="74"/>
      <c r="E27" s="75"/>
      <c r="G27" s="73"/>
      <c r="H27" s="74"/>
      <c r="I27" s="74"/>
      <c r="J27" s="75"/>
      <c r="L27" s="73"/>
      <c r="M27" s="74"/>
      <c r="N27" s="74"/>
      <c r="O27" s="75"/>
      <c r="Q27" s="73"/>
      <c r="R27" s="74"/>
      <c r="S27" s="74"/>
      <c r="T27" s="75"/>
      <c r="V27" s="73"/>
      <c r="W27" s="74"/>
      <c r="X27" s="74"/>
      <c r="Y27" s="75"/>
    </row>
    <row r="28" ht="16.5" customHeight="1"/>
    <row r="29" ht="16.5" customHeight="1"/>
    <row r="30" ht="15.75" customHeight="1">
      <c r="B30" s="76" t="s">
        <v>39</v>
      </c>
    </row>
    <row r="31" ht="15.75" customHeight="1">
      <c r="B31" s="77" t="s">
        <v>40</v>
      </c>
      <c r="C31" s="78" t="s">
        <v>24</v>
      </c>
      <c r="D31" s="79" t="s">
        <v>31</v>
      </c>
      <c r="E31" s="30" t="s">
        <v>22</v>
      </c>
    </row>
    <row r="32" ht="15.75" customHeight="1">
      <c r="B32" s="77" t="s">
        <v>41</v>
      </c>
      <c r="C32" s="80" t="s">
        <v>42</v>
      </c>
    </row>
    <row r="33" ht="15.75" customHeight="1">
      <c r="B33" s="77" t="s">
        <v>5</v>
      </c>
      <c r="C33" s="80" t="s">
        <v>43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5:E5"/>
    <mergeCell ref="G5:J5"/>
    <mergeCell ref="L5:O5"/>
    <mergeCell ref="Q5:T5"/>
    <mergeCell ref="V5:Y5"/>
    <mergeCell ref="B6:E6"/>
    <mergeCell ref="G6:J6"/>
    <mergeCell ref="L6:O6"/>
    <mergeCell ref="Q6:T6"/>
    <mergeCell ref="V6:Y6"/>
    <mergeCell ref="C32:H32"/>
    <mergeCell ref="C33:H33"/>
  </mergeCells>
  <conditionalFormatting sqref="L6">
    <cfRule type="expression" dxfId="0" priority="22" text="null">
      <formula>COUNTA($L$8:$L$27)&gt;3</formula>
    </cfRule>
  </conditionalFormatting>
  <conditionalFormatting sqref="Q6">
    <cfRule type="expression" dxfId="0" priority="21" text="null">
      <formula>COUNTA($Q$8:$Q$27)&gt;3</formula>
    </cfRule>
  </conditionalFormatting>
  <conditionalFormatting sqref="G6">
    <cfRule type="expression" dxfId="0" priority="20" text="null">
      <formula>COUNTA($G$8:$G$27)&gt;5</formula>
    </cfRule>
  </conditionalFormatting>
  <conditionalFormatting sqref="D8:D27">
    <cfRule type="cellIs" dxfId="1" priority="19" operator="equal" text="null">
      <formula>"High"</formula>
    </cfRule>
  </conditionalFormatting>
  <conditionalFormatting sqref="D8:D27">
    <cfRule type="cellIs" dxfId="2" priority="18" operator="equal" text="null">
      <formula>"Medium"</formula>
    </cfRule>
  </conditionalFormatting>
  <conditionalFormatting sqref="D8:D27">
    <cfRule type="cellIs" dxfId="3" priority="17" operator="equal" text="null">
      <formula>"Low"</formula>
    </cfRule>
  </conditionalFormatting>
  <conditionalFormatting sqref="I8:I27">
    <cfRule type="cellIs" dxfId="1" priority="16" operator="equal" text="null">
      <formula>"High"</formula>
    </cfRule>
  </conditionalFormatting>
  <conditionalFormatting sqref="I8:I27">
    <cfRule type="cellIs" dxfId="2" priority="15" operator="equal" text="null">
      <formula>"Medium"</formula>
    </cfRule>
  </conditionalFormatting>
  <conditionalFormatting sqref="I8:I27">
    <cfRule type="cellIs" dxfId="3" priority="14" operator="equal" text="null">
      <formula>"Low"</formula>
    </cfRule>
  </conditionalFormatting>
  <conditionalFormatting sqref="N8:N27">
    <cfRule type="cellIs" dxfId="1" priority="13" operator="equal" text="null">
      <formula>"High"</formula>
    </cfRule>
  </conditionalFormatting>
  <conditionalFormatting sqref="N8:N27">
    <cfRule type="cellIs" dxfId="2" priority="12" operator="equal" text="null">
      <formula>"Medium"</formula>
    </cfRule>
  </conditionalFormatting>
  <conditionalFormatting sqref="N8:N27">
    <cfRule type="cellIs" dxfId="3" priority="11" operator="equal" text="null">
      <formula>"Low"</formula>
    </cfRule>
  </conditionalFormatting>
  <conditionalFormatting sqref="S8:S27">
    <cfRule type="cellIs" dxfId="1" priority="10" operator="equal" text="null">
      <formula>"High"</formula>
    </cfRule>
  </conditionalFormatting>
  <conditionalFormatting sqref="S8:S27">
    <cfRule type="cellIs" dxfId="2" priority="9" operator="equal" text="null">
      <formula>"Medium"</formula>
    </cfRule>
  </conditionalFormatting>
  <conditionalFormatting sqref="S8:S27">
    <cfRule type="cellIs" dxfId="3" priority="8" operator="equal" text="null">
      <formula>"Low"</formula>
    </cfRule>
  </conditionalFormatting>
  <conditionalFormatting sqref="X8:X27">
    <cfRule type="cellIs" dxfId="1" priority="7" operator="equal" text="null">
      <formula>"High"</formula>
    </cfRule>
  </conditionalFormatting>
  <conditionalFormatting sqref="X8:X27">
    <cfRule type="cellIs" dxfId="2" priority="6" operator="equal" text="null">
      <formula>"Medium"</formula>
    </cfRule>
  </conditionalFormatting>
  <conditionalFormatting sqref="X8:X27">
    <cfRule type="cellIs" dxfId="3" priority="5" operator="equal" text="null">
      <formula>"Low"</formula>
    </cfRule>
  </conditionalFormatting>
  <conditionalFormatting sqref="E8:E27">
    <cfRule type="expression" dxfId="0" priority="4" text="null">
      <formula>AND(E8&lt;&gt;"",E8&lt;TODAY())</formula>
    </cfRule>
  </conditionalFormatting>
  <conditionalFormatting sqref="J8:J27">
    <cfRule type="expression" dxfId="0" priority="3" text="null">
      <formula>AND(J8&lt;&gt;"",J8&lt;TODAY())</formula>
    </cfRule>
  </conditionalFormatting>
  <conditionalFormatting sqref="O8:O27">
    <cfRule type="expression" dxfId="0" priority="2" text="null">
      <formula>AND(O8&lt;&gt;"",O8&lt;TODAY())</formula>
    </cfRule>
  </conditionalFormatting>
  <conditionalFormatting sqref="T8:T27">
    <cfRule type="expression" dxfId="0" priority="1" text="null">
      <formula>AND(T8&lt;&gt;"",T8&lt;TODAY())</formula>
    </cfRule>
  </conditionalFormatting>
  <dataValidations count="100">
    <dataValidation allowBlank="1" showErrorMessage="1" sqref="D8" type="list">
      <formula1>"High,Medium,Low"</formula1>
    </dataValidation>
    <dataValidation allowBlank="1" showErrorMessage="1" sqref="D9" type="list">
      <formula1>"High,Medium,Low"</formula1>
    </dataValidation>
    <dataValidation allowBlank="1" showErrorMessage="1" sqref="D10" type="list">
      <formula1>"High,Medium,Low"</formula1>
    </dataValidation>
    <dataValidation allowBlank="1" showErrorMessage="1" sqref="D11" type="list">
      <formula1>"High,Medium,Low"</formula1>
    </dataValidation>
    <dataValidation allowBlank="1" showErrorMessage="1" sqref="D12" type="list">
      <formula1>"High,Medium,Low"</formula1>
    </dataValidation>
    <dataValidation allowBlank="1" showErrorMessage="1" sqref="D13" type="list">
      <formula1>"High,Medium,Low"</formula1>
    </dataValidation>
    <dataValidation allowBlank="1" showErrorMessage="1" sqref="D14" type="list">
      <formula1>"High,Medium,Low"</formula1>
    </dataValidation>
    <dataValidation allowBlank="1" showErrorMessage="1" sqref="D15" type="list">
      <formula1>"High,Medium,Low"</formula1>
    </dataValidation>
    <dataValidation allowBlank="1" showErrorMessage="1" sqref="D16" type="list">
      <formula1>"High,Medium,Low"</formula1>
    </dataValidation>
    <dataValidation allowBlank="1" showErrorMessage="1" sqref="D17" type="list">
      <formula1>"High,Medium,Low"</formula1>
    </dataValidation>
    <dataValidation allowBlank="1" showErrorMessage="1" sqref="D18" type="list">
      <formula1>"High,Medium,Low"</formula1>
    </dataValidation>
    <dataValidation allowBlank="1" showErrorMessage="1" sqref="D19" type="list">
      <formula1>"High,Medium,Low"</formula1>
    </dataValidation>
    <dataValidation allowBlank="1" showErrorMessage="1" sqref="D20" type="list">
      <formula1>"High,Medium,Low"</formula1>
    </dataValidation>
    <dataValidation allowBlank="1" showErrorMessage="1" sqref="D21" type="list">
      <formula1>"High,Medium,Low"</formula1>
    </dataValidation>
    <dataValidation allowBlank="1" showErrorMessage="1" sqref="D22" type="list">
      <formula1>"High,Medium,Low"</formula1>
    </dataValidation>
    <dataValidation allowBlank="1" showErrorMessage="1" sqref="D23" type="list">
      <formula1>"High,Medium,Low"</formula1>
    </dataValidation>
    <dataValidation allowBlank="1" showErrorMessage="1" sqref="D24" type="list">
      <formula1>"High,Medium,Low"</formula1>
    </dataValidation>
    <dataValidation allowBlank="1" showErrorMessage="1" sqref="D25" type="list">
      <formula1>"High,Medium,Low"</formula1>
    </dataValidation>
    <dataValidation allowBlank="1" showErrorMessage="1" sqref="D26" type="list">
      <formula1>"High,Medium,Low"</formula1>
    </dataValidation>
    <dataValidation allowBlank="1" showErrorMessage="1" sqref="D27" type="list">
      <formula1>"High,Medium,Low"</formula1>
    </dataValidation>
    <dataValidation allowBlank="1" showErrorMessage="1" sqref="I8" type="list">
      <formula1>"High,Medium,Low"</formula1>
    </dataValidation>
    <dataValidation allowBlank="1" showErrorMessage="1" sqref="I9" type="list">
      <formula1>"High,Medium,Low"</formula1>
    </dataValidation>
    <dataValidation allowBlank="1" showErrorMessage="1" sqref="I10" type="list">
      <formula1>"High,Medium,Low"</formula1>
    </dataValidation>
    <dataValidation allowBlank="1" showErrorMessage="1" sqref="I11" type="list">
      <formula1>"High,Medium,Low"</formula1>
    </dataValidation>
    <dataValidation allowBlank="1" showErrorMessage="1" sqref="I12" type="list">
      <formula1>"High,Medium,Low"</formula1>
    </dataValidation>
    <dataValidation allowBlank="1" showErrorMessage="1" sqref="I13" type="list">
      <formula1>"High,Medium,Low"</formula1>
    </dataValidation>
    <dataValidation allowBlank="1" showErrorMessage="1" sqref="I14" type="list">
      <formula1>"High,Medium,Low"</formula1>
    </dataValidation>
    <dataValidation allowBlank="1" showErrorMessage="1" sqref="I15" type="list">
      <formula1>"High,Medium,Low"</formula1>
    </dataValidation>
    <dataValidation allowBlank="1" showErrorMessage="1" sqref="I16" type="list">
      <formula1>"High,Medium,Low"</formula1>
    </dataValidation>
    <dataValidation allowBlank="1" showErrorMessage="1" sqref="I17" type="list">
      <formula1>"High,Medium,Low"</formula1>
    </dataValidation>
    <dataValidation allowBlank="1" showErrorMessage="1" sqref="I18" type="list">
      <formula1>"High,Medium,Low"</formula1>
    </dataValidation>
    <dataValidation allowBlank="1" showErrorMessage="1" sqref="I19" type="list">
      <formula1>"High,Medium,Low"</formula1>
    </dataValidation>
    <dataValidation allowBlank="1" showErrorMessage="1" sqref="I20" type="list">
      <formula1>"High,Medium,Low"</formula1>
    </dataValidation>
    <dataValidation allowBlank="1" showErrorMessage="1" sqref="I21" type="list">
      <formula1>"High,Medium,Low"</formula1>
    </dataValidation>
    <dataValidation allowBlank="1" showErrorMessage="1" sqref="I22" type="list">
      <formula1>"High,Medium,Low"</formula1>
    </dataValidation>
    <dataValidation allowBlank="1" showErrorMessage="1" sqref="I23" type="list">
      <formula1>"High,Medium,Low"</formula1>
    </dataValidation>
    <dataValidation allowBlank="1" showErrorMessage="1" sqref="I24" type="list">
      <formula1>"High,Medium,Low"</formula1>
    </dataValidation>
    <dataValidation allowBlank="1" showErrorMessage="1" sqref="I25" type="list">
      <formula1>"High,Medium,Low"</formula1>
    </dataValidation>
    <dataValidation allowBlank="1" showErrorMessage="1" sqref="I26" type="list">
      <formula1>"High,Medium,Low"</formula1>
    </dataValidation>
    <dataValidation allowBlank="1" showErrorMessage="1" sqref="I27" type="list">
      <formula1>"High,Medium,Low"</formula1>
    </dataValidation>
    <dataValidation allowBlank="1" showErrorMessage="1" sqref="N8" type="list">
      <formula1>"High,Medium,Low"</formula1>
    </dataValidation>
    <dataValidation allowBlank="1" showErrorMessage="1" sqref="N9" type="list">
      <formula1>"High,Medium,Low"</formula1>
    </dataValidation>
    <dataValidation allowBlank="1" showErrorMessage="1" sqref="N10" type="list">
      <formula1>"High,Medium,Low"</formula1>
    </dataValidation>
    <dataValidation allowBlank="1" showErrorMessage="1" sqref="N11" type="list">
      <formula1>"High,Medium,Low"</formula1>
    </dataValidation>
    <dataValidation allowBlank="1" showErrorMessage="1" sqref="N12" type="list">
      <formula1>"High,Medium,Low"</formula1>
    </dataValidation>
    <dataValidation allowBlank="1" showErrorMessage="1" sqref="N13" type="list">
      <formula1>"High,Medium,Low"</formula1>
    </dataValidation>
    <dataValidation allowBlank="1" showErrorMessage="1" sqref="N14" type="list">
      <formula1>"High,Medium,Low"</formula1>
    </dataValidation>
    <dataValidation allowBlank="1" showErrorMessage="1" sqref="N15" type="list">
      <formula1>"High,Medium,Low"</formula1>
    </dataValidation>
    <dataValidation allowBlank="1" showErrorMessage="1" sqref="N16" type="list">
      <formula1>"High,Medium,Low"</formula1>
    </dataValidation>
    <dataValidation allowBlank="1" showErrorMessage="1" sqref="N17" type="list">
      <formula1>"High,Medium,Low"</formula1>
    </dataValidation>
    <dataValidation allowBlank="1" showErrorMessage="1" sqref="N18" type="list">
      <formula1>"High,Medium,Low"</formula1>
    </dataValidation>
    <dataValidation allowBlank="1" showErrorMessage="1" sqref="N19" type="list">
      <formula1>"High,Medium,Low"</formula1>
    </dataValidation>
    <dataValidation allowBlank="1" showErrorMessage="1" sqref="N20" type="list">
      <formula1>"High,Medium,Low"</formula1>
    </dataValidation>
    <dataValidation allowBlank="1" showErrorMessage="1" sqref="N21" type="list">
      <formula1>"High,Medium,Low"</formula1>
    </dataValidation>
    <dataValidation allowBlank="1" showErrorMessage="1" sqref="N22" type="list">
      <formula1>"High,Medium,Low"</formula1>
    </dataValidation>
    <dataValidation allowBlank="1" showErrorMessage="1" sqref="N23" type="list">
      <formula1>"High,Medium,Low"</formula1>
    </dataValidation>
    <dataValidation allowBlank="1" showErrorMessage="1" sqref="N24" type="list">
      <formula1>"High,Medium,Low"</formula1>
    </dataValidation>
    <dataValidation allowBlank="1" showErrorMessage="1" sqref="N25" type="list">
      <formula1>"High,Medium,Low"</formula1>
    </dataValidation>
    <dataValidation allowBlank="1" showErrorMessage="1" sqref="N26" type="list">
      <formula1>"High,Medium,Low"</formula1>
    </dataValidation>
    <dataValidation allowBlank="1" showErrorMessage="1" sqref="N27" type="list">
      <formula1>"High,Medium,Low"</formula1>
    </dataValidation>
    <dataValidation allowBlank="1" showErrorMessage="1" sqref="S8" type="list">
      <formula1>"High,Medium,Low"</formula1>
    </dataValidation>
    <dataValidation allowBlank="1" showErrorMessage="1" sqref="S9" type="list">
      <formula1>"High,Medium,Low"</formula1>
    </dataValidation>
    <dataValidation allowBlank="1" showErrorMessage="1" sqref="S10" type="list">
      <formula1>"High,Medium,Low"</formula1>
    </dataValidation>
    <dataValidation allowBlank="1" showErrorMessage="1" sqref="S11" type="list">
      <formula1>"High,Medium,Low"</formula1>
    </dataValidation>
    <dataValidation allowBlank="1" showErrorMessage="1" sqref="S12" type="list">
      <formula1>"High,Medium,Low"</formula1>
    </dataValidation>
    <dataValidation allowBlank="1" showErrorMessage="1" sqref="S13" type="list">
      <formula1>"High,Medium,Low"</formula1>
    </dataValidation>
    <dataValidation allowBlank="1" showErrorMessage="1" sqref="S14" type="list">
      <formula1>"High,Medium,Low"</formula1>
    </dataValidation>
    <dataValidation allowBlank="1" showErrorMessage="1" sqref="S15" type="list">
      <formula1>"High,Medium,Low"</formula1>
    </dataValidation>
    <dataValidation allowBlank="1" showErrorMessage="1" sqref="S16" type="list">
      <formula1>"High,Medium,Low"</formula1>
    </dataValidation>
    <dataValidation allowBlank="1" showErrorMessage="1" sqref="S17" type="list">
      <formula1>"High,Medium,Low"</formula1>
    </dataValidation>
    <dataValidation allowBlank="1" showErrorMessage="1" sqref="S18" type="list">
      <formula1>"High,Medium,Low"</formula1>
    </dataValidation>
    <dataValidation allowBlank="1" showErrorMessage="1" sqref="S19" type="list">
      <formula1>"High,Medium,Low"</formula1>
    </dataValidation>
    <dataValidation allowBlank="1" showErrorMessage="1" sqref="S20" type="list">
      <formula1>"High,Medium,Low"</formula1>
    </dataValidation>
    <dataValidation allowBlank="1" showErrorMessage="1" sqref="S21" type="list">
      <formula1>"High,Medium,Low"</formula1>
    </dataValidation>
    <dataValidation allowBlank="1" showErrorMessage="1" sqref="S22" type="list">
      <formula1>"High,Medium,Low"</formula1>
    </dataValidation>
    <dataValidation allowBlank="1" showErrorMessage="1" sqref="S23" type="list">
      <formula1>"High,Medium,Low"</formula1>
    </dataValidation>
    <dataValidation allowBlank="1" showErrorMessage="1" sqref="S24" type="list">
      <formula1>"High,Medium,Low"</formula1>
    </dataValidation>
    <dataValidation allowBlank="1" showErrorMessage="1" sqref="S25" type="list">
      <formula1>"High,Medium,Low"</formula1>
    </dataValidation>
    <dataValidation allowBlank="1" showErrorMessage="1" sqref="S26" type="list">
      <formula1>"High,Medium,Low"</formula1>
    </dataValidation>
    <dataValidation allowBlank="1" showErrorMessage="1" sqref="S27" type="list">
      <formula1>"High,Medium,Low"</formula1>
    </dataValidation>
    <dataValidation allowBlank="1" showErrorMessage="1" sqref="X8" type="list">
      <formula1>"High,Medium,Low"</formula1>
    </dataValidation>
    <dataValidation allowBlank="1" showErrorMessage="1" sqref="X9" type="list">
      <formula1>"High,Medium,Low"</formula1>
    </dataValidation>
    <dataValidation allowBlank="1" showErrorMessage="1" sqref="X10" type="list">
      <formula1>"High,Medium,Low"</formula1>
    </dataValidation>
    <dataValidation allowBlank="1" showErrorMessage="1" sqref="X11" type="list">
      <formula1>"High,Medium,Low"</formula1>
    </dataValidation>
    <dataValidation allowBlank="1" showErrorMessage="1" sqref="X12" type="list">
      <formula1>"High,Medium,Low"</formula1>
    </dataValidation>
    <dataValidation allowBlank="1" showErrorMessage="1" sqref="X13" type="list">
      <formula1>"High,Medium,Low"</formula1>
    </dataValidation>
    <dataValidation allowBlank="1" showErrorMessage="1" sqref="X14" type="list">
      <formula1>"High,Medium,Low"</formula1>
    </dataValidation>
    <dataValidation allowBlank="1" showErrorMessage="1" sqref="X15" type="list">
      <formula1>"High,Medium,Low"</formula1>
    </dataValidation>
    <dataValidation allowBlank="1" showErrorMessage="1" sqref="X16" type="list">
      <formula1>"High,Medium,Low"</formula1>
    </dataValidation>
    <dataValidation allowBlank="1" showErrorMessage="1" sqref="X17" type="list">
      <formula1>"High,Medium,Low"</formula1>
    </dataValidation>
    <dataValidation allowBlank="1" showErrorMessage="1" sqref="X18" type="list">
      <formula1>"High,Medium,Low"</formula1>
    </dataValidation>
    <dataValidation allowBlank="1" showErrorMessage="1" sqref="X19" type="list">
      <formula1>"High,Medium,Low"</formula1>
    </dataValidation>
    <dataValidation allowBlank="1" showErrorMessage="1" sqref="X20" type="list">
      <formula1>"High,Medium,Low"</formula1>
    </dataValidation>
    <dataValidation allowBlank="1" showErrorMessage="1" sqref="X21" type="list">
      <formula1>"High,Medium,Low"</formula1>
    </dataValidation>
    <dataValidation allowBlank="1" showErrorMessage="1" sqref="X22" type="list">
      <formula1>"High,Medium,Low"</formula1>
    </dataValidation>
    <dataValidation allowBlank="1" showErrorMessage="1" sqref="X23" type="list">
      <formula1>"High,Medium,Low"</formula1>
    </dataValidation>
    <dataValidation allowBlank="1" showErrorMessage="1" sqref="X24" type="list">
      <formula1>"High,Medium,Low"</formula1>
    </dataValidation>
    <dataValidation allowBlank="1" showErrorMessage="1" sqref="X25" type="list">
      <formula1>"High,Medium,Low"</formula1>
    </dataValidation>
    <dataValidation allowBlank="1" showErrorMessage="1" sqref="X26" type="list">
      <formula1>"High,Medium,Low"</formula1>
    </dataValidation>
    <dataValidation allowBlank="1" showErrorMessage="1" sqref="X27" type="list">
      <formula1>"High,Medium,Low"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c1331d5b-90b8-48c7-8301-98291e3552d7</vt:lpwstr>
  </property>
</Properties>
</file>