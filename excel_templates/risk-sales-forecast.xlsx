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04-Uniwersytet\04-Excel\Shortcut AI Excel templates\"/>
    </mc:Choice>
  </mc:AlternateContent>
  <xr:revisionPtr revIDLastSave="0" documentId="13_ncr:1_{777C7C5B-6093-436D-9F75-CB9C16AC562B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ales Forecast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" l="1"/>
  <c r="C33" i="1"/>
  <c r="C32" i="1"/>
  <c r="C31" i="1"/>
  <c r="C30" i="1"/>
  <c r="D29" i="1"/>
  <c r="C29" i="1"/>
  <c r="C34" i="1" s="1"/>
  <c r="C25" i="1"/>
  <c r="D24" i="1"/>
  <c r="D23" i="1"/>
  <c r="E23" i="1" s="1"/>
  <c r="E22" i="1"/>
  <c r="E31" i="1" s="1"/>
  <c r="D22" i="1"/>
  <c r="D21" i="1"/>
  <c r="D20" i="1"/>
  <c r="E32" i="1" l="1"/>
  <c r="F23" i="1"/>
  <c r="F22" i="1"/>
  <c r="D33" i="1"/>
  <c r="E24" i="1"/>
  <c r="E20" i="1"/>
  <c r="D32" i="1"/>
  <c r="D30" i="1"/>
  <c r="E21" i="1"/>
  <c r="D25" i="1"/>
  <c r="D31" i="1"/>
  <c r="D34" i="1" l="1"/>
  <c r="E33" i="1"/>
  <c r="F24" i="1"/>
  <c r="E30" i="1"/>
  <c r="F21" i="1"/>
  <c r="F31" i="1"/>
  <c r="G22" i="1"/>
  <c r="F32" i="1"/>
  <c r="G23" i="1"/>
  <c r="E29" i="1"/>
  <c r="E25" i="1"/>
  <c r="F20" i="1"/>
  <c r="F33" i="1" l="1"/>
  <c r="G24" i="1"/>
  <c r="F29" i="1"/>
  <c r="F34" i="1" s="1"/>
  <c r="F25" i="1"/>
  <c r="G20" i="1"/>
  <c r="E34" i="1"/>
  <c r="C38" i="1" s="1"/>
  <c r="F30" i="1"/>
  <c r="G21" i="1"/>
  <c r="G32" i="1"/>
  <c r="H23" i="1"/>
  <c r="G31" i="1"/>
  <c r="H22" i="1"/>
  <c r="C41" i="1" l="1"/>
  <c r="C40" i="1"/>
  <c r="G25" i="1"/>
  <c r="H20" i="1"/>
  <c r="G29" i="1"/>
  <c r="H31" i="1"/>
  <c r="I22" i="1"/>
  <c r="G33" i="1"/>
  <c r="H24" i="1"/>
  <c r="H32" i="1"/>
  <c r="I23" i="1"/>
  <c r="G30" i="1"/>
  <c r="H21" i="1"/>
  <c r="I31" i="1" l="1"/>
  <c r="J22" i="1"/>
  <c r="G34" i="1"/>
  <c r="H29" i="1"/>
  <c r="H25" i="1"/>
  <c r="I20" i="1"/>
  <c r="I32" i="1"/>
  <c r="J23" i="1"/>
  <c r="H33" i="1"/>
  <c r="I24" i="1"/>
  <c r="H30" i="1"/>
  <c r="I21" i="1"/>
  <c r="I33" i="1" l="1"/>
  <c r="J24" i="1"/>
  <c r="J32" i="1"/>
  <c r="K23" i="1"/>
  <c r="I29" i="1"/>
  <c r="J20" i="1"/>
  <c r="I25" i="1"/>
  <c r="H34" i="1"/>
  <c r="D38" i="1" s="1"/>
  <c r="I30" i="1"/>
  <c r="J21" i="1"/>
  <c r="J31" i="1"/>
  <c r="K22" i="1"/>
  <c r="D40" i="1" l="1"/>
  <c r="D41" i="1"/>
  <c r="I34" i="1"/>
  <c r="J30" i="1"/>
  <c r="K21" i="1"/>
  <c r="J29" i="1"/>
  <c r="J25" i="1"/>
  <c r="K20" i="1"/>
  <c r="K24" i="1"/>
  <c r="J33" i="1"/>
  <c r="L23" i="1"/>
  <c r="K32" i="1"/>
  <c r="K31" i="1"/>
  <c r="L22" i="1"/>
  <c r="L24" i="1" l="1"/>
  <c r="K33" i="1"/>
  <c r="K29" i="1"/>
  <c r="K25" i="1"/>
  <c r="L20" i="1"/>
  <c r="J34" i="1"/>
  <c r="K30" i="1"/>
  <c r="L21" i="1"/>
  <c r="M22" i="1"/>
  <c r="L31" i="1"/>
  <c r="M23" i="1"/>
  <c r="L32" i="1"/>
  <c r="L30" i="1" l="1"/>
  <c r="M21" i="1"/>
  <c r="N22" i="1"/>
  <c r="M31" i="1"/>
  <c r="L29" i="1"/>
  <c r="L34" i="1" s="1"/>
  <c r="L25" i="1"/>
  <c r="M20" i="1"/>
  <c r="K34" i="1"/>
  <c r="E38" i="1" s="1"/>
  <c r="N23" i="1"/>
  <c r="N32" i="1" s="1"/>
  <c r="O32" i="1" s="1"/>
  <c r="M32" i="1"/>
  <c r="O23" i="1"/>
  <c r="M24" i="1"/>
  <c r="L33" i="1"/>
  <c r="E40" i="1" l="1"/>
  <c r="E41" i="1"/>
  <c r="M29" i="1"/>
  <c r="M25" i="1"/>
  <c r="N20" i="1"/>
  <c r="N31" i="1"/>
  <c r="O31" i="1" s="1"/>
  <c r="O22" i="1"/>
  <c r="N21" i="1"/>
  <c r="M30" i="1"/>
  <c r="N24" i="1"/>
  <c r="M33" i="1"/>
  <c r="N33" i="1" l="1"/>
  <c r="O33" i="1" s="1"/>
  <c r="O24" i="1"/>
  <c r="N30" i="1"/>
  <c r="O30" i="1" s="1"/>
  <c r="O21" i="1"/>
  <c r="N25" i="1"/>
  <c r="N29" i="1"/>
  <c r="O20" i="1"/>
  <c r="O25" i="1" s="1"/>
  <c r="M34" i="1"/>
  <c r="N34" i="1" l="1"/>
  <c r="F38" i="1" s="1"/>
  <c r="O29" i="1"/>
  <c r="F40" i="1" l="1"/>
  <c r="F41" i="1"/>
  <c r="G38" i="1"/>
  <c r="I7" i="2"/>
  <c r="O34" i="1"/>
  <c r="F7" i="2" l="1"/>
  <c r="C7" i="2" a="1"/>
  <c r="C7" i="2" s="1"/>
  <c r="G41" i="1"/>
  <c r="G40" i="1"/>
  <c r="L7" i="2" s="1" a="1"/>
  <c r="L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<sst xmlns="http://schemas.openxmlformats.org/spreadsheetml/2006/main" count="70" uniqueCount="46">
  <si>
    <t>Sales Forecast</t>
  </si>
  <si>
    <t>12-Month Revenue Projection</t>
  </si>
  <si>
    <t>Product / Service Lines</t>
  </si>
  <si>
    <t>Product / Service</t>
  </si>
  <si>
    <t>Unit Price</t>
  </si>
  <si>
    <t>Monthly Growth %</t>
  </si>
  <si>
    <t>Consulting Services</t>
  </si>
  <si>
    <t>Software Licenses</t>
  </si>
  <si>
    <t>Training Workshops</t>
  </si>
  <si>
    <t>Support Plans</t>
  </si>
  <si>
    <t>Custom Development</t>
  </si>
  <si>
    <t>Units Sold</t>
  </si>
  <si>
    <t>Product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</si>
  <si>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</si>
  <si>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</si>
  <si>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</si>
  <si>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</si>
  <si>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</si>
  <si>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</si>
  <si>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</si>
  <si>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</si>
  <si>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</si>
  <si>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</si>
  <si>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</si>
  <si>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</si>
  <si>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</si>
  <si>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Total Units</t>
  </si>
  <si>
    <t>Revenue</t>
  </si>
  <si>
    <t>Total Revenue</t>
  </si>
  <si>
    <t>Quarterly Summary</t>
  </si>
  <si>
    <t>Q1</t>
  </si>
  <si>
    <t>Q2</t>
  </si>
  <si>
    <t>Q3</t>
  </si>
  <si>
    <t>Q4</t>
  </si>
  <si>
    <t>Annual Total</t>
  </si>
  <si>
    <t>Forecast Revenue</t>
  </si>
  <si>
    <t>Prior Year Revenue</t>
  </si>
  <si>
    <t>YoY Growth %</t>
  </si>
  <si>
    <t>Variance ($)</t>
  </si>
  <si>
    <t>Sales Forecast Dashboard</t>
  </si>
  <si>
    <t>Revenue Overview &amp; Product Analysis</t>
  </si>
  <si>
    <t>Key Metrics</t>
  </si>
  <si>
    <t>Annual Revenue</t>
  </si>
  <si>
    <t>Avg Monthly Revenue</t>
  </si>
  <si>
    <t>Top Product Revenue</t>
  </si>
  <si>
    <t>YoY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</si>
</sst>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%"/>
  </numFmts>
  <fonts count="13" x14ac:knownFonts="1">
    <font>
      <sz val="12"/>
      <color theme="1"/>
      <name val="Calibri"/>
      <scheme val="minor"/>
    </font>
    <font>
      <b/>
      <sz val="18"/>
      <color rgb="FF1A2B3D"/>
      <name val="Aptos"/>
    </font>
    <font>
      <i/>
      <sz val="11"/>
      <color rgb="FF808080"/>
      <name val="Aptos"/>
    </font>
    <font>
      <b/>
      <sz val="13"/>
      <name val="Aptos"/>
    </font>
    <font>
      <b/>
      <sz val="11"/>
      <color rgb="FFFFFFFF"/>
      <name val="Aptos"/>
    </font>
    <font>
      <sz val="11"/>
      <name val="Aptos"/>
    </font>
    <font>
      <sz val="11"/>
      <color rgb="FF0070C0"/>
      <name val="Aptos"/>
    </font>
    <font>
      <b/>
      <sz val="11"/>
      <name val="Aptos"/>
    </font>
    <font>
      <sz val="11"/>
      <color rgb="FF000000"/>
      <name val="Aptos"/>
    </font>
    <font>
      <b/>
      <sz val="11"/>
      <color rgb="FF000000"/>
      <name val="Aptos"/>
    </font>
    <font>
      <b/>
      <sz val="11"/>
      <color rgb="FFFFFFFF"/>
      <name val="Calibri"/>
    </font>
    <font>
      <b/>
      <sz val="11"/>
      <color rgb="FF808080"/>
      <name val="Aptos"/>
    </font>
    <font>
      <b/>
      <sz val="16"/>
      <color rgb="FF1A2B3D"/>
      <name val="Aptos"/>
    </font>
  </fonts>
  <fills count="6">
    <fill>
      <patternFill patternType="none"/>
    </fill>
    <fill>
      <patternFill patternType="gray125"/>
    </fill>
    <fill>
      <patternFill patternType="solid">
        <fgColor rgb="FF4B5B6B"/>
      </patternFill>
    </fill>
    <fill>
      <patternFill patternType="solid">
        <fgColor rgb="FFEBF0F5"/>
      </patternFill>
    </fill>
    <fill>
      <patternFill patternType="solid">
        <fgColor rgb="FF2B3B4B"/>
      </patternFill>
    </fill>
    <fill>
      <patternFill patternType="solid">
        <fgColor rgb="FFD0D8DD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B0B8C0"/>
      </left>
      <right/>
      <top style="thin">
        <color rgb="FFB0B8C0"/>
      </top>
      <bottom/>
      <diagonal/>
    </border>
    <border>
      <left/>
      <right/>
      <top style="thin">
        <color rgb="FFB0B8C0"/>
      </top>
      <bottom/>
      <diagonal/>
    </border>
    <border>
      <left/>
      <right style="thin">
        <color rgb="FFB0B8C0"/>
      </right>
      <top style="thin">
        <color rgb="FFB0B8C0"/>
      </top>
      <bottom/>
      <diagonal/>
    </border>
    <border>
      <left style="thin">
        <color rgb="FFB0B8C0"/>
      </left>
      <right/>
      <top/>
      <bottom/>
      <diagonal/>
    </border>
    <border>
      <left/>
      <right style="thin">
        <color rgb="FFB0B8C0"/>
      </right>
      <top/>
      <bottom/>
      <diagonal/>
    </border>
    <border>
      <left style="thin">
        <color rgb="FFB0B8C0"/>
      </left>
      <right/>
      <top/>
      <bottom style="thin">
        <color rgb="FFB0B8C0"/>
      </bottom>
      <diagonal/>
    </border>
    <border>
      <left/>
      <right/>
      <top/>
      <bottom style="thin">
        <color rgb="FFB0B8C0"/>
      </bottom>
      <diagonal/>
    </border>
    <border>
      <left/>
      <right style="thin">
        <color rgb="FFB0B8C0"/>
      </right>
      <top/>
      <bottom style="thin">
        <color rgb="FFB0B8C0"/>
      </bottom>
      <diagonal/>
    </border>
  </borders>
  <cellStyleXfs count="1">
    <xf numFmtId="0" fontId="0" fillId="0" borderId="1"/>
  </cellStyleXfs>
  <cellXfs count="47">
    <xf numFmtId="0" fontId="0" fillId="0" borderId="1" xfId="0"/>
    <xf numFmtId="0" fontId="1" fillId="0" borderId="1" xfId="0" applyFont="1" applyAlignment="1">
      <alignment vertical="top"/>
    </xf>
    <xf numFmtId="0" fontId="2" fillId="0" borderId="1" xfId="0" applyFont="1" applyAlignment="1">
      <alignment vertical="top"/>
    </xf>
    <xf numFmtId="0" fontId="3" fillId="0" borderId="1" xfId="0" applyFont="1" applyAlignment="1">
      <alignment vertical="top"/>
    </xf>
    <xf numFmtId="0" fontId="4" fillId="2" borderId="2" xfId="0" applyFont="1" applyFill="1" applyBorder="1" applyAlignment="1">
      <alignment vertical="top"/>
    </xf>
    <xf numFmtId="0" fontId="4" fillId="2" borderId="3" xfId="0" applyFont="1" applyFill="1" applyBorder="1" applyAlignment="1">
      <alignment vertical="top"/>
    </xf>
    <xf numFmtId="0" fontId="4" fillId="2" borderId="4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164" fontId="6" fillId="3" borderId="1" xfId="0" applyNumberFormat="1" applyFont="1" applyFill="1" applyAlignment="1">
      <alignment vertical="top"/>
    </xf>
    <xf numFmtId="165" fontId="6" fillId="3" borderId="6" xfId="0" applyNumberFormat="1" applyFont="1" applyFill="1" applyBorder="1" applyAlignment="1">
      <alignment vertical="top"/>
    </xf>
    <xf numFmtId="0" fontId="5" fillId="0" borderId="5" xfId="0" applyFont="1" applyBorder="1" applyAlignment="1">
      <alignment vertical="top"/>
    </xf>
    <xf numFmtId="164" fontId="6" fillId="0" borderId="1" xfId="0" applyNumberFormat="1" applyFont="1" applyAlignment="1">
      <alignment vertical="top"/>
    </xf>
    <xf numFmtId="165" fontId="6" fillId="0" borderId="6" xfId="0" applyNumberFormat="1" applyFont="1" applyBorder="1" applyAlignment="1">
      <alignment vertical="top"/>
    </xf>
    <xf numFmtId="0" fontId="5" fillId="3" borderId="7" xfId="0" applyFont="1" applyFill="1" applyBorder="1" applyAlignment="1">
      <alignment vertical="top"/>
    </xf>
    <xf numFmtId="164" fontId="6" fillId="3" borderId="8" xfId="0" applyNumberFormat="1" applyFont="1" applyFill="1" applyBorder="1" applyAlignment="1">
      <alignment vertical="top"/>
    </xf>
    <xf numFmtId="165" fontId="6" fillId="3" borderId="9" xfId="0" applyNumberFormat="1" applyFont="1" applyFill="1" applyBorder="1" applyAlignment="1">
      <alignment vertical="top"/>
    </xf>
    <xf numFmtId="0" fontId="4" fillId="2" borderId="3" xfId="0" applyFont="1" applyFill="1" applyBorder="1" applyAlignment="1">
      <alignment horizontal="center" vertical="top"/>
    </xf>
    <xf numFmtId="0" fontId="4" fillId="4" borderId="4" xfId="0" applyFont="1" applyFill="1" applyBorder="1" applyAlignment="1">
      <alignment horizontal="center" vertical="top"/>
    </xf>
    <xf numFmtId="0" fontId="7" fillId="3" borderId="5" xfId="0" applyFont="1" applyFill="1" applyBorder="1" applyAlignment="1">
      <alignment vertical="top"/>
    </xf>
    <xf numFmtId="3" fontId="6" fillId="3" borderId="1" xfId="0" applyNumberFormat="1" applyFont="1" applyFill="1" applyAlignment="1">
      <alignment vertical="top"/>
    </xf>
    <xf numFmtId="3" fontId="8" fillId="3" borderId="1" xfId="0" applyNumberFormat="1" applyFont="1" applyFill="1" applyAlignment="1">
      <alignment vertical="top"/>
    </xf>
    <xf numFmtId="3" fontId="9" fillId="3" borderId="6" xfId="0" applyNumberFormat="1" applyFont="1" applyFill="1" applyBorder="1" applyAlignment="1">
      <alignment vertical="top"/>
    </xf>
    <xf numFmtId="0" fontId="7" fillId="0" borderId="5" xfId="0" applyFont="1" applyBorder="1" applyAlignment="1">
      <alignment vertical="top"/>
    </xf>
    <xf numFmtId="3" fontId="6" fillId="0" borderId="1" xfId="0" applyNumberFormat="1" applyFont="1" applyAlignment="1">
      <alignment vertical="top"/>
    </xf>
    <xf numFmtId="3" fontId="8" fillId="0" borderId="1" xfId="0" applyNumberFormat="1" applyFont="1" applyAlignment="1">
      <alignment vertical="top"/>
    </xf>
    <xf numFmtId="3" fontId="9" fillId="0" borderId="6" xfId="0" applyNumberFormat="1" applyFont="1" applyBorder="1" applyAlignment="1">
      <alignment vertical="top"/>
    </xf>
    <xf numFmtId="0" fontId="7" fillId="5" borderId="7" xfId="0" applyFont="1" applyFill="1" applyBorder="1" applyAlignment="1">
      <alignment vertical="top"/>
    </xf>
    <xf numFmtId="3" fontId="9" fillId="5" borderId="8" xfId="0" applyNumberFormat="1" applyFont="1" applyFill="1" applyBorder="1" applyAlignment="1">
      <alignment vertical="top"/>
    </xf>
    <xf numFmtId="3" fontId="9" fillId="5" borderId="9" xfId="0" applyNumberFormat="1" applyFont="1" applyFill="1" applyBorder="1" applyAlignment="1">
      <alignment vertical="top"/>
    </xf>
    <xf numFmtId="164" fontId="8" fillId="3" borderId="1" xfId="0" applyNumberFormat="1" applyFont="1" applyFill="1" applyAlignment="1">
      <alignment vertical="top"/>
    </xf>
    <xf numFmtId="164" fontId="9" fillId="3" borderId="6" xfId="0" applyNumberFormat="1" applyFont="1" applyFill="1" applyBorder="1" applyAlignment="1">
      <alignment vertical="top"/>
    </xf>
    <xf numFmtId="164" fontId="8" fillId="0" borderId="1" xfId="0" applyNumberFormat="1" applyFont="1" applyAlignment="1">
      <alignment vertical="top"/>
    </xf>
    <xf numFmtId="164" fontId="9" fillId="0" borderId="6" xfId="0" applyNumberFormat="1" applyFont="1" applyBorder="1" applyAlignment="1">
      <alignment vertical="top"/>
    </xf>
    <xf numFmtId="164" fontId="9" fillId="5" borderId="8" xfId="0" applyNumberFormat="1" applyFont="1" applyFill="1" applyBorder="1" applyAlignment="1">
      <alignment vertical="top"/>
    </xf>
    <xf numFmtId="164" fontId="9" fillId="5" borderId="9" xfId="0" applyNumberFormat="1" applyFont="1" applyFill="1" applyBorder="1" applyAlignment="1">
      <alignment vertical="top"/>
    </xf>
    <xf numFmtId="0" fontId="10" fillId="2" borderId="2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165" fontId="8" fillId="3" borderId="1" xfId="0" applyNumberFormat="1" applyFont="1" applyFill="1" applyAlignment="1">
      <alignment vertical="top"/>
    </xf>
    <xf numFmtId="165" fontId="9" fillId="3" borderId="6" xfId="0" applyNumberFormat="1" applyFont="1" applyFill="1" applyBorder="1" applyAlignment="1">
      <alignment vertical="top"/>
    </xf>
    <xf numFmtId="0" fontId="7" fillId="0" borderId="7" xfId="0" applyFont="1" applyBorder="1" applyAlignment="1">
      <alignment vertical="top"/>
    </xf>
    <xf numFmtId="164" fontId="8" fillId="0" borderId="8" xfId="0" applyNumberFormat="1" applyFont="1" applyBorder="1" applyAlignment="1">
      <alignment vertical="top"/>
    </xf>
    <xf numFmtId="164" fontId="9" fillId="0" borderId="9" xfId="0" applyNumberFormat="1" applyFont="1" applyBorder="1" applyAlignment="1">
      <alignment vertical="top"/>
    </xf>
    <xf numFmtId="0" fontId="11" fillId="3" borderId="2" xfId="0" applyFont="1" applyFill="1" applyBorder="1" applyAlignment="1">
      <alignment horizontal="center" vertical="top"/>
    </xf>
    <xf numFmtId="0" fontId="5" fillId="0" borderId="4" xfId="0" applyFont="1" applyBorder="1" applyAlignment="1">
      <alignment vertical="top"/>
    </xf>
    <xf numFmtId="164" fontId="12" fillId="3" borderId="7" xfId="0" applyNumberFormat="1" applyFont="1" applyFill="1" applyBorder="1" applyAlignment="1">
      <alignment horizontal="center" vertical="top"/>
    </xf>
    <xf numFmtId="0" fontId="5" fillId="0" borderId="9" xfId="0" applyFont="1" applyBorder="1" applyAlignment="1">
      <alignment vertical="top"/>
    </xf>
    <xf numFmtId="165" fontId="12" fillId="3" borderId="7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3">
    <dxf>
      <font>
        <color rgb="FF9C0006"/>
      </font>
    </dxf>
    <dxf>
      <font>
        <color rgb="FF006100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>
                <a:solidFill>
                  <a:schemeClr val="tx1">
                    <a:lumMod val="65000"/>
                    <a:lumOff val="35000"/>
                  </a:schemeClr>
                </a:solidFill>
                <a:latin typeface="Aptos"/>
              </a:defRPr>
            </a:pPr>
            <a:r>
              <a:rPr lang="en-US" sz="1000" b="0">
                <a:solidFill>
                  <a:schemeClr val="tx1">
                    <a:lumMod val="65000"/>
                    <a:lumOff val="35000"/>
                  </a:schemeClr>
                </a:solidFill>
                <a:latin typeface="Aptos"/>
              </a:rPr>
              <a:t>Monthly Revenue by Product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19050"/>
          </c:spPr>
          <c:marker>
            <c:symbol val="none"/>
          </c:marker>
          <c:cat>
            <c:strRef>
              <c:f>'Sales Forecast'!$C$28:$N$28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Forecast'!$C$29:$N$29</c:f>
              <c:numCache>
                <c:formatCode>"$"#\ ##0</c:formatCode>
                <c:ptCount val="12"/>
                <c:pt idx="0">
                  <c:v>6000</c:v>
                </c:pt>
                <c:pt idx="1">
                  <c:v>6150</c:v>
                </c:pt>
                <c:pt idx="2">
                  <c:v>6300</c:v>
                </c:pt>
                <c:pt idx="3">
                  <c:v>6450</c:v>
                </c:pt>
                <c:pt idx="4">
                  <c:v>6600</c:v>
                </c:pt>
                <c:pt idx="5">
                  <c:v>6750</c:v>
                </c:pt>
                <c:pt idx="6">
                  <c:v>6900</c:v>
                </c:pt>
                <c:pt idx="7">
                  <c:v>7050</c:v>
                </c:pt>
                <c:pt idx="8">
                  <c:v>7200</c:v>
                </c:pt>
                <c:pt idx="9">
                  <c:v>7350</c:v>
                </c:pt>
                <c:pt idx="10">
                  <c:v>7500</c:v>
                </c:pt>
                <c:pt idx="11">
                  <c:v>7650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Consulting Services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238-458D-87E4-300416B261E8}"/>
            </c:ext>
          </c:extLst>
        </c:ser>
        <c:ser>
          <c:idx val="2"/>
          <c:order val="1"/>
          <c:spPr>
            <a:ln w="19050"/>
          </c:spPr>
          <c:marker>
            <c:symbol val="none"/>
          </c:marker>
          <c:cat>
            <c:strRef>
              <c:f>'Sales Forecast'!$C$28:$N$28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Forecast'!$C$30:$N$30</c:f>
              <c:numCache>
                <c:formatCode>"$"#\ ##0</c:formatCode>
                <c:ptCount val="12"/>
                <c:pt idx="0">
                  <c:v>12475</c:v>
                </c:pt>
                <c:pt idx="1">
                  <c:v>12974</c:v>
                </c:pt>
                <c:pt idx="2">
                  <c:v>13473</c:v>
                </c:pt>
                <c:pt idx="3">
                  <c:v>13972</c:v>
                </c:pt>
                <c:pt idx="4">
                  <c:v>14471</c:v>
                </c:pt>
                <c:pt idx="5">
                  <c:v>14970</c:v>
                </c:pt>
                <c:pt idx="6">
                  <c:v>15469</c:v>
                </c:pt>
                <c:pt idx="7">
                  <c:v>15968</c:v>
                </c:pt>
                <c:pt idx="8">
                  <c:v>16467</c:v>
                </c:pt>
                <c:pt idx="9">
                  <c:v>16966</c:v>
                </c:pt>
                <c:pt idx="10">
                  <c:v>17465</c:v>
                </c:pt>
                <c:pt idx="11">
                  <c:v>17964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Software Licenses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3238-458D-87E4-300416B261E8}"/>
            </c:ext>
          </c:extLst>
        </c:ser>
        <c:ser>
          <c:idx val="3"/>
          <c:order val="2"/>
          <c:spPr>
            <a:ln w="19050"/>
          </c:spPr>
          <c:marker>
            <c:symbol val="none"/>
          </c:marker>
          <c:cat>
            <c:strRef>
              <c:f>'Sales Forecast'!$C$28:$N$28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Forecast'!$C$31:$N$31</c:f>
              <c:numCache>
                <c:formatCode>"$"#\ ##0</c:formatCode>
                <c:ptCount val="12"/>
                <c:pt idx="0">
                  <c:v>6000</c:v>
                </c:pt>
                <c:pt idx="1">
                  <c:v>6075</c:v>
                </c:pt>
                <c:pt idx="2">
                  <c:v>6150</c:v>
                </c:pt>
                <c:pt idx="3">
                  <c:v>6225</c:v>
                </c:pt>
                <c:pt idx="4">
                  <c:v>6300</c:v>
                </c:pt>
                <c:pt idx="5">
                  <c:v>6375</c:v>
                </c:pt>
                <c:pt idx="6">
                  <c:v>6450</c:v>
                </c:pt>
                <c:pt idx="7">
                  <c:v>6525</c:v>
                </c:pt>
                <c:pt idx="8">
                  <c:v>6600</c:v>
                </c:pt>
                <c:pt idx="9">
                  <c:v>6675</c:v>
                </c:pt>
                <c:pt idx="10">
                  <c:v>6750</c:v>
                </c:pt>
                <c:pt idx="11">
                  <c:v>6825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Training Workshops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3238-458D-87E4-300416B261E8}"/>
            </c:ext>
          </c:extLst>
        </c:ser>
        <c:ser>
          <c:idx val="4"/>
          <c:order val="3"/>
          <c:spPr>
            <a:ln w="19050"/>
          </c:spPr>
          <c:marker>
            <c:symbol val="none"/>
          </c:marker>
          <c:cat>
            <c:strRef>
              <c:f>'Sales Forecast'!$C$28:$N$28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Forecast'!$C$32:$N$32</c:f>
              <c:numCache>
                <c:formatCode>"$"#\ ##0</c:formatCode>
                <c:ptCount val="12"/>
                <c:pt idx="0">
                  <c:v>6000</c:v>
                </c:pt>
                <c:pt idx="1">
                  <c:v>6000</c:v>
                </c:pt>
                <c:pt idx="2">
                  <c:v>6000</c:v>
                </c:pt>
                <c:pt idx="3">
                  <c:v>6000</c:v>
                </c:pt>
                <c:pt idx="4">
                  <c:v>6000</c:v>
                </c:pt>
                <c:pt idx="5">
                  <c:v>6000</c:v>
                </c:pt>
                <c:pt idx="6">
                  <c:v>6000</c:v>
                </c:pt>
                <c:pt idx="7">
                  <c:v>6000</c:v>
                </c:pt>
                <c:pt idx="8">
                  <c:v>6000</c:v>
                </c:pt>
                <c:pt idx="9">
                  <c:v>6000</c:v>
                </c:pt>
                <c:pt idx="10">
                  <c:v>6000</c:v>
                </c:pt>
                <c:pt idx="11">
                  <c:v>6000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Support Plans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3238-458D-87E4-300416B261E8}"/>
            </c:ext>
          </c:extLst>
        </c:ser>
        <c:ser>
          <c:idx val="5"/>
          <c:order val="4"/>
          <c:spPr>
            <a:ln w="19050"/>
          </c:spPr>
          <c:marker>
            <c:symbol val="none"/>
          </c:marker>
          <c:cat>
            <c:strRef>
              <c:f>'Sales Forecast'!$C$28:$N$28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Forecast'!$C$33:$N$33</c:f>
              <c:numCache>
                <c:formatCode>"$"#\ ##0</c:formatCode>
                <c:ptCount val="12"/>
                <c:pt idx="0">
                  <c:v>3500</c:v>
                </c:pt>
                <c:pt idx="1">
                  <c:v>3675</c:v>
                </c:pt>
                <c:pt idx="2">
                  <c:v>3850</c:v>
                </c:pt>
                <c:pt idx="3">
                  <c:v>4025</c:v>
                </c:pt>
                <c:pt idx="4">
                  <c:v>4200</c:v>
                </c:pt>
                <c:pt idx="5">
                  <c:v>4375</c:v>
                </c:pt>
                <c:pt idx="6">
                  <c:v>4550</c:v>
                </c:pt>
                <c:pt idx="7">
                  <c:v>4725</c:v>
                </c:pt>
                <c:pt idx="8">
                  <c:v>4900</c:v>
                </c:pt>
                <c:pt idx="9">
                  <c:v>5075</c:v>
                </c:pt>
                <c:pt idx="10">
                  <c:v>5250</c:v>
                </c:pt>
                <c:pt idx="11">
                  <c:v>5425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Custom Development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3238-458D-87E4-300416B26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467194"/>
        <c:axId val="76256090"/>
      </c:lineChart>
      <c:catAx>
        <c:axId val="924671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1000" b="0">
                <a:solidFill>
                  <a:schemeClr val="tx1">
                    <a:lumMod val="65000"/>
                    <a:lumOff val="35000"/>
                  </a:schemeClr>
                </a:solidFill>
                <a:latin typeface="Aptos"/>
              </a:defRPr>
            </a:pPr>
            <a:endParaRPr lang="en-US"/>
          </a:p>
        </c:txPr>
        <c:crossAx val="76256090"/>
        <c:crosses val="autoZero"/>
        <c:auto val="1"/>
        <c:lblAlgn val="ctr"/>
        <c:lblOffset val="0"/>
        <c:tickMarkSkip val="1"/>
        <c:noMultiLvlLbl val="1"/>
      </c:catAx>
      <c:valAx>
        <c:axId val="76256090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numFmt formatCode="&quot;$&quot;#\ ##0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1000" b="0">
                <a:solidFill>
                  <a:schemeClr val="tx1">
                    <a:lumMod val="65000"/>
                    <a:lumOff val="35000"/>
                  </a:schemeClr>
                </a:solidFill>
                <a:latin typeface="Aptos"/>
              </a:defRPr>
            </a:pPr>
            <a:endParaRPr lang="en-US"/>
          </a:p>
        </c:txPr>
        <c:crossAx val="92467194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1000" b="0">
              <a:solidFill>
                <a:schemeClr val="tx1">
                  <a:lumMod val="65000"/>
                  <a:lumOff val="35000"/>
                </a:schemeClr>
              </a:solidFill>
              <a:latin typeface="Apto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  <a:prstDash val="solid"/>
    </a:ln>
  </c:spPr>
  <c:txPr>
    <a:bodyPr/>
    <a:lstStyle/>
    <a:p>
      <a:pPr>
        <a:defRPr sz="1000" b="0">
          <a:solidFill>
            <a:schemeClr val="tx1">
              <a:lumMod val="65000"/>
              <a:lumOff val="35000"/>
            </a:schemeClr>
          </a:solidFill>
          <a:latin typeface="Apto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>
                <a:solidFill>
                  <a:schemeClr val="tx1">
                    <a:lumMod val="65000"/>
                    <a:lumOff val="35000"/>
                  </a:schemeClr>
                </a:solidFill>
                <a:latin typeface="Aptos"/>
              </a:defRPr>
            </a:pPr>
            <a:r>
              <a:rPr lang="en-US" sz="1000" b="0">
                <a:solidFill>
                  <a:schemeClr val="tx1">
                    <a:lumMod val="65000"/>
                    <a:lumOff val="35000"/>
                  </a:schemeClr>
                </a:solidFill>
                <a:latin typeface="Aptos"/>
              </a:rPr>
              <a:t>Annual Revenue by Product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'Sales Forecast'!$B$29:$B$33</c:f>
              <c:strCache>
                <c:ptCount val="5"/>
                <c:pt idx="0">
                  <c:v>Consulting Services</c:v>
                </c:pt>
                <c:pt idx="1">
                  <c:v>Software Licenses</c:v>
                </c:pt>
                <c:pt idx="2">
                  <c:v>Training Workshops</c:v>
                </c:pt>
                <c:pt idx="3">
                  <c:v>Support Plans</c:v>
                </c:pt>
                <c:pt idx="4">
                  <c:v>Custom Development</c:v>
                </c:pt>
              </c:strCache>
            </c:strRef>
          </c:cat>
          <c:val>
            <c:numRef>
              <c:f>'Sales Forecast'!$O$29:$O$33</c:f>
              <c:numCache>
                <c:formatCode>"$"#\ ##0</c:formatCode>
                <c:ptCount val="5"/>
                <c:pt idx="0">
                  <c:v>81900</c:v>
                </c:pt>
                <c:pt idx="1">
                  <c:v>182634</c:v>
                </c:pt>
                <c:pt idx="2">
                  <c:v>76950</c:v>
                </c:pt>
                <c:pt idx="3">
                  <c:v>72000</c:v>
                </c:pt>
                <c:pt idx="4">
                  <c:v>53550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Annual Revenue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597-4433-A5E7-DC82C7FDC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333531"/>
        <c:axId val="95092494"/>
      </c:barChart>
      <c:catAx>
        <c:axId val="853335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1000" b="0">
                <a:solidFill>
                  <a:schemeClr val="tx1">
                    <a:lumMod val="65000"/>
                    <a:lumOff val="35000"/>
                  </a:schemeClr>
                </a:solidFill>
                <a:latin typeface="Aptos"/>
              </a:defRPr>
            </a:pPr>
            <a:endParaRPr lang="en-US"/>
          </a:p>
        </c:txPr>
        <c:crossAx val="95092494"/>
        <c:crosses val="autoZero"/>
        <c:auto val="1"/>
        <c:lblAlgn val="ctr"/>
        <c:lblOffset val="0"/>
        <c:tickMarkSkip val="1"/>
        <c:noMultiLvlLbl val="1"/>
      </c:catAx>
      <c:valAx>
        <c:axId val="95092494"/>
        <c:scaling>
          <c:orientation val="minMax"/>
        </c:scaling>
        <c:delete val="0"/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numFmt formatCode="&quot;$&quot;#\ ##0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1000" b="0">
                <a:solidFill>
                  <a:schemeClr val="tx1">
                    <a:lumMod val="65000"/>
                    <a:lumOff val="35000"/>
                  </a:schemeClr>
                </a:solidFill>
                <a:latin typeface="Aptos"/>
              </a:defRPr>
            </a:pPr>
            <a:endParaRPr lang="en-US"/>
          </a:p>
        </c:txPr>
        <c:crossAx val="8533353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1000" b="0">
              <a:solidFill>
                <a:schemeClr val="tx1">
                  <a:lumMod val="65000"/>
                  <a:lumOff val="35000"/>
                </a:schemeClr>
              </a:solidFill>
              <a:latin typeface="Apto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  <a:prstDash val="solid"/>
    </a:ln>
  </c:spPr>
  <c:txPr>
    <a:bodyPr/>
    <a:lstStyle/>
    <a:p>
      <a:pPr>
        <a:defRPr sz="1000" b="0">
          <a:solidFill>
            <a:schemeClr val="tx1">
              <a:lumMod val="65000"/>
              <a:lumOff val="35000"/>
            </a:schemeClr>
          </a:solidFill>
          <a:latin typeface="Apto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>
                <a:solidFill>
                  <a:schemeClr val="tx1">
                    <a:lumMod val="65000"/>
                    <a:lumOff val="35000"/>
                  </a:schemeClr>
                </a:solidFill>
                <a:latin typeface="Aptos"/>
              </a:defRPr>
            </a:pPr>
            <a:r>
              <a:rPr lang="en-US" sz="1000" b="0">
                <a:solidFill>
                  <a:schemeClr val="tx1">
                    <a:lumMod val="65000"/>
                    <a:lumOff val="35000"/>
                  </a:schemeClr>
                </a:solidFill>
                <a:latin typeface="Aptos"/>
              </a:rPr>
              <a:t>Quarterly Revenue: Forecast vs Prior Year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'Sales Forecast'!$C$37:$F$37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'Sales Forecast'!$C$38:$F$38</c:f>
              <c:numCache>
                <c:formatCode>"$"#\ ##0</c:formatCode>
                <c:ptCount val="4"/>
                <c:pt idx="0">
                  <c:v>104622</c:v>
                </c:pt>
                <c:pt idx="1">
                  <c:v>112713</c:v>
                </c:pt>
                <c:pt idx="2">
                  <c:v>120804</c:v>
                </c:pt>
                <c:pt idx="3">
                  <c:v>128895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Forecast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889-414F-BAB3-DBEC4E91855C}"/>
            </c:ext>
          </c:extLst>
        </c:ser>
        <c:ser>
          <c:idx val="1"/>
          <c:order val="1"/>
          <c:invertIfNegative val="0"/>
          <c:cat>
            <c:strRef>
              <c:f>'Sales Forecast'!$C$37:$F$37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'Sales Forecast'!$C$39:$F$39</c:f>
              <c:numCache>
                <c:formatCode>"$"#\ ##0</c:formatCode>
                <c:ptCount val="4"/>
                <c:pt idx="0">
                  <c:v>95000</c:v>
                </c:pt>
                <c:pt idx="1">
                  <c:v>102000</c:v>
                </c:pt>
                <c:pt idx="2">
                  <c:v>110000</c:v>
                </c:pt>
                <c:pt idx="3">
                  <c:v>118000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Prior Year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8889-414F-BAB3-DBEC4E918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93164348"/>
        <c:axId val="27421330"/>
      </c:barChart>
      <c:catAx>
        <c:axId val="931643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1000" b="0">
                <a:solidFill>
                  <a:schemeClr val="tx1">
                    <a:lumMod val="65000"/>
                    <a:lumOff val="35000"/>
                  </a:schemeClr>
                </a:solidFill>
                <a:latin typeface="Aptos"/>
              </a:defRPr>
            </a:pPr>
            <a:endParaRPr lang="en-US"/>
          </a:p>
        </c:txPr>
        <c:crossAx val="27421330"/>
        <c:crosses val="autoZero"/>
        <c:auto val="1"/>
        <c:lblAlgn val="ctr"/>
        <c:lblOffset val="0"/>
        <c:tickMarkSkip val="1"/>
        <c:noMultiLvlLbl val="1"/>
      </c:catAx>
      <c:valAx>
        <c:axId val="27421330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numFmt formatCode="&quot;$&quot;#\ ##0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1000" b="0">
                <a:solidFill>
                  <a:schemeClr val="tx1">
                    <a:lumMod val="65000"/>
                    <a:lumOff val="35000"/>
                  </a:schemeClr>
                </a:solidFill>
                <a:latin typeface="Aptos"/>
              </a:defRPr>
            </a:pPr>
            <a:endParaRPr lang="en-US"/>
          </a:p>
        </c:txPr>
        <c:crossAx val="93164348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1000" b="0">
              <a:solidFill>
                <a:schemeClr val="tx1">
                  <a:lumMod val="65000"/>
                  <a:lumOff val="35000"/>
                </a:schemeClr>
              </a:solidFill>
              <a:latin typeface="Apto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  <a:prstDash val="solid"/>
    </a:ln>
  </c:spPr>
  <c:txPr>
    <a:bodyPr/>
    <a:lstStyle/>
    <a:p>
      <a:pPr>
        <a:defRPr sz="1000" b="0">
          <a:solidFill>
            <a:schemeClr val="tx1">
              <a:lumMod val="65000"/>
              <a:lumOff val="35000"/>
            </a:schemeClr>
          </a:solidFill>
          <a:latin typeface="Apto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7</xdr:col>
      <xdr:colOff>76200</xdr:colOff>
      <xdr:row>26</xdr:row>
      <xdr:rowOff>0</xdr:rowOff>
    </xdr:to>
    <xdr:graphicFrame macro="">
      <xdr:nvGraphicFramePr>
        <xdr:cNvPr id="2" name="MonthlyRevenu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</xdr:colOff>
      <xdr:row>9</xdr:row>
      <xdr:rowOff>0</xdr:rowOff>
    </xdr:from>
    <xdr:to>
      <xdr:col>13</xdr:col>
      <xdr:colOff>0</xdr:colOff>
      <xdr:row>26</xdr:row>
      <xdr:rowOff>0</xdr:rowOff>
    </xdr:to>
    <xdr:graphicFrame macro="">
      <xdr:nvGraphicFramePr>
        <xdr:cNvPr id="3" name="AnnualRevenu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26</xdr:row>
      <xdr:rowOff>114300</xdr:rowOff>
    </xdr:from>
    <xdr:to>
      <xdr:col>7</xdr:col>
      <xdr:colOff>76200</xdr:colOff>
      <xdr:row>43</xdr:row>
      <xdr:rowOff>114300</xdr:rowOff>
    </xdr:to>
    <xdr:graphicFrame macro="">
      <xdr:nvGraphicFramePr>
        <xdr:cNvPr id="4" name="QuarterlyCompariso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5B778-9A63-08D8-E682-D404708366A8}">
  <dimension ref="B2:O41"/>
  <sheetViews>
    <sheetView showGridLines="0" tabSelected="1" zoomScale="90" workbookViewId="0">
      <pane xSplit="1" ySplit="19" topLeftCell="B20" activePane="bottomRight" state="frozen"/>
      <selection pane="topRight" activeCell="B1" sqref="B1"/>
      <selection pane="bottomLeft" activeCell="A20" sqref="A20"/>
      <selection pane="bottomRight" activeCell="F16" sqref="F16"/>
    </sheetView>
  </sheetViews>
  <sheetFormatPr defaultColWidth="7.796875" defaultRowHeight="15" customHeight="1" x14ac:dyDescent="0.3"/>
  <cols>
    <col min="1" max="1" width="3" customWidth="1"/>
    <col min="2" max="2" width="21.296875" customWidth="1"/>
    <col min="3" max="3" width="11.8984375" customWidth="1"/>
    <col min="4" max="4" width="17" customWidth="1"/>
    <col min="5" max="14" width="11.8984375" customWidth="1"/>
    <col min="15" max="15" width="13.09765625" customWidth="1"/>
    <col min="16" max="16" width="14.59765625" customWidth="1"/>
    <col min="18" max="18" width="3.3984375" customWidth="1"/>
  </cols>
  <sheetData>
    <row r="2" spans="2:4" ht="24" customHeight="1" x14ac:dyDescent="0.3">
      <c r="B2" s="1" t="s">
        <v>0</v>
      </c>
    </row>
    <row r="3" spans="2:4" ht="15" customHeight="1" x14ac:dyDescent="0.3">
      <c r="B3" s="2" t="s">
        <v>1</v>
      </c>
    </row>
    <row r="10" spans="2:4" ht="18.75" customHeight="1" x14ac:dyDescent="0.3">
      <c r="B10" s="3" t="s">
        <v>2</v>
      </c>
    </row>
    <row r="11" spans="2:4" ht="15" customHeight="1" x14ac:dyDescent="0.3">
      <c r="B11" s="4" t="s">
        <v>3</v>
      </c>
      <c r="C11" s="5" t="s">
        <v>4</v>
      </c>
      <c r="D11" s="6" t="s">
        <v>5</v>
      </c>
    </row>
    <row r="12" spans="2:4" ht="15" customHeight="1" x14ac:dyDescent="0.3">
      <c r="B12" s="7" t="s">
        <v>6</v>
      </c>
      <c r="C12" s="8">
        <v>150</v>
      </c>
      <c r="D12" s="9">
        <v>0.02</v>
      </c>
    </row>
    <row r="13" spans="2:4" ht="15" customHeight="1" x14ac:dyDescent="0.3">
      <c r="B13" s="10" t="s">
        <v>7</v>
      </c>
      <c r="C13" s="11">
        <v>499</v>
      </c>
      <c r="D13" s="12">
        <v>0.03</v>
      </c>
    </row>
    <row r="14" spans="2:4" ht="15" customHeight="1" x14ac:dyDescent="0.3">
      <c r="B14" s="7" t="s">
        <v>8</v>
      </c>
      <c r="C14" s="8">
        <v>75</v>
      </c>
      <c r="D14" s="9">
        <v>1.4999999999999999E-2</v>
      </c>
    </row>
    <row r="15" spans="2:4" ht="15" customHeight="1" x14ac:dyDescent="0.3">
      <c r="B15" s="10" t="s">
        <v>9</v>
      </c>
      <c r="C15" s="11">
        <v>200</v>
      </c>
      <c r="D15" s="12">
        <v>0.01</v>
      </c>
    </row>
    <row r="16" spans="2:4" ht="15" customHeight="1" x14ac:dyDescent="0.3">
      <c r="B16" s="13" t="s">
        <v>10</v>
      </c>
      <c r="C16" s="14">
        <v>175</v>
      </c>
      <c r="D16" s="15">
        <v>2.5000000000000001E-2</v>
      </c>
    </row>
    <row r="18" spans="2:15" ht="18.75" customHeight="1" x14ac:dyDescent="0.3">
      <c r="B18" s="3" t="s">
        <v>11</v>
      </c>
    </row>
    <row r="19" spans="2:15" ht="15" customHeight="1" x14ac:dyDescent="0.3">
      <c r="B19" s="4" t="s">
        <v>12</v>
      </c>
      <c r="C19" s="16" t="s">
        <v>13</v>
      </c>
      <c r="D19" s="16" t="s">
        <v>14</v>
      </c>
      <c r="E19" s="16" t="s">
        <v>15</v>
      </c>
      <c r="F19" s="16" t="s">
        <v>16</v>
      </c>
      <c r="G19" s="16" t="s">
        <v>17</v>
      </c>
      <c r="H19" s="16" t="s">
        <v>18</v>
      </c>
      <c r="I19" s="16" t="s">
        <v>19</v>
      </c>
      <c r="J19" s="16" t="s">
        <v>20</v>
      </c>
      <c r="K19" s="16" t="s">
        <v>21</v>
      </c>
      <c r="L19" s="16" t="s">
        <v>22</v>
      </c>
      <c r="M19" s="16" t="s">
        <v>23</v>
      </c>
      <c r="N19" s="16" t="s">
        <v>24</v>
      </c>
      <c r="O19" s="17" t="s">
        <v>25</v>
      </c>
    </row>
    <row r="20" spans="2:15" ht="15" customHeight="1" x14ac:dyDescent="0.3">
      <c r="B20" s="18" t="s">
        <v>6</v>
      </c>
      <c r="C20" s="19">
        <v>40</v>
      </c>
      <c r="D20" s="20">
        <f t="shared" ref="D20:N20" si="0">ROUND(C20*(1+$D$12),0)</f>
        <v>41</v>
      </c>
      <c r="E20" s="20">
        <f t="shared" si="0"/>
        <v>42</v>
      </c>
      <c r="F20" s="20">
        <f t="shared" si="0"/>
        <v>43</v>
      </c>
      <c r="G20" s="20">
        <f t="shared" si="0"/>
        <v>44</v>
      </c>
      <c r="H20" s="20">
        <f t="shared" si="0"/>
        <v>45</v>
      </c>
      <c r="I20" s="20">
        <f t="shared" si="0"/>
        <v>46</v>
      </c>
      <c r="J20" s="20">
        <f t="shared" si="0"/>
        <v>47</v>
      </c>
      <c r="K20" s="20">
        <f t="shared" si="0"/>
        <v>48</v>
      </c>
      <c r="L20" s="20">
        <f t="shared" si="0"/>
        <v>49</v>
      </c>
      <c r="M20" s="20">
        <f t="shared" si="0"/>
        <v>50</v>
      </c>
      <c r="N20" s="20">
        <f t="shared" si="0"/>
        <v>51</v>
      </c>
      <c r="O20" s="21">
        <f t="shared" ref="O20:O33" si="1">SUM(C20:N20)</f>
        <v>546</v>
      </c>
    </row>
    <row r="21" spans="2:15" ht="15" customHeight="1" x14ac:dyDescent="0.3">
      <c r="B21" s="22" t="s">
        <v>7</v>
      </c>
      <c r="C21" s="23">
        <v>25</v>
      </c>
      <c r="D21" s="24">
        <f t="shared" ref="D21:N21" si="2">ROUND(C21*(1+$D$13),0)</f>
        <v>26</v>
      </c>
      <c r="E21" s="24">
        <f t="shared" si="2"/>
        <v>27</v>
      </c>
      <c r="F21" s="24">
        <f t="shared" si="2"/>
        <v>28</v>
      </c>
      <c r="G21" s="24">
        <f t="shared" si="2"/>
        <v>29</v>
      </c>
      <c r="H21" s="24">
        <f t="shared" si="2"/>
        <v>30</v>
      </c>
      <c r="I21" s="24">
        <f t="shared" si="2"/>
        <v>31</v>
      </c>
      <c r="J21" s="24">
        <f t="shared" si="2"/>
        <v>32</v>
      </c>
      <c r="K21" s="24">
        <f t="shared" si="2"/>
        <v>33</v>
      </c>
      <c r="L21" s="24">
        <f t="shared" si="2"/>
        <v>34</v>
      </c>
      <c r="M21" s="24">
        <f t="shared" si="2"/>
        <v>35</v>
      </c>
      <c r="N21" s="24">
        <f t="shared" si="2"/>
        <v>36</v>
      </c>
      <c r="O21" s="25">
        <f t="shared" si="1"/>
        <v>366</v>
      </c>
    </row>
    <row r="22" spans="2:15" ht="15" customHeight="1" x14ac:dyDescent="0.3">
      <c r="B22" s="18" t="s">
        <v>8</v>
      </c>
      <c r="C22" s="19">
        <v>80</v>
      </c>
      <c r="D22" s="20">
        <f t="shared" ref="D22:N22" si="3">ROUND(C22*(1+$D$14),0)</f>
        <v>81</v>
      </c>
      <c r="E22" s="20">
        <f t="shared" si="3"/>
        <v>82</v>
      </c>
      <c r="F22" s="20">
        <f t="shared" si="3"/>
        <v>83</v>
      </c>
      <c r="G22" s="20">
        <f t="shared" si="3"/>
        <v>84</v>
      </c>
      <c r="H22" s="20">
        <f t="shared" si="3"/>
        <v>85</v>
      </c>
      <c r="I22" s="20">
        <f t="shared" si="3"/>
        <v>86</v>
      </c>
      <c r="J22" s="20">
        <f t="shared" si="3"/>
        <v>87</v>
      </c>
      <c r="K22" s="20">
        <f t="shared" si="3"/>
        <v>88</v>
      </c>
      <c r="L22" s="20">
        <f t="shared" si="3"/>
        <v>89</v>
      </c>
      <c r="M22" s="20">
        <f t="shared" si="3"/>
        <v>90</v>
      </c>
      <c r="N22" s="20">
        <f t="shared" si="3"/>
        <v>91</v>
      </c>
      <c r="O22" s="21">
        <f t="shared" si="1"/>
        <v>1026</v>
      </c>
    </row>
    <row r="23" spans="2:15" ht="15" customHeight="1" x14ac:dyDescent="0.3">
      <c r="B23" s="22" t="s">
        <v>9</v>
      </c>
      <c r="C23" s="23">
        <v>30</v>
      </c>
      <c r="D23" s="24">
        <f t="shared" ref="D23:N23" si="4">ROUND(C23*(1+$D$15),0)</f>
        <v>30</v>
      </c>
      <c r="E23" s="24">
        <f t="shared" si="4"/>
        <v>30</v>
      </c>
      <c r="F23" s="24">
        <f t="shared" si="4"/>
        <v>30</v>
      </c>
      <c r="G23" s="24">
        <f t="shared" si="4"/>
        <v>30</v>
      </c>
      <c r="H23" s="24">
        <f t="shared" si="4"/>
        <v>30</v>
      </c>
      <c r="I23" s="24">
        <f t="shared" si="4"/>
        <v>30</v>
      </c>
      <c r="J23" s="24">
        <f t="shared" si="4"/>
        <v>30</v>
      </c>
      <c r="K23" s="24">
        <f t="shared" si="4"/>
        <v>30</v>
      </c>
      <c r="L23" s="24">
        <f t="shared" si="4"/>
        <v>30</v>
      </c>
      <c r="M23" s="24">
        <f t="shared" si="4"/>
        <v>30</v>
      </c>
      <c r="N23" s="24">
        <f t="shared" si="4"/>
        <v>30</v>
      </c>
      <c r="O23" s="25">
        <f t="shared" si="1"/>
        <v>360</v>
      </c>
    </row>
    <row r="24" spans="2:15" ht="15" customHeight="1" x14ac:dyDescent="0.3">
      <c r="B24" s="18" t="s">
        <v>10</v>
      </c>
      <c r="C24" s="19">
        <v>20</v>
      </c>
      <c r="D24" s="20">
        <f t="shared" ref="D24:N24" si="5">ROUND(C24*(1+$D$16),0)</f>
        <v>21</v>
      </c>
      <c r="E24" s="20">
        <f t="shared" si="5"/>
        <v>22</v>
      </c>
      <c r="F24" s="20">
        <f t="shared" si="5"/>
        <v>23</v>
      </c>
      <c r="G24" s="20">
        <f t="shared" si="5"/>
        <v>24</v>
      </c>
      <c r="H24" s="20">
        <f t="shared" si="5"/>
        <v>25</v>
      </c>
      <c r="I24" s="20">
        <f t="shared" si="5"/>
        <v>26</v>
      </c>
      <c r="J24" s="20">
        <f t="shared" si="5"/>
        <v>27</v>
      </c>
      <c r="K24" s="20">
        <f t="shared" si="5"/>
        <v>28</v>
      </c>
      <c r="L24" s="20">
        <f t="shared" si="5"/>
        <v>29</v>
      </c>
      <c r="M24" s="20">
        <f t="shared" si="5"/>
        <v>30</v>
      </c>
      <c r="N24" s="20">
        <f t="shared" si="5"/>
        <v>31</v>
      </c>
      <c r="O24" s="21">
        <f t="shared" si="1"/>
        <v>306</v>
      </c>
    </row>
    <row r="25" spans="2:15" ht="15" customHeight="1" x14ac:dyDescent="0.3">
      <c r="B25" s="26" t="s">
        <v>26</v>
      </c>
      <c r="C25" s="27">
        <f t="shared" ref="C25:O34" si="6">SUM(C20:C24)</f>
        <v>195</v>
      </c>
      <c r="D25" s="27">
        <f t="shared" si="6"/>
        <v>199</v>
      </c>
      <c r="E25" s="27">
        <f t="shared" si="6"/>
        <v>203</v>
      </c>
      <c r="F25" s="27">
        <f t="shared" si="6"/>
        <v>207</v>
      </c>
      <c r="G25" s="27">
        <f t="shared" si="6"/>
        <v>211</v>
      </c>
      <c r="H25" s="27">
        <f t="shared" si="6"/>
        <v>215</v>
      </c>
      <c r="I25" s="27">
        <f t="shared" si="6"/>
        <v>219</v>
      </c>
      <c r="J25" s="27">
        <f t="shared" si="6"/>
        <v>223</v>
      </c>
      <c r="K25" s="27">
        <f t="shared" si="6"/>
        <v>227</v>
      </c>
      <c r="L25" s="27">
        <f t="shared" si="6"/>
        <v>231</v>
      </c>
      <c r="M25" s="27">
        <f t="shared" si="6"/>
        <v>235</v>
      </c>
      <c r="N25" s="27">
        <f t="shared" si="6"/>
        <v>239</v>
      </c>
      <c r="O25" s="28">
        <f t="shared" si="6"/>
        <v>2604</v>
      </c>
    </row>
    <row r="27" spans="2:15" ht="18.75" customHeight="1" x14ac:dyDescent="0.3">
      <c r="B27" s="3" t="s">
        <v>27</v>
      </c>
    </row>
    <row r="28" spans="2:15" ht="15" customHeight="1" x14ac:dyDescent="0.3">
      <c r="B28" s="4" t="s">
        <v>12</v>
      </c>
      <c r="C28" s="16" t="s">
        <v>13</v>
      </c>
      <c r="D28" s="16" t="s">
        <v>14</v>
      </c>
      <c r="E28" s="16" t="s">
        <v>15</v>
      </c>
      <c r="F28" s="16" t="s">
        <v>16</v>
      </c>
      <c r="G28" s="16" t="s">
        <v>17</v>
      </c>
      <c r="H28" s="16" t="s">
        <v>18</v>
      </c>
      <c r="I28" s="16" t="s">
        <v>19</v>
      </c>
      <c r="J28" s="16" t="s">
        <v>20</v>
      </c>
      <c r="K28" s="16" t="s">
        <v>21</v>
      </c>
      <c r="L28" s="16" t="s">
        <v>22</v>
      </c>
      <c r="M28" s="16" t="s">
        <v>23</v>
      </c>
      <c r="N28" s="16" t="s">
        <v>24</v>
      </c>
      <c r="O28" s="17" t="s">
        <v>25</v>
      </c>
    </row>
    <row r="29" spans="2:15" ht="15" customHeight="1" x14ac:dyDescent="0.3">
      <c r="B29" s="18" t="s">
        <v>6</v>
      </c>
      <c r="C29" s="29">
        <f t="shared" ref="C29:N29" si="7">C20*$C$12</f>
        <v>6000</v>
      </c>
      <c r="D29" s="29">
        <f t="shared" si="7"/>
        <v>6150</v>
      </c>
      <c r="E29" s="29">
        <f t="shared" si="7"/>
        <v>6300</v>
      </c>
      <c r="F29" s="29">
        <f t="shared" si="7"/>
        <v>6450</v>
      </c>
      <c r="G29" s="29">
        <f t="shared" si="7"/>
        <v>6600</v>
      </c>
      <c r="H29" s="29">
        <f t="shared" si="7"/>
        <v>6750</v>
      </c>
      <c r="I29" s="29">
        <f t="shared" si="7"/>
        <v>6900</v>
      </c>
      <c r="J29" s="29">
        <f t="shared" si="7"/>
        <v>7050</v>
      </c>
      <c r="K29" s="29">
        <f t="shared" si="7"/>
        <v>7200</v>
      </c>
      <c r="L29" s="29">
        <f t="shared" si="7"/>
        <v>7350</v>
      </c>
      <c r="M29" s="29">
        <f t="shared" si="7"/>
        <v>7500</v>
      </c>
      <c r="N29" s="29">
        <f t="shared" si="7"/>
        <v>7650</v>
      </c>
      <c r="O29" s="30">
        <f t="shared" si="1"/>
        <v>81900</v>
      </c>
    </row>
    <row r="30" spans="2:15" ht="15" customHeight="1" x14ac:dyDescent="0.3">
      <c r="B30" s="22" t="s">
        <v>7</v>
      </c>
      <c r="C30" s="31">
        <f t="shared" ref="C30:N30" si="8">C21*$C$13</f>
        <v>12475</v>
      </c>
      <c r="D30" s="31">
        <f t="shared" si="8"/>
        <v>12974</v>
      </c>
      <c r="E30" s="31">
        <f t="shared" si="8"/>
        <v>13473</v>
      </c>
      <c r="F30" s="31">
        <f t="shared" si="8"/>
        <v>13972</v>
      </c>
      <c r="G30" s="31">
        <f t="shared" si="8"/>
        <v>14471</v>
      </c>
      <c r="H30" s="31">
        <f t="shared" si="8"/>
        <v>14970</v>
      </c>
      <c r="I30" s="31">
        <f t="shared" si="8"/>
        <v>15469</v>
      </c>
      <c r="J30" s="31">
        <f t="shared" si="8"/>
        <v>15968</v>
      </c>
      <c r="K30" s="31">
        <f t="shared" si="8"/>
        <v>16467</v>
      </c>
      <c r="L30" s="31">
        <f t="shared" si="8"/>
        <v>16966</v>
      </c>
      <c r="M30" s="31">
        <f t="shared" si="8"/>
        <v>17465</v>
      </c>
      <c r="N30" s="31">
        <f t="shared" si="8"/>
        <v>17964</v>
      </c>
      <c r="O30" s="32">
        <f t="shared" si="1"/>
        <v>182634</v>
      </c>
    </row>
    <row r="31" spans="2:15" ht="15" customHeight="1" x14ac:dyDescent="0.3">
      <c r="B31" s="18" t="s">
        <v>8</v>
      </c>
      <c r="C31" s="29">
        <f t="shared" ref="C31:N31" si="9">C22*$C$14</f>
        <v>6000</v>
      </c>
      <c r="D31" s="29">
        <f t="shared" si="9"/>
        <v>6075</v>
      </c>
      <c r="E31" s="29">
        <f t="shared" si="9"/>
        <v>6150</v>
      </c>
      <c r="F31" s="29">
        <f t="shared" si="9"/>
        <v>6225</v>
      </c>
      <c r="G31" s="29">
        <f t="shared" si="9"/>
        <v>6300</v>
      </c>
      <c r="H31" s="29">
        <f t="shared" si="9"/>
        <v>6375</v>
      </c>
      <c r="I31" s="29">
        <f t="shared" si="9"/>
        <v>6450</v>
      </c>
      <c r="J31" s="29">
        <f t="shared" si="9"/>
        <v>6525</v>
      </c>
      <c r="K31" s="29">
        <f t="shared" si="9"/>
        <v>6600</v>
      </c>
      <c r="L31" s="29">
        <f t="shared" si="9"/>
        <v>6675</v>
      </c>
      <c r="M31" s="29">
        <f t="shared" si="9"/>
        <v>6750</v>
      </c>
      <c r="N31" s="29">
        <f t="shared" si="9"/>
        <v>6825</v>
      </c>
      <c r="O31" s="30">
        <f t="shared" si="1"/>
        <v>76950</v>
      </c>
    </row>
    <row r="32" spans="2:15" ht="15" customHeight="1" x14ac:dyDescent="0.3">
      <c r="B32" s="22" t="s">
        <v>9</v>
      </c>
      <c r="C32" s="31">
        <f t="shared" ref="C32:N32" si="10">C23*$C$15</f>
        <v>6000</v>
      </c>
      <c r="D32" s="31">
        <f t="shared" si="10"/>
        <v>6000</v>
      </c>
      <c r="E32" s="31">
        <f t="shared" si="10"/>
        <v>6000</v>
      </c>
      <c r="F32" s="31">
        <f t="shared" si="10"/>
        <v>6000</v>
      </c>
      <c r="G32" s="31">
        <f t="shared" si="10"/>
        <v>6000</v>
      </c>
      <c r="H32" s="31">
        <f t="shared" si="10"/>
        <v>6000</v>
      </c>
      <c r="I32" s="31">
        <f t="shared" si="10"/>
        <v>6000</v>
      </c>
      <c r="J32" s="31">
        <f t="shared" si="10"/>
        <v>6000</v>
      </c>
      <c r="K32" s="31">
        <f t="shared" si="10"/>
        <v>6000</v>
      </c>
      <c r="L32" s="31">
        <f t="shared" si="10"/>
        <v>6000</v>
      </c>
      <c r="M32" s="31">
        <f t="shared" si="10"/>
        <v>6000</v>
      </c>
      <c r="N32" s="31">
        <f t="shared" si="10"/>
        <v>6000</v>
      </c>
      <c r="O32" s="32">
        <f t="shared" si="1"/>
        <v>72000</v>
      </c>
    </row>
    <row r="33" spans="2:15" ht="15" customHeight="1" x14ac:dyDescent="0.3">
      <c r="B33" s="18" t="s">
        <v>10</v>
      </c>
      <c r="C33" s="29">
        <f t="shared" ref="C33:N33" si="11">C24*$C$16</f>
        <v>3500</v>
      </c>
      <c r="D33" s="29">
        <f t="shared" si="11"/>
        <v>3675</v>
      </c>
      <c r="E33" s="29">
        <f t="shared" si="11"/>
        <v>3850</v>
      </c>
      <c r="F33" s="29">
        <f t="shared" si="11"/>
        <v>4025</v>
      </c>
      <c r="G33" s="29">
        <f t="shared" si="11"/>
        <v>4200</v>
      </c>
      <c r="H33" s="29">
        <f t="shared" si="11"/>
        <v>4375</v>
      </c>
      <c r="I33" s="29">
        <f t="shared" si="11"/>
        <v>4550</v>
      </c>
      <c r="J33" s="29">
        <f t="shared" si="11"/>
        <v>4725</v>
      </c>
      <c r="K33" s="29">
        <f t="shared" si="11"/>
        <v>4900</v>
      </c>
      <c r="L33" s="29">
        <f t="shared" si="11"/>
        <v>5075</v>
      </c>
      <c r="M33" s="29">
        <f t="shared" si="11"/>
        <v>5250</v>
      </c>
      <c r="N33" s="29">
        <f t="shared" si="11"/>
        <v>5425</v>
      </c>
      <c r="O33" s="30">
        <f t="shared" si="1"/>
        <v>53550</v>
      </c>
    </row>
    <row r="34" spans="2:15" ht="15" customHeight="1" x14ac:dyDescent="0.3">
      <c r="B34" s="26" t="s">
        <v>28</v>
      </c>
      <c r="C34" s="33">
        <f t="shared" si="6"/>
        <v>33975</v>
      </c>
      <c r="D34" s="33">
        <f t="shared" si="6"/>
        <v>34874</v>
      </c>
      <c r="E34" s="33">
        <f t="shared" si="6"/>
        <v>35773</v>
      </c>
      <c r="F34" s="33">
        <f t="shared" si="6"/>
        <v>36672</v>
      </c>
      <c r="G34" s="33">
        <f t="shared" si="6"/>
        <v>37571</v>
      </c>
      <c r="H34" s="33">
        <f t="shared" si="6"/>
        <v>38470</v>
      </c>
      <c r="I34" s="33">
        <f t="shared" si="6"/>
        <v>39369</v>
      </c>
      <c r="J34" s="33">
        <f t="shared" si="6"/>
        <v>40268</v>
      </c>
      <c r="K34" s="33">
        <f t="shared" si="6"/>
        <v>41167</v>
      </c>
      <c r="L34" s="33">
        <f t="shared" si="6"/>
        <v>42066</v>
      </c>
      <c r="M34" s="33">
        <f t="shared" si="6"/>
        <v>42965</v>
      </c>
      <c r="N34" s="33">
        <f t="shared" si="6"/>
        <v>43864</v>
      </c>
      <c r="O34" s="34">
        <f t="shared" si="6"/>
        <v>467034</v>
      </c>
    </row>
    <row r="36" spans="2:15" ht="18.75" customHeight="1" x14ac:dyDescent="0.3">
      <c r="B36" s="3" t="s">
        <v>29</v>
      </c>
    </row>
    <row r="37" spans="2:15" ht="15" customHeight="1" x14ac:dyDescent="0.3">
      <c r="B37" s="35"/>
      <c r="C37" s="16" t="s">
        <v>30</v>
      </c>
      <c r="D37" s="16" t="s">
        <v>31</v>
      </c>
      <c r="E37" s="16" t="s">
        <v>32</v>
      </c>
      <c r="F37" s="16" t="s">
        <v>33</v>
      </c>
      <c r="G37" s="36" t="s">
        <v>34</v>
      </c>
    </row>
    <row r="38" spans="2:15" ht="15" customHeight="1" x14ac:dyDescent="0.3">
      <c r="B38" s="18" t="s">
        <v>35</v>
      </c>
      <c r="C38" s="29">
        <f>SUM(C34:E34)</f>
        <v>104622</v>
      </c>
      <c r="D38" s="29">
        <f>SUM(F34:H34)</f>
        <v>112713</v>
      </c>
      <c r="E38" s="29">
        <f>SUM(I34:K34)</f>
        <v>120804</v>
      </c>
      <c r="F38" s="29">
        <f>SUM(L34:N34)</f>
        <v>128895</v>
      </c>
      <c r="G38" s="30">
        <f t="shared" ref="G38:G39" si="12">SUM(C38:F38)</f>
        <v>467034</v>
      </c>
    </row>
    <row r="39" spans="2:15" ht="15" customHeight="1" x14ac:dyDescent="0.3">
      <c r="B39" s="22" t="s">
        <v>36</v>
      </c>
      <c r="C39" s="11">
        <v>95000</v>
      </c>
      <c r="D39" s="11">
        <v>102000</v>
      </c>
      <c r="E39" s="11">
        <v>110000</v>
      </c>
      <c r="F39" s="11">
        <v>118000</v>
      </c>
      <c r="G39" s="32">
        <f t="shared" si="12"/>
        <v>425000</v>
      </c>
    </row>
    <row r="40" spans="2:15" ht="15" customHeight="1" x14ac:dyDescent="0.3">
      <c r="B40" s="18" t="s">
        <v>37</v>
      </c>
      <c r="C40" s="37">
        <f t="shared" ref="C40:G40" si="13">IF(C39=0,0,(C38-C39)/C39)</f>
        <v>0.1012842105263158</v>
      </c>
      <c r="D40" s="37">
        <f t="shared" si="13"/>
        <v>0.10502941176470589</v>
      </c>
      <c r="E40" s="37">
        <f t="shared" si="13"/>
        <v>9.8218181818181816E-2</v>
      </c>
      <c r="F40" s="37">
        <f t="shared" si="13"/>
        <v>9.2330508474576273E-2</v>
      </c>
      <c r="G40" s="38">
        <f t="shared" si="13"/>
        <v>9.890352941176471E-2</v>
      </c>
    </row>
    <row r="41" spans="2:15" ht="15" customHeight="1" x14ac:dyDescent="0.3">
      <c r="B41" s="39" t="s">
        <v>38</v>
      </c>
      <c r="C41" s="40">
        <f t="shared" ref="C41:G41" si="14">C38-C39</f>
        <v>9622</v>
      </c>
      <c r="D41" s="40">
        <f t="shared" si="14"/>
        <v>10713</v>
      </c>
      <c r="E41" s="40">
        <f t="shared" si="14"/>
        <v>10804</v>
      </c>
      <c r="F41" s="40">
        <f t="shared" si="14"/>
        <v>10895</v>
      </c>
      <c r="G41" s="41">
        <f t="shared" si="14"/>
        <v>42034</v>
      </c>
    </row>
  </sheetData>
  <conditionalFormatting sqref="C40:G41">
    <cfRule type="cellIs" dxfId="2" priority="2" operator="lessThan">
      <formula>0</formula>
    </cfRule>
    <cfRule type="cellIs" dxfId="1" priority="3" operator="greaterThan">
      <formula>0</formula>
    </cfRule>
  </conditionalFormatting>
  <conditionalFormatting sqref="C29:O34">
    <cfRule type="cellIs" dxfId="0" priority="1" operator="lessThan">
      <formula>0</formula>
    </cfRule>
  </conditionalFormatting>
  <dataValidations count="3">
    <dataValidation type="decimal" allowBlank="1" showInputMessage="1" showErrorMessage="1" errorTitle="Invalid Percentage" error="Enter a decimal between 0 and 1 (e.g. 0.10 for 10%)" sqref="D12 D13 D14 D15 D16" xr:uid="{00000000-0002-0000-0000-000000000000}">
      <formula1>0</formula1>
      <formula2>1</formula2>
    </dataValidation>
    <dataValidation type="whole" operator="greaterThanOrEqual" allowBlank="1" showInputMessage="1" showErrorMessage="1" errorTitle="Invalid Number" error="Enter a whole number &gt;= 0" sqref="C12 C13 C14 C15 C16 C20 C21 C22 C23 C24" xr:uid="{00000000-0002-0000-0000-000001000000}">
      <formula1>0</formula1>
    </dataValidation>
    <dataValidation type="decimal" operator="greaterThanOrEqual" allowBlank="1" showInputMessage="1" showErrorMessage="1" errorTitle="Invalid Revenue" error="Enter a number &gt;= 0" sqref="C39 D39 E39 F39" xr:uid="{00000000-0002-0000-0000-000002000000}">
      <formula1>0</formula1>
    </dataValidation>
  </dataValidation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41551-E348-546A-55B8-58B53D029A18}">
  <dimension ref="B2:M8"/>
  <sheetViews>
    <sheetView showGridLines="0" zoomScale="90" workbookViewId="0">
      <selection activeCell="R12" sqref="R12"/>
    </sheetView>
  </sheetViews>
  <sheetFormatPr defaultColWidth="7.796875" defaultRowHeight="15" customHeight="1" x14ac:dyDescent="0.3"/>
  <cols>
    <col min="1" max="1" width="3" customWidth="1"/>
    <col min="2" max="2" width="21.296875" customWidth="1"/>
    <col min="3" max="3" width="17.5" customWidth="1"/>
    <col min="4" max="4" width="3.796875" customWidth="1"/>
    <col min="5" max="5" width="1.5" customWidth="1"/>
    <col min="6" max="6" width="18.796875" customWidth="1"/>
    <col min="7" max="7" width="3.796875" customWidth="1"/>
    <col min="8" max="8" width="1.5" customWidth="1"/>
    <col min="9" max="9" width="19.3984375" customWidth="1"/>
    <col min="10" max="10" width="3.796875" customWidth="1"/>
    <col min="11" max="11" width="1.5" customWidth="1"/>
    <col min="12" max="12" width="13.796875" customWidth="1"/>
    <col min="13" max="13" width="3.796875" customWidth="1"/>
    <col min="16" max="16" width="3" customWidth="1"/>
  </cols>
  <sheetData>
    <row r="2" spans="2:13" ht="24" customHeight="1" x14ac:dyDescent="0.3">
      <c r="B2" s="1" t="s">
        <v>39</v>
      </c>
    </row>
    <row r="3" spans="2:13" ht="15" customHeight="1" x14ac:dyDescent="0.3">
      <c r="B3" s="2" t="s">
        <v>40</v>
      </c>
    </row>
    <row r="5" spans="2:13" ht="18.75" customHeight="1" x14ac:dyDescent="0.3">
      <c r="B5" s="3" t="s">
        <v>41</v>
      </c>
    </row>
    <row r="6" spans="2:13" ht="15" customHeight="1" x14ac:dyDescent="0.3">
      <c r="C6" s="42" t="s">
        <v>42</v>
      </c>
      <c r="D6" s="43"/>
      <c r="F6" s="42" t="s">
        <v>43</v>
      </c>
      <c r="G6" s="43"/>
      <c r="I6" s="42" t="s">
        <v>44</v>
      </c>
      <c r="J6" s="43"/>
      <c r="L6" s="42" t="s">
        <v>45</v>
      </c>
      <c r="M6" s="43"/>
    </row>
    <row r="7" spans="2:13" ht="22.5" customHeight="1" x14ac:dyDescent="0.3">
      <c r="C7" s="44" cm="1">
        <f t="array" ref="C7">'Sales Forecast'!G38</f>
        <v>467034</v>
      </c>
      <c r="D7" s="45"/>
      <c r="F7" s="44">
        <f>'Sales Forecast'!G38/12</f>
        <v>38919.5</v>
      </c>
      <c r="G7" s="45"/>
      <c r="I7" s="44">
        <f>MAX('Sales Forecast'!O29:O33)</f>
        <v>182634</v>
      </c>
      <c r="J7" s="45"/>
      <c r="L7" s="46" cm="1">
        <f t="array" ref="L7">'Sales Forecast'!G40</f>
        <v>9.890352941176471E-2</v>
      </c>
      <c r="M7" s="45"/>
    </row>
    <row r="8" spans="2:13" ht="11.25" customHeight="1" x14ac:dyDescent="0.3"/>
  </sheetData>
  <mergeCells count="8">
    <mergeCell ref="C6:D6"/>
    <mergeCell ref="F6:G6"/>
    <mergeCell ref="I6:J6"/>
    <mergeCell ref="L6:M6"/>
    <mergeCell ref="C7:D7"/>
    <mergeCell ref="F7:G7"/>
    <mergeCell ref="I7:J7"/>
    <mergeCell ref="L7:M7"/>
  </mergeCells>
  <pageMargins left="0.7" right="0.7" top="0.75" bottom="0.75" header="0.3" footer="0.3"/>
  <pageSetup orientation="portrait"/>
  <headerFooter>
    <oddHeader>&amp;L&amp;C&amp;R</oddHeader>
    <oddFooter>&amp;L&amp;C&amp;R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Forecast</vt:lpstr>
      <vt:lpstr>Dashboard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Zbigniew Galar</cp:lastModifiedBy>
  <dcterms:created xsi:type="dcterms:W3CDTF">2025-05-22T23:41:35Z</dcterms:created>
  <dcterms:modified xsi:type="dcterms:W3CDTF">2026-03-30T21:21:10Z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5b1d8088-1c42-47b1-b9a1-48d6c475bf74</vt:lpwstr>
  </property>
</Properties>
</file>