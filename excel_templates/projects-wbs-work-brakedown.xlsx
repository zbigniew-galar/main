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BS" sheetId="1"/>
  </sheets>
  <definedNames>
    <definedName name="_xlnm.Print_Area" localSheetId="0">WBS!$B$2:$J$36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<sst xmlns="http://schemas.openxmlformats.org/spreadsheetml/2006/main" count="57" uniqueCount="57">
  <si>
    <t>Work Breakdown Structure (WBS)</t>
  </si>
  <si>
    <t>Project Name:</t>
  </si>
  <si>
    <t>Website Redesign Project</t>
  </si>
  <si>
    <t>Project Manager:</t>
  </si>
  <si>
    <t>Sarah Johnson</t>
  </si>
  <si>
    <t>Start Date:</t>
  </si>
  <si>
    <t>Target End:</t>
  </si>
  <si>
    <t>WBS #</t>
  </si>
  <si>
    <t>Task Name</t>
  </si>
  <si>
    <t>Owner</t>
  </si>
  <si>
    <t>Start Date</t>
  </si>
  <si>
    <t>End Date</t>
  </si>
  <si>
    <t>Duration</t>
  </si>
  <si>
    <t>Status</t>
  </si>
  <si>
    <t>% Complete</t>
  </si>
  <si>
    <t>Priority</t>
  </si>
  <si>
    <t>Planning &amp; Discovery</t>
  </si>
  <si>
    <t>Complete</t>
  </si>
  <si>
    <t>High</t>
  </si>
  <si>
    <t>Stakeholder interviews</t>
  </si>
  <si>
    <t>Sarah J.</t>
  </si>
  <si>
    <t>Requirements gathering</t>
  </si>
  <si>
    <t>Competitive analysis</t>
  </si>
  <si>
    <t>Mike T.</t>
  </si>
  <si>
    <t>Medium</t>
  </si>
  <si>
    <t>Project plan approval</t>
  </si>
  <si>
    <t>Design</t>
  </si>
  <si>
    <t>In Progress</t>
  </si>
  <si>
    <t>Wireframes</t>
  </si>
  <si>
    <t>Alex R.</t>
  </si>
  <si>
    <t>Visual mockups</t>
  </si>
  <si>
    <t>Design review &amp; approval</t>
  </si>
  <si>
    <t>Not Started</t>
  </si>
  <si>
    <t>Development</t>
  </si>
  <si>
    <t>Front-end development</t>
  </si>
  <si>
    <t>Chris L.</t>
  </si>
  <si>
    <t>3.1.1</t>
  </si>
  <si>
    <t>Homepage</t>
  </si>
  <si>
    <t>3.1.2</t>
  </si>
  <si>
    <t>Inner pages</t>
  </si>
  <si>
    <t>3.1.3</t>
  </si>
  <si>
    <t>Responsive design</t>
  </si>
  <si>
    <t>Back-end development</t>
  </si>
  <si>
    <t>Dev Team</t>
  </si>
  <si>
    <t>CMS integration</t>
  </si>
  <si>
    <t>Testing &amp; Launch</t>
  </si>
  <si>
    <t>QA testing</t>
  </si>
  <si>
    <t>QA Team</t>
  </si>
  <si>
    <t>User acceptance testing</t>
  </si>
  <si>
    <t>Bug fixes</t>
  </si>
  <si>
    <t>Go-live</t>
  </si>
  <si>
    <t>Project Summary</t>
  </si>
  <si>
    <t>Total Tasks:</t>
  </si>
  <si>
    <t>Completed:</t>
  </si>
  <si>
    <t>In Progress:</t>
  </si>
  <si>
    <t>Not Started:</t>
  </si>
  <si>
    <t>Overall Progress: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</si>
</sst>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mm/dd/yyyy"/>
    <numFmt numFmtId="173" formatCode="#,##0&quot; days&quot;"/>
  </numFmts>
  <fonts count="10">
    <font>
      <b val="0"/>
      <i val="0"/>
      <sz val="12"/>
      <color theme="1"/>
      <name val="Aptos Narrow"/>
      <scheme val="minor"/>
    </font>
    <font>
      <b/>
      <i val="0"/>
      <sz val="18"/>
      <color rgb="FF1A2B3D"/>
      <name val="Aptos"/>
    </font>
    <font>
      <b/>
      <i val="0"/>
      <sz val="11"/>
      <color theme="1"/>
      <name val="Aptos"/>
    </font>
    <font>
      <b/>
      <i val="0"/>
      <sz val="11"/>
      <color rgb="FF0070C0"/>
      <name val="Aptos"/>
    </font>
    <font>
      <b val="0"/>
      <i val="0"/>
      <sz val="11"/>
      <color rgb="FF0070C0"/>
      <name val="Aptos"/>
    </font>
    <font>
      <b/>
      <i val="0"/>
      <sz val="12"/>
      <color rgb="FFFFFFFF"/>
      <name val="Aptos"/>
    </font>
    <font>
      <b val="0"/>
      <i val="0"/>
      <sz val="11"/>
      <color rgb="FF000000"/>
      <name val="Aptos"/>
    </font>
    <font>
      <b/>
      <i val="0"/>
      <sz val="11"/>
      <color rgb="FF000000"/>
      <name val="Aptos"/>
    </font>
    <font>
      <b val="0"/>
      <i val="0"/>
      <sz val="11"/>
      <color theme="1"/>
      <name val="Aptos"/>
    </font>
    <font>
      <b/>
      <i val="0"/>
      <sz val="14"/>
      <color rgb="FF1A2B3D"/>
      <name val="Aptos"/>
    </font>
  </fonts>
  <fills count="4">
    <fill>
      <patternFill patternType="none"/>
    </fill>
    <fill>
      <patternFill patternType="gray125"/>
    </fill>
    <fill>
      <patternFill patternType="solid">
        <fgColor rgb="FF4B5B6B"/>
      </patternFill>
    </fill>
    <fill>
      <patternFill patternType="solid">
        <fgColor rgb="FFD0D8DD"/>
      </patternFill>
    </fill>
  </fills>
  <borders count="11">
    <border>
      <left/>
      <right/>
      <top/>
      <bottom/>
    </border>
    <border>
      <left/>
      <right/>
      <top/>
      <bottom/>
      <diagonal/>
    </border>
    <border>
      <left style="thin">
        <color rgb="FFB0B8C0"/>
      </left>
      <right/>
      <top style="thin">
        <color rgb="FFB0B8C0"/>
      </top>
      <bottom/>
      <diagonal/>
    </border>
    <border>
      <left/>
      <right/>
      <top style="thin">
        <color rgb="FFB0B8C0"/>
      </top>
      <bottom/>
      <diagonal/>
    </border>
    <border>
      <left/>
      <right style="thin">
        <color rgb="FFB0B8C0"/>
      </right>
      <top style="thin">
        <color rgb="FFB0B8C0"/>
      </top>
      <bottom/>
      <diagonal/>
    </border>
    <border>
      <left style="thin">
        <color rgb="FFB0B8C0"/>
      </left>
      <right/>
      <top style="hair">
        <color rgb="FFE0E0E0"/>
      </top>
      <bottom/>
      <diagonal/>
    </border>
    <border>
      <left/>
      <right/>
      <top style="hair">
        <color rgb="FFE0E0E0"/>
      </top>
      <bottom/>
      <diagonal/>
    </border>
    <border>
      <left/>
      <right style="thin">
        <color rgb="FFB0B8C0"/>
      </right>
      <top style="hair">
        <color rgb="FFE0E0E0"/>
      </top>
      <bottom/>
      <diagonal/>
    </border>
    <border>
      <left style="thin">
        <color rgb="FFB0B8C0"/>
      </left>
      <right/>
      <top style="hair">
        <color rgb="FFE0E0E0"/>
      </top>
      <bottom style="thin">
        <color rgb="FFB0B8C0"/>
      </bottom>
      <diagonal/>
    </border>
    <border>
      <left/>
      <right/>
      <top style="hair">
        <color rgb="FFE0E0E0"/>
      </top>
      <bottom style="thin">
        <color rgb="FFB0B8C0"/>
      </bottom>
      <diagonal/>
    </border>
    <border>
      <left/>
      <right style="thin">
        <color rgb="FFB0B8C0"/>
      </right>
      <top style="hair">
        <color rgb="FFE0E0E0"/>
      </top>
      <bottom style="thin">
        <color rgb="FFB0B8C0"/>
      </bottom>
      <diagonal/>
    </border>
  </borders>
  <cellStyleXfs count="1">
    <xf numFmtId="0" fontId="0" fillId="0" borderId="1"/>
  </cellStyleXfs>
  <cellXfs count="33">
    <xf numFmtId="0" fontId="0" fillId="0" borderId="1" xfId="0"/>
    <xf numFmtId="0" fontId="1" fillId="0" borderId="1" xfId="0"/>
    <xf numFmtId="0" fontId="2" fillId="0" borderId="1" xfId="0"/>
    <xf numFmtId="0" fontId="3" fillId="0" borderId="1" xfId="0"/>
    <xf numFmtId="0" fontId="4" fillId="0" borderId="1" xfId="0"/>
    <xf numFmtId="171" fontId="4" fillId="0" borderId="1" xfId="0"/>
    <xf numFmtId="0" fontId="5" fillId="2" borderId="2" xfId="0">
      <alignment horizontal="center" vertical="bottom"/>
    </xf>
    <xf numFmtId="0" fontId="5" fillId="2" borderId="3" xfId="0">
      <alignment horizontal="center" vertical="bottom"/>
    </xf>
    <xf numFmtId="0" fontId="5" fillId="2" borderId="4" xfId="0">
      <alignment horizontal="center" vertical="bottom"/>
    </xf>
    <xf numFmtId="0" fontId="3" fillId="3" borderId="5" xfId="0">
      <alignment horizontal="center" vertical="bottom"/>
    </xf>
    <xf numFmtId="0" fontId="2" fillId="3" borderId="6" xfId="0"/>
    <xf numFmtId="0" fontId="6" fillId="3" borderId="6" xfId="0">
      <alignment horizontal="center" vertical="bottom"/>
    </xf>
    <xf numFmtId="171" fontId="4" fillId="3" borderId="6" xfId="0">
      <alignment horizontal="center" vertical="bottom"/>
    </xf>
    <xf numFmtId="173" fontId="6" fillId="3" borderId="6" xfId="0">
      <alignment horizontal="center" vertical="bottom"/>
    </xf>
    <xf numFmtId="0" fontId="4" fillId="3" borderId="6" xfId="0">
      <alignment horizontal="center" vertical="bottom"/>
    </xf>
    <xf numFmtId="9" fontId="7" fillId="3" borderId="7" xfId="0">
      <alignment horizontal="center" vertical="bottom"/>
    </xf>
    <xf numFmtId="0" fontId="4" fillId="0" borderId="5" xfId="0">
      <alignment horizontal="center" vertical="bottom"/>
    </xf>
    <xf numFmtId="0" fontId="8" fillId="0" borderId="6" xfId="0">
      <alignment horizontal="left" vertical="bottom" indent="1"/>
    </xf>
    <xf numFmtId="0" fontId="4" fillId="0" borderId="6" xfId="0">
      <alignment horizontal="center" vertical="bottom"/>
    </xf>
    <xf numFmtId="171" fontId="4" fillId="0" borderId="6" xfId="0">
      <alignment horizontal="center" vertical="bottom"/>
    </xf>
    <xf numFmtId="173" fontId="6" fillId="0" borderId="6" xfId="0">
      <alignment horizontal="center" vertical="bottom"/>
    </xf>
    <xf numFmtId="9" fontId="4" fillId="0" borderId="7" xfId="0">
      <alignment horizontal="center" vertical="bottom"/>
    </xf>
    <xf numFmtId="9" fontId="6" fillId="0" borderId="7" xfId="0">
      <alignment horizontal="center" vertical="bottom"/>
    </xf>
    <xf numFmtId="0" fontId="8" fillId="0" borderId="6" xfId="0">
      <alignment horizontal="left" vertical="bottom" indent="2"/>
    </xf>
    <xf numFmtId="0" fontId="4" fillId="0" borderId="8" xfId="0">
      <alignment horizontal="center" vertical="bottom"/>
    </xf>
    <xf numFmtId="0" fontId="8" fillId="0" borderId="9" xfId="0">
      <alignment horizontal="left" vertical="bottom" indent="1"/>
    </xf>
    <xf numFmtId="0" fontId="4" fillId="0" borderId="9" xfId="0">
      <alignment horizontal="center" vertical="bottom"/>
    </xf>
    <xf numFmtId="171" fontId="4" fillId="0" borderId="9" xfId="0">
      <alignment horizontal="center" vertical="bottom"/>
    </xf>
    <xf numFmtId="173" fontId="6" fillId="0" borderId="9" xfId="0">
      <alignment horizontal="center" vertical="bottom"/>
    </xf>
    <xf numFmtId="9" fontId="4" fillId="0" borderId="10" xfId="0">
      <alignment horizontal="center" vertical="bottom"/>
    </xf>
    <xf numFmtId="0" fontId="9" fillId="0" borderId="1" xfId="0"/>
    <xf numFmtId="3" fontId="8" fillId="0" borderId="1" xfId="0"/>
    <xf numFmtId="9" fontId="8" fillId="0" borderId="1" xfId="0"/>
  </cellXfs>
  <cellStyles count="1">
    <cellStyle name="Normal" xfId="0" builtinId="0"/>
  </cellStyles>
  <dxfs count="5">
    <dxf>
      <font>
        <color rgb="FF006000"/>
      </font>
    </dxf>
    <dxf>
      <font>
        <color rgb="FFC06000"/>
      </font>
    </dxf>
    <dxf>
      <font>
        <color rgb="FF606060"/>
      </font>
    </dxf>
    <dxf>
      <font>
        <color rgb="FFC00000"/>
      </font>
    </dxf>
    <dxf>
      <font>
        <color rgb="FF40800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C81CE8-343B-3818-FDB8-D9E2D9C44F88}" mc:Ignorable="x14ac xr xr2 xr3">
  <dimension ref="A1:CV10000"/>
  <sheetViews>
    <sheetView showGridLines="0" zoomScale="90" workbookViewId="0" tabSelected="1">
      <pane xSplit="1" ySplit="7" topLeftCell="B8" activePane="bottomRight" state="frozen"/>
      <selection pane="bottomLeft" activeCell="A8" sqref="A8"/>
      <selection pane="topRight" activeCell="B1" sqref="B1"/>
      <selection pane="bottomRight" activeCell="A1" sqref="A1"/>
    </sheetView>
  </sheetViews>
  <sheetFormatPr defaultRowHeight="15.997499999999997" defaultColWidth="9.00390625" customHeight="1"/>
  <cols>
    <col min="1" max="1" width="4.50390625" customWidth="1"/>
    <col min="2" max="2" width="15.00390625" customWidth="1"/>
    <col min="3" max="3" width="34.00390625" customWidth="1"/>
    <col min="4" max="4" width="15.25390625" customWidth="1"/>
    <col min="5" max="5" width="18.75390625" customWidth="1"/>
    <col min="6" max="6" width="14.25390625" customWidth="1"/>
    <col min="7" max="7" width="11.50390625" customWidth="1"/>
    <col min="8" max="8" width="15.25390625" customWidth="1"/>
    <col min="9" max="10" width="13.375" customWidth="1"/>
  </cols>
  <sheetData>
    <row r="1" ht="16.5" customHeight="1"/>
    <row r="2" ht="24.75" customHeight="1">
      <c r="B2" s="1" t="s">
        <v>0</v>
      </c>
    </row>
    <row r="3" ht="16.5" customHeight="1"/>
    <row r="4" ht="15.75" customHeight="1">
      <c r="B4" s="2" t="s">
        <v>1</v>
      </c>
      <c r="C4" s="3" t="s">
        <v>2</v>
      </c>
      <c r="E4" s="2" t="s">
        <v>3</v>
      </c>
      <c r="F4" s="4" t="s">
        <v>4</v>
      </c>
    </row>
    <row r="5" ht="15.75" customHeight="1">
      <c r="B5" s="2" t="s">
        <v>5</v>
      </c>
      <c r="C5" s="5">
        <v>46082</v>
      </c>
      <c r="E5" s="2" t="s">
        <v>6</v>
      </c>
      <c r="F5" s="5">
        <v>46203</v>
      </c>
    </row>
    <row r="6" ht="16.5" customHeight="1"/>
    <row r="7" ht="16.5" customHeight="1">
      <c r="B7" s="6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8" t="s">
        <v>14</v>
      </c>
      <c r="J7" s="7" t="s">
        <v>15</v>
      </c>
    </row>
    <row r="8" ht="15.75" customHeight="1">
      <c r="B8" s="9">
        <v>1</v>
      </c>
      <c r="C8" s="10" t="s">
        <v>16</v>
      </c>
      <c r="D8" s="11"/>
      <c r="E8" s="12">
        <v>46082</v>
      </c>
      <c r="F8" s="12">
        <v>46102</v>
      </c>
      <c r="G8" s="13">
        <f t="shared" si="0" ref="G8:G28">F8-E8+1</f>
        <v>21</v>
      </c>
      <c r="H8" s="14" t="s">
        <v>17</v>
      </c>
      <c r="I8" s="15">
        <f t="shared" si="2" ref="I8:I24">AVERAGE(I9:I12)</f>
        <v>1</v>
      </c>
      <c r="J8" s="14" t="s">
        <v>18</v>
      </c>
    </row>
    <row r="9" ht="15.75" customHeight="1">
      <c r="B9" s="16">
        <v>1.1</v>
      </c>
      <c r="C9" s="17" t="s">
        <v>19</v>
      </c>
      <c r="D9" s="18" t="s">
        <v>20</v>
      </c>
      <c r="E9" s="19">
        <v>46082</v>
      </c>
      <c r="F9" s="19">
        <v>46088</v>
      </c>
      <c r="G9" s="20">
        <f t="shared" si="0"/>
        <v>7</v>
      </c>
      <c r="H9" s="18" t="s">
        <v>17</v>
      </c>
      <c r="I9" s="21">
        <v>1</v>
      </c>
      <c r="J9" s="18" t="s">
        <v>18</v>
      </c>
    </row>
    <row r="10" ht="15.75" customHeight="1">
      <c r="B10" s="16">
        <v>1.2</v>
      </c>
      <c r="C10" s="17" t="s">
        <v>21</v>
      </c>
      <c r="D10" s="18" t="s">
        <v>20</v>
      </c>
      <c r="E10" s="19">
        <v>46089</v>
      </c>
      <c r="F10" s="19">
        <v>46095</v>
      </c>
      <c r="G10" s="20">
        <f t="shared" si="0"/>
        <v>7</v>
      </c>
      <c r="H10" s="18" t="s">
        <v>17</v>
      </c>
      <c r="I10" s="21">
        <v>1</v>
      </c>
      <c r="J10" s="18" t="s">
        <v>18</v>
      </c>
    </row>
    <row r="11" ht="15.75" customHeight="1">
      <c r="B11" s="16">
        <v>1.3</v>
      </c>
      <c r="C11" s="17" t="s">
        <v>22</v>
      </c>
      <c r="D11" s="18" t="s">
        <v>23</v>
      </c>
      <c r="E11" s="19">
        <v>46089</v>
      </c>
      <c r="F11" s="19">
        <v>46095</v>
      </c>
      <c r="G11" s="20">
        <f t="shared" si="0"/>
        <v>7</v>
      </c>
      <c r="H11" s="18" t="s">
        <v>17</v>
      </c>
      <c r="I11" s="21">
        <v>1</v>
      </c>
      <c r="J11" s="18" t="s">
        <v>24</v>
      </c>
    </row>
    <row r="12" ht="15.75" customHeight="1">
      <c r="B12" s="16">
        <v>1.4</v>
      </c>
      <c r="C12" s="17" t="s">
        <v>25</v>
      </c>
      <c r="D12" s="18" t="s">
        <v>20</v>
      </c>
      <c r="E12" s="19">
        <v>46096</v>
      </c>
      <c r="F12" s="19">
        <v>46102</v>
      </c>
      <c r="G12" s="20">
        <f t="shared" si="0"/>
        <v>7</v>
      </c>
      <c r="H12" s="18" t="s">
        <v>17</v>
      </c>
      <c r="I12" s="21">
        <v>1</v>
      </c>
      <c r="J12" s="18" t="s">
        <v>18</v>
      </c>
    </row>
    <row r="13" ht="15.75" customHeight="1">
      <c r="B13" s="9">
        <v>2</v>
      </c>
      <c r="C13" s="10" t="s">
        <v>26</v>
      </c>
      <c r="D13" s="11"/>
      <c r="E13" s="12">
        <v>46103</v>
      </c>
      <c r="F13" s="12">
        <v>46130</v>
      </c>
      <c r="G13" s="13">
        <f t="shared" si="0"/>
        <v>28</v>
      </c>
      <c r="H13" s="14" t="s">
        <v>27</v>
      </c>
      <c r="I13" s="15">
        <f t="shared" si="1" ref="I13:I18">AVERAGE(I14:I16)</f>
        <v>0.5</v>
      </c>
      <c r="J13" s="14" t="s">
        <v>18</v>
      </c>
    </row>
    <row r="14" ht="15.75" customHeight="1">
      <c r="B14" s="16">
        <v>2.1</v>
      </c>
      <c r="C14" s="17" t="s">
        <v>28</v>
      </c>
      <c r="D14" s="18" t="s">
        <v>29</v>
      </c>
      <c r="E14" s="19">
        <v>46103</v>
      </c>
      <c r="F14" s="19">
        <v>46116</v>
      </c>
      <c r="G14" s="20">
        <f t="shared" si="0"/>
        <v>14</v>
      </c>
      <c r="H14" s="18" t="s">
        <v>17</v>
      </c>
      <c r="I14" s="21">
        <v>1</v>
      </c>
      <c r="J14" s="18" t="s">
        <v>18</v>
      </c>
    </row>
    <row r="15" ht="15.75" customHeight="1">
      <c r="B15" s="16">
        <v>2.2</v>
      </c>
      <c r="C15" s="17" t="s">
        <v>30</v>
      </c>
      <c r="D15" s="18" t="s">
        <v>29</v>
      </c>
      <c r="E15" s="19">
        <v>46117</v>
      </c>
      <c r="F15" s="19">
        <v>46123</v>
      </c>
      <c r="G15" s="20">
        <f t="shared" si="0"/>
        <v>7</v>
      </c>
      <c r="H15" s="18" t="s">
        <v>27</v>
      </c>
      <c r="I15" s="21">
        <v>0.5</v>
      </c>
      <c r="J15" s="18" t="s">
        <v>18</v>
      </c>
    </row>
    <row r="16" ht="15.75" customHeight="1">
      <c r="B16" s="16">
        <v>2.3</v>
      </c>
      <c r="C16" s="17" t="s">
        <v>31</v>
      </c>
      <c r="D16" s="18" t="s">
        <v>20</v>
      </c>
      <c r="E16" s="19">
        <v>46124</v>
      </c>
      <c r="F16" s="19">
        <v>46130</v>
      </c>
      <c r="G16" s="20">
        <f t="shared" si="0"/>
        <v>7</v>
      </c>
      <c r="H16" s="18" t="s">
        <v>32</v>
      </c>
      <c r="I16" s="21">
        <v>0</v>
      </c>
      <c r="J16" s="18" t="s">
        <v>24</v>
      </c>
    </row>
    <row r="17" ht="15.75" customHeight="1">
      <c r="B17" s="9">
        <v>3</v>
      </c>
      <c r="C17" s="10" t="s">
        <v>33</v>
      </c>
      <c r="D17" s="11"/>
      <c r="E17" s="12">
        <v>46131</v>
      </c>
      <c r="F17" s="12">
        <v>46172</v>
      </c>
      <c r="G17" s="13">
        <f t="shared" si="0"/>
        <v>42</v>
      </c>
      <c r="H17" s="14" t="s">
        <v>32</v>
      </c>
      <c r="I17" s="15">
        <f>AVERAGE(I18,I22,I23)</f>
        <v>0</v>
      </c>
      <c r="J17" s="14" t="s">
        <v>18</v>
      </c>
    </row>
    <row r="18" ht="15.75" customHeight="1">
      <c r="B18" s="16">
        <v>3.1</v>
      </c>
      <c r="C18" s="17" t="s">
        <v>34</v>
      </c>
      <c r="D18" s="18" t="s">
        <v>35</v>
      </c>
      <c r="E18" s="19">
        <v>46131</v>
      </c>
      <c r="F18" s="19">
        <v>46151</v>
      </c>
      <c r="G18" s="20">
        <f t="shared" si="0"/>
        <v>21</v>
      </c>
      <c r="H18" s="18" t="s">
        <v>32</v>
      </c>
      <c r="I18" s="22">
        <f t="shared" si="1"/>
        <v>0</v>
      </c>
      <c r="J18" s="18" t="s">
        <v>18</v>
      </c>
    </row>
    <row r="19" ht="16.5" customHeight="1">
      <c r="B19" s="16" t="s">
        <v>36</v>
      </c>
      <c r="C19" s="23" t="s">
        <v>37</v>
      </c>
      <c r="D19" s="18" t="s">
        <v>35</v>
      </c>
      <c r="E19" s="19">
        <v>46131</v>
      </c>
      <c r="F19" s="19">
        <v>46137</v>
      </c>
      <c r="G19" s="20">
        <f t="shared" si="0"/>
        <v>7</v>
      </c>
      <c r="H19" s="18" t="s">
        <v>32</v>
      </c>
      <c r="I19" s="21">
        <v>0</v>
      </c>
      <c r="J19" s="18" t="s">
        <v>18</v>
      </c>
    </row>
    <row r="20" ht="16.5" customHeight="1">
      <c r="B20" s="16" t="s">
        <v>38</v>
      </c>
      <c r="C20" s="23" t="s">
        <v>39</v>
      </c>
      <c r="D20" s="18" t="s">
        <v>35</v>
      </c>
      <c r="E20" s="19">
        <v>46138</v>
      </c>
      <c r="F20" s="19">
        <v>46144</v>
      </c>
      <c r="G20" s="20">
        <f t="shared" si="0"/>
        <v>7</v>
      </c>
      <c r="H20" s="18" t="s">
        <v>32</v>
      </c>
      <c r="I20" s="21">
        <v>0</v>
      </c>
      <c r="J20" s="18" t="s">
        <v>24</v>
      </c>
    </row>
    <row r="21" ht="16.5" customHeight="1">
      <c r="B21" s="16" t="s">
        <v>40</v>
      </c>
      <c r="C21" s="23" t="s">
        <v>41</v>
      </c>
      <c r="D21" s="18" t="s">
        <v>35</v>
      </c>
      <c r="E21" s="19">
        <v>46145</v>
      </c>
      <c r="F21" s="19">
        <v>46151</v>
      </c>
      <c r="G21" s="20">
        <f t="shared" si="0"/>
        <v>7</v>
      </c>
      <c r="H21" s="18" t="s">
        <v>32</v>
      </c>
      <c r="I21" s="21">
        <v>0</v>
      </c>
      <c r="J21" s="18" t="s">
        <v>24</v>
      </c>
    </row>
    <row r="22" ht="15.75" customHeight="1">
      <c r="B22" s="16">
        <v>3.2</v>
      </c>
      <c r="C22" s="17" t="s">
        <v>42</v>
      </c>
      <c r="D22" s="18" t="s">
        <v>43</v>
      </c>
      <c r="E22" s="19">
        <v>46145</v>
      </c>
      <c r="F22" s="19">
        <v>46165</v>
      </c>
      <c r="G22" s="20">
        <f t="shared" si="0"/>
        <v>21</v>
      </c>
      <c r="H22" s="18" t="s">
        <v>32</v>
      </c>
      <c r="I22" s="21">
        <v>0</v>
      </c>
      <c r="J22" s="18" t="s">
        <v>18</v>
      </c>
    </row>
    <row r="23" ht="15.75" customHeight="1">
      <c r="B23" s="16">
        <v>3.3</v>
      </c>
      <c r="C23" s="17" t="s">
        <v>44</v>
      </c>
      <c r="D23" s="18" t="s">
        <v>43</v>
      </c>
      <c r="E23" s="19">
        <v>46159</v>
      </c>
      <c r="F23" s="19">
        <v>46172</v>
      </c>
      <c r="G23" s="20">
        <f t="shared" si="0"/>
        <v>14</v>
      </c>
      <c r="H23" s="18" t="s">
        <v>32</v>
      </c>
      <c r="I23" s="21">
        <v>0</v>
      </c>
      <c r="J23" s="18" t="s">
        <v>24</v>
      </c>
    </row>
    <row r="24" ht="15.75" customHeight="1">
      <c r="B24" s="9">
        <v>4</v>
      </c>
      <c r="C24" s="10" t="s">
        <v>45</v>
      </c>
      <c r="D24" s="11"/>
      <c r="E24" s="12">
        <v>46173</v>
      </c>
      <c r="F24" s="12">
        <v>46203</v>
      </c>
      <c r="G24" s="13">
        <f t="shared" si="0"/>
        <v>31</v>
      </c>
      <c r="H24" s="14" t="s">
        <v>32</v>
      </c>
      <c r="I24" s="15">
        <f t="shared" si="2"/>
        <v>0</v>
      </c>
      <c r="J24" s="14" t="s">
        <v>18</v>
      </c>
    </row>
    <row r="25" ht="15.75" customHeight="1">
      <c r="B25" s="16">
        <v>4.1</v>
      </c>
      <c r="C25" s="17" t="s">
        <v>46</v>
      </c>
      <c r="D25" s="18" t="s">
        <v>47</v>
      </c>
      <c r="E25" s="19">
        <v>46173</v>
      </c>
      <c r="F25" s="19">
        <v>46186</v>
      </c>
      <c r="G25" s="20">
        <f t="shared" si="0"/>
        <v>14</v>
      </c>
      <c r="H25" s="18" t="s">
        <v>32</v>
      </c>
      <c r="I25" s="21">
        <v>0</v>
      </c>
      <c r="J25" s="18" t="s">
        <v>18</v>
      </c>
    </row>
    <row r="26" ht="15.75" customHeight="1">
      <c r="B26" s="16">
        <v>4.2</v>
      </c>
      <c r="C26" s="17" t="s">
        <v>48</v>
      </c>
      <c r="D26" s="18" t="s">
        <v>20</v>
      </c>
      <c r="E26" s="19">
        <v>46187</v>
      </c>
      <c r="F26" s="19">
        <v>46193</v>
      </c>
      <c r="G26" s="20">
        <f t="shared" si="0"/>
        <v>7</v>
      </c>
      <c r="H26" s="18" t="s">
        <v>32</v>
      </c>
      <c r="I26" s="21">
        <v>0</v>
      </c>
      <c r="J26" s="18" t="s">
        <v>18</v>
      </c>
    </row>
    <row r="27" ht="15.75" customHeight="1">
      <c r="B27" s="16">
        <v>4.3</v>
      </c>
      <c r="C27" s="17" t="s">
        <v>49</v>
      </c>
      <c r="D27" s="18" t="s">
        <v>43</v>
      </c>
      <c r="E27" s="19">
        <v>46187</v>
      </c>
      <c r="F27" s="19">
        <v>46200</v>
      </c>
      <c r="G27" s="20">
        <f t="shared" si="0"/>
        <v>14</v>
      </c>
      <c r="H27" s="18" t="s">
        <v>32</v>
      </c>
      <c r="I27" s="21">
        <v>0</v>
      </c>
      <c r="J27" s="18" t="s">
        <v>18</v>
      </c>
    </row>
    <row r="28" ht="15.75" customHeight="1">
      <c r="B28" s="24">
        <v>4.4</v>
      </c>
      <c r="C28" s="25" t="s">
        <v>50</v>
      </c>
      <c r="D28" s="26" t="s">
        <v>20</v>
      </c>
      <c r="E28" s="27">
        <v>46201</v>
      </c>
      <c r="F28" s="27">
        <v>46203</v>
      </c>
      <c r="G28" s="28">
        <f t="shared" si="0"/>
        <v>3</v>
      </c>
      <c r="H28" s="26" t="s">
        <v>32</v>
      </c>
      <c r="I28" s="29">
        <v>0</v>
      </c>
      <c r="J28" s="26" t="s">
        <v>18</v>
      </c>
    </row>
    <row r="29" ht="16.5" customHeight="1"/>
    <row r="30" ht="16.5" customHeight="1"/>
    <row r="31" ht="19.5" customHeight="1">
      <c r="B31" s="30" t="s">
        <v>51</v>
      </c>
    </row>
    <row r="32" ht="15.75" customHeight="1">
      <c r="B32" s="2" t="s">
        <v>52</v>
      </c>
      <c r="C32" s="31">
        <f>COUNTA(H9:H12,H14:H16,H18:H23,H25:H28)</f>
        <v>17</v>
      </c>
    </row>
    <row r="33" ht="15.75" customHeight="1">
      <c r="B33" s="2" t="s">
        <v>53</v>
      </c>
      <c r="C33" s="31">
        <f>COUNTIF(H8:H28,"Complete")</f>
        <v>6</v>
      </c>
    </row>
    <row r="34" ht="15.75" customHeight="1">
      <c r="B34" s="2" t="s">
        <v>54</v>
      </c>
      <c r="C34" s="31">
        <f>COUNTIF(H8:H28,"In Progress")</f>
        <v>2</v>
      </c>
    </row>
    <row r="35" ht="15.75" customHeight="1">
      <c r="B35" s="2" t="s">
        <v>55</v>
      </c>
      <c r="C35" s="31">
        <f>COUNTIF(H8:H28,"Not Started")</f>
        <v>13</v>
      </c>
    </row>
    <row r="36" ht="15.75" customHeight="1">
      <c r="B36" s="2" t="s">
        <v>56</v>
      </c>
      <c r="C36" s="32">
        <f>AVERAGE(I8,I13,I17,I24)</f>
        <v>0.375</v>
      </c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H8:H28">
    <cfRule type="containsText" dxfId="0" priority="6" operator="containsText" text="Complete">
      <formula>NOT(ISERROR(SEARCH("Complete",H8)))</formula>
    </cfRule>
  </conditionalFormatting>
  <conditionalFormatting sqref="H8:H28">
    <cfRule type="containsText" dxfId="1" priority="5" operator="containsText" text="In Progress">
      <formula>NOT(ISERROR(SEARCH("In Progress",H8)))</formula>
    </cfRule>
  </conditionalFormatting>
  <conditionalFormatting sqref="H8:H28">
    <cfRule type="containsText" dxfId="2" priority="4" operator="containsText" text="Not Started">
      <formula>NOT(ISERROR(SEARCH("Not Started",H8)))</formula>
    </cfRule>
  </conditionalFormatting>
  <conditionalFormatting sqref="H8:H28">
    <cfRule type="containsText" dxfId="3" priority="3" operator="containsText" text="On Hold">
      <formula>NOT(ISERROR(SEARCH("On Hold",H8)))</formula>
    </cfRule>
  </conditionalFormatting>
  <conditionalFormatting sqref="I8:I28">
    <cfRule type="expression" dxfId="0" priority="2" text="null">
      <formula>I8&gt;=1</formula>
    </cfRule>
  </conditionalFormatting>
  <conditionalFormatting sqref="I8:I28">
    <cfRule type="expression" dxfId="4" priority="1" text="null">
      <formula>AND(I8&gt;=0.5,I8&lt;1)</formula>
    </cfRule>
  </conditionalFormatting>
  <dataValidations count="2">
    <dataValidation allowBlank="1" showErrorMessage="1" sqref="H8:H50" type="list">
      <formula1>"Not Started,In Progress,Complete,On Hold,Cancelled"</formula1>
    </dataValidation>
    <dataValidation allowBlank="1" showErrorMessage="1" sqref="J8:J50" type="list">
      <formula1>"High,Medium,Low"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891efd4b-0395-4d58-8877-76ec4ac0c14d</vt:lpwstr>
  </property>
</Properties>
</file>