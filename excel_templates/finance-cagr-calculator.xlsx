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CAGR Calculator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<sst xmlns="http://schemas.openxmlformats.org/spreadsheetml/2006/main" count="15" uniqueCount="15">
  <si>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CAGR Calculator</t>
  </si>
  <si>
    <t>Compound Annual Growth Rate</t>
  </si>
  <si>
    <t>Investment Comparison</t>
  </si>
  <si>
    <t>Beginning Value</t>
  </si>
  <si>
    <t>Investment 1</t>
  </si>
  <si>
    <t>Investment 2</t>
  </si>
  <si>
    <t>Investment 3</t>
  </si>
  <si>
    <t>Ending Value</t>
  </si>
  <si>
    <t>Number of Years</t>
  </si>
  <si>
    <t>CAGR</t>
  </si>
  <si>
    <t>Total Growth</t>
  </si>
  <si>
    <t>Growth Details</t>
  </si>
  <si>
    <t>Investment Growth Projection</t>
  </si>
  <si>
    <t>CAGR Rate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</si>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</sst>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b val="0"/>
      <i val="0"/>
      <sz val="12"/>
      <color theme="1"/>
      <name val="Aptos Narrow"/>
      <scheme val="minor"/>
    </font>
    <font>
      <b/>
      <i val="0"/>
      <sz val="18"/>
      <color rgb="FF1F4E79"/>
      <name val="Aptos"/>
    </font>
    <font>
      <b val="0"/>
      <i val="0"/>
      <sz val="11"/>
      <color rgb="FF808080"/>
      <name val="Aptos"/>
    </font>
    <font>
      <b/>
      <i val="0"/>
      <sz val="12"/>
      <color rgb="FFFFFFFF"/>
      <name val="Aptos"/>
    </font>
    <font>
      <b val="0"/>
      <i val="0"/>
      <sz val="11"/>
      <color rgb="FF333333"/>
      <name val="Aptos"/>
    </font>
    <font>
      <b val="0"/>
      <i val="0"/>
      <sz val="11"/>
      <color rgb="FF0000FF"/>
      <name val="Aptos"/>
    </font>
    <font>
      <b/>
      <i val="0"/>
      <sz val="10"/>
      <color rgb="FF1F4E79"/>
      <name val="Aptos"/>
    </font>
    <font>
      <b/>
      <i val="0"/>
      <sz val="12"/>
      <color rgb="FF1F4E79"/>
      <name val="Aptos"/>
    </font>
    <font>
      <b/>
      <i val="0"/>
      <sz val="14"/>
      <color rgb="FF1F4E79"/>
      <name val="Aptos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5F7FA"/>
      </patternFill>
    </fill>
  </fills>
  <borders count="8">
    <border>
      <left/>
      <right/>
      <top/>
      <bottom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medium">
        <color rgb="FF1F4E79"/>
      </bottom>
      <diagonal/>
    </border>
    <border>
      <left/>
      <right/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B4C6E7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1F4E79"/>
      </left>
      <right style="thin">
        <color rgb="FF1F4E79"/>
      </right>
      <top/>
      <bottom/>
      <diagonal/>
    </border>
  </borders>
  <cellStyleXfs count="1">
    <xf numFmtId="0" fontId="0" fillId="0" borderId="1"/>
  </cellStyleXfs>
  <cellXfs count="23">
    <xf numFmtId="0" fontId="0" fillId="0" borderId="1" xfId="0"/>
    <xf numFmtId="0" fontId="1" fillId="0" borderId="1" xfId="0"/>
    <xf numFmtId="0" fontId="2" fillId="0" borderId="1" xfId="0">
      <alignment vertical="top"/>
    </xf>
    <xf numFmtId="0" fontId="3" fillId="2" borderId="2" xfId="0">
      <alignment vertical="center"/>
    </xf>
    <xf numFmtId="0" fontId="0" fillId="2" borderId="3" xfId="0"/>
    <xf numFmtId="0" fontId="4" fillId="3" borderId="4" xfId="0">
      <alignment horizontal="left" vertical="center" indent="1"/>
    </xf>
    <xf numFmtId="4" fontId="5" fillId="3" borderId="4" xfId="0">
      <alignment horizontal="right" vertical="center"/>
    </xf>
    <xf numFmtId="0" fontId="6" fillId="4" borderId="5" xfId="0">
      <alignment horizontal="left" vertical="center" indent="1"/>
    </xf>
    <xf numFmtId="0" fontId="6" fillId="4" borderId="5" xfId="0">
      <alignment horizontal="right" vertical="center"/>
    </xf>
    <xf numFmtId="0" fontId="4" fillId="5" borderId="4" xfId="0">
      <alignment horizontal="left" vertical="center" indent="1"/>
    </xf>
    <xf numFmtId="4" fontId="5" fillId="5" borderId="4" xfId="0">
      <alignment horizontal="right" vertical="center"/>
    </xf>
    <xf numFmtId="3" fontId="5" fillId="3" borderId="4" xfId="0">
      <alignment horizontal="right" vertical="center"/>
    </xf>
    <xf numFmtId="0" fontId="4" fillId="5" borderId="6" xfId="0">
      <alignment horizontal="left" vertical="center" indent="1"/>
    </xf>
    <xf numFmtId="0" fontId="5" fillId="5" borderId="6" xfId="0">
      <alignment horizontal="right" vertical="center"/>
    </xf>
    <xf numFmtId="0" fontId="0" fillId="2" borderId="7" xfId="0"/>
    <xf numFmtId="0" fontId="7" fillId="0" borderId="2" xfId="0">
      <alignment horizontal="left" vertical="center" indent="1"/>
    </xf>
    <xf numFmtId="10" fontId="8" fillId="0" borderId="2" xfId="0">
      <alignment horizontal="right" vertical="center"/>
    </xf>
    <xf numFmtId="10" fontId="7" fillId="0" borderId="2" xfId="0">
      <alignment horizontal="right" vertical="center"/>
    </xf>
    <xf numFmtId="10" fontId="4" fillId="5" borderId="6" xfId="0">
      <alignment horizontal="right" vertical="center"/>
    </xf>
    <xf numFmtId="10" fontId="5" fillId="3" borderId="4" xfId="0">
      <alignment horizontal="right" vertical="center"/>
    </xf>
    <xf numFmtId="4" fontId="4" fillId="5" borderId="6" xfId="0">
      <alignment horizontal="right" vertical="center"/>
    </xf>
    <xf numFmtId="4" fontId="4" fillId="5" borderId="4" xfId="0">
      <alignment horizontal="right" vertical="center"/>
    </xf>
    <xf numFmtId="4" fontId="4" fillId="3" borderId="4" xfId="0">
      <alignment horizontal="right" vertical="center"/>
    </xf>
  </cellXfs>
  <cellStyles count="1">
    <cellStyle name="Normal" xfId="0" builtinId="0"/>
  </cellStyles>
  <dxfs count="3">
    <dxf>
      <font>
        <b/>
        <sz val="14"/>
        <color rgb="FFCC0000"/>
        <name val="Aptos"/>
      </font>
    </dxf>
    <dxf>
      <font>
        <b/>
        <sz val="12"/>
        <color rgb="FFCC0000"/>
        <name val="Aptos"/>
      </font>
    </dxf>
    <dxf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595959"/>
                </a:solidFill>
                <a:latin typeface="Calibri"/>
              </a:defRPr>
            </a:pPr>
            <a:r>
              <a:rPr sz="750" b="0">
                <a:solidFill>
                  <a:srgbClr val="595959"/>
                </a:solidFill>
                <a:latin typeface="Calibri"/>
              </a:rPr>
              <a:t>Investment Growth Comparison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'CAGR Calculator'!$F$15</c:f>
            </c:strRef>
          </c:tx>
          <c:spPr>
            <a:ln w="19050">
              <a:solidFill>
                <a:srgbClr val="4472c4"/>
              </a:solidFill>
            </a:ln>
          </c:spPr>
          <c:cat>
            <c:numRef>
              <c:f>'CAGR Calculator'!$E$16:$E$26</c:f>
              <c:numCache>
                <c:formatCode>General</c:formatCode>
              </c:numCache>
            </c:numRef>
          </c:cat>
          <c:val>
            <c:numRef>
              <c:f>'CAGR Calculator'!$F$16:$F$26</c:f>
              <c:numCache>
                <c:formatCode>#,##0.00</c:formatCode>
              </c:numCache>
            </c:numRef>
          </c:val>
          <c:extLst/>
          <c:smooth val="0"/>
          <c:marker>
            <c:symbol val="circle"/>
            <c:size val="5"/>
            <c:spPr/>
          </c:marker>
        </c:ser>
        <c:ser seriesType="2">
          <c:idx val="1"/>
          <c:order val="1"/>
          <c:tx>
            <c:strRef>
              <c:f>'CAGR Calculator'!$G$15</c:f>
            </c:strRef>
          </c:tx>
          <c:spPr>
            <a:ln w="19050">
              <a:solidFill>
                <a:srgbClr val="ed7d31"/>
              </a:solidFill>
            </a:ln>
          </c:spPr>
          <c:cat>
            <c:numRef>
              <c:f>'CAGR Calculator'!$E$16:$E$26</c:f>
              <c:numCache>
                <c:formatCode>General</c:formatCode>
              </c:numCache>
            </c:numRef>
          </c:cat>
          <c:val>
            <c:numRef>
              <c:f>'CAGR Calculator'!$G$16:$G$26</c:f>
              <c:numCache>
                <c:formatCode>#,##0.00</c:formatCode>
              </c:numCache>
            </c:numRef>
          </c:val>
          <c:extLst/>
          <c:smooth val="0"/>
          <c:marker>
            <c:symbol val="circle"/>
            <c:size val="5"/>
            <c:spPr/>
          </c:marker>
        </c:ser>
        <c:ser seriesType="2">
          <c:idx val="2"/>
          <c:order val="2"/>
          <c:tx>
            <c:strRef>
              <c:f>'CAGR Calculator'!$H$15</c:f>
            </c:strRef>
          </c:tx>
          <c:spPr>
            <a:ln w="19050">
              <a:solidFill>
                <a:srgbClr val="70ad47"/>
              </a:solidFill>
            </a:ln>
          </c:spPr>
          <c:cat>
            <c:numRef>
              <c:f>'CAGR Calculator'!$E$16:$E$26</c:f>
              <c:numCache>
                <c:formatCode>General</c:formatCode>
              </c:numCache>
            </c:numRef>
          </c:cat>
          <c:val>
            <c:numRef>
              <c:f>'CAGR Calculator'!$H$16:$H$26</c:f>
              <c:numCache>
                <c:formatCode>#,##0.00</c:formatCode>
              </c:numCache>
            </c:numRef>
          </c:val>
          <c:extLst/>
          <c:smooth val="0"/>
          <c:marker>
            <c:symbol val="circle"/>
            <c:size val="5"/>
            <c:spPr/>
          </c:marker>
        </c:ser>
        <c:axId val="84450253"/>
        <c:axId val="21041879"/>
        <c:grouping val="standard"/>
        <c:varyColors val="0"/>
        <c:smooth val="0"/>
        <c:marker val="1"/>
      </c:lineChart>
      <c:catAx axisType="0">
        <c:axId val="84450253"/>
        <c:delete val="0"/>
        <c:majorTickMark val="none"/>
        <c:minorTickMark val="none"/>
        <c:tickLblPos val="nextTo"/>
        <c:title>
          <c:tx>
            <c:rich>
              <a:bodyPr/>
              <a:p>
                <a:pPr>
                  <a:defRPr sz="750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</a:defRPr>
                </a:pPr>
                <a:r>
                  <a:rPr sz="750" b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</a:rPr>
                  <a:t>Year</a:t>
                </a:r>
                <a:endParaRPr/>
              </a:p>
            </c:rich>
          </c:tx>
          <c:overlay val="0"/>
        </c:title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21041879"/>
      </c:catAx>
      <c:valAx axisType="3">
        <c:axId val="2104187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#,##0" sourceLinked="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84450253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Calibri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Calibri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27</xdr:row>
      <xdr:rowOff>0</xdr:rowOff>
    </xdr:from>
    <xdr:to>
      <xdr:col>7</xdr:col>
      <xdr:colOff>820208</xdr:colOff>
      <xdr:row>44</xdr:row>
      <xdr:rowOff>63500</xdr:rowOff>
    </xdr:to>
    <xdr:graphicFrame>
      <xdr:nvGraphicFramePr>
        <xdr:cNvPr id="2" name="GrowthChart"/>
        <xdr:cNvGraphicFramePr>
          <a:graphicFrameLocks noChangeAspect="0"/>
        </xdr:cNvGraphicFramePr>
      </xdr:nvGraphicFramePr>
      <xdr:xfrm>
        <a:off x="3492500" y="5672667"/>
        <a:ext cx="4672541" cy="366183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439B4B8-2F58-8AC8-D888-28F113A0071D}" mc:Ignorable="x14ac xr xr2 xr3">
  <dimension ref="A1:CV10000"/>
  <sheetViews>
    <sheetView showGridLines="0" topLeftCell="A1" zoomScale="90" workbookViewId="0" tabSelected="1">
      <pane ySplit="3" topLeftCell="A4" activePane="bottomLeft" state="frozen"/>
      <selection pane="bottomLeft" activeCell="C24" sqref="C24"/>
    </sheetView>
  </sheetViews>
  <sheetFormatPr defaultRowHeight="15.997499999999997" defaultColWidth="9.00390625" customHeight="1"/>
  <cols>
    <col min="1" max="1" width="2.75390625" customWidth="1"/>
    <col min="2" max="2" width="21.875" customWidth="1"/>
    <col min="3" max="3" width="18.50390625" customWidth="1"/>
    <col min="4" max="4" width="2.50390625" customWidth="1"/>
    <col min="5" max="5" width="17.50390625" customWidth="1"/>
    <col min="6" max="8" width="16.50390625" customWidth="1"/>
    <col min="9" max="9" width="2.75390625" customWidth="1"/>
  </cols>
  <sheetData>
    <row r="1" ht="16.5" customHeight="1"/>
    <row r="2" ht="24.75" customHeight="1">
      <c r="B2" s="1" t="s">
        <v>0</v>
      </c>
      <c r="C2" s="1"/>
      <c r="D2" s="1"/>
      <c r="E2" s="1"/>
      <c r="F2" s="1"/>
      <c r="G2" s="1"/>
      <c r="H2" s="1"/>
    </row>
    <row r="3" ht="15.75" customHeight="1">
      <c r="B3" s="2" t="s">
        <v>1</v>
      </c>
      <c r="C3" s="2"/>
      <c r="D3" s="2"/>
      <c r="E3" s="2"/>
      <c r="F3" s="2"/>
      <c r="G3" s="2"/>
      <c r="H3" s="2"/>
    </row>
    <row r="4" ht="16.5" customHeight="1"/>
    <row r="5" ht="16.5" customHeight="1">
      <c r="B5" s="3" t="s">
        <v>0</v>
      </c>
      <c r="C5" s="3"/>
      <c r="D5" s="4"/>
      <c r="E5" s="3" t="s">
        <v>2</v>
      </c>
      <c r="F5" s="3"/>
      <c r="G5" s="3"/>
      <c r="H5" s="3"/>
    </row>
    <row r="6" ht="15.75" customHeight="1">
      <c r="B6" s="5" t="s">
        <v>3</v>
      </c>
      <c r="C6" s="6">
        <v>10000</v>
      </c>
      <c r="E6" s="7"/>
      <c r="F6" s="8" t="s">
        <v>4</v>
      </c>
      <c r="G6" s="8" t="s">
        <v>5</v>
      </c>
      <c r="H6" s="8" t="s">
        <v>6</v>
      </c>
    </row>
    <row r="7" ht="15.75" customHeight="1">
      <c r="B7" s="9" t="s">
        <v>7</v>
      </c>
      <c r="C7" s="10">
        <v>25000</v>
      </c>
      <c r="E7" s="5" t="s">
        <v>3</v>
      </c>
      <c r="F7" s="6">
        <v>10000</v>
      </c>
      <c r="G7" s="6">
        <v>10000</v>
      </c>
      <c r="H7" s="6">
        <v>10000</v>
      </c>
    </row>
    <row r="8" ht="15.75" customHeight="1">
      <c r="B8" s="5" t="s">
        <v>8</v>
      </c>
      <c r="C8" s="11">
        <v>5</v>
      </c>
      <c r="E8" s="9" t="s">
        <v>7</v>
      </c>
      <c r="F8" s="10">
        <v>25000</v>
      </c>
      <c r="G8" s="10">
        <v>30000</v>
      </c>
      <c r="H8" s="10">
        <v>20000</v>
      </c>
    </row>
    <row r="9" ht="15.75" customHeight="1">
      <c r="B9" s="12"/>
      <c r="C9" s="13"/>
      <c r="E9" s="5" t="s">
        <v>8</v>
      </c>
      <c r="F9" s="11">
        <v>5</v>
      </c>
      <c r="G9" s="11">
        <v>5</v>
      </c>
      <c r="H9" s="11">
        <v>5</v>
      </c>
    </row>
    <row r="10" ht="16.5" customHeight="1">
      <c r="B10" s="14"/>
      <c r="C10" s="14"/>
      <c r="E10" s="14"/>
      <c r="F10" s="14"/>
      <c r="G10" s="14"/>
      <c r="H10" s="14"/>
    </row>
    <row r="11" ht="19.5" customHeight="1">
      <c r="B11" s="15" t="s">
        <v>9</v>
      </c>
      <c r="C11" s="16">
        <f>_xlfn.IFERROR((C7/C6)^(1/C8)-1,"-")</f>
        <v>0.201124433981431</v>
      </c>
      <c r="E11" s="15" t="s">
        <v>9</v>
      </c>
      <c r="F11" s="17">
        <f t="shared" si="0" ref="F11:H11">_xlfn.IFERROR((F8/F7)^(1/F9)-1,"-")</f>
        <v>0.201124433981431</v>
      </c>
      <c r="G11" s="17">
        <f t="shared" si="0"/>
        <v>0.245730939615517</v>
      </c>
      <c r="H11" s="17">
        <f t="shared" si="0"/>
        <v>0.148698354997035</v>
      </c>
    </row>
    <row r="12" ht="15.75" customHeight="1">
      <c r="B12" s="12" t="s">
        <v>10</v>
      </c>
      <c r="C12" s="18">
        <f>_xlfn.IFERROR(C7/C6-1,"-")</f>
        <v>1.5</v>
      </c>
      <c r="E12" s="12" t="s">
        <v>10</v>
      </c>
      <c r="F12" s="18">
        <f t="shared" si="1" ref="F12:H12">_xlfn.IFERROR(F8/F7-1,"-")</f>
        <v>1.5</v>
      </c>
      <c r="G12" s="18">
        <f t="shared" si="1"/>
        <v>2</v>
      </c>
      <c r="H12" s="18">
        <f t="shared" si="1"/>
        <v>1</v>
      </c>
    </row>
    <row r="13" ht="16.5" customHeight="1"/>
    <row r="14" ht="16.5" customHeight="1">
      <c r="B14" s="3" t="s">
        <v>11</v>
      </c>
      <c r="C14" s="3"/>
      <c r="D14" s="4"/>
      <c r="E14" s="3" t="s">
        <v>12</v>
      </c>
      <c r="F14" s="3"/>
      <c r="G14" s="3"/>
      <c r="H14" s="3"/>
    </row>
    <row r="15" ht="15.75" customHeight="1">
      <c r="B15" s="5" t="s">
        <v>13</v>
      </c>
      <c r="C15" s="19" cm="1">
        <f t="array" ref="C15">C11</f>
        <v>0.201124433981431</v>
      </c>
      <c r="E15" s="7" t="s">
        <v>14</v>
      </c>
      <c r="F15" s="8" t="s">
        <v>4</v>
      </c>
      <c r="G15" s="8" t="s">
        <v>5</v>
      </c>
      <c r="H15" s="8" t="s">
        <v>6</v>
      </c>
    </row>
    <row r="16" ht="15.75" customHeight="1">
      <c r="B16" s="12" t="s">
        <v>3</v>
      </c>
      <c r="C16" s="20" cm="1">
        <f t="array" ref="C16">C6</f>
        <v>10000</v>
      </c>
      <c r="E16" s="9">
        <v>0</v>
      </c>
      <c r="F16" s="21" cm="1">
        <f t="array" ref="F16">F7</f>
        <v>10000</v>
      </c>
      <c r="G16" s="21" cm="1">
        <f t="array" ref="G16">G7</f>
        <v>10000</v>
      </c>
      <c r="H16" s="21" cm="1">
        <f t="array" ref="H16">H7</f>
        <v>10000</v>
      </c>
    </row>
    <row r="17" ht="15.75" customHeight="1">
      <c r="E17" s="5">
        <v>1</v>
      </c>
      <c r="F17" s="22">
        <f t="shared" si="2" ref="F17:F26">F16*(1+$F$11)</f>
        <v>12011.2443398143</v>
      </c>
      <c r="G17" s="22">
        <f t="shared" si="3" ref="G17:G26">G16*(1+$G$11)</f>
        <v>12457.3093961552</v>
      </c>
      <c r="H17" s="22">
        <f t="shared" si="4" ref="H17:H26">H16*(1+$H$11)</f>
        <v>11486.9835499703</v>
      </c>
    </row>
    <row r="18" ht="15.75" customHeight="1">
      <c r="E18" s="9">
        <v>2</v>
      </c>
      <c r="F18" s="21">
        <f t="shared" si="2"/>
        <v>14426.9990590721</v>
      </c>
      <c r="G18" s="21">
        <f t="shared" si="3"/>
        <v>15518.4557391536</v>
      </c>
      <c r="H18" s="21">
        <f t="shared" si="4"/>
        <v>13195.0791077289</v>
      </c>
    </row>
    <row r="19" ht="15.75" customHeight="1">
      <c r="E19" s="5">
        <v>3</v>
      </c>
      <c r="F19" s="22">
        <f t="shared" si="2"/>
        <v>17328.6210788786</v>
      </c>
      <c r="G19" s="22">
        <f t="shared" si="3"/>
        <v>19331.8204493176</v>
      </c>
      <c r="H19" s="22">
        <f t="shared" si="4"/>
        <v>15157.1656651039</v>
      </c>
    </row>
    <row r="20" ht="15.75" customHeight="1">
      <c r="E20" s="9">
        <v>4</v>
      </c>
      <c r="F20" s="21">
        <f t="shared" si="2"/>
        <v>20813.8301850468</v>
      </c>
      <c r="G20" s="21">
        <f t="shared" si="3"/>
        <v>24082.2468528069</v>
      </c>
      <c r="H20" s="21">
        <f t="shared" si="4"/>
        <v>17411.0112659224</v>
      </c>
    </row>
    <row r="21" ht="15.75" customHeight="1">
      <c r="E21" s="5">
        <v>5</v>
      </c>
      <c r="F21" s="22">
        <f t="shared" si="2"/>
        <v>25000</v>
      </c>
      <c r="G21" s="22">
        <f t="shared" si="3"/>
        <v>30000</v>
      </c>
      <c r="H21" s="22">
        <f t="shared" si="4"/>
        <v>19999.9999999999</v>
      </c>
    </row>
    <row r="22" ht="15.75" customHeight="1">
      <c r="E22" s="9">
        <v>6</v>
      </c>
      <c r="F22" s="21">
        <f t="shared" si="2"/>
        <v>30028.1108495358</v>
      </c>
      <c r="G22" s="21">
        <f t="shared" si="3"/>
        <v>37371.9281884655</v>
      </c>
      <c r="H22" s="21">
        <f t="shared" si="4"/>
        <v>22973.9670999406</v>
      </c>
    </row>
    <row r="23" ht="15.75" customHeight="1">
      <c r="E23" s="5">
        <v>7</v>
      </c>
      <c r="F23" s="22">
        <f t="shared" si="2"/>
        <v>36067.4976476804</v>
      </c>
      <c r="G23" s="22">
        <f t="shared" si="3"/>
        <v>46555.3672174607</v>
      </c>
      <c r="H23" s="22">
        <f t="shared" si="4"/>
        <v>26390.1582154578</v>
      </c>
    </row>
    <row r="24" ht="15.75" customHeight="1">
      <c r="E24" s="9">
        <v>8</v>
      </c>
      <c r="F24" s="21">
        <f t="shared" si="2"/>
        <v>43321.5526971967</v>
      </c>
      <c r="G24" s="21">
        <f t="shared" si="3"/>
        <v>57995.4613479527</v>
      </c>
      <c r="H24" s="21">
        <f t="shared" si="4"/>
        <v>30314.3313302079</v>
      </c>
    </row>
    <row r="25" ht="15.75" customHeight="1">
      <c r="E25" s="5">
        <v>9</v>
      </c>
      <c r="F25" s="22">
        <f t="shared" si="2"/>
        <v>52034.5754626171</v>
      </c>
      <c r="G25" s="22">
        <f t="shared" si="3"/>
        <v>72246.7405584205</v>
      </c>
      <c r="H25" s="22">
        <f t="shared" si="4"/>
        <v>34822.0225318449</v>
      </c>
    </row>
    <row r="26" ht="15.75" customHeight="1">
      <c r="E26" s="12">
        <v>10</v>
      </c>
      <c r="F26" s="20">
        <f t="shared" si="2"/>
        <v>62500</v>
      </c>
      <c r="G26" s="20">
        <f t="shared" si="3"/>
        <v>89999.9999999997</v>
      </c>
      <c r="H26" s="20">
        <f t="shared" si="4"/>
        <v>39999.9999999999</v>
      </c>
    </row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2:H2"/>
    <mergeCell ref="B3:H3"/>
    <mergeCell ref="B5:C5"/>
    <mergeCell ref="E5:H5"/>
    <mergeCell ref="B14:C14"/>
    <mergeCell ref="E14:H14"/>
  </mergeCells>
  <conditionalFormatting sqref="C11">
    <cfRule type="cellIs" dxfId="0" priority="5" operator="lessThan" text="null">
      <formula>0</formula>
    </cfRule>
  </conditionalFormatting>
  <conditionalFormatting sqref="F11">
    <cfRule type="cellIs" dxfId="1" priority="4" operator="lessThan" text="null">
      <formula>0</formula>
    </cfRule>
  </conditionalFormatting>
  <conditionalFormatting sqref="G11">
    <cfRule type="cellIs" dxfId="1" priority="3" operator="lessThan" text="null">
      <formula>0</formula>
    </cfRule>
  </conditionalFormatting>
  <conditionalFormatting sqref="H11">
    <cfRule type="cellIs" dxfId="1" priority="2" operator="lessThan" text="null">
      <formula>0</formula>
    </cfRule>
  </conditionalFormatting>
  <conditionalFormatting sqref="F11:H11">
    <cfRule type="expression" dxfId="2" priority="1" text="null">
      <formula>F11=MAX($F$11:$H$11)</formula>
    </cfRule>
  </conditionalFormatting>
  <dataValidations count="13">
    <dataValidation operator="greaterThanOrEqual" allowBlank="1" error="Invalid Years: Please enter a positive whole number" showErrorMessage="1" sqref="C8" type="whole">
      <formula1>1</formula1>
    </dataValidation>
    <dataValidation operator="greaterThanOrEqual" allowBlank="1" error="Invalid Years: Please enter a positive whole number" showErrorMessage="1" sqref="F9" type="whole">
      <formula1>1</formula1>
    </dataValidation>
    <dataValidation operator="greaterThanOrEqual" allowBlank="1" error="Invalid Years: Please enter a positive whole number" showErrorMessage="1" sqref="G9" type="whole">
      <formula1>1</formula1>
    </dataValidation>
    <dataValidation operator="greaterThanOrEqual" allowBlank="1" error="Invalid Years: Please enter a positive whole number" showErrorMessage="1" sqref="H9" type="whole">
      <formula1>1</formula1>
    </dataValidation>
    <dataValidation operator="greaterThanOrEqual" allowBlank="1" error="Invalid Value: Please enter a number &gt;= 0" showErrorMessage="1" sqref="C6" type="decimal">
      <formula1>0</formula1>
    </dataValidation>
    <dataValidation operator="greaterThanOrEqual" allowBlank="1" error="Invalid Value: Please enter a number &gt;= 0" showErrorMessage="1" sqref="C7" type="decimal">
      <formula1>0</formula1>
    </dataValidation>
    <dataValidation operator="greaterThanOrEqual" allowBlank="1" error="Invalid Value: Please enter a number &gt;= 0" showErrorMessage="1" sqref="F7" type="decimal">
      <formula1>0</formula1>
    </dataValidation>
    <dataValidation operator="greaterThanOrEqual" allowBlank="1" error="Invalid Value: Please enter a number &gt;= 0" showErrorMessage="1" sqref="F8" type="decimal">
      <formula1>0</formula1>
    </dataValidation>
    <dataValidation operator="greaterThanOrEqual" allowBlank="1" error="Invalid Value: Please enter a number &gt;= 0" showErrorMessage="1" sqref="G7" type="decimal">
      <formula1>0</formula1>
    </dataValidation>
    <dataValidation operator="greaterThanOrEqual" allowBlank="1" error="Invalid Value: Please enter a number &gt;= 0" showErrorMessage="1" sqref="G8" type="decimal">
      <formula1>0</formula1>
    </dataValidation>
    <dataValidation operator="greaterThanOrEqual" allowBlank="1" error="Invalid Value: Please enter a number &gt;= 0" showErrorMessage="1" sqref="H7" type="decimal">
      <formula1>0</formula1>
    </dataValidation>
    <dataValidation operator="greaterThanOrEqual" allowBlank="1" error="Invalid Value: Please enter a number &gt;= 0" showErrorMessage="1" sqref="H8" type="decimal">
      <formula1>0</formula1>
    </dataValidation>
    <dataValidation operator="greaterThanOrEqual" allowBlank="1" error="Invalid Rate: Enter a rate between -100% and 1000%" showErrorMessage="1" sqref="C15" type="decimal">
      <formula1>-1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574fbeb0-e6e8-4dad-a04e-ddd1221188f6</vt:lpwstr>
  </property>
</Properties>
</file>