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Pareto Chart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<sst xmlns="http://schemas.openxmlformats.org/spreadsheetml/2006/main" count="21" uniqueCount="21">
  <si>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Pareto Chart Template</t>
  </si>
  <si>
    <t>Identify the vital few causes with the 80/20 rule</t>
  </si>
  <si>
    <t>PARETO DATA</t>
  </si>
  <si>
    <t>Category / Cause</t>
  </si>
  <si>
    <t>Frequency</t>
  </si>
  <si>
    <t>Percentage</t>
  </si>
  <si>
    <t>Cumulative %</t>
  </si>
  <si>
    <t>80% Line</t>
  </si>
  <si>
    <t>Surface Scratches</t>
  </si>
  <si>
    <t>Dimensional Error</t>
  </si>
  <si>
    <t>Color Mismatch</t>
  </si>
  <si>
    <t>Missing Component</t>
  </si>
  <si>
    <t>Weld Defect</t>
  </si>
  <si>
    <t>Packaging Damage</t>
  </si>
  <si>
    <t>Label Error</t>
  </si>
  <si>
    <t>Material Defect</t>
  </si>
  <si>
    <t>Contamination</t>
  </si>
  <si>
    <t>Other</t>
  </si>
  <si>
    <t>Total</t>
  </si>
  <si>
    <t>80/20 Analysis:</t>
  </si>
  <si>
    <t>Surface Scratches, Dimensional Error, Color Mismatch, Missing Component account for ~80% of issues (77.9% cumulative)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</si>
</sst>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%"/>
  </numFmts>
  <fonts count="9">
    <font>
      <b val="0"/>
      <i val="0"/>
      <sz val="12"/>
      <color theme="1"/>
      <name val="Aptos Narrow"/>
      <scheme val="minor"/>
    </font>
    <font>
      <b/>
      <i val="0"/>
      <sz val="18"/>
      <color rgb="FF2B4C7E"/>
      <name val="Aptos"/>
    </font>
    <font>
      <b val="0"/>
      <i/>
      <sz val="11"/>
      <color rgb="FF5B7BA5"/>
      <name val="Aptos"/>
    </font>
    <font>
      <b/>
      <i val="0"/>
      <sz val="12"/>
      <color rgb="FFFFFFFF"/>
      <name val="Aptos"/>
    </font>
    <font>
      <b val="0"/>
      <i val="0"/>
      <sz val="11"/>
      <color theme="1"/>
      <name val="Aptos"/>
    </font>
    <font>
      <b/>
      <i val="0"/>
      <sz val="11"/>
      <color rgb="FF2B4C7E"/>
      <name val="Aptos"/>
    </font>
    <font>
      <b val="0"/>
      <i val="0"/>
      <sz val="11"/>
      <color rgb="FF0070C0"/>
      <name val="Aptos"/>
    </font>
    <font>
      <b/>
      <i val="0"/>
      <sz val="11"/>
      <color theme="1"/>
      <name val="Aptos"/>
    </font>
    <font>
      <b val="0"/>
      <i val="0"/>
      <sz val="11"/>
      <color rgb="FF5B7BA5"/>
      <name val="Aptos"/>
    </font>
  </fonts>
  <fills count="5">
    <fill>
      <patternFill patternType="none"/>
    </fill>
    <fill>
      <patternFill patternType="gray125"/>
    </fill>
    <fill>
      <patternFill patternType="solid">
        <fgColor rgb="FF2B4C7E"/>
      </patternFill>
    </fill>
    <fill>
      <patternFill patternType="solid">
        <fgColor rgb="FFE8EEF4"/>
      </patternFill>
    </fill>
    <fill>
      <patternFill patternType="solid">
        <fgColor rgb="FFF5F8FC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ck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ck">
        <color rgb="FFB0B0B0"/>
      </top>
      <bottom style="thin">
        <color rgb="FFB0B0B0"/>
      </bottom>
      <diagonal/>
    </border>
  </borders>
  <cellStyleXfs count="1">
    <xf numFmtId="0" fontId="0" fillId="0" borderId="1"/>
  </cellStyleXfs>
  <cellXfs count="22">
    <xf numFmtId="0" fontId="0" fillId="0" borderId="1" xfId="0"/>
    <xf numFmtId="0" fontId="1" fillId="0" borderId="1" xfId="0"/>
    <xf numFmtId="0" fontId="2" fillId="0" borderId="1" xfId="0"/>
    <xf numFmtId="0" fontId="3" fillId="2" borderId="1" xfId="0"/>
    <xf numFmtId="0" fontId="4" fillId="2" borderId="1" xfId="0"/>
    <xf numFmtId="0" fontId="5" fillId="3" borderId="2" xfId="0">
      <alignment horizontal="center" vertical="bottom"/>
    </xf>
    <xf numFmtId="0" fontId="5" fillId="3" borderId="3" xfId="0">
      <alignment horizontal="center" vertical="bottom"/>
    </xf>
    <xf numFmtId="0" fontId="6" fillId="4" borderId="2" xfId="0"/>
    <xf numFmtId="1" fontId="6" fillId="4" borderId="2" xfId="0">
      <alignment horizontal="center" vertical="bottom"/>
    </xf>
    <xf numFmtId="171" fontId="4" fillId="4" borderId="2" xfId="0">
      <alignment horizontal="center" vertical="bottom"/>
    </xf>
    <xf numFmtId="171" fontId="4" fillId="4" borderId="3" xfId="0">
      <alignment horizontal="center" vertical="bottom"/>
    </xf>
    <xf numFmtId="171" fontId="6" fillId="0" borderId="1" xfId="0">
      <alignment horizontal="center" vertical="bottom"/>
    </xf>
    <xf numFmtId="0" fontId="6" fillId="0" borderId="2" xfId="0"/>
    <xf numFmtId="1" fontId="6" fillId="0" borderId="2" xfId="0">
      <alignment horizontal="center" vertical="bottom"/>
    </xf>
    <xf numFmtId="171" fontId="4" fillId="0" borderId="2" xfId="0">
      <alignment horizontal="center" vertical="bottom"/>
    </xf>
    <xf numFmtId="171" fontId="4" fillId="0" borderId="3" xfId="0">
      <alignment horizontal="center" vertical="bottom"/>
    </xf>
    <xf numFmtId="0" fontId="7" fillId="3" borderId="4" xfId="0"/>
    <xf numFmtId="1" fontId="7" fillId="3" borderId="4" xfId="0">
      <alignment horizontal="center" vertical="bottom"/>
    </xf>
    <xf numFmtId="171" fontId="7" fillId="3" borderId="4" xfId="0">
      <alignment horizontal="center" vertical="bottom"/>
    </xf>
    <xf numFmtId="0" fontId="4" fillId="3" borderId="5" xfId="0"/>
    <xf numFmtId="0" fontId="5" fillId="0" borderId="1" xfId="0"/>
    <xf numFmtId="0" fontId="8" fillId="0" borderId="1" xfId="0"/>
  </cellXfs>
  <cellStyles count="1">
    <cellStyle name="Normal" xfId="0" builtinId="0"/>
  </cellStyles>
  <dxfs count="1">
    <dxf>
      <font>
        <b/>
        <sz val="11"/>
        <name val="Aptos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2b4c7e"/>
                </a:solidFill>
                <a:latin typeface="Aptos"/>
              </a:defRPr>
            </a:pPr>
            <a:r>
              <a:rPr sz="1050" b="0">
                <a:solidFill>
                  <a:srgbClr val="2b4c7e"/>
                </a:solidFill>
                <a:latin typeface="Aptos"/>
              </a:rPr>
              <a:t>Pareto Chart — Defect Analysis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Frequency</c:f>
            </c:strRef>
          </c:tx>
          <c:spPr>
            <a:solidFill>
              <a:srgbClr val="2b4c7e"/>
            </a:solidFill>
            <a:ln w="9525">
              <a:solidFill>
                <a:srgbClr val="2b4c7e"/>
              </a:solidFill>
            </a:ln>
          </c:spPr>
          <c:cat>
            <c:strRef>
              <c:f>'Pareto Chart'!$B$7:$B$16</c:f>
            </c:strRef>
          </c:cat>
          <c:val>
            <c:numRef>
              <c:f>'Pareto Chart'!$C$7:$C$16</c:f>
              <c:numCache>
                <c:formatCode>0</c:formatCode>
              </c:numCache>
            </c:numRef>
          </c:val>
          <c:extLst/>
          <c:invertIfNegative val="0"/>
        </c:ser>
        <c:axId val="43955935"/>
        <c:axId val="49480947"/>
        <c:barDir val="col"/>
        <c:grouping val="clustered"/>
        <c:gapWidth val="150"/>
        <c:varyColors val="0"/>
        <c:overlap val="-27"/>
      </c:barChart>
      <c:lineChart chartType="8">
        <c:ser seriesType="2">
          <c:idx val="1"/>
          <c:order val="1"/>
          <c:tx>
            <c:strRef>
              <c:f>Cumulative %</c:f>
            </c:strRef>
          </c:tx>
          <c:spPr>
            <a:solidFill>
              <a:srgbClr val="e74c3c"/>
            </a:solidFill>
            <a:ln w="19050">
              <a:solidFill>
                <a:srgbClr val="e74c3c"/>
              </a:solidFill>
            </a:ln>
          </c:spPr>
          <c:cat>
            <c:strRef>
              <c:f>'Pareto Chart'!$B$7:$B$16</c:f>
            </c:strRef>
          </c:cat>
          <c:val>
            <c:numRef>
              <c:f>'Pareto Chart'!$E$7:$E$16</c:f>
              <c:numCache>
                <c:formatCode>0.0%</c:formatCode>
              </c:numCache>
            </c:numRef>
          </c:val>
          <c:extLst/>
          <c:smooth val="0"/>
          <c:marker>
            <c:symbol val="circle"/>
            <c:size val="5"/>
            <c:spPr>
              <a:solidFill>
                <a:srgbClr val="e74c3c"/>
              </a:solidFill>
            </c:spPr>
          </c:marker>
        </c:ser>
        <c:ser seriesType="2">
          <c:idx val="2"/>
          <c:order val="2"/>
          <c:tx>
            <c:strRef>
              <c:f>80% Line</c:f>
            </c:strRef>
          </c:tx>
          <c:spPr>
            <a:solidFill>
              <a:srgbClr val="ff0000"/>
            </a:solidFill>
            <a:ln w="9525">
              <a:solidFill>
                <a:srgbClr val="ff0000"/>
              </a:solidFill>
            </a:ln>
          </c:spPr>
          <c:cat>
            <c:strRef>
              <c:f>'Pareto Chart'!$B$7:$B$16</c:f>
            </c:strRef>
          </c:cat>
          <c:val>
            <c:numRef>
              <c:f>'Pareto Chart'!$F$7:$F$16</c:f>
              <c:numCache>
                <c:formatCode>0.0%</c:formatCode>
              </c:numCache>
            </c:numRef>
          </c:val>
          <c:extLst/>
          <c:smooth val="0"/>
          <c:marker>
            <c:symbol val="none"/>
            <c:spPr/>
          </c:marker>
        </c:ser>
        <c:axId val="84243816"/>
        <c:axId val="48641704"/>
        <c:grouping val="standard"/>
        <c:varyColors val="0"/>
        <c:smooth val="0"/>
        <c:marker val="1"/>
      </c:lineChart>
      <c:catAx>
        <c:axId val="43955935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9480947"/>
      </c:catAx>
      <c:valAx axisType="3">
        <c:axId val="49480947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</a:defRPr>
                </a:pPr>
                <a:r>
                  <a: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</a:rPr>
                  <a:t>Frequency</a:t>
                </a:r>
                <a:endParaRPr/>
              </a:p>
            </c:rich>
          </c:tx>
          <c:overlay val="0"/>
        </c:title>
        <c:axPos val="l"/>
        <c:scaling>
          <c:orientation val="minMax"/>
          <c:min val="0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0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43955935"/>
      </c:valAx>
      <c:valAx axisType="3">
        <c:axId val="48641704"/>
        <c:delete val="0"/>
        <c:majorTickMark val="none"/>
        <c:minorTickMark val="none"/>
        <c:tickLblPos val="nextTo"/>
        <c:axPos val="r"/>
        <c:scaling>
          <c:orientation val="minMax"/>
          <c:min val="0"/>
          <c:max val="1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0%" sourceLinked="0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/>
            </a:r>
            <a:endParaRPr/>
          </a:p>
        </c:txPr>
        <c:crosses val="max"/>
        <c:crossBetween val="between"/>
        <c:crossAx val="84243816"/>
      </c:valAx>
      <c:catAx>
        <c:axId val="84243816"/>
        <c:delete val="1"/>
        <c:majorTickMark val="none"/>
        <c:minorTickMark val="none"/>
        <c:tickLblPos val="nextTo"/>
        <c:axPos val="t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8641704"/>
      </c:cat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ptos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ptos"/>
            </a:rPr>
            <a:t/>
          </a:r>
          <a:endParaRPr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825" b="0">
          <a:solidFill>
            <a:schemeClr val="tx1">
              <a:lumMod val="65000"/>
              <a:lumOff val="35000"/>
            </a:schemeClr>
          </a:solidFill>
          <a:latin typeface="Aptos"/>
        </a:defRPr>
      </a:pPr>
      <a:r>
        <a:rPr sz="825" b="0">
          <a:solidFill>
            <a:schemeClr val="tx1">
              <a:lumMod val="65000"/>
              <a:lumOff val="35000"/>
            </a:schemeClr>
          </a:solidFill>
          <a:latin typeface="Aptos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7</xdr:col>
      <xdr:colOff>0</xdr:colOff>
      <xdr:row>43</xdr:row>
      <xdr:rowOff>114300</xdr:rowOff>
    </xdr:to>
    <xdr:graphicFrame>
      <xdr:nvGraphicFramePr>
        <xdr:cNvPr id="6" name="ParetoChart"/>
        <xdr:cNvGraphicFramePr>
          <a:graphicFrameLocks noChangeAspect="0"/>
        </xdr:cNvGraphicFramePr>
      </xdr:nvGraphicFramePr>
      <xdr:xfrm>
        <a:off x="264583" y="4201583"/>
        <a:ext cx="5969000" cy="477096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F579D68-8761-AC9F-E22E-86E47E30BF98}" mc:Ignorable="x14ac xr xr2 xr3">
  <dimension ref="A1:CV10000"/>
  <sheetViews>
    <sheetView showGridLines="0" zoomScale="90" workbookViewId="0" tabSelected="1">
      <pane xSplit="1" ySplit="6" topLeftCell="B7" activePane="bottomRight" state="frozen"/>
      <selection pane="bottomLeft" activeCell="A7" sqref="A7"/>
      <selection pane="topRight" activeCell="B1" sqref="B1"/>
      <selection pane="bottomRight" activeCell="C7" sqref="C7"/>
    </sheetView>
  </sheetViews>
  <sheetFormatPr defaultRowHeight="15.997499999999997" defaultColWidth="9.00390625" customHeight="1"/>
  <cols>
    <col min="1" max="1" width="3.375" customWidth="1"/>
    <col min="2" max="2" width="26.875" customWidth="1"/>
    <col min="3" max="4" width="13.75390625" customWidth="1"/>
    <col min="5" max="5" width="15.625" customWidth="1"/>
    <col min="6" max="6" width="13.75390625" hidden="1" customWidth="1"/>
    <col min="7" max="7" width="8.125" customWidth="1"/>
  </cols>
  <sheetData>
    <row r="1" ht="16.5" customHeight="1"/>
    <row r="2" ht="23.25" customHeight="1">
      <c r="B2" s="1" t="s">
        <v>0</v>
      </c>
    </row>
    <row r="3" ht="15" customHeight="1">
      <c r="B3" s="2" t="s">
        <v>1</v>
      </c>
    </row>
    <row r="4" ht="16.5" customHeight="1"/>
    <row r="5" ht="15.75" customHeight="1">
      <c r="B5" s="3" t="s">
        <v>2</v>
      </c>
      <c r="C5" s="4"/>
      <c r="D5" s="4"/>
      <c r="E5" s="4"/>
    </row>
    <row r="6" ht="15" customHeight="1">
      <c r="B6" s="5" t="s">
        <v>3</v>
      </c>
      <c r="C6" s="5" t="s">
        <v>4</v>
      </c>
      <c r="D6" s="5" t="s">
        <v>5</v>
      </c>
      <c r="E6" s="6" t="s">
        <v>6</v>
      </c>
      <c r="F6" s="5" t="s">
        <v>7</v>
      </c>
    </row>
    <row r="7" ht="15" customHeight="1">
      <c r="B7" s="7" t="s">
        <v>8</v>
      </c>
      <c r="C7" s="8">
        <v>85</v>
      </c>
      <c r="D7" s="9">
        <f t="shared" si="0" ref="D7:D16">C7/SUM($C$7:$C$16)</f>
        <v>0.298245614035088</v>
      </c>
      <c r="E7" s="10" cm="1">
        <f t="array" ref="E7">D7</f>
        <v>0.298245614035088</v>
      </c>
      <c r="F7" s="11">
        <v>0.8</v>
      </c>
    </row>
    <row r="8" ht="15" customHeight="1">
      <c r="B8" s="12" t="s">
        <v>9</v>
      </c>
      <c r="C8" s="13">
        <v>62</v>
      </c>
      <c r="D8" s="14">
        <f t="shared" si="0"/>
        <v>0.217543859649123</v>
      </c>
      <c r="E8" s="15">
        <f t="shared" si="1" ref="E8:E16">E7+D8</f>
        <v>0.515789473684211</v>
      </c>
      <c r="F8" s="11">
        <v>0.8</v>
      </c>
    </row>
    <row r="9" ht="15" customHeight="1">
      <c r="B9" s="7" t="s">
        <v>10</v>
      </c>
      <c r="C9" s="8">
        <v>45</v>
      </c>
      <c r="D9" s="9">
        <f t="shared" si="0"/>
        <v>0.157894736842105</v>
      </c>
      <c r="E9" s="10">
        <f t="shared" si="1"/>
        <v>0.673684210526316</v>
      </c>
      <c r="F9" s="11">
        <v>0.8</v>
      </c>
    </row>
    <row r="10" ht="15" customHeight="1">
      <c r="B10" s="12" t="s">
        <v>11</v>
      </c>
      <c r="C10" s="13">
        <v>30</v>
      </c>
      <c r="D10" s="14">
        <f t="shared" si="0"/>
        <v>0.105263157894737</v>
      </c>
      <c r="E10" s="15">
        <f t="shared" si="1"/>
        <v>0.778947368421053</v>
      </c>
      <c r="F10" s="11">
        <v>0.8</v>
      </c>
    </row>
    <row r="11" ht="15" customHeight="1">
      <c r="B11" s="7" t="s">
        <v>12</v>
      </c>
      <c r="C11" s="8">
        <v>22</v>
      </c>
      <c r="D11" s="9">
        <f t="shared" si="0"/>
        <v>0.0771929824561404</v>
      </c>
      <c r="E11" s="10">
        <f t="shared" si="1"/>
        <v>0.856140350877193</v>
      </c>
      <c r="F11" s="11">
        <v>0.8</v>
      </c>
    </row>
    <row r="12" ht="15" customHeight="1">
      <c r="B12" s="12" t="s">
        <v>13</v>
      </c>
      <c r="C12" s="13">
        <v>15</v>
      </c>
      <c r="D12" s="14">
        <f t="shared" si="0"/>
        <v>0.0526315789473684</v>
      </c>
      <c r="E12" s="15">
        <f t="shared" si="1"/>
        <v>0.908771929824561</v>
      </c>
      <c r="F12" s="11">
        <v>0.8</v>
      </c>
    </row>
    <row r="13" ht="15" customHeight="1">
      <c r="B13" s="7" t="s">
        <v>14</v>
      </c>
      <c r="C13" s="8">
        <v>10</v>
      </c>
      <c r="D13" s="9">
        <f t="shared" si="0"/>
        <v>0.0350877192982456</v>
      </c>
      <c r="E13" s="10">
        <f t="shared" si="1"/>
        <v>0.943859649122807</v>
      </c>
      <c r="F13" s="11">
        <v>0.8</v>
      </c>
    </row>
    <row r="14" ht="15" customHeight="1">
      <c r="B14" s="12" t="s">
        <v>15</v>
      </c>
      <c r="C14" s="13">
        <v>8</v>
      </c>
      <c r="D14" s="14">
        <f t="shared" si="0"/>
        <v>0.0280701754385965</v>
      </c>
      <c r="E14" s="15">
        <f t="shared" si="1"/>
        <v>0.971929824561403</v>
      </c>
      <c r="F14" s="11">
        <v>0.8</v>
      </c>
    </row>
    <row r="15" ht="15" customHeight="1">
      <c r="B15" s="7" t="s">
        <v>16</v>
      </c>
      <c r="C15" s="8">
        <v>5</v>
      </c>
      <c r="D15" s="9">
        <f t="shared" si="0"/>
        <v>0.0175438596491228</v>
      </c>
      <c r="E15" s="10">
        <f t="shared" si="1"/>
        <v>0.989473684210526</v>
      </c>
      <c r="F15" s="11">
        <v>0.8</v>
      </c>
    </row>
    <row r="16" ht="15" customHeight="1">
      <c r="B16" s="12" t="s">
        <v>17</v>
      </c>
      <c r="C16" s="13">
        <v>3</v>
      </c>
      <c r="D16" s="14">
        <f t="shared" si="0"/>
        <v>0.0105263157894737</v>
      </c>
      <c r="E16" s="15">
        <f t="shared" si="1"/>
        <v>1</v>
      </c>
      <c r="F16" s="11">
        <v>0.8</v>
      </c>
    </row>
    <row r="17" ht="15" customHeight="1">
      <c r="B17" s="16" t="s">
        <v>18</v>
      </c>
      <c r="C17" s="17">
        <f t="shared" si="2" ref="C17:D17">SUM(C7:C16)</f>
        <v>285</v>
      </c>
      <c r="D17" s="18">
        <f t="shared" si="2"/>
        <v>1</v>
      </c>
      <c r="E17" s="19"/>
    </row>
    <row r="18" ht="16.5" customHeight="1"/>
    <row r="19" ht="15" customHeight="1">
      <c r="B19" s="20" t="s">
        <v>19</v>
      </c>
    </row>
    <row r="20" ht="15" customHeight="1">
      <c r="B20" s="21" cm="1" t="str">
        <f t="array" ref="B20">_xlfn.LET(_xlpm.threshold,F7,_xlpm.cats,_xlfn.TEXTJOIN(", ",TRUE,IF(E7:E16&lt;=_xlpm.threshold,B7:B16,"")),_xlpm.cumPct,TEXT(LOOKUP(2,1/(E7:E16&lt;=_xlpm.threshold),E7:E16),"0.0%"),_xlpm.cats&amp;" account for ~80% of issues ("&amp;_xlpm.cumPct&amp;" cumulative)")</f>
        <v>Surface Scratches, Dimensional Error, Color Mismatch, Missing Component account for ~80% of issues (77.9% cumulative)</v>
      </c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conditionalFormatting sqref="B7:E7">
    <cfRule type="expression" dxfId="0" priority="10" text="null">
      <formula>$E$7&lt;=0.8</formula>
    </cfRule>
  </conditionalFormatting>
  <conditionalFormatting sqref="B8:E8">
    <cfRule type="expression" dxfId="0" priority="9" text="null">
      <formula>$E$8&lt;=0.8</formula>
    </cfRule>
  </conditionalFormatting>
  <conditionalFormatting sqref="B9:E9">
    <cfRule type="expression" dxfId="0" priority="8" text="null">
      <formula>$E$9&lt;=0.8</formula>
    </cfRule>
  </conditionalFormatting>
  <conditionalFormatting sqref="B10:E10">
    <cfRule type="expression" dxfId="0" priority="7" text="null">
      <formula>$E$10&lt;=0.8</formula>
    </cfRule>
  </conditionalFormatting>
  <conditionalFormatting sqref="B11:E11">
    <cfRule type="expression" dxfId="0" priority="6" text="null">
      <formula>$E$11&lt;=0.8</formula>
    </cfRule>
  </conditionalFormatting>
  <conditionalFormatting sqref="B12:E12">
    <cfRule type="expression" dxfId="0" priority="5" text="null">
      <formula>$E$12&lt;=0.8</formula>
    </cfRule>
  </conditionalFormatting>
  <conditionalFormatting sqref="B13:E13">
    <cfRule type="expression" dxfId="0" priority="4" text="null">
      <formula>$E$13&lt;=0.8</formula>
    </cfRule>
  </conditionalFormatting>
  <conditionalFormatting sqref="B14:E14">
    <cfRule type="expression" dxfId="0" priority="3" text="null">
      <formula>$E$14&lt;=0.8</formula>
    </cfRule>
  </conditionalFormatting>
  <conditionalFormatting sqref="B15:E15">
    <cfRule type="expression" dxfId="0" priority="2" text="null">
      <formula>$E$15&lt;=0.8</formula>
    </cfRule>
  </conditionalFormatting>
  <conditionalFormatting sqref="B16:E16">
    <cfRule type="expression" dxfId="0" priority="1" text="null">
      <formula>$E$16&lt;=0.8</formula>
    </cfRule>
  </conditionalFormatting>
  <dataValidations count="1">
    <dataValidation operator="greaterThanOrEqual" allowBlank="1" error="Frequency must be a non-negative whole number" errorTitle="Invalid Frequency" showErrorMessage="1" showInputMessage="1" sqref="C7 C8 C9 C10 C11 C12 C13 C14 C15 C16" type="whole">
      <formula1>0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c3eb8063-ebe9-42f0-8c0f-dce56a36387d</vt:lpwstr>
  </property>
</Properties>
</file>