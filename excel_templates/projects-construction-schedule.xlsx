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bookViews>
  <sheets>
    <sheet r:id="rId1" name="Construction Schedule" sheetId="1"/>
  </sheets>
  <calcPr calcId="0" iterateCount="100" iterateDelta="0.00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<sst xmlns="http://schemas.openxmlformats.org/spreadsheetml/2006/main" count="92" uniqueCount="92">
  <si>
    <t>CONSTRUCTION SCHEDULE</t>
  </si>
  <si>
    <t>Project Name:</t>
  </si>
  <si>
    <t>Sample Construction Project</t>
  </si>
  <si>
    <t>Start Date:</t>
  </si>
  <si>
    <t>Project Manager:</t>
  </si>
  <si>
    <t>John Smith</t>
  </si>
  <si>
    <t>End Date:</t>
  </si>
  <si>
    <t>Task / Phase</t>
  </si>
  <si>
    <t>Start Date</t>
  </si>
  <si>
    <t>End Date</t>
  </si>
  <si>
    <t>Duration</t>
  </si>
  <si>
    <t>% Complete</t>
  </si>
  <si>
    <t>Assigned To</t>
  </si>
  <si>
    <t>Wk 1</t>
  </si>
  <si>
    <t>Wk 2</t>
  </si>
  <si>
    <t>Wk 3</t>
  </si>
  <si>
    <t>Wk 4</t>
  </si>
  <si>
    <t>Wk 5</t>
  </si>
  <si>
    <t>Wk 6</t>
  </si>
  <si>
    <t>Wk 7</t>
  </si>
  <si>
    <t>Wk 8</t>
  </si>
  <si>
    <t>Wk 9</t>
  </si>
  <si>
    <t>Wk 10</t>
  </si>
  <si>
    <t>Wk 11</t>
  </si>
  <si>
    <t>Wk 12</t>
  </si>
  <si>
    <t>Wk 13</t>
  </si>
  <si>
    <t>Wk 14</t>
  </si>
  <si>
    <t>Wk 15</t>
  </si>
  <si>
    <t>Wk 16</t>
  </si>
  <si>
    <t>Wk 17</t>
  </si>
  <si>
    <t>Wk 18</t>
  </si>
  <si>
    <t>Wk 19</t>
  </si>
  <si>
    <t>Wk 20</t>
  </si>
  <si>
    <t>Wk 21</t>
  </si>
  <si>
    <t>Wk 22</t>
  </si>
  <si>
    <t>Wk 23</t>
  </si>
  <si>
    <t>Wk 24</t>
  </si>
  <si>
    <t>Wk 25</t>
  </si>
  <si>
    <t>Wk 26</t>
  </si>
  <si>
    <t>Site Survey &amp; Assessment</t>
  </si>
  <si>
    <t>Acme Survey</t>
  </si>
  <si>
    <t>Permits &amp; Approvals</t>
  </si>
  <si>
    <t>Owner</t>
  </si>
  <si>
    <t>SITE PREPARATION</t>
  </si>
  <si>
    <t>Demolition &amp; Clearing</t>
  </si>
  <si>
    <t>GradePro</t>
  </si>
  <si>
    <t>Grading &amp; Excavation</t>
  </si>
  <si>
    <t>Utility Connections</t>
  </si>
  <si>
    <t>CityWorks</t>
  </si>
  <si>
    <t>FOUNDATION</t>
  </si>
  <si>
    <t>Footings</t>
  </si>
  <si>
    <t>SolidBase Inc.</t>
  </si>
  <si>
    <t>Foundation Walls</t>
  </si>
  <si>
    <t>Slab / Basement</t>
  </si>
  <si>
    <t>FRAMING</t>
  </si>
  <si>
    <t>Floor Framing</t>
  </si>
  <si>
    <t>FrameRight</t>
  </si>
  <si>
    <t>Wall Framing</t>
  </si>
  <si>
    <t>Roof Framing</t>
  </si>
  <si>
    <t>EXTERIOR</t>
  </si>
  <si>
    <t>Roofing</t>
  </si>
  <si>
    <t>TopCover</t>
  </si>
  <si>
    <t>Siding &amp; Exterior Trim</t>
  </si>
  <si>
    <t>ExteriorPros</t>
  </si>
  <si>
    <t>WINDOWS &amp; DOORS</t>
  </si>
  <si>
    <t>Window Installation</t>
  </si>
  <si>
    <t>Door Installation</t>
  </si>
  <si>
    <t>MEP ROUGH-IN</t>
  </si>
  <si>
    <t>Plumbing Rough-In</t>
  </si>
  <si>
    <t>AllTrades MEP</t>
  </si>
  <si>
    <t>Electrical Rough-In</t>
  </si>
  <si>
    <t>HVAC Rough-In</t>
  </si>
  <si>
    <t>INTERIOR FINISHES</t>
  </si>
  <si>
    <t>Insulation &amp; Drywall</t>
  </si>
  <si>
    <t>DryWall Plus</t>
  </si>
  <si>
    <t>Interior Painting</t>
  </si>
  <si>
    <t>FinishLine</t>
  </si>
  <si>
    <t>Flooring</t>
  </si>
  <si>
    <t>FINAL INSTALLATIONS</t>
  </si>
  <si>
    <t>Cabinetry &amp; Countertops</t>
  </si>
  <si>
    <t>Plumbing Fixtures</t>
  </si>
  <si>
    <t>Electrical Fixtures</t>
  </si>
  <si>
    <t>Appliance Installation</t>
  </si>
  <si>
    <t>BuildRight</t>
  </si>
  <si>
    <t>CLOSEOUT</t>
  </si>
  <si>
    <t>Final Inspections</t>
  </si>
  <si>
    <t>Punch List</t>
  </si>
  <si>
    <t>LANDSCAPING</t>
  </si>
  <si>
    <t>Grading &amp; Drainage</t>
  </si>
  <si>
    <t>LandscapeCo</t>
  </si>
  <si>
    <t>Planting &amp; Hardscaping</t>
  </si>
  <si>
    <t>Final Cleanup &amp; Handover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</si>
</sst>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1" formatCode="dd-mmm-yy"/>
    <numFmt numFmtId="172" formatCode="dd-mmm"/>
  </numFmts>
  <fonts count="8">
    <font>
      <b val="0"/>
      <i val="0"/>
      <sz val="12"/>
      <color theme="1"/>
      <name val="Aptos Narrow"/>
      <scheme val="minor"/>
    </font>
    <font>
      <b/>
      <i val="0"/>
      <sz val="16"/>
      <color rgb="FF1A5276"/>
      <name val="Aptos Narrow"/>
    </font>
    <font>
      <b/>
      <i val="0"/>
      <sz val="11"/>
      <color rgb="FF333333"/>
      <name val="Aptos Narrow"/>
    </font>
    <font>
      <b val="0"/>
      <i val="0"/>
      <sz val="11"/>
      <color rgb="FF333333"/>
      <name val="Aptos Narrow"/>
    </font>
    <font>
      <b/>
      <i val="0"/>
      <sz val="10"/>
      <color rgb="FFFFFFFF"/>
      <name val="Aptos Narrow"/>
    </font>
    <font>
      <b val="0"/>
      <i val="0"/>
      <sz val="8"/>
      <color rgb="FF666666"/>
      <name val="Aptos Narrow"/>
    </font>
    <font>
      <b val="0"/>
      <i val="0"/>
      <sz val="10"/>
      <color rgb="FF333333"/>
      <name val="Aptos Narrow"/>
    </font>
    <font>
      <b/>
      <i val="0"/>
      <sz val="10"/>
      <color rgb="FF1A5276"/>
      <name val="Aptos Narrow"/>
    </font>
  </fonts>
  <fills count="6">
    <fill>
      <patternFill patternType="none"/>
    </fill>
    <fill>
      <patternFill patternType="gray125"/>
    </fill>
    <fill>
      <patternFill patternType="solid">
        <fgColor rgb="FF1A5276"/>
      </patternFill>
    </fill>
    <fill>
      <patternFill patternType="solid">
        <fgColor rgb="FFF2F7FB"/>
      </patternFill>
    </fill>
    <fill>
      <patternFill patternType="solid">
        <fgColor rgb="FFF9F9F9"/>
      </patternFill>
    </fill>
    <fill>
      <patternFill patternType="solid">
        <fgColor rgb="FFD6E8F5"/>
      </patternFill>
    </fill>
  </fills>
  <borders count="6">
    <border>
      <left/>
      <right/>
      <top/>
      <bottom/>
    </border>
    <border>
      <left/>
      <right/>
      <top/>
      <bottom/>
      <diagonal/>
    </border>
    <border>
      <left/>
      <right/>
      <top/>
      <bottom style="medium">
        <color rgb="FF0D3B5E"/>
      </bottom>
      <diagonal/>
    </border>
    <border>
      <left/>
      <right/>
      <top/>
      <bottom style="thin">
        <color rgb="FFB0C4DE"/>
      </bottom>
      <diagonal/>
    </border>
    <border>
      <left/>
      <right/>
      <top/>
      <bottom style="thin">
        <color rgb="FFE0E0E0"/>
      </bottom>
      <diagonal/>
    </border>
    <border>
      <left/>
      <right/>
      <top style="thin">
        <color rgb="FF1A5276"/>
      </top>
      <bottom style="thin">
        <color rgb="FF1A5276"/>
      </bottom>
      <diagonal/>
    </border>
  </borders>
  <cellStyleXfs count="1">
    <xf numFmtId="0" fontId="0" fillId="0" borderId="1"/>
  </cellStyleXfs>
  <cellXfs count="20">
    <xf numFmtId="0" fontId="0" fillId="0" borderId="1" xfId="0"/>
    <xf numFmtId="0" fontId="1" fillId="0" borderId="1" xfId="0"/>
    <xf numFmtId="0" fontId="2" fillId="0" borderId="1" xfId="0"/>
    <xf numFmtId="0" fontId="3" fillId="0" borderId="1" xfId="0"/>
    <xf numFmtId="171" fontId="3" fillId="0" borderId="1" xfId="0"/>
    <xf numFmtId="0" fontId="4" fillId="2" borderId="2" xfId="0">
      <alignment horizontal="left" vertical="center" wrapText="1"/>
    </xf>
    <xf numFmtId="0" fontId="4" fillId="2" borderId="2" xfId="0">
      <alignment horizontal="center" vertical="center" wrapText="1"/>
    </xf>
    <xf numFmtId="172" fontId="5" fillId="3" borderId="3" xfId="0">
      <alignment horizontal="center" vertical="center"/>
    </xf>
    <xf numFmtId="0" fontId="6" fillId="0" borderId="4" xfId="0">
      <alignment horizontal="left" vertical="center" indent="2"/>
    </xf>
    <xf numFmtId="171" fontId="6" fillId="0" borderId="4" xfId="0">
      <alignment horizontal="center" vertical="center"/>
    </xf>
    <xf numFmtId="3" fontId="6" fillId="0" borderId="4" xfId="0">
      <alignment horizontal="center" vertical="center"/>
    </xf>
    <xf numFmtId="9" fontId="6" fillId="0" borderId="4" xfId="0">
      <alignment horizontal="center" vertical="center"/>
    </xf>
    <xf numFmtId="0" fontId="6" fillId="0" borderId="4" xfId="0">
      <alignment vertical="center"/>
    </xf>
    <xf numFmtId="0" fontId="6" fillId="4" borderId="4" xfId="0">
      <alignment horizontal="left" vertical="center" indent="2"/>
    </xf>
    <xf numFmtId="171" fontId="6" fillId="4" borderId="4" xfId="0">
      <alignment horizontal="center" vertical="center"/>
    </xf>
    <xf numFmtId="3" fontId="6" fillId="4" borderId="4" xfId="0">
      <alignment horizontal="center" vertical="center"/>
    </xf>
    <xf numFmtId="9" fontId="6" fillId="4" borderId="4" xfId="0">
      <alignment horizontal="center" vertical="center"/>
    </xf>
    <xf numFmtId="0" fontId="6" fillId="4" borderId="4" xfId="0">
      <alignment vertical="center"/>
    </xf>
    <xf numFmtId="0" fontId="7" fillId="5" borderId="5" xfId="0">
      <alignment horizontal="left" vertical="center"/>
    </xf>
    <xf numFmtId="0" fontId="7" fillId="5" borderId="5" xfId="0"/>
  </cellXfs>
  <cellStyles count="1">
    <cellStyle name="Normal" xfId="0" builtinId="0"/>
  </cellStyles>
  <dxfs count="5">
    <dxf>
      <fill>
        <patternFill patternType="solid">
          <fgColor rgb="FF4A90D9"/>
          <bgColor rgb="FF4A90D9"/>
        </patternFill>
      </fill>
    </dxf>
    <dxf>
      <fill>
        <patternFill patternType="solid">
          <fgColor rgb="FF1A5276"/>
          <bgColor rgb="FF1A5276"/>
        </patternFill>
      </fill>
    </dxf>
    <dxf>
      <font>
        <sz val="8.25"/>
        <color rgb="FF006100"/>
        <name val="Aptos"/>
      </font>
      <fill>
        <patternFill patternType="solid">
          <fgColor rgb="FFC6EFCE"/>
          <bgColor rgb="FFC6EFCE"/>
        </patternFill>
      </fill>
    </dxf>
    <dxf>
      <font>
        <sz val="8.25"/>
        <color rgb="FF9C0006"/>
        <name val="Aptos"/>
      </font>
      <fill>
        <patternFill patternType="solid">
          <fgColor rgb="FFFFC7CE"/>
          <bgColor rgb="FFFFC7CE"/>
        </patternFill>
      </fill>
    </dxf>
    <dxf>
      <font>
        <sz val="8.25"/>
        <color rgb="FF9C6500"/>
        <name val="Aptos"/>
      </font>
      <fill>
        <patternFill patternType="solid">
          <fgColor rgb="FFFFEB9C"/>
          <bgColor rgb="FFFFEB9C"/>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CA3C58F-61E8-8DF7-351A-CB5BFFBFF549}" mc:Ignorable="x14ac xr xr2 xr3">
  <dimension ref="A1:CV10000"/>
  <sheetViews>
    <sheetView showGridLines="0" zoomScale="90" workbookViewId="0" tabSelected="1">
      <pane xSplit="7" ySplit="5" topLeftCell="H6" activePane="bottomRight" state="frozen"/>
      <selection pane="bottomLeft" activeCell="A6" sqref="A6"/>
      <selection pane="topRight" activeCell="H1" sqref="H1"/>
      <selection pane="bottomRight" activeCell="A6" sqref="A6:CV6"/>
    </sheetView>
  </sheetViews>
  <sheetFormatPr defaultRowHeight="15.997499999999997" defaultColWidth="9.00390625" customHeight="1"/>
  <cols>
    <col min="1" max="1" width="3.375" customWidth="1"/>
    <col min="2" max="2" width="26.875" customWidth="1"/>
    <col min="3" max="4" width="12.50390625" customWidth="1"/>
    <col min="6" max="6" width="10.00390625" customWidth="1"/>
    <col min="7" max="7" width="15.625" customWidth="1"/>
    <col min="8" max="33" width="6.50390625" customWidth="1"/>
  </cols>
  <sheetData>
    <row r="1" ht="16.5" customHeight="1"/>
    <row r="2" ht="22.5" customHeight="1">
      <c r="B2" s="1" t="s">
        <v>0</v>
      </c>
      <c r="C2" s="1"/>
      <c r="D2" s="1"/>
    </row>
    <row r="3" ht="15.75" customHeight="1">
      <c r="B3" s="2" t="s">
        <v>1</v>
      </c>
      <c r="C3" s="3" t="s">
        <v>2</v>
      </c>
      <c r="D3" s="3"/>
      <c r="E3" s="2" t="s">
        <v>3</v>
      </c>
      <c r="F3" s="4">
        <v>46118</v>
      </c>
    </row>
    <row r="4" ht="15.75" customHeight="1">
      <c r="B4" s="2" t="s">
        <v>4</v>
      </c>
      <c r="C4" s="3" t="s">
        <v>5</v>
      </c>
      <c r="D4" s="3"/>
      <c r="E4" s="2" t="s">
        <v>6</v>
      </c>
      <c r="F4" s="4">
        <f>MAX(D7:D46)</f>
        <v>46307</v>
      </c>
    </row>
    <row r="5" ht="27.75" customHeight="1">
      <c r="B5" s="5" t="s">
        <v>7</v>
      </c>
      <c r="C5" s="6" t="s">
        <v>8</v>
      </c>
      <c r="D5" s="6" t="s">
        <v>9</v>
      </c>
      <c r="E5" s="6" t="s">
        <v>10</v>
      </c>
      <c r="F5" s="6" t="s">
        <v>11</v>
      </c>
      <c r="G5" s="6" t="s">
        <v>12</v>
      </c>
      <c r="H5" s="6" t="s">
        <v>13</v>
      </c>
      <c r="I5" s="6" t="s">
        <v>14</v>
      </c>
      <c r="J5" s="6" t="s">
        <v>15</v>
      </c>
      <c r="K5" s="6" t="s">
        <v>16</v>
      </c>
      <c r="L5" s="6" t="s">
        <v>17</v>
      </c>
      <c r="M5" s="6" t="s">
        <v>18</v>
      </c>
      <c r="N5" s="6" t="s">
        <v>19</v>
      </c>
      <c r="O5" s="6" t="s">
        <v>20</v>
      </c>
      <c r="P5" s="6" t="s">
        <v>21</v>
      </c>
      <c r="Q5" s="6" t="s">
        <v>22</v>
      </c>
      <c r="R5" s="6" t="s">
        <v>23</v>
      </c>
      <c r="S5" s="6" t="s">
        <v>24</v>
      </c>
      <c r="T5" s="6" t="s">
        <v>25</v>
      </c>
      <c r="U5" s="6" t="s">
        <v>26</v>
      </c>
      <c r="V5" s="6" t="s">
        <v>27</v>
      </c>
      <c r="W5" s="6" t="s">
        <v>28</v>
      </c>
      <c r="X5" s="6" t="s">
        <v>29</v>
      </c>
      <c r="Y5" s="6" t="s">
        <v>30</v>
      </c>
      <c r="Z5" s="6" t="s">
        <v>31</v>
      </c>
      <c r="AA5" s="6" t="s">
        <v>32</v>
      </c>
      <c r="AB5" s="6" t="s">
        <v>33</v>
      </c>
      <c r="AC5" s="6" t="s">
        <v>34</v>
      </c>
      <c r="AD5" s="6" t="s">
        <v>35</v>
      </c>
      <c r="AE5" s="6" t="s">
        <v>36</v>
      </c>
      <c r="AF5" s="6" t="s">
        <v>37</v>
      </c>
      <c r="AG5" s="6" t="s">
        <v>38</v>
      </c>
    </row>
    <row r="6" ht="12" customHeight="1">
      <c r="H6" s="7">
        <f>$F$3+0</f>
        <v>46118</v>
      </c>
      <c r="I6" s="7">
        <f>$F$3+7</f>
        <v>46125</v>
      </c>
      <c r="J6" s="7">
        <f>$F$3+14</f>
        <v>46132</v>
      </c>
      <c r="K6" s="7">
        <f>$F$3+21</f>
        <v>46139</v>
      </c>
      <c r="L6" s="7">
        <f>$F$3+28</f>
        <v>46146</v>
      </c>
      <c r="M6" s="7">
        <f>$F$3+35</f>
        <v>46153</v>
      </c>
      <c r="N6" s="7">
        <f>$F$3+42</f>
        <v>46160</v>
      </c>
      <c r="O6" s="7">
        <f>$F$3+49</f>
        <v>46167</v>
      </c>
      <c r="P6" s="7">
        <f>$F$3+56</f>
        <v>46174</v>
      </c>
      <c r="Q6" s="7">
        <f>$F$3+63</f>
        <v>46181</v>
      </c>
      <c r="R6" s="7">
        <f>$F$3+70</f>
        <v>46188</v>
      </c>
      <c r="S6" s="7">
        <f>$F$3+77</f>
        <v>46195</v>
      </c>
      <c r="T6" s="7">
        <f>$F$3+84</f>
        <v>46202</v>
      </c>
      <c r="U6" s="7">
        <f>$F$3+91</f>
        <v>46209</v>
      </c>
      <c r="V6" s="7">
        <f>$F$3+98</f>
        <v>46216</v>
      </c>
      <c r="W6" s="7">
        <f>$F$3+105</f>
        <v>46223</v>
      </c>
      <c r="X6" s="7">
        <f>$F$3+112</f>
        <v>46230</v>
      </c>
      <c r="Y6" s="7">
        <f>$F$3+119</f>
        <v>46237</v>
      </c>
      <c r="Z6" s="7">
        <f>$F$3+126</f>
        <v>46244</v>
      </c>
      <c r="AA6" s="7">
        <f>$F$3+133</f>
        <v>46251</v>
      </c>
      <c r="AB6" s="7">
        <f>$F$3+140</f>
        <v>46258</v>
      </c>
      <c r="AC6" s="7">
        <f>$F$3+147</f>
        <v>46265</v>
      </c>
      <c r="AD6" s="7">
        <f>$F$3+154</f>
        <v>46272</v>
      </c>
      <c r="AE6" s="7">
        <f>$F$3+161</f>
        <v>46279</v>
      </c>
      <c r="AF6" s="7">
        <f>$F$3+168</f>
        <v>46286</v>
      </c>
      <c r="AG6" s="7">
        <f>$F$3+175</f>
        <v>46293</v>
      </c>
    </row>
    <row r="7" ht="14.25" customHeight="1">
      <c r="B7" s="8" t="s">
        <v>39</v>
      </c>
      <c r="C7" s="9">
        <f>$F$3+0</f>
        <v>46118</v>
      </c>
      <c r="D7" s="9">
        <f t="shared" si="1" ref="D7:D34">C7+14</f>
        <v>46132</v>
      </c>
      <c r="E7" s="10">
        <f t="shared" si="0" ref="E7:E46">IF(AND(C7&lt;&gt;"",D7&lt;&gt;""),D7-C7,"")</f>
        <v>14</v>
      </c>
      <c r="F7" s="11">
        <v>1</v>
      </c>
      <c r="G7" s="12" t="s">
        <v>40</v>
      </c>
      <c r="H7" s="12"/>
      <c r="I7" s="12"/>
      <c r="J7" s="12"/>
      <c r="K7" s="12"/>
      <c r="L7" s="12"/>
      <c r="M7" s="12"/>
      <c r="N7" s="12"/>
      <c r="O7" s="12"/>
      <c r="P7" s="12"/>
      <c r="Q7" s="12"/>
      <c r="R7" s="12"/>
      <c r="S7" s="12"/>
      <c r="T7" s="12"/>
      <c r="U7" s="12"/>
      <c r="V7" s="12"/>
      <c r="W7" s="12"/>
      <c r="X7" s="12"/>
      <c r="Y7" s="12"/>
      <c r="Z7" s="12"/>
      <c r="AA7" s="12"/>
      <c r="AB7" s="12"/>
      <c r="AC7" s="12"/>
      <c r="AD7" s="12"/>
      <c r="AE7" s="12"/>
      <c r="AF7" s="12"/>
      <c r="AG7" s="12"/>
    </row>
    <row r="8" ht="14.25" customHeight="1">
      <c r="B8" s="13" t="s">
        <v>41</v>
      </c>
      <c r="C8" s="14">
        <f>$F$3+7</f>
        <v>46125</v>
      </c>
      <c r="D8" s="14">
        <f t="shared" si="2" ref="D8:D12">C8+21</f>
        <v>46146</v>
      </c>
      <c r="E8" s="15">
        <f t="shared" si="0"/>
        <v>21</v>
      </c>
      <c r="F8" s="16">
        <v>0.75</v>
      </c>
      <c r="G8" s="17" t="s">
        <v>42</v>
      </c>
      <c r="H8" s="17"/>
      <c r="I8" s="17"/>
      <c r="J8" s="17"/>
      <c r="K8" s="17"/>
      <c r="L8" s="17"/>
      <c r="M8" s="17"/>
      <c r="N8" s="17"/>
      <c r="O8" s="17"/>
      <c r="P8" s="17"/>
      <c r="Q8" s="17"/>
      <c r="R8" s="17"/>
      <c r="S8" s="17"/>
      <c r="T8" s="17"/>
      <c r="U8" s="17"/>
      <c r="V8" s="17"/>
      <c r="W8" s="17"/>
      <c r="X8" s="17"/>
      <c r="Y8" s="17"/>
      <c r="Z8" s="17"/>
      <c r="AA8" s="17"/>
      <c r="AB8" s="17"/>
      <c r="AC8" s="17"/>
      <c r="AD8" s="17"/>
      <c r="AE8" s="17"/>
      <c r="AF8" s="17"/>
      <c r="AG8" s="17"/>
    </row>
    <row r="9" ht="15" customHeight="1">
      <c r="B9" s="18" t="s">
        <v>43</v>
      </c>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row>
    <row r="10" ht="14.25" customHeight="1">
      <c r="B10" s="8" t="s">
        <v>44</v>
      </c>
      <c r="C10" s="9">
        <f>$F$3+21</f>
        <v>46139</v>
      </c>
      <c r="D10" s="9">
        <f t="shared" si="1"/>
        <v>46153</v>
      </c>
      <c r="E10" s="10">
        <f t="shared" si="0"/>
        <v>14</v>
      </c>
      <c r="F10" s="11">
        <v>0.5</v>
      </c>
      <c r="G10" s="12" t="s">
        <v>45</v>
      </c>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ht="14.25" customHeight="1">
      <c r="B11" s="13" t="s">
        <v>46</v>
      </c>
      <c r="C11" s="14">
        <f>$F$3+28</f>
        <v>46146</v>
      </c>
      <c r="D11" s="14">
        <f t="shared" si="1"/>
        <v>46160</v>
      </c>
      <c r="E11" s="15">
        <f t="shared" si="0"/>
        <v>14</v>
      </c>
      <c r="F11" s="16">
        <v>0.25</v>
      </c>
      <c r="G11" s="17" t="s">
        <v>45</v>
      </c>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row>
    <row r="12" ht="14.25" customHeight="1">
      <c r="B12" s="8" t="s">
        <v>47</v>
      </c>
      <c r="C12" s="9">
        <f>$F$3+35</f>
        <v>46153</v>
      </c>
      <c r="D12" s="9">
        <f t="shared" si="2"/>
        <v>46174</v>
      </c>
      <c r="E12" s="10">
        <f t="shared" si="0"/>
        <v>21</v>
      </c>
      <c r="F12" s="11">
        <v>0</v>
      </c>
      <c r="G12" s="12" t="s">
        <v>48</v>
      </c>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row>
    <row r="13" ht="15" customHeight="1">
      <c r="B13" s="18" t="s">
        <v>49</v>
      </c>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row>
    <row r="14" ht="14.25" customHeight="1">
      <c r="B14" s="13" t="s">
        <v>50</v>
      </c>
      <c r="C14" s="14">
        <f>$F$3+49</f>
        <v>46167</v>
      </c>
      <c r="D14" s="14">
        <f t="shared" si="1"/>
        <v>46181</v>
      </c>
      <c r="E14" s="15">
        <f t="shared" si="0"/>
        <v>14</v>
      </c>
      <c r="F14" s="16">
        <v>0</v>
      </c>
      <c r="G14" s="17" t="s">
        <v>51</v>
      </c>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row>
    <row r="15" ht="14.25" customHeight="1">
      <c r="B15" s="8" t="s">
        <v>52</v>
      </c>
      <c r="C15" s="9">
        <f>$F$3+56</f>
        <v>46174</v>
      </c>
      <c r="D15" s="9">
        <f t="shared" si="1"/>
        <v>46188</v>
      </c>
      <c r="E15" s="10">
        <f t="shared" si="0"/>
        <v>14</v>
      </c>
      <c r="F15" s="11">
        <v>0</v>
      </c>
      <c r="G15" s="12" t="s">
        <v>51</v>
      </c>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ht="14.25" customHeight="1">
      <c r="B16" s="13" t="s">
        <v>53</v>
      </c>
      <c r="C16" s="14">
        <f>$F$3+63</f>
        <v>46181</v>
      </c>
      <c r="D16" s="14">
        <f t="shared" si="1"/>
        <v>46195</v>
      </c>
      <c r="E16" s="15">
        <f t="shared" si="0"/>
        <v>14</v>
      </c>
      <c r="F16" s="16">
        <v>0</v>
      </c>
      <c r="G16" s="17" t="s">
        <v>51</v>
      </c>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row>
    <row r="17" ht="15" customHeight="1">
      <c r="B17" s="18" t="s">
        <v>54</v>
      </c>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row>
    <row r="18" ht="14.25" customHeight="1">
      <c r="B18" s="8" t="s">
        <v>55</v>
      </c>
      <c r="C18" s="9">
        <f>$F$3+77</f>
        <v>46195</v>
      </c>
      <c r="D18" s="9">
        <f t="shared" si="1"/>
        <v>46209</v>
      </c>
      <c r="E18" s="10">
        <f t="shared" si="0"/>
        <v>14</v>
      </c>
      <c r="F18" s="11">
        <v>0</v>
      </c>
      <c r="G18" s="12" t="s">
        <v>56</v>
      </c>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ht="14.25" customHeight="1">
      <c r="B19" s="13" t="s">
        <v>57</v>
      </c>
      <c r="C19" s="14">
        <f>$F$3+84</f>
        <v>46202</v>
      </c>
      <c r="D19" s="14">
        <f t="shared" si="1"/>
        <v>46216</v>
      </c>
      <c r="E19" s="15">
        <f t="shared" si="0"/>
        <v>14</v>
      </c>
      <c r="F19" s="16">
        <v>0</v>
      </c>
      <c r="G19" s="17" t="s">
        <v>56</v>
      </c>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row>
    <row r="20" ht="14.25" customHeight="1">
      <c r="B20" s="8" t="s">
        <v>58</v>
      </c>
      <c r="C20" s="9">
        <f>$F$3+91</f>
        <v>46209</v>
      </c>
      <c r="D20" s="9">
        <f t="shared" si="1"/>
        <v>46223</v>
      </c>
      <c r="E20" s="10">
        <f t="shared" si="0"/>
        <v>14</v>
      </c>
      <c r="F20" s="11">
        <v>0</v>
      </c>
      <c r="G20" s="12" t="s">
        <v>56</v>
      </c>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row>
    <row r="21" ht="15" customHeight="1">
      <c r="B21" s="18" t="s">
        <v>59</v>
      </c>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row>
    <row r="22" ht="14.25" customHeight="1">
      <c r="B22" s="13" t="s">
        <v>60</v>
      </c>
      <c r="C22" s="14">
        <f>$F$3+105</f>
        <v>46223</v>
      </c>
      <c r="D22" s="14">
        <f t="shared" si="1"/>
        <v>46237</v>
      </c>
      <c r="E22" s="15">
        <f t="shared" si="0"/>
        <v>14</v>
      </c>
      <c r="F22" s="16">
        <v>0</v>
      </c>
      <c r="G22" s="17" t="s">
        <v>61</v>
      </c>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row>
    <row r="23" ht="14.25" customHeight="1">
      <c r="B23" s="8" t="s">
        <v>62</v>
      </c>
      <c r="C23" s="9">
        <f>$F$3+112</f>
        <v>46230</v>
      </c>
      <c r="D23" s="9">
        <f t="shared" si="1"/>
        <v>46244</v>
      </c>
      <c r="E23" s="10">
        <f t="shared" si="0"/>
        <v>14</v>
      </c>
      <c r="F23" s="11">
        <v>0</v>
      </c>
      <c r="G23" s="12" t="s">
        <v>63</v>
      </c>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ht="15" customHeight="1">
      <c r="B24" s="18" t="s">
        <v>64</v>
      </c>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row>
    <row r="25" ht="14.25" customHeight="1">
      <c r="B25" s="13" t="s">
        <v>65</v>
      </c>
      <c r="C25" s="14">
        <f>$F$3+119</f>
        <v>46237</v>
      </c>
      <c r="D25" s="14">
        <f t="shared" si="3" ref="D25:D46">C25+7</f>
        <v>46244</v>
      </c>
      <c r="E25" s="15">
        <f t="shared" si="0"/>
        <v>7</v>
      </c>
      <c r="F25" s="16">
        <v>0</v>
      </c>
      <c r="G25" s="17" t="s">
        <v>63</v>
      </c>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row>
    <row r="26" ht="14.25" customHeight="1">
      <c r="B26" s="8" t="s">
        <v>66</v>
      </c>
      <c r="C26" s="9">
        <f t="shared" si="4" ref="C26:C29">$F$3+126</f>
        <v>46244</v>
      </c>
      <c r="D26" s="9">
        <f t="shared" si="3"/>
        <v>46251</v>
      </c>
      <c r="E26" s="10">
        <f t="shared" si="0"/>
        <v>7</v>
      </c>
      <c r="F26" s="11">
        <v>0</v>
      </c>
      <c r="G26" s="12" t="s">
        <v>63</v>
      </c>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ht="15" customHeight="1">
      <c r="B27" s="18" t="s">
        <v>67</v>
      </c>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row>
    <row r="28" ht="14.25" customHeight="1">
      <c r="B28" s="13" t="s">
        <v>68</v>
      </c>
      <c r="C28" s="14">
        <f t="shared" si="4"/>
        <v>46244</v>
      </c>
      <c r="D28" s="14">
        <f t="shared" si="1"/>
        <v>46258</v>
      </c>
      <c r="E28" s="15">
        <f t="shared" si="0"/>
        <v>14</v>
      </c>
      <c r="F28" s="16">
        <v>0</v>
      </c>
      <c r="G28" s="17" t="s">
        <v>69</v>
      </c>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row>
    <row r="29" ht="14.25" customHeight="1">
      <c r="B29" s="8" t="s">
        <v>70</v>
      </c>
      <c r="C29" s="9">
        <f t="shared" si="4"/>
        <v>46244</v>
      </c>
      <c r="D29" s="9">
        <f t="shared" si="1"/>
        <v>46258</v>
      </c>
      <c r="E29" s="10">
        <f t="shared" si="0"/>
        <v>14</v>
      </c>
      <c r="F29" s="11">
        <v>0</v>
      </c>
      <c r="G29" s="12" t="s">
        <v>69</v>
      </c>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ht="14.25" customHeight="1">
      <c r="B30" s="13" t="s">
        <v>71</v>
      </c>
      <c r="C30" s="14">
        <f>$F$3+133</f>
        <v>46251</v>
      </c>
      <c r="D30" s="14">
        <f t="shared" si="1"/>
        <v>46265</v>
      </c>
      <c r="E30" s="15">
        <f t="shared" si="0"/>
        <v>14</v>
      </c>
      <c r="F30" s="16">
        <v>0</v>
      </c>
      <c r="G30" s="17" t="s">
        <v>69</v>
      </c>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row>
    <row r="31" ht="15" customHeight="1">
      <c r="B31" s="18" t="s">
        <v>72</v>
      </c>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row>
    <row r="32" ht="14.25" customHeight="1">
      <c r="B32" s="8" t="s">
        <v>73</v>
      </c>
      <c r="C32" s="9">
        <f>$F$3+140</f>
        <v>46258</v>
      </c>
      <c r="D32" s="9">
        <f t="shared" si="1"/>
        <v>46272</v>
      </c>
      <c r="E32" s="10">
        <f t="shared" si="0"/>
        <v>14</v>
      </c>
      <c r="F32" s="11">
        <v>0</v>
      </c>
      <c r="G32" s="12" t="s">
        <v>74</v>
      </c>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ht="14.25" customHeight="1">
      <c r="B33" s="13" t="s">
        <v>75</v>
      </c>
      <c r="C33" s="14">
        <f>$F$3+147</f>
        <v>46265</v>
      </c>
      <c r="D33" s="14">
        <f t="shared" si="1"/>
        <v>46279</v>
      </c>
      <c r="E33" s="15">
        <f t="shared" si="0"/>
        <v>14</v>
      </c>
      <c r="F33" s="16">
        <v>0</v>
      </c>
      <c r="G33" s="17" t="s">
        <v>76</v>
      </c>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row>
    <row r="34" ht="14.25" customHeight="1">
      <c r="B34" s="8" t="s">
        <v>77</v>
      </c>
      <c r="C34" s="9">
        <f>$F$3+154</f>
        <v>46272</v>
      </c>
      <c r="D34" s="9">
        <f t="shared" si="1"/>
        <v>46286</v>
      </c>
      <c r="E34" s="10">
        <f t="shared" si="0"/>
        <v>14</v>
      </c>
      <c r="F34" s="11">
        <v>0</v>
      </c>
      <c r="G34" s="12" t="s">
        <v>76</v>
      </c>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ht="15" customHeight="1">
      <c r="B35" s="18" t="s">
        <v>78</v>
      </c>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row>
    <row r="36" ht="14.25" customHeight="1">
      <c r="B36" s="13" t="s">
        <v>79</v>
      </c>
      <c r="C36" s="14">
        <f t="shared" si="5" ref="C36:C37">$F$3+161</f>
        <v>46279</v>
      </c>
      <c r="D36" s="14">
        <f t="shared" si="3"/>
        <v>46286</v>
      </c>
      <c r="E36" s="15">
        <f t="shared" si="0"/>
        <v>7</v>
      </c>
      <c r="F36" s="16">
        <v>0</v>
      </c>
      <c r="G36" s="17" t="s">
        <v>76</v>
      </c>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row>
    <row r="37" ht="14.25" customHeight="1">
      <c r="B37" s="8" t="s">
        <v>80</v>
      </c>
      <c r="C37" s="9">
        <f t="shared" si="5"/>
        <v>46279</v>
      </c>
      <c r="D37" s="9">
        <f t="shared" si="3"/>
        <v>46286</v>
      </c>
      <c r="E37" s="10">
        <f t="shared" si="0"/>
        <v>7</v>
      </c>
      <c r="F37" s="11">
        <v>0</v>
      </c>
      <c r="G37" s="12" t="s">
        <v>69</v>
      </c>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ht="14.25" customHeight="1">
      <c r="B38" s="13" t="s">
        <v>81</v>
      </c>
      <c r="C38" s="14">
        <f t="shared" si="6" ref="C38:C39">$F$3+168</f>
        <v>46286</v>
      </c>
      <c r="D38" s="14">
        <f t="shared" si="3"/>
        <v>46293</v>
      </c>
      <c r="E38" s="15">
        <f t="shared" si="0"/>
        <v>7</v>
      </c>
      <c r="F38" s="16">
        <v>0</v>
      </c>
      <c r="G38" s="17" t="s">
        <v>69</v>
      </c>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row>
    <row r="39" ht="14.25" customHeight="1">
      <c r="B39" s="8" t="s">
        <v>82</v>
      </c>
      <c r="C39" s="9">
        <f t="shared" si="6"/>
        <v>46286</v>
      </c>
      <c r="D39" s="9">
        <f t="shared" si="3"/>
        <v>46293</v>
      </c>
      <c r="E39" s="10">
        <f t="shared" si="0"/>
        <v>7</v>
      </c>
      <c r="F39" s="11">
        <v>0</v>
      </c>
      <c r="G39" s="12" t="s">
        <v>83</v>
      </c>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ht="15" customHeight="1">
      <c r="B40" s="18" t="s">
        <v>84</v>
      </c>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row>
    <row r="41" ht="14.25" customHeight="1">
      <c r="B41" s="13" t="s">
        <v>85</v>
      </c>
      <c r="C41" s="14">
        <f t="shared" si="7" ref="C41:C45">$F$3+175</f>
        <v>46293</v>
      </c>
      <c r="D41" s="14">
        <f t="shared" si="3"/>
        <v>46300</v>
      </c>
      <c r="E41" s="15">
        <f t="shared" si="0"/>
        <v>7</v>
      </c>
      <c r="F41" s="16">
        <v>0</v>
      </c>
      <c r="G41" s="17" t="s">
        <v>42</v>
      </c>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row>
    <row r="42" ht="14.25" customHeight="1">
      <c r="B42" s="8" t="s">
        <v>86</v>
      </c>
      <c r="C42" s="9">
        <f t="shared" si="7"/>
        <v>46293</v>
      </c>
      <c r="D42" s="9">
        <f t="shared" si="3"/>
        <v>46300</v>
      </c>
      <c r="E42" s="10">
        <f t="shared" si="0"/>
        <v>7</v>
      </c>
      <c r="F42" s="11">
        <v>0</v>
      </c>
      <c r="G42" s="12" t="s">
        <v>83</v>
      </c>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ht="15" customHeight="1">
      <c r="B43" s="18" t="s">
        <v>87</v>
      </c>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row>
    <row r="44" ht="14.25" customHeight="1">
      <c r="B44" s="13" t="s">
        <v>88</v>
      </c>
      <c r="C44" s="14">
        <f t="shared" si="7"/>
        <v>46293</v>
      </c>
      <c r="D44" s="14">
        <f t="shared" si="3"/>
        <v>46300</v>
      </c>
      <c r="E44" s="15">
        <f t="shared" si="0"/>
        <v>7</v>
      </c>
      <c r="F44" s="16">
        <v>0</v>
      </c>
      <c r="G44" s="17" t="s">
        <v>89</v>
      </c>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row>
    <row r="45" ht="14.25" customHeight="1">
      <c r="B45" s="8" t="s">
        <v>90</v>
      </c>
      <c r="C45" s="9">
        <f t="shared" si="7"/>
        <v>46293</v>
      </c>
      <c r="D45" s="9">
        <f t="shared" si="3"/>
        <v>46300</v>
      </c>
      <c r="E45" s="10">
        <f t="shared" si="0"/>
        <v>7</v>
      </c>
      <c r="F45" s="11">
        <v>0</v>
      </c>
      <c r="G45" s="12" t="s">
        <v>89</v>
      </c>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ht="14.25" customHeight="1">
      <c r="B46" s="13" t="s">
        <v>91</v>
      </c>
      <c r="C46" s="14">
        <f>$F$3+182</f>
        <v>46300</v>
      </c>
      <c r="D46" s="14">
        <f t="shared" si="3"/>
        <v>46307</v>
      </c>
      <c r="E46" s="15">
        <f t="shared" si="0"/>
        <v>7</v>
      </c>
      <c r="F46" s="16">
        <v>0</v>
      </c>
      <c r="G46" s="17" t="s">
        <v>83</v>
      </c>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row>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mergeCell ref="B2:D2"/>
    <mergeCell ref="C3:D3"/>
  </mergeCells>
  <conditionalFormatting sqref="H7:AG7">
    <cfRule type="expression" dxfId="0" priority="150" text="null">
      <formula>AND($C7&lt;&gt;"",($F$3+(COLUMN()-8)*7)&gt;=$C7,($F$3+(COLUMN()-8)*7)&lt;$D7)</formula>
    </cfRule>
  </conditionalFormatting>
  <conditionalFormatting sqref="H7:AG7">
    <cfRule type="expression" dxfId="1" priority="149" text="null">
      <formula>AND($C7&lt;&gt;"",($F$3+(COLUMN()-8)*7)&gt;=$C7,($F$3+(COLUMN()-8)*7)&lt;$D7,($F$3+(COLUMN()-8)*7)&lt;($C7+($D7-$C7)*$F7))</formula>
    </cfRule>
  </conditionalFormatting>
  <conditionalFormatting sqref="F7">
    <cfRule type="cellIs" dxfId="2" priority="148" operator="equal" text="null">
      <formula>1</formula>
    </cfRule>
  </conditionalFormatting>
  <conditionalFormatting sqref="F7">
    <cfRule type="cellIs" dxfId="3" priority="147" operator="equal" text="null">
      <formula>0</formula>
    </cfRule>
  </conditionalFormatting>
  <conditionalFormatting sqref="F7">
    <cfRule type="expression" dxfId="4" priority="146" text="null">
      <formula>AND(F7&gt;0,F7&lt;1)</formula>
    </cfRule>
  </conditionalFormatting>
  <conditionalFormatting sqref="H8:AG8">
    <cfRule type="expression" dxfId="0" priority="145" text="null">
      <formula>AND($C8&lt;&gt;"",($F$3+(COLUMN()-8)*7)&gt;=$C8,($F$3+(COLUMN()-8)*7)&lt;$D8)</formula>
    </cfRule>
  </conditionalFormatting>
  <conditionalFormatting sqref="H8:AG8">
    <cfRule type="expression" dxfId="1" priority="144" text="null">
      <formula>AND($C8&lt;&gt;"",($F$3+(COLUMN()-8)*7)&gt;=$C8,($F$3+(COLUMN()-8)*7)&lt;$D8,($F$3+(COLUMN()-8)*7)&lt;($C8+($D8-$C8)*$F8))</formula>
    </cfRule>
  </conditionalFormatting>
  <conditionalFormatting sqref="F8">
    <cfRule type="cellIs" dxfId="2" priority="143" operator="equal" text="null">
      <formula>1</formula>
    </cfRule>
  </conditionalFormatting>
  <conditionalFormatting sqref="F8">
    <cfRule type="cellIs" dxfId="3" priority="142" operator="equal" text="null">
      <formula>0</formula>
    </cfRule>
  </conditionalFormatting>
  <conditionalFormatting sqref="F8">
    <cfRule type="expression" dxfId="4" priority="141" text="null">
      <formula>AND(F8&gt;0,F8&lt;1)</formula>
    </cfRule>
  </conditionalFormatting>
  <conditionalFormatting sqref="H10:AG10">
    <cfRule type="expression" dxfId="0" priority="140" text="null">
      <formula>AND($C10&lt;&gt;"",($F$3+(COLUMN()-8)*7)&gt;=$C10,($F$3+(COLUMN()-8)*7)&lt;$D10)</formula>
    </cfRule>
  </conditionalFormatting>
  <conditionalFormatting sqref="H10:AG10">
    <cfRule type="expression" dxfId="1" priority="139" text="null">
      <formula>AND($C10&lt;&gt;"",($F$3+(COLUMN()-8)*7)&gt;=$C10,($F$3+(COLUMN()-8)*7)&lt;$D10,($F$3+(COLUMN()-8)*7)&lt;($C10+($D10-$C10)*$F10))</formula>
    </cfRule>
  </conditionalFormatting>
  <conditionalFormatting sqref="F10">
    <cfRule type="cellIs" dxfId="2" priority="138" operator="equal" text="null">
      <formula>1</formula>
    </cfRule>
  </conditionalFormatting>
  <conditionalFormatting sqref="F10">
    <cfRule type="cellIs" dxfId="3" priority="137" operator="equal" text="null">
      <formula>0</formula>
    </cfRule>
  </conditionalFormatting>
  <conditionalFormatting sqref="F10">
    <cfRule type="expression" dxfId="4" priority="136" text="null">
      <formula>AND(F10&gt;0,F10&lt;1)</formula>
    </cfRule>
  </conditionalFormatting>
  <conditionalFormatting sqref="H11:AG11">
    <cfRule type="expression" dxfId="0" priority="135" text="null">
      <formula>AND($C11&lt;&gt;"",($F$3+(COLUMN()-8)*7)&gt;=$C11,($F$3+(COLUMN()-8)*7)&lt;$D11)</formula>
    </cfRule>
  </conditionalFormatting>
  <conditionalFormatting sqref="H11:AG11">
    <cfRule type="expression" dxfId="1" priority="134" text="null">
      <formula>AND($C11&lt;&gt;"",($F$3+(COLUMN()-8)*7)&gt;=$C11,($F$3+(COLUMN()-8)*7)&lt;$D11,($F$3+(COLUMN()-8)*7)&lt;($C11+($D11-$C11)*$F11))</formula>
    </cfRule>
  </conditionalFormatting>
  <conditionalFormatting sqref="F11">
    <cfRule type="cellIs" dxfId="2" priority="133" operator="equal" text="null">
      <formula>1</formula>
    </cfRule>
  </conditionalFormatting>
  <conditionalFormatting sqref="F11">
    <cfRule type="cellIs" dxfId="3" priority="132" operator="equal" text="null">
      <formula>0</formula>
    </cfRule>
  </conditionalFormatting>
  <conditionalFormatting sqref="F11">
    <cfRule type="expression" dxfId="4" priority="131" text="null">
      <formula>AND(F11&gt;0,F11&lt;1)</formula>
    </cfRule>
  </conditionalFormatting>
  <conditionalFormatting sqref="H12:AG12">
    <cfRule type="expression" dxfId="0" priority="130" text="null">
      <formula>AND($C12&lt;&gt;"",($F$3+(COLUMN()-8)*7)&gt;=$C12,($F$3+(COLUMN()-8)*7)&lt;$D12)</formula>
    </cfRule>
  </conditionalFormatting>
  <conditionalFormatting sqref="H12:AG12">
    <cfRule type="expression" dxfId="1" priority="129" text="null">
      <formula>AND($C12&lt;&gt;"",($F$3+(COLUMN()-8)*7)&gt;=$C12,($F$3+(COLUMN()-8)*7)&lt;$D12,($F$3+(COLUMN()-8)*7)&lt;($C12+($D12-$C12)*$F12))</formula>
    </cfRule>
  </conditionalFormatting>
  <conditionalFormatting sqref="F12">
    <cfRule type="cellIs" dxfId="2" priority="128" operator="equal" text="null">
      <formula>1</formula>
    </cfRule>
  </conditionalFormatting>
  <conditionalFormatting sqref="F12">
    <cfRule type="cellIs" dxfId="3" priority="127" operator="equal" text="null">
      <formula>0</formula>
    </cfRule>
  </conditionalFormatting>
  <conditionalFormatting sqref="F12">
    <cfRule type="expression" dxfId="4" priority="126" text="null">
      <formula>AND(F12&gt;0,F12&lt;1)</formula>
    </cfRule>
  </conditionalFormatting>
  <conditionalFormatting sqref="H14:AG14">
    <cfRule type="expression" dxfId="0" priority="125" text="null">
      <formula>AND($C14&lt;&gt;"",($F$3+(COLUMN()-8)*7)&gt;=$C14,($F$3+(COLUMN()-8)*7)&lt;$D14)</formula>
    </cfRule>
  </conditionalFormatting>
  <conditionalFormatting sqref="H14:AG14">
    <cfRule type="expression" dxfId="1" priority="124" text="null">
      <formula>AND($C14&lt;&gt;"",($F$3+(COLUMN()-8)*7)&gt;=$C14,($F$3+(COLUMN()-8)*7)&lt;$D14,($F$3+(COLUMN()-8)*7)&lt;($C14+($D14-$C14)*$F14))</formula>
    </cfRule>
  </conditionalFormatting>
  <conditionalFormatting sqref="F14">
    <cfRule type="cellIs" dxfId="2" priority="123" operator="equal" text="null">
      <formula>1</formula>
    </cfRule>
  </conditionalFormatting>
  <conditionalFormatting sqref="F14">
    <cfRule type="cellIs" dxfId="3" priority="122" operator="equal" text="null">
      <formula>0</formula>
    </cfRule>
  </conditionalFormatting>
  <conditionalFormatting sqref="F14">
    <cfRule type="expression" dxfId="4" priority="121" text="null">
      <formula>AND(F14&gt;0,F14&lt;1)</formula>
    </cfRule>
  </conditionalFormatting>
  <conditionalFormatting sqref="H15:AG15">
    <cfRule type="expression" dxfId="0" priority="120" text="null">
      <formula>AND($C15&lt;&gt;"",($F$3+(COLUMN()-8)*7)&gt;=$C15,($F$3+(COLUMN()-8)*7)&lt;$D15)</formula>
    </cfRule>
  </conditionalFormatting>
  <conditionalFormatting sqref="H15:AG15">
    <cfRule type="expression" dxfId="1" priority="119" text="null">
      <formula>AND($C15&lt;&gt;"",($F$3+(COLUMN()-8)*7)&gt;=$C15,($F$3+(COLUMN()-8)*7)&lt;$D15,($F$3+(COLUMN()-8)*7)&lt;($C15+($D15-$C15)*$F15))</formula>
    </cfRule>
  </conditionalFormatting>
  <conditionalFormatting sqref="F15">
    <cfRule type="cellIs" dxfId="2" priority="118" operator="equal" text="null">
      <formula>1</formula>
    </cfRule>
  </conditionalFormatting>
  <conditionalFormatting sqref="F15">
    <cfRule type="cellIs" dxfId="3" priority="117" operator="equal" text="null">
      <formula>0</formula>
    </cfRule>
  </conditionalFormatting>
  <conditionalFormatting sqref="F15">
    <cfRule type="expression" dxfId="4" priority="116" text="null">
      <formula>AND(F15&gt;0,F15&lt;1)</formula>
    </cfRule>
  </conditionalFormatting>
  <conditionalFormatting sqref="H16:AG16">
    <cfRule type="expression" dxfId="0" priority="115" text="null">
      <formula>AND($C16&lt;&gt;"",($F$3+(COLUMN()-8)*7)&gt;=$C16,($F$3+(COLUMN()-8)*7)&lt;$D16)</formula>
    </cfRule>
  </conditionalFormatting>
  <conditionalFormatting sqref="H16:AG16">
    <cfRule type="expression" dxfId="1" priority="114" text="null">
      <formula>AND($C16&lt;&gt;"",($F$3+(COLUMN()-8)*7)&gt;=$C16,($F$3+(COLUMN()-8)*7)&lt;$D16,($F$3+(COLUMN()-8)*7)&lt;($C16+($D16-$C16)*$F16))</formula>
    </cfRule>
  </conditionalFormatting>
  <conditionalFormatting sqref="F16">
    <cfRule type="cellIs" dxfId="2" priority="113" operator="equal" text="null">
      <formula>1</formula>
    </cfRule>
  </conditionalFormatting>
  <conditionalFormatting sqref="F16">
    <cfRule type="cellIs" dxfId="3" priority="112" operator="equal" text="null">
      <formula>0</formula>
    </cfRule>
  </conditionalFormatting>
  <conditionalFormatting sqref="F16">
    <cfRule type="expression" dxfId="4" priority="111" text="null">
      <formula>AND(F16&gt;0,F16&lt;1)</formula>
    </cfRule>
  </conditionalFormatting>
  <conditionalFormatting sqref="H18:AG18">
    <cfRule type="expression" dxfId="0" priority="110" text="null">
      <formula>AND($C18&lt;&gt;"",($F$3+(COLUMN()-8)*7)&gt;=$C18,($F$3+(COLUMN()-8)*7)&lt;$D18)</formula>
    </cfRule>
  </conditionalFormatting>
  <conditionalFormatting sqref="H18:AG18">
    <cfRule type="expression" dxfId="1" priority="109" text="null">
      <formula>AND($C18&lt;&gt;"",($F$3+(COLUMN()-8)*7)&gt;=$C18,($F$3+(COLUMN()-8)*7)&lt;$D18,($F$3+(COLUMN()-8)*7)&lt;($C18+($D18-$C18)*$F18))</formula>
    </cfRule>
  </conditionalFormatting>
  <conditionalFormatting sqref="F18">
    <cfRule type="cellIs" dxfId="2" priority="108" operator="equal" text="null">
      <formula>1</formula>
    </cfRule>
  </conditionalFormatting>
  <conditionalFormatting sqref="F18">
    <cfRule type="cellIs" dxfId="3" priority="107" operator="equal" text="null">
      <formula>0</formula>
    </cfRule>
  </conditionalFormatting>
  <conditionalFormatting sqref="F18">
    <cfRule type="expression" dxfId="4" priority="106" text="null">
      <formula>AND(F18&gt;0,F18&lt;1)</formula>
    </cfRule>
  </conditionalFormatting>
  <conditionalFormatting sqref="H19:AG19">
    <cfRule type="expression" dxfId="0" priority="105" text="null">
      <formula>AND($C19&lt;&gt;"",($F$3+(COLUMN()-8)*7)&gt;=$C19,($F$3+(COLUMN()-8)*7)&lt;$D19)</formula>
    </cfRule>
  </conditionalFormatting>
  <conditionalFormatting sqref="H19:AG19">
    <cfRule type="expression" dxfId="1" priority="104" text="null">
      <formula>AND($C19&lt;&gt;"",($F$3+(COLUMN()-8)*7)&gt;=$C19,($F$3+(COLUMN()-8)*7)&lt;$D19,($F$3+(COLUMN()-8)*7)&lt;($C19+($D19-$C19)*$F19))</formula>
    </cfRule>
  </conditionalFormatting>
  <conditionalFormatting sqref="F19">
    <cfRule type="cellIs" dxfId="2" priority="103" operator="equal" text="null">
      <formula>1</formula>
    </cfRule>
  </conditionalFormatting>
  <conditionalFormatting sqref="F19">
    <cfRule type="cellIs" dxfId="3" priority="102" operator="equal" text="null">
      <formula>0</formula>
    </cfRule>
  </conditionalFormatting>
  <conditionalFormatting sqref="F19">
    <cfRule type="expression" dxfId="4" priority="101" text="null">
      <formula>AND(F19&gt;0,F19&lt;1)</formula>
    </cfRule>
  </conditionalFormatting>
  <conditionalFormatting sqref="H20:AG20">
    <cfRule type="expression" dxfId="0" priority="100" text="null">
      <formula>AND($C20&lt;&gt;"",($F$3+(COLUMN()-8)*7)&gt;=$C20,($F$3+(COLUMN()-8)*7)&lt;$D20)</formula>
    </cfRule>
  </conditionalFormatting>
  <conditionalFormatting sqref="H20:AG20">
    <cfRule type="expression" dxfId="1" priority="99" text="null">
      <formula>AND($C20&lt;&gt;"",($F$3+(COLUMN()-8)*7)&gt;=$C20,($F$3+(COLUMN()-8)*7)&lt;$D20,($F$3+(COLUMN()-8)*7)&lt;($C20+($D20-$C20)*$F20))</formula>
    </cfRule>
  </conditionalFormatting>
  <conditionalFormatting sqref="F20">
    <cfRule type="cellIs" dxfId="2" priority="98" operator="equal" text="null">
      <formula>1</formula>
    </cfRule>
  </conditionalFormatting>
  <conditionalFormatting sqref="F20">
    <cfRule type="cellIs" dxfId="3" priority="97" operator="equal" text="null">
      <formula>0</formula>
    </cfRule>
  </conditionalFormatting>
  <conditionalFormatting sqref="F20">
    <cfRule type="expression" dxfId="4" priority="96" text="null">
      <formula>AND(F20&gt;0,F20&lt;1)</formula>
    </cfRule>
  </conditionalFormatting>
  <conditionalFormatting sqref="H22:AG22">
    <cfRule type="expression" dxfId="0" priority="95" text="null">
      <formula>AND($C22&lt;&gt;"",($F$3+(COLUMN()-8)*7)&gt;=$C22,($F$3+(COLUMN()-8)*7)&lt;$D22)</formula>
    </cfRule>
  </conditionalFormatting>
  <conditionalFormatting sqref="H22:AG22">
    <cfRule type="expression" dxfId="1" priority="94" text="null">
      <formula>AND($C22&lt;&gt;"",($F$3+(COLUMN()-8)*7)&gt;=$C22,($F$3+(COLUMN()-8)*7)&lt;$D22,($F$3+(COLUMN()-8)*7)&lt;($C22+($D22-$C22)*$F22))</formula>
    </cfRule>
  </conditionalFormatting>
  <conditionalFormatting sqref="F22">
    <cfRule type="cellIs" dxfId="2" priority="93" operator="equal" text="null">
      <formula>1</formula>
    </cfRule>
  </conditionalFormatting>
  <conditionalFormatting sqref="F22">
    <cfRule type="cellIs" dxfId="3" priority="92" operator="equal" text="null">
      <formula>0</formula>
    </cfRule>
  </conditionalFormatting>
  <conditionalFormatting sqref="F22">
    <cfRule type="expression" dxfId="4" priority="91" text="null">
      <formula>AND(F22&gt;0,F22&lt;1)</formula>
    </cfRule>
  </conditionalFormatting>
  <conditionalFormatting sqref="H23:AG23">
    <cfRule type="expression" dxfId="0" priority="90" text="null">
      <formula>AND($C23&lt;&gt;"",($F$3+(COLUMN()-8)*7)&gt;=$C23,($F$3+(COLUMN()-8)*7)&lt;$D23)</formula>
    </cfRule>
  </conditionalFormatting>
  <conditionalFormatting sqref="H23:AG23">
    <cfRule type="expression" dxfId="1" priority="89" text="null">
      <formula>AND($C23&lt;&gt;"",($F$3+(COLUMN()-8)*7)&gt;=$C23,($F$3+(COLUMN()-8)*7)&lt;$D23,($F$3+(COLUMN()-8)*7)&lt;($C23+($D23-$C23)*$F23))</formula>
    </cfRule>
  </conditionalFormatting>
  <conditionalFormatting sqref="F23">
    <cfRule type="cellIs" dxfId="2" priority="88" operator="equal" text="null">
      <formula>1</formula>
    </cfRule>
  </conditionalFormatting>
  <conditionalFormatting sqref="F23">
    <cfRule type="cellIs" dxfId="3" priority="87" operator="equal" text="null">
      <formula>0</formula>
    </cfRule>
  </conditionalFormatting>
  <conditionalFormatting sqref="F23">
    <cfRule type="expression" dxfId="4" priority="86" text="null">
      <formula>AND(F23&gt;0,F23&lt;1)</formula>
    </cfRule>
  </conditionalFormatting>
  <conditionalFormatting sqref="H25:AG25">
    <cfRule type="expression" dxfId="0" priority="85" text="null">
      <formula>AND($C25&lt;&gt;"",($F$3+(COLUMN()-8)*7)&gt;=$C25,($F$3+(COLUMN()-8)*7)&lt;$D25)</formula>
    </cfRule>
  </conditionalFormatting>
  <conditionalFormatting sqref="H25:AG25">
    <cfRule type="expression" dxfId="1" priority="84" text="null">
      <formula>AND($C25&lt;&gt;"",($F$3+(COLUMN()-8)*7)&gt;=$C25,($F$3+(COLUMN()-8)*7)&lt;$D25,($F$3+(COLUMN()-8)*7)&lt;($C25+($D25-$C25)*$F25))</formula>
    </cfRule>
  </conditionalFormatting>
  <conditionalFormatting sqref="F25">
    <cfRule type="cellIs" dxfId="2" priority="83" operator="equal" text="null">
      <formula>1</formula>
    </cfRule>
  </conditionalFormatting>
  <conditionalFormatting sqref="F25">
    <cfRule type="cellIs" dxfId="3" priority="82" operator="equal" text="null">
      <formula>0</formula>
    </cfRule>
  </conditionalFormatting>
  <conditionalFormatting sqref="F25">
    <cfRule type="expression" dxfId="4" priority="81" text="null">
      <formula>AND(F25&gt;0,F25&lt;1)</formula>
    </cfRule>
  </conditionalFormatting>
  <conditionalFormatting sqref="H26:AG26">
    <cfRule type="expression" dxfId="0" priority="80" text="null">
      <formula>AND($C26&lt;&gt;"",($F$3+(COLUMN()-8)*7)&gt;=$C26,($F$3+(COLUMN()-8)*7)&lt;$D26)</formula>
    </cfRule>
  </conditionalFormatting>
  <conditionalFormatting sqref="H26:AG26">
    <cfRule type="expression" dxfId="1" priority="79" text="null">
      <formula>AND($C26&lt;&gt;"",($F$3+(COLUMN()-8)*7)&gt;=$C26,($F$3+(COLUMN()-8)*7)&lt;$D26,($F$3+(COLUMN()-8)*7)&lt;($C26+($D26-$C26)*$F26))</formula>
    </cfRule>
  </conditionalFormatting>
  <conditionalFormatting sqref="F26">
    <cfRule type="cellIs" dxfId="2" priority="78" operator="equal" text="null">
      <formula>1</formula>
    </cfRule>
  </conditionalFormatting>
  <conditionalFormatting sqref="F26">
    <cfRule type="cellIs" dxfId="3" priority="77" operator="equal" text="null">
      <formula>0</formula>
    </cfRule>
  </conditionalFormatting>
  <conditionalFormatting sqref="F26">
    <cfRule type="expression" dxfId="4" priority="76" text="null">
      <formula>AND(F26&gt;0,F26&lt;1)</formula>
    </cfRule>
  </conditionalFormatting>
  <conditionalFormatting sqref="H28:AG28">
    <cfRule type="expression" dxfId="0" priority="75" text="null">
      <formula>AND($C28&lt;&gt;"",($F$3+(COLUMN()-8)*7)&gt;=$C28,($F$3+(COLUMN()-8)*7)&lt;$D28)</formula>
    </cfRule>
  </conditionalFormatting>
  <conditionalFormatting sqref="H28:AG28">
    <cfRule type="expression" dxfId="1" priority="74" text="null">
      <formula>AND($C28&lt;&gt;"",($F$3+(COLUMN()-8)*7)&gt;=$C28,($F$3+(COLUMN()-8)*7)&lt;$D28,($F$3+(COLUMN()-8)*7)&lt;($C28+($D28-$C28)*$F28))</formula>
    </cfRule>
  </conditionalFormatting>
  <conditionalFormatting sqref="F28">
    <cfRule type="cellIs" dxfId="2" priority="73" operator="equal" text="null">
      <formula>1</formula>
    </cfRule>
  </conditionalFormatting>
  <conditionalFormatting sqref="F28">
    <cfRule type="cellIs" dxfId="3" priority="72" operator="equal" text="null">
      <formula>0</formula>
    </cfRule>
  </conditionalFormatting>
  <conditionalFormatting sqref="F28">
    <cfRule type="expression" dxfId="4" priority="71" text="null">
      <formula>AND(F28&gt;0,F28&lt;1)</formula>
    </cfRule>
  </conditionalFormatting>
  <conditionalFormatting sqref="H29:AG29">
    <cfRule type="expression" dxfId="0" priority="70" text="null">
      <formula>AND($C29&lt;&gt;"",($F$3+(COLUMN()-8)*7)&gt;=$C29,($F$3+(COLUMN()-8)*7)&lt;$D29)</formula>
    </cfRule>
  </conditionalFormatting>
  <conditionalFormatting sqref="H29:AG29">
    <cfRule type="expression" dxfId="1" priority="69" text="null">
      <formula>AND($C29&lt;&gt;"",($F$3+(COLUMN()-8)*7)&gt;=$C29,($F$3+(COLUMN()-8)*7)&lt;$D29,($F$3+(COLUMN()-8)*7)&lt;($C29+($D29-$C29)*$F29))</formula>
    </cfRule>
  </conditionalFormatting>
  <conditionalFormatting sqref="F29">
    <cfRule type="cellIs" dxfId="2" priority="68" operator="equal" text="null">
      <formula>1</formula>
    </cfRule>
  </conditionalFormatting>
  <conditionalFormatting sqref="F29">
    <cfRule type="cellIs" dxfId="3" priority="67" operator="equal" text="null">
      <formula>0</formula>
    </cfRule>
  </conditionalFormatting>
  <conditionalFormatting sqref="F29">
    <cfRule type="expression" dxfId="4" priority="66" text="null">
      <formula>AND(F29&gt;0,F29&lt;1)</formula>
    </cfRule>
  </conditionalFormatting>
  <conditionalFormatting sqref="H30:AG30">
    <cfRule type="expression" dxfId="0" priority="65" text="null">
      <formula>AND($C30&lt;&gt;"",($F$3+(COLUMN()-8)*7)&gt;=$C30,($F$3+(COLUMN()-8)*7)&lt;$D30)</formula>
    </cfRule>
  </conditionalFormatting>
  <conditionalFormatting sqref="H30:AG30">
    <cfRule type="expression" dxfId="1" priority="64" text="null">
      <formula>AND($C30&lt;&gt;"",($F$3+(COLUMN()-8)*7)&gt;=$C30,($F$3+(COLUMN()-8)*7)&lt;$D30,($F$3+(COLUMN()-8)*7)&lt;($C30+($D30-$C30)*$F30))</formula>
    </cfRule>
  </conditionalFormatting>
  <conditionalFormatting sqref="F30">
    <cfRule type="cellIs" dxfId="2" priority="63" operator="equal" text="null">
      <formula>1</formula>
    </cfRule>
  </conditionalFormatting>
  <conditionalFormatting sqref="F30">
    <cfRule type="cellIs" dxfId="3" priority="62" operator="equal" text="null">
      <formula>0</formula>
    </cfRule>
  </conditionalFormatting>
  <conditionalFormatting sqref="F30">
    <cfRule type="expression" dxfId="4" priority="61" text="null">
      <formula>AND(F30&gt;0,F30&lt;1)</formula>
    </cfRule>
  </conditionalFormatting>
  <conditionalFormatting sqref="H32:AG32">
    <cfRule type="expression" dxfId="0" priority="60" text="null">
      <formula>AND($C32&lt;&gt;"",($F$3+(COLUMN()-8)*7)&gt;=$C32,($F$3+(COLUMN()-8)*7)&lt;$D32)</formula>
    </cfRule>
  </conditionalFormatting>
  <conditionalFormatting sqref="H32:AG32">
    <cfRule type="expression" dxfId="1" priority="59" text="null">
      <formula>AND($C32&lt;&gt;"",($F$3+(COLUMN()-8)*7)&gt;=$C32,($F$3+(COLUMN()-8)*7)&lt;$D32,($F$3+(COLUMN()-8)*7)&lt;($C32+($D32-$C32)*$F32))</formula>
    </cfRule>
  </conditionalFormatting>
  <conditionalFormatting sqref="F32">
    <cfRule type="cellIs" dxfId="2" priority="58" operator="equal" text="null">
      <formula>1</formula>
    </cfRule>
  </conditionalFormatting>
  <conditionalFormatting sqref="F32">
    <cfRule type="cellIs" dxfId="3" priority="57" operator="equal" text="null">
      <formula>0</formula>
    </cfRule>
  </conditionalFormatting>
  <conditionalFormatting sqref="F32">
    <cfRule type="expression" dxfId="4" priority="56" text="null">
      <formula>AND(F32&gt;0,F32&lt;1)</formula>
    </cfRule>
  </conditionalFormatting>
  <conditionalFormatting sqref="H33:AG33">
    <cfRule type="expression" dxfId="0" priority="55" text="null">
      <formula>AND($C33&lt;&gt;"",($F$3+(COLUMN()-8)*7)&gt;=$C33,($F$3+(COLUMN()-8)*7)&lt;$D33)</formula>
    </cfRule>
  </conditionalFormatting>
  <conditionalFormatting sqref="H33:AG33">
    <cfRule type="expression" dxfId="1" priority="54" text="null">
      <formula>AND($C33&lt;&gt;"",($F$3+(COLUMN()-8)*7)&gt;=$C33,($F$3+(COLUMN()-8)*7)&lt;$D33,($F$3+(COLUMN()-8)*7)&lt;($C33+($D33-$C33)*$F33))</formula>
    </cfRule>
  </conditionalFormatting>
  <conditionalFormatting sqref="F33">
    <cfRule type="cellIs" dxfId="2" priority="53" operator="equal" text="null">
      <formula>1</formula>
    </cfRule>
  </conditionalFormatting>
  <conditionalFormatting sqref="F33">
    <cfRule type="cellIs" dxfId="3" priority="52" operator="equal" text="null">
      <formula>0</formula>
    </cfRule>
  </conditionalFormatting>
  <conditionalFormatting sqref="F33">
    <cfRule type="expression" dxfId="4" priority="51" text="null">
      <formula>AND(F33&gt;0,F33&lt;1)</formula>
    </cfRule>
  </conditionalFormatting>
  <conditionalFormatting sqref="H34:AG34">
    <cfRule type="expression" dxfId="0" priority="50" text="null">
      <formula>AND($C34&lt;&gt;"",($F$3+(COLUMN()-8)*7)&gt;=$C34,($F$3+(COLUMN()-8)*7)&lt;$D34)</formula>
    </cfRule>
  </conditionalFormatting>
  <conditionalFormatting sqref="H34:AG34">
    <cfRule type="expression" dxfId="1" priority="49" text="null">
      <formula>AND($C34&lt;&gt;"",($F$3+(COLUMN()-8)*7)&gt;=$C34,($F$3+(COLUMN()-8)*7)&lt;$D34,($F$3+(COLUMN()-8)*7)&lt;($C34+($D34-$C34)*$F34))</formula>
    </cfRule>
  </conditionalFormatting>
  <conditionalFormatting sqref="F34">
    <cfRule type="cellIs" dxfId="2" priority="48" operator="equal" text="null">
      <formula>1</formula>
    </cfRule>
  </conditionalFormatting>
  <conditionalFormatting sqref="F34">
    <cfRule type="cellIs" dxfId="3" priority="47" operator="equal" text="null">
      <formula>0</formula>
    </cfRule>
  </conditionalFormatting>
  <conditionalFormatting sqref="F34">
    <cfRule type="expression" dxfId="4" priority="46" text="null">
      <formula>AND(F34&gt;0,F34&lt;1)</formula>
    </cfRule>
  </conditionalFormatting>
  <conditionalFormatting sqref="H36:AG36">
    <cfRule type="expression" dxfId="0" priority="45" text="null">
      <formula>AND($C36&lt;&gt;"",($F$3+(COLUMN()-8)*7)&gt;=$C36,($F$3+(COLUMN()-8)*7)&lt;$D36)</formula>
    </cfRule>
  </conditionalFormatting>
  <conditionalFormatting sqref="H36:AG36">
    <cfRule type="expression" dxfId="1" priority="44" text="null">
      <formula>AND($C36&lt;&gt;"",($F$3+(COLUMN()-8)*7)&gt;=$C36,($F$3+(COLUMN()-8)*7)&lt;$D36,($F$3+(COLUMN()-8)*7)&lt;($C36+($D36-$C36)*$F36))</formula>
    </cfRule>
  </conditionalFormatting>
  <conditionalFormatting sqref="F36">
    <cfRule type="cellIs" dxfId="2" priority="43" operator="equal" text="null">
      <formula>1</formula>
    </cfRule>
  </conditionalFormatting>
  <conditionalFormatting sqref="F36">
    <cfRule type="cellIs" dxfId="3" priority="42" operator="equal" text="null">
      <formula>0</formula>
    </cfRule>
  </conditionalFormatting>
  <conditionalFormatting sqref="F36">
    <cfRule type="expression" dxfId="4" priority="41" text="null">
      <formula>AND(F36&gt;0,F36&lt;1)</formula>
    </cfRule>
  </conditionalFormatting>
  <conditionalFormatting sqref="H37:AG37">
    <cfRule type="expression" dxfId="0" priority="40" text="null">
      <formula>AND($C37&lt;&gt;"",($F$3+(COLUMN()-8)*7)&gt;=$C37,($F$3+(COLUMN()-8)*7)&lt;$D37)</formula>
    </cfRule>
  </conditionalFormatting>
  <conditionalFormatting sqref="H37:AG37">
    <cfRule type="expression" dxfId="1" priority="39" text="null">
      <formula>AND($C37&lt;&gt;"",($F$3+(COLUMN()-8)*7)&gt;=$C37,($F$3+(COLUMN()-8)*7)&lt;$D37,($F$3+(COLUMN()-8)*7)&lt;($C37+($D37-$C37)*$F37))</formula>
    </cfRule>
  </conditionalFormatting>
  <conditionalFormatting sqref="F37">
    <cfRule type="cellIs" dxfId="2" priority="38" operator="equal" text="null">
      <formula>1</formula>
    </cfRule>
  </conditionalFormatting>
  <conditionalFormatting sqref="F37">
    <cfRule type="cellIs" dxfId="3" priority="37" operator="equal" text="null">
      <formula>0</formula>
    </cfRule>
  </conditionalFormatting>
  <conditionalFormatting sqref="F37">
    <cfRule type="expression" dxfId="4" priority="36" text="null">
      <formula>AND(F37&gt;0,F37&lt;1)</formula>
    </cfRule>
  </conditionalFormatting>
  <conditionalFormatting sqref="H38:AG38">
    <cfRule type="expression" dxfId="0" priority="35" text="null">
      <formula>AND($C38&lt;&gt;"",($F$3+(COLUMN()-8)*7)&gt;=$C38,($F$3+(COLUMN()-8)*7)&lt;$D38)</formula>
    </cfRule>
  </conditionalFormatting>
  <conditionalFormatting sqref="H38:AG38">
    <cfRule type="expression" dxfId="1" priority="34" text="null">
      <formula>AND($C38&lt;&gt;"",($F$3+(COLUMN()-8)*7)&gt;=$C38,($F$3+(COLUMN()-8)*7)&lt;$D38,($F$3+(COLUMN()-8)*7)&lt;($C38+($D38-$C38)*$F38))</formula>
    </cfRule>
  </conditionalFormatting>
  <conditionalFormatting sqref="F38">
    <cfRule type="cellIs" dxfId="2" priority="33" operator="equal" text="null">
      <formula>1</formula>
    </cfRule>
  </conditionalFormatting>
  <conditionalFormatting sqref="F38">
    <cfRule type="cellIs" dxfId="3" priority="32" operator="equal" text="null">
      <formula>0</formula>
    </cfRule>
  </conditionalFormatting>
  <conditionalFormatting sqref="F38">
    <cfRule type="expression" dxfId="4" priority="31" text="null">
      <formula>AND(F38&gt;0,F38&lt;1)</formula>
    </cfRule>
  </conditionalFormatting>
  <conditionalFormatting sqref="H39:AG39">
    <cfRule type="expression" dxfId="0" priority="30" text="null">
      <formula>AND($C39&lt;&gt;"",($F$3+(COLUMN()-8)*7)&gt;=$C39,($F$3+(COLUMN()-8)*7)&lt;$D39)</formula>
    </cfRule>
  </conditionalFormatting>
  <conditionalFormatting sqref="H39:AG39">
    <cfRule type="expression" dxfId="1" priority="29" text="null">
      <formula>AND($C39&lt;&gt;"",($F$3+(COLUMN()-8)*7)&gt;=$C39,($F$3+(COLUMN()-8)*7)&lt;$D39,($F$3+(COLUMN()-8)*7)&lt;($C39+($D39-$C39)*$F39))</formula>
    </cfRule>
  </conditionalFormatting>
  <conditionalFormatting sqref="F39">
    <cfRule type="cellIs" dxfId="2" priority="28" operator="equal" text="null">
      <formula>1</formula>
    </cfRule>
  </conditionalFormatting>
  <conditionalFormatting sqref="F39">
    <cfRule type="cellIs" dxfId="3" priority="27" operator="equal" text="null">
      <formula>0</formula>
    </cfRule>
  </conditionalFormatting>
  <conditionalFormatting sqref="F39">
    <cfRule type="expression" dxfId="4" priority="26" text="null">
      <formula>AND(F39&gt;0,F39&lt;1)</formula>
    </cfRule>
  </conditionalFormatting>
  <conditionalFormatting sqref="H41:AG41">
    <cfRule type="expression" dxfId="0" priority="25" text="null">
      <formula>AND($C41&lt;&gt;"",($F$3+(COLUMN()-8)*7)&gt;=$C41,($F$3+(COLUMN()-8)*7)&lt;$D41)</formula>
    </cfRule>
  </conditionalFormatting>
  <conditionalFormatting sqref="H41:AG41">
    <cfRule type="expression" dxfId="1" priority="24" text="null">
      <formula>AND($C41&lt;&gt;"",($F$3+(COLUMN()-8)*7)&gt;=$C41,($F$3+(COLUMN()-8)*7)&lt;$D41,($F$3+(COLUMN()-8)*7)&lt;($C41+($D41-$C41)*$F41))</formula>
    </cfRule>
  </conditionalFormatting>
  <conditionalFormatting sqref="F41">
    <cfRule type="cellIs" dxfId="2" priority="23" operator="equal" text="null">
      <formula>1</formula>
    </cfRule>
  </conditionalFormatting>
  <conditionalFormatting sqref="F41">
    <cfRule type="cellIs" dxfId="3" priority="22" operator="equal" text="null">
      <formula>0</formula>
    </cfRule>
  </conditionalFormatting>
  <conditionalFormatting sqref="F41">
    <cfRule type="expression" dxfId="4" priority="21" text="null">
      <formula>AND(F41&gt;0,F41&lt;1)</formula>
    </cfRule>
  </conditionalFormatting>
  <conditionalFormatting sqref="H42:AG42">
    <cfRule type="expression" dxfId="0" priority="20" text="null">
      <formula>AND($C42&lt;&gt;"",($F$3+(COLUMN()-8)*7)&gt;=$C42,($F$3+(COLUMN()-8)*7)&lt;$D42)</formula>
    </cfRule>
  </conditionalFormatting>
  <conditionalFormatting sqref="H42:AG42">
    <cfRule type="expression" dxfId="1" priority="19" text="null">
      <formula>AND($C42&lt;&gt;"",($F$3+(COLUMN()-8)*7)&gt;=$C42,($F$3+(COLUMN()-8)*7)&lt;$D42,($F$3+(COLUMN()-8)*7)&lt;($C42+($D42-$C42)*$F42))</formula>
    </cfRule>
  </conditionalFormatting>
  <conditionalFormatting sqref="F42">
    <cfRule type="cellIs" dxfId="2" priority="18" operator="equal" text="null">
      <formula>1</formula>
    </cfRule>
  </conditionalFormatting>
  <conditionalFormatting sqref="F42">
    <cfRule type="cellIs" dxfId="3" priority="17" operator="equal" text="null">
      <formula>0</formula>
    </cfRule>
  </conditionalFormatting>
  <conditionalFormatting sqref="F42">
    <cfRule type="expression" dxfId="4" priority="16" text="null">
      <formula>AND(F42&gt;0,F42&lt;1)</formula>
    </cfRule>
  </conditionalFormatting>
  <conditionalFormatting sqref="H44:AG44">
    <cfRule type="expression" dxfId="0" priority="15" text="null">
      <formula>AND($C44&lt;&gt;"",($F$3+(COLUMN()-8)*7)&gt;=$C44,($F$3+(COLUMN()-8)*7)&lt;$D44)</formula>
    </cfRule>
  </conditionalFormatting>
  <conditionalFormatting sqref="H44:AG44">
    <cfRule type="expression" dxfId="1" priority="14" text="null">
      <formula>AND($C44&lt;&gt;"",($F$3+(COLUMN()-8)*7)&gt;=$C44,($F$3+(COLUMN()-8)*7)&lt;$D44,($F$3+(COLUMN()-8)*7)&lt;($C44+($D44-$C44)*$F44))</formula>
    </cfRule>
  </conditionalFormatting>
  <conditionalFormatting sqref="F44">
    <cfRule type="cellIs" dxfId="2" priority="13" operator="equal" text="null">
      <formula>1</formula>
    </cfRule>
  </conditionalFormatting>
  <conditionalFormatting sqref="F44">
    <cfRule type="cellIs" dxfId="3" priority="12" operator="equal" text="null">
      <formula>0</formula>
    </cfRule>
  </conditionalFormatting>
  <conditionalFormatting sqref="F44">
    <cfRule type="expression" dxfId="4" priority="11" text="null">
      <formula>AND(F44&gt;0,F44&lt;1)</formula>
    </cfRule>
  </conditionalFormatting>
  <conditionalFormatting sqref="H45:AG45">
    <cfRule type="expression" dxfId="0" priority="10" text="null">
      <formula>AND($C45&lt;&gt;"",($F$3+(COLUMN()-8)*7)&gt;=$C45,($F$3+(COLUMN()-8)*7)&lt;$D45)</formula>
    </cfRule>
  </conditionalFormatting>
  <conditionalFormatting sqref="H45:AG45">
    <cfRule type="expression" dxfId="1" priority="9" text="null">
      <formula>AND($C45&lt;&gt;"",($F$3+(COLUMN()-8)*7)&gt;=$C45,($F$3+(COLUMN()-8)*7)&lt;$D45,($F$3+(COLUMN()-8)*7)&lt;($C45+($D45-$C45)*$F45))</formula>
    </cfRule>
  </conditionalFormatting>
  <conditionalFormatting sqref="F45">
    <cfRule type="cellIs" dxfId="2" priority="8" operator="equal" text="null">
      <formula>1</formula>
    </cfRule>
  </conditionalFormatting>
  <conditionalFormatting sqref="F45">
    <cfRule type="cellIs" dxfId="3" priority="7" operator="equal" text="null">
      <formula>0</formula>
    </cfRule>
  </conditionalFormatting>
  <conditionalFormatting sqref="F45">
    <cfRule type="expression" dxfId="4" priority="6" text="null">
      <formula>AND(F45&gt;0,F45&lt;1)</formula>
    </cfRule>
  </conditionalFormatting>
  <conditionalFormatting sqref="H46:AG46">
    <cfRule type="expression" dxfId="0" priority="5" text="null">
      <formula>AND($C46&lt;&gt;"",($F$3+(COLUMN()-8)*7)&gt;=$C46,($F$3+(COLUMN()-8)*7)&lt;$D46)</formula>
    </cfRule>
  </conditionalFormatting>
  <conditionalFormatting sqref="H46:AG46">
    <cfRule type="expression" dxfId="1" priority="4" text="null">
      <formula>AND($C46&lt;&gt;"",($F$3+(COLUMN()-8)*7)&gt;=$C46,($F$3+(COLUMN()-8)*7)&lt;$D46,($F$3+(COLUMN()-8)*7)&lt;($C46+($D46-$C46)*$F46))</formula>
    </cfRule>
  </conditionalFormatting>
  <conditionalFormatting sqref="F46">
    <cfRule type="cellIs" dxfId="2" priority="3" operator="equal" text="null">
      <formula>1</formula>
    </cfRule>
  </conditionalFormatting>
  <conditionalFormatting sqref="F46">
    <cfRule type="cellIs" dxfId="3" priority="2" operator="equal" text="null">
      <formula>0</formula>
    </cfRule>
  </conditionalFormatting>
  <conditionalFormatting sqref="F46">
    <cfRule type="expression" dxfId="4" priority="1" text="null">
      <formula>AND(F46&gt;0,F46&lt;1)</formula>
    </cfRule>
  </conditionalFormatting>
  <dataValidations count="2">
    <dataValidation allowBlank="1" error="Invalid %: Enter a value between 0% and 100%" errorTitle="Invalid Entry" prompt="Enter a value between 0% and 100%" promptTitle="% Complete" showErrorMessage="1" showInputMessage="1" sqref="F7 F8 F9 F10 F11 F12 F13 F14 F15 F16 F17 F18 F19 F20 F21 F22 F23 F24 F25 F26 F27 F28 F29 F30 F31 F32 F33 F34 F35 F36 F37 F38 F39 F40 F41 F42 F43 F44 F45 F46" type="decimal">
      <formula1>0</formula1>
      <formula2>1</formula2>
    </dataValidation>
    <dataValidation allowBlank="1" error="Please select a contractor from the dropdown list." errorTitle="Invalid Entry" prompt="Select a contractor" promptTitle="Assigned To" showErrorMessage="1" showInputMessage="1" sqref="G7 G8 G9 G10 G11 G12 G13 G14 G15 G16 G17 G18 G19 G20 G21 G22 G23 G24 G25 G26 G27 G28 G29 G30 G31 G32 G33 G34 G35 G36 G37 G38 G39 G40 G41 G42 G43 G44 G45 G46" type="list">
      <formula1>""Owner,Acme Survey,GradePro,CityWorks,SolidBase Inc.,FrameRight,TopCover,ExteriorPros,AllTrades MEP,DryWall Plus,FinishLine,LandscapeCo,BuildRight,Other""</formula1>
    </dataValidation>
  </dataValidations>
  <printOptions/>
  <pageMargins left="0.7" right="0.7" top="0.75" bottom="0.75" header="0.3" footer="0.3"/>
  <pageSetup paperSize="1" pageOrder="downThenOver"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Shortcut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Shortcut</dc:creator>
  <cp:lastModifiedBy>Shortcut</cp:lastModifiedBy>
  <dcterms:created xsi:type="dcterms:W3CDTF">2025-05-22T23:41:35Z</dcterms:created>
  <dcterms:modified xsi:type="dcterms:W3CDTF">2025-05-22T23:45:09Z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deb21e14-58c9-4464-b89e-28a1fed78821</vt:lpwstr>
  </property>
</Properties>
</file>