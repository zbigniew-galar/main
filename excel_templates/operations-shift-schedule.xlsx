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Shift Schedule" sheetId="1"/>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<sst xmlns="http://schemas.openxmlformats.org/spreadsheetml/2006/main" count="43" uniqueCount="43">
  <si>
    <t>Shift Schedule</t>
  </si>
  <si>
    <t>Shift Legend</t>
  </si>
  <si>
    <t>Week of:</t>
  </si>
  <si>
    <t>M = Morning</t>
  </si>
  <si>
    <t>6:00 AM - 2:00 PM</t>
  </si>
  <si>
    <t>Department:</t>
  </si>
  <si>
    <t>Operations</t>
  </si>
  <si>
    <t>A = Afternoon</t>
  </si>
  <si>
    <t>2:00 PM - 10:00 PM</t>
  </si>
  <si>
    <t>N = Night</t>
  </si>
  <si>
    <t>10:00 PM - 6:00 AM</t>
  </si>
  <si>
    <t>Employee Name</t>
  </si>
  <si>
    <t>Monday</t>
  </si>
  <si>
    <t>Tuesday</t>
  </si>
  <si>
    <t>Wednesday</t>
  </si>
  <si>
    <t>Thursday</t>
  </si>
  <si>
    <t>Friday</t>
  </si>
  <si>
    <t>Saturday</t>
  </si>
  <si>
    <t>Sunday</t>
  </si>
  <si>
    <t>Total Shifts</t>
  </si>
  <si>
    <t>Total Hours</t>
  </si>
  <si>
    <t>O = Off</t>
  </si>
  <si>
    <t>—</t>
  </si>
  <si>
    <t>Sarah Johnson</t>
  </si>
  <si>
    <t>M</t>
  </si>
  <si>
    <t>O</t>
  </si>
  <si>
    <t>Hours per Shift:</t>
  </si>
  <si>
    <t>James Williams</t>
  </si>
  <si>
    <t>A</t>
  </si>
  <si>
    <t>Maria Garcia</t>
  </si>
  <si>
    <t>N</t>
  </si>
  <si>
    <t>David Chen</t>
  </si>
  <si>
    <t>Emily Brown</t>
  </si>
  <si>
    <t>Robert Taylor</t>
  </si>
  <si>
    <t>Lisa Anderson</t>
  </si>
  <si>
    <t>Michael Lee</t>
  </si>
  <si>
    <t>Jennifer Martinez</t>
  </si>
  <si>
    <t>Kevin Wilson</t>
  </si>
  <si>
    <t>Daily Coverage Summary</t>
  </si>
  <si>
    <t>Morning (M)</t>
  </si>
  <si>
    <t>Afternoon (A)</t>
  </si>
  <si>
    <t>Night (N)</t>
  </si>
  <si>
    <t>Total Staff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</si>
</sst>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1" formatCode="mm/dd/yyyy"/>
    <numFmt numFmtId="172" formatCode="mm/dd"/>
  </numFmts>
  <fonts count="10">
    <font>
      <b val="0"/>
      <i val="0"/>
      <sz val="12"/>
      <color theme="1"/>
      <name val="Aptos Narrow"/>
      <scheme val="minor"/>
    </font>
    <font>
      <b/>
      <i val="0"/>
      <sz val="16"/>
      <color rgb="FF2A3A59"/>
      <name val="Aptos"/>
    </font>
    <font>
      <b/>
      <i val="0"/>
      <sz val="11"/>
      <color rgb="FFFFFFFF"/>
      <name val="Aptos"/>
    </font>
    <font>
      <b/>
      <i val="0"/>
      <sz val="11"/>
      <color theme="1"/>
      <name val="Aptos"/>
    </font>
    <font>
      <b/>
      <i val="0"/>
      <sz val="11"/>
      <color rgb="FF0070C0"/>
      <name val="Aptos"/>
    </font>
    <font>
      <b val="0"/>
      <i val="0"/>
      <sz val="11"/>
      <color theme="1"/>
      <name val="Aptos"/>
    </font>
    <font>
      <b val="0"/>
      <i val="0"/>
      <sz val="11"/>
      <color rgb="FF0070C0"/>
      <name val="Aptos"/>
    </font>
    <font>
      <b val="0"/>
      <i val="0"/>
      <sz val="11"/>
      <color rgb="FF000000"/>
      <name val="Aptos"/>
    </font>
    <font>
      <b/>
      <i val="0"/>
      <sz val="11"/>
      <color rgb="FF000000"/>
      <name val="Aptos"/>
    </font>
    <font>
      <b/>
      <i val="0"/>
      <sz val="12"/>
      <color rgb="FFFFFFFF"/>
      <name val="Aptos"/>
    </font>
  </fonts>
  <fills count="10">
    <fill>
      <patternFill patternType="none"/>
    </fill>
    <fill>
      <patternFill patternType="gray125"/>
    </fill>
    <fill>
      <patternFill patternType="solid">
        <fgColor rgb="FF4E6B8B"/>
      </patternFill>
    </fill>
    <fill>
      <patternFill patternType="solid">
        <fgColor rgb="FFD3EFDA"/>
      </patternFill>
    </fill>
    <fill>
      <patternFill patternType="solid">
        <fgColor rgb="FFFCE8D5"/>
      </patternFill>
    </fill>
    <fill>
      <patternFill patternType="solid">
        <fgColor rgb="FFF2D1E2"/>
      </patternFill>
    </fill>
    <fill>
      <patternFill patternType="solid">
        <fgColor rgb="FFF2F2F2"/>
      </patternFill>
    </fill>
    <fill>
      <patternFill patternType="solid">
        <fgColor rgb="FFDAE6F0"/>
      </patternFill>
    </fill>
    <fill>
      <patternFill patternType="solid">
        <fgColor rgb="FFFFFFFF"/>
      </patternFill>
    </fill>
    <fill>
      <patternFill patternType="solid">
        <fgColor rgb="FFEFF3F7"/>
      </patternFill>
    </fill>
  </fills>
  <borders count="11">
    <border>
      <left/>
      <right/>
      <top/>
      <bottom/>
    </border>
    <border>
      <left/>
      <right/>
      <top/>
      <bottom/>
      <diagonal/>
    </border>
    <border>
      <left style="thin">
        <color rgb="FFC0C0C0"/>
      </left>
      <right/>
      <top style="thin">
        <color rgb="FFC0C0C0"/>
      </top>
      <bottom/>
      <diagonal/>
    </border>
    <border>
      <left style="thin">
        <color rgb="FFC0C0C0"/>
      </left>
      <right style="thin">
        <color rgb="FFC0C0C0"/>
      </right>
      <top style="thin">
        <color rgb="FFC0C0C0"/>
      </top>
      <bottom/>
      <diagonal/>
    </border>
    <border>
      <left style="thin">
        <color rgb="FFD8D8D8"/>
      </left>
      <right/>
      <top style="thin">
        <color rgb="FFD8D8D8"/>
      </top>
      <bottom/>
      <diagonal/>
    </border>
    <border>
      <left style="thin">
        <color rgb="FFD8D8D8"/>
      </left>
      <right style="thin">
        <color rgb="FFD8D8D8"/>
      </right>
      <top style="thin">
        <color rgb="FFD8D8D8"/>
      </top>
      <bottom/>
      <diagonal/>
    </border>
    <border>
      <left style="thin">
        <color rgb="FFD8D8D8"/>
      </left>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D8D8D8"/>
      </left>
      <right style="thin">
        <color rgb="FFD8D8D8"/>
      </right>
      <top/>
      <bottom/>
      <diagonal/>
    </border>
  </borders>
  <cellStyleXfs count="1">
    <xf numFmtId="0" fontId="0" fillId="0" borderId="1"/>
  </cellStyleXfs>
  <cellXfs count="43">
    <xf numFmtId="0" fontId="0" fillId="0" borderId="1" xfId="0"/>
    <xf numFmtId="0" fontId="1" fillId="0" borderId="1" xfId="0"/>
    <xf numFmtId="0" fontId="2" fillId="2" borderId="1" xfId="0"/>
    <xf numFmtId="0" fontId="3" fillId="0" borderId="1" xfId="0"/>
    <xf numFmtId="171" fontId="4" fillId="0" borderId="1" xfId="0"/>
    <xf numFmtId="0" fontId="5" fillId="3" borderId="1" xfId="0"/>
    <xf numFmtId="0" fontId="6" fillId="0" borderId="1" xfId="0"/>
    <xf numFmtId="0" fontId="5" fillId="4" borderId="1" xfId="0"/>
    <xf numFmtId="0" fontId="5" fillId="5" borderId="1" xfId="0"/>
    <xf numFmtId="0" fontId="2" fillId="2" borderId="2" xfId="0">
      <alignment horizontal="center" vertical="center"/>
    </xf>
    <xf numFmtId="0" fontId="2" fillId="2" borderId="3" xfId="0">
      <alignment horizontal="center" vertical="center"/>
    </xf>
    <xf numFmtId="0" fontId="5" fillId="6" borderId="1" xfId="0"/>
    <xf numFmtId="0" fontId="5" fillId="7" borderId="2" xfId="0"/>
    <xf numFmtId="172" fontId="7" fillId="7" borderId="2" xfId="0">
      <alignment horizontal="center" vertical="bottom"/>
    </xf>
    <xf numFmtId="0" fontId="5" fillId="7" borderId="3" xfId="0"/>
    <xf numFmtId="0" fontId="5" fillId="8" borderId="4" xfId="0"/>
    <xf numFmtId="0" fontId="4" fillId="8" borderId="4" xfId="0">
      <alignment horizontal="center" vertical="bottom"/>
    </xf>
    <xf numFmtId="1" fontId="8" fillId="8" borderId="4" xfId="0">
      <alignment horizontal="center" vertical="bottom"/>
    </xf>
    <xf numFmtId="1" fontId="8" fillId="8" borderId="5" xfId="0">
      <alignment horizontal="center" vertical="bottom"/>
    </xf>
    <xf numFmtId="1" fontId="6" fillId="0" borderId="1" xfId="0"/>
    <xf numFmtId="0" fontId="5" fillId="9" borderId="4" xfId="0"/>
    <xf numFmtId="0" fontId="4" fillId="9" borderId="4" xfId="0">
      <alignment horizontal="center" vertical="bottom"/>
    </xf>
    <xf numFmtId="1" fontId="8" fillId="9" borderId="4" xfId="0">
      <alignment horizontal="center" vertical="bottom"/>
    </xf>
    <xf numFmtId="1" fontId="8" fillId="9" borderId="5" xfId="0">
      <alignment horizontal="center" vertical="bottom"/>
    </xf>
    <xf numFmtId="0" fontId="5" fillId="9" borderId="6" xfId="0"/>
    <xf numFmtId="0" fontId="4" fillId="9" borderId="6" xfId="0">
      <alignment horizontal="center" vertical="bottom"/>
    </xf>
    <xf numFmtId="1" fontId="8" fillId="9" borderId="6" xfId="0">
      <alignment horizontal="center" vertical="bottom"/>
    </xf>
    <xf numFmtId="1" fontId="8" fillId="9" borderId="7" xfId="0">
      <alignment horizontal="center" vertical="bottom"/>
    </xf>
    <xf numFmtId="0" fontId="9" fillId="2" borderId="8" xfId="0"/>
    <xf numFmtId="0" fontId="2" fillId="2" borderId="8" xfId="0">
      <alignment horizontal="center" vertical="center"/>
    </xf>
    <xf numFmtId="0" fontId="2" fillId="2" borderId="9" xfId="0">
      <alignment horizontal="center" vertical="center"/>
    </xf>
    <xf numFmtId="0" fontId="3" fillId="3" borderId="5" xfId="0"/>
    <xf numFmtId="0" fontId="7" fillId="3" borderId="4" xfId="0">
      <alignment horizontal="center" vertical="bottom"/>
    </xf>
    <xf numFmtId="0" fontId="7" fillId="3" borderId="10" xfId="0">
      <alignment horizontal="center" vertical="bottom"/>
    </xf>
    <xf numFmtId="0" fontId="3" fillId="4" borderId="5" xfId="0"/>
    <xf numFmtId="0" fontId="7" fillId="4" borderId="4" xfId="0">
      <alignment horizontal="center" vertical="bottom"/>
    </xf>
    <xf numFmtId="0" fontId="7" fillId="4" borderId="5" xfId="0">
      <alignment horizontal="center" vertical="bottom"/>
    </xf>
    <xf numFmtId="0" fontId="3" fillId="5" borderId="5" xfId="0"/>
    <xf numFmtId="0" fontId="7" fillId="5" borderId="4" xfId="0">
      <alignment horizontal="center" vertical="bottom"/>
    </xf>
    <xf numFmtId="0" fontId="7" fillId="5" borderId="5" xfId="0">
      <alignment horizontal="center" vertical="bottom"/>
    </xf>
    <xf numFmtId="0" fontId="3" fillId="7" borderId="7" xfId="0"/>
    <xf numFmtId="0" fontId="8" fillId="7" borderId="6" xfId="0">
      <alignment horizontal="center" vertical="bottom"/>
    </xf>
    <xf numFmtId="0" fontId="8" fillId="7" borderId="7" xfId="0">
      <alignment horizontal="center" vertical="bottom"/>
    </xf>
  </cellXfs>
  <cellStyles count="1">
    <cellStyle name="Normal" xfId="0" builtinId="0"/>
  </cellStyles>
  <dxfs count="5">
    <dxf>
      <font>
        <color rgb="FF006100"/>
      </font>
    </dxf>
    <dxf>
      <font>
        <color rgb="FF1159C6"/>
      </font>
    </dxf>
    <dxf>
      <font>
        <color rgb="FFA03070"/>
      </font>
    </dxf>
    <dxf>
      <font>
        <color rgb="FFA6A6A6"/>
      </font>
    </dxf>
    <dxf>
      <font>
        <b/>
        <sz val="8.25"/>
        <color rgb="FFCC0000"/>
        <name val="Aptos"/>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D68D908-0C6C-8F68-A10C-46F265F640B8}" mc:Ignorable="x14ac xr xr2 xr3">
  <dimension ref="A1:CV10000"/>
  <sheetViews>
    <sheetView showGridLines="0" zoomScale="90" workbookViewId="0" tabSelected="1">
      <pane xSplit="2" ySplit="7" topLeftCell="C8" activePane="bottomRight" state="frozen"/>
      <selection pane="bottomLeft" activeCell="A8" sqref="A8"/>
      <selection pane="topRight" activeCell="C1" sqref="C1"/>
      <selection pane="bottomRight" activeCell="A1" sqref="A1"/>
    </sheetView>
  </sheetViews>
  <sheetFormatPr defaultRowHeight="15.997499999999997" defaultColWidth="9.00390625" customHeight="1"/>
  <cols>
    <col min="1" max="1" width="3.00390625" customWidth="1"/>
    <col min="2" max="2" width="21.25390625" customWidth="1"/>
    <col min="3" max="9" width="12.75390625" customWidth="1"/>
    <col min="10" max="10" width="10.00390625" customWidth="1"/>
    <col min="11" max="11" width="11.875" customWidth="1"/>
    <col min="12" max="12" width="3.00390625" customWidth="1"/>
    <col min="13" max="13" width="15.625" customWidth="1"/>
    <col min="14" max="14" width="20.00390625" customWidth="1"/>
  </cols>
  <sheetData>
    <row r="1" ht="16.5" customHeight="1"/>
    <row r="2" ht="22.5" customHeight="1">
      <c r="B2" s="1" t="s">
        <v>0</v>
      </c>
      <c r="M2" s="2" t="s">
        <v>1</v>
      </c>
      <c r="N2" s="2"/>
    </row>
    <row r="3" ht="15.75" customHeight="1">
      <c r="B3" s="3" t="s">
        <v>2</v>
      </c>
      <c r="C3" s="4">
        <v>46097</v>
      </c>
      <c r="M3" s="5" t="s">
        <v>3</v>
      </c>
      <c r="N3" s="5" t="s">
        <v>4</v>
      </c>
    </row>
    <row r="4" ht="15.75" customHeight="1">
      <c r="B4" s="3" t="s">
        <v>5</v>
      </c>
      <c r="C4" s="6" t="s">
        <v>6</v>
      </c>
      <c r="M4" s="7" t="s">
        <v>7</v>
      </c>
      <c r="N4" s="7" t="s">
        <v>8</v>
      </c>
    </row>
    <row r="5" ht="15" customHeight="1">
      <c r="M5" s="8" t="s">
        <v>9</v>
      </c>
      <c r="N5" s="8" t="s">
        <v>10</v>
      </c>
    </row>
    <row r="6" ht="24" customHeight="1">
      <c r="B6" s="9" t="s">
        <v>11</v>
      </c>
      <c r="C6" s="9" t="s">
        <v>12</v>
      </c>
      <c r="D6" s="9" t="s">
        <v>13</v>
      </c>
      <c r="E6" s="9" t="s">
        <v>14</v>
      </c>
      <c r="F6" s="9" t="s">
        <v>15</v>
      </c>
      <c r="G6" s="9" t="s">
        <v>16</v>
      </c>
      <c r="H6" s="9" t="s">
        <v>17</v>
      </c>
      <c r="I6" s="9" t="s">
        <v>18</v>
      </c>
      <c r="J6" s="9" t="s">
        <v>19</v>
      </c>
      <c r="K6" s="10" t="s">
        <v>20</v>
      </c>
      <c r="M6" s="11" t="s">
        <v>21</v>
      </c>
      <c r="N6" s="11" t="s">
        <v>22</v>
      </c>
    </row>
    <row r="7" ht="18" customHeight="1">
      <c r="B7" s="12"/>
      <c r="C7" s="13">
        <f>C3+0</f>
        <v>46097</v>
      </c>
      <c r="D7" s="13">
        <f>C3+1</f>
        <v>46098</v>
      </c>
      <c r="E7" s="13">
        <f>C3+2</f>
        <v>46099</v>
      </c>
      <c r="F7" s="13">
        <f>C3+3</f>
        <v>46100</v>
      </c>
      <c r="G7" s="13">
        <f>C3+4</f>
        <v>46101</v>
      </c>
      <c r="H7" s="13">
        <f>C3+5</f>
        <v>46102</v>
      </c>
      <c r="I7" s="13">
        <f>C3+6</f>
        <v>46103</v>
      </c>
      <c r="J7" s="12"/>
      <c r="K7" s="14"/>
    </row>
    <row r="8" ht="15.75" customHeight="1">
      <c r="B8" s="15" t="s">
        <v>23</v>
      </c>
      <c r="C8" s="16" t="s">
        <v>24</v>
      </c>
      <c r="D8" s="16" t="s">
        <v>24</v>
      </c>
      <c r="E8" s="16" t="s">
        <v>24</v>
      </c>
      <c r="F8" s="16" t="s">
        <v>24</v>
      </c>
      <c r="G8" s="16" t="s">
        <v>24</v>
      </c>
      <c r="H8" s="16" t="s">
        <v>25</v>
      </c>
      <c r="I8" s="16" t="s">
        <v>25</v>
      </c>
      <c r="J8" s="17">
        <f t="shared" si="0" ref="J8:J17">COUNTIF(C8:I8,"M")+COUNTIF(C8:I8,"A")+COUNTIF(C8:I8,"N")</f>
        <v>5</v>
      </c>
      <c r="K8" s="18">
        <f t="shared" si="1" ref="K8:K17">J8*$N$8</f>
        <v>40</v>
      </c>
      <c r="M8" s="3" t="s">
        <v>26</v>
      </c>
      <c r="N8" s="19">
        <v>8</v>
      </c>
    </row>
    <row r="9" ht="15.75" customHeight="1">
      <c r="B9" s="20" t="s">
        <v>27</v>
      </c>
      <c r="C9" s="21" t="s">
        <v>28</v>
      </c>
      <c r="D9" s="21" t="s">
        <v>28</v>
      </c>
      <c r="E9" s="21" t="s">
        <v>25</v>
      </c>
      <c r="F9" s="21" t="s">
        <v>28</v>
      </c>
      <c r="G9" s="21" t="s">
        <v>28</v>
      </c>
      <c r="H9" s="21" t="s">
        <v>28</v>
      </c>
      <c r="I9" s="21" t="s">
        <v>25</v>
      </c>
      <c r="J9" s="22">
        <f t="shared" si="0"/>
        <v>5</v>
      </c>
      <c r="K9" s="23">
        <f t="shared" si="1"/>
        <v>40</v>
      </c>
    </row>
    <row r="10" ht="15.75" customHeight="1">
      <c r="B10" s="15" t="s">
        <v>29</v>
      </c>
      <c r="C10" s="16" t="s">
        <v>30</v>
      </c>
      <c r="D10" s="16" t="s">
        <v>30</v>
      </c>
      <c r="E10" s="16" t="s">
        <v>30</v>
      </c>
      <c r="F10" s="16" t="s">
        <v>25</v>
      </c>
      <c r="G10" s="16" t="s">
        <v>30</v>
      </c>
      <c r="H10" s="16" t="s">
        <v>25</v>
      </c>
      <c r="I10" s="16" t="s">
        <v>30</v>
      </c>
      <c r="J10" s="17">
        <f t="shared" si="0"/>
        <v>5</v>
      </c>
      <c r="K10" s="18">
        <f t="shared" si="1"/>
        <v>40</v>
      </c>
    </row>
    <row r="11" ht="15.75" customHeight="1">
      <c r="B11" s="20" t="s">
        <v>31</v>
      </c>
      <c r="C11" s="21" t="s">
        <v>24</v>
      </c>
      <c r="D11" s="21" t="s">
        <v>25</v>
      </c>
      <c r="E11" s="21" t="s">
        <v>24</v>
      </c>
      <c r="F11" s="21" t="s">
        <v>24</v>
      </c>
      <c r="G11" s="21" t="s">
        <v>25</v>
      </c>
      <c r="H11" s="21" t="s">
        <v>24</v>
      </c>
      <c r="I11" s="21" t="s">
        <v>24</v>
      </c>
      <c r="J11" s="22">
        <f t="shared" si="0"/>
        <v>5</v>
      </c>
      <c r="K11" s="23">
        <f t="shared" si="1"/>
        <v>40</v>
      </c>
    </row>
    <row r="12" ht="15.75" customHeight="1">
      <c r="B12" s="15" t="s">
        <v>32</v>
      </c>
      <c r="C12" s="16" t="s">
        <v>25</v>
      </c>
      <c r="D12" s="16" t="s">
        <v>28</v>
      </c>
      <c r="E12" s="16" t="s">
        <v>28</v>
      </c>
      <c r="F12" s="16" t="s">
        <v>28</v>
      </c>
      <c r="G12" s="16" t="s">
        <v>28</v>
      </c>
      <c r="H12" s="16" t="s">
        <v>25</v>
      </c>
      <c r="I12" s="16" t="s">
        <v>28</v>
      </c>
      <c r="J12" s="17">
        <f t="shared" si="0"/>
        <v>5</v>
      </c>
      <c r="K12" s="18">
        <f t="shared" si="1"/>
        <v>40</v>
      </c>
    </row>
    <row r="13" ht="15.75" customHeight="1">
      <c r="B13" s="20" t="s">
        <v>33</v>
      </c>
      <c r="C13" s="21" t="s">
        <v>28</v>
      </c>
      <c r="D13" s="21" t="s">
        <v>28</v>
      </c>
      <c r="E13" s="21" t="s">
        <v>28</v>
      </c>
      <c r="F13" s="21" t="s">
        <v>25</v>
      </c>
      <c r="G13" s="21" t="s">
        <v>25</v>
      </c>
      <c r="H13" s="21" t="s">
        <v>30</v>
      </c>
      <c r="I13" s="21" t="s">
        <v>30</v>
      </c>
      <c r="J13" s="22">
        <f t="shared" si="0"/>
        <v>5</v>
      </c>
      <c r="K13" s="23">
        <f t="shared" si="1"/>
        <v>40</v>
      </c>
    </row>
    <row r="14" ht="15.75" customHeight="1">
      <c r="B14" s="15" t="s">
        <v>34</v>
      </c>
      <c r="C14" s="16" t="s">
        <v>24</v>
      </c>
      <c r="D14" s="16" t="s">
        <v>24</v>
      </c>
      <c r="E14" s="16" t="s">
        <v>25</v>
      </c>
      <c r="F14" s="16" t="s">
        <v>24</v>
      </c>
      <c r="G14" s="16" t="s">
        <v>24</v>
      </c>
      <c r="H14" s="16" t="s">
        <v>24</v>
      </c>
      <c r="I14" s="16" t="s">
        <v>25</v>
      </c>
      <c r="J14" s="17">
        <f t="shared" si="0"/>
        <v>5</v>
      </c>
      <c r="K14" s="18">
        <f t="shared" si="1"/>
        <v>40</v>
      </c>
    </row>
    <row r="15" ht="15.75" customHeight="1">
      <c r="B15" s="20" t="s">
        <v>35</v>
      </c>
      <c r="C15" s="21" t="s">
        <v>30</v>
      </c>
      <c r="D15" s="21" t="s">
        <v>25</v>
      </c>
      <c r="E15" s="21" t="s">
        <v>30</v>
      </c>
      <c r="F15" s="21" t="s">
        <v>30</v>
      </c>
      <c r="G15" s="21" t="s">
        <v>25</v>
      </c>
      <c r="H15" s="21" t="s">
        <v>30</v>
      </c>
      <c r="I15" s="21" t="s">
        <v>30</v>
      </c>
      <c r="J15" s="22">
        <f t="shared" si="0"/>
        <v>5</v>
      </c>
      <c r="K15" s="23">
        <f t="shared" si="1"/>
        <v>40</v>
      </c>
    </row>
    <row r="16" ht="15.75" customHeight="1">
      <c r="B16" s="15" t="s">
        <v>36</v>
      </c>
      <c r="C16" s="16" t="s">
        <v>25</v>
      </c>
      <c r="D16" s="16" t="s">
        <v>24</v>
      </c>
      <c r="E16" s="16" t="s">
        <v>24</v>
      </c>
      <c r="F16" s="16" t="s">
        <v>25</v>
      </c>
      <c r="G16" s="16" t="s">
        <v>28</v>
      </c>
      <c r="H16" s="16" t="s">
        <v>28</v>
      </c>
      <c r="I16" s="16" t="s">
        <v>25</v>
      </c>
      <c r="J16" s="17">
        <f t="shared" si="0"/>
        <v>4</v>
      </c>
      <c r="K16" s="18">
        <f t="shared" si="1"/>
        <v>32</v>
      </c>
    </row>
    <row r="17" ht="15.75" customHeight="1">
      <c r="B17" s="24" t="s">
        <v>37</v>
      </c>
      <c r="C17" s="25" t="s">
        <v>24</v>
      </c>
      <c r="D17" s="25" t="s">
        <v>28</v>
      </c>
      <c r="E17" s="25" t="s">
        <v>25</v>
      </c>
      <c r="F17" s="25" t="s">
        <v>28</v>
      </c>
      <c r="G17" s="25" t="s">
        <v>24</v>
      </c>
      <c r="H17" s="25" t="s">
        <v>25</v>
      </c>
      <c r="I17" s="25" t="s">
        <v>24</v>
      </c>
      <c r="J17" s="26">
        <f t="shared" si="0"/>
        <v>5</v>
      </c>
      <c r="K17" s="27">
        <f t="shared" si="1"/>
        <v>40</v>
      </c>
    </row>
    <row r="18" ht="9.75" customHeight="1"/>
    <row r="19" ht="24" customHeight="1">
      <c r="B19" s="28" t="s">
        <v>38</v>
      </c>
      <c r="C19" s="29" t="s">
        <v>12</v>
      </c>
      <c r="D19" s="29" t="s">
        <v>13</v>
      </c>
      <c r="E19" s="29" t="s">
        <v>14</v>
      </c>
      <c r="F19" s="29" t="s">
        <v>15</v>
      </c>
      <c r="G19" s="29" t="s">
        <v>16</v>
      </c>
      <c r="H19" s="29" t="s">
        <v>17</v>
      </c>
      <c r="I19" s="30" t="s">
        <v>18</v>
      </c>
    </row>
    <row r="20" ht="15.75" customHeight="1">
      <c r="B20" s="31" t="s">
        <v>39</v>
      </c>
      <c r="C20" s="32">
        <f t="shared" si="2" ref="C20:I20">COUNTIF(C8:C17,"M")</f>
        <v>4</v>
      </c>
      <c r="D20" s="32">
        <f t="shared" si="2"/>
        <v>3</v>
      </c>
      <c r="E20" s="32">
        <f t="shared" si="2"/>
        <v>3</v>
      </c>
      <c r="F20" s="32">
        <f t="shared" si="2"/>
        <v>3</v>
      </c>
      <c r="G20" s="32">
        <f t="shared" si="2"/>
        <v>3</v>
      </c>
      <c r="H20" s="32">
        <f t="shared" si="2"/>
        <v>2</v>
      </c>
      <c r="I20" s="33">
        <f t="shared" si="2"/>
        <v>2</v>
      </c>
    </row>
    <row r="21" ht="15.75" customHeight="1">
      <c r="B21" s="34" t="s">
        <v>40</v>
      </c>
      <c r="C21" s="35">
        <f t="shared" si="3" ref="C21:I21">COUNTIF(C8:C17,"A")</f>
        <v>2</v>
      </c>
      <c r="D21" s="35">
        <f t="shared" si="3"/>
        <v>4</v>
      </c>
      <c r="E21" s="35">
        <f t="shared" si="3"/>
        <v>2</v>
      </c>
      <c r="F21" s="35">
        <f t="shared" si="3"/>
        <v>3</v>
      </c>
      <c r="G21" s="35">
        <f t="shared" si="3"/>
        <v>3</v>
      </c>
      <c r="H21" s="35">
        <f t="shared" si="3"/>
        <v>2</v>
      </c>
      <c r="I21" s="36">
        <f t="shared" si="3"/>
        <v>1</v>
      </c>
    </row>
    <row r="22" ht="15.75" customHeight="1">
      <c r="B22" s="37" t="s">
        <v>41</v>
      </c>
      <c r="C22" s="38">
        <f t="shared" si="4" ref="C22:I22">COUNTIF(C8:C17,"N")</f>
        <v>2</v>
      </c>
      <c r="D22" s="38">
        <f t="shared" si="4"/>
        <v>1</v>
      </c>
      <c r="E22" s="38">
        <f t="shared" si="4"/>
        <v>2</v>
      </c>
      <c r="F22" s="38">
        <f t="shared" si="4"/>
        <v>1</v>
      </c>
      <c r="G22" s="38">
        <f t="shared" si="4"/>
        <v>1</v>
      </c>
      <c r="H22" s="38">
        <f t="shared" si="4"/>
        <v>2</v>
      </c>
      <c r="I22" s="39">
        <f t="shared" si="4"/>
        <v>3</v>
      </c>
    </row>
    <row r="23" ht="15.75" customHeight="1">
      <c r="B23" s="40" t="s">
        <v>42</v>
      </c>
      <c r="C23" s="41">
        <f t="shared" si="5" ref="C23:I23">SUM(C20:C22)</f>
        <v>8</v>
      </c>
      <c r="D23" s="41">
        <f t="shared" si="5"/>
        <v>8</v>
      </c>
      <c r="E23" s="41">
        <f t="shared" si="5"/>
        <v>7</v>
      </c>
      <c r="F23" s="41">
        <f t="shared" si="5"/>
        <v>7</v>
      </c>
      <c r="G23" s="41">
        <f t="shared" si="5"/>
        <v>7</v>
      </c>
      <c r="H23" s="41">
        <f t="shared" si="5"/>
        <v>6</v>
      </c>
      <c r="I23" s="42">
        <f t="shared" si="5"/>
        <v>6</v>
      </c>
    </row>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C8:I17">
    <cfRule type="cellIs" dxfId="0" priority="5" operator="equal" text="null">
      <formula>"M"</formula>
    </cfRule>
  </conditionalFormatting>
  <conditionalFormatting sqref="C8:I17">
    <cfRule type="cellIs" dxfId="1" priority="4" operator="equal" text="null">
      <formula>"A"</formula>
    </cfRule>
  </conditionalFormatting>
  <conditionalFormatting sqref="C8:I17">
    <cfRule type="cellIs" dxfId="2" priority="3" operator="equal" text="null">
      <formula>"N"</formula>
    </cfRule>
  </conditionalFormatting>
  <conditionalFormatting sqref="C8:I17">
    <cfRule type="cellIs" dxfId="3" priority="2" operator="equal" text="null">
      <formula>"O"</formula>
    </cfRule>
  </conditionalFormatting>
  <conditionalFormatting sqref="K8:K17">
    <cfRule type="cellIs" dxfId="4" priority="1" operator="greaterThan" text="null">
      <formula>40</formula>
    </cfRule>
  </conditionalFormatting>
  <dataValidations count="1">
    <dataValidation allowBlank="1" prompt="Shift Code: M=Morning, A=Afternoon, N=Night, O=Off" promptTitle="Shift Code" showErrorMessage="1" showInputMessage="1" sqref="C8 D8 E8 F8 G8 H8 I8 C9 D9 E9 F9 G9 H9 I9 C10 D10 E10 F10 G10 H10 I10 C11 D11 E11 F11 G11 H11 I11 C12 D12 E12 F12 G12 H12 I12 C13 D13 E13 F13 G13 H13 I13 C14 D14 E14 F14 G14 H14 I14 C15 D15 E15 F15 G15 H15 I15 C16 D16 E16 F16 G16 H16 I16 C17 D17 E17 F17 G17 H17 I17" type="list">
      <formula1>"M,A,N,O"</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85b42d56-b090-497f-acf6-218efc69e156</vt:lpwstr>
  </property>
</Properties>
</file>