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Relationship Id="rId4" Type="http://schemas.openxmlformats.org/officeDocument/2006/relationships/custom-properties" Target="/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r:id="rId1" name="Fiscal-Year-Calendar" sheetId="1"/>
  </sheets>
  <calcPr calcId="0" iterateCount="100" iterateDelta="0.00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<sst xmlns="http://schemas.openxmlformats.org/spreadsheetml/2006/main" count="28" uniqueCount="28">
  <si>
    <t>FISCAL YEAR CALENDAR</t>
  </si>
  <si>
    <t>Start Month</t>
  </si>
  <si>
    <t>Jan 2026 - Dec 2026</t>
  </si>
  <si>
    <t>Fiscal Year</t>
  </si>
  <si>
    <t>Q1</t>
  </si>
  <si>
    <t>January 2026</t>
  </si>
  <si>
    <t>February 2026</t>
  </si>
  <si>
    <t>March 2026</t>
  </si>
  <si>
    <t>Sun</t>
  </si>
  <si>
    <t>Mon</t>
  </si>
  <si>
    <t>Tue</t>
  </si>
  <si>
    <t>Wed</t>
  </si>
  <si>
    <t>Thu</t>
  </si>
  <si>
    <t>Fri</t>
  </si>
  <si>
    <t>Sat</t>
  </si>
  <si>
    <t/>
  </si>
  <si>
    <t>Q2</t>
  </si>
  <si>
    <t>April 2026</t>
  </si>
  <si>
    <t>May 2026</t>
  </si>
  <si>
    <t>June 2026</t>
  </si>
  <si>
    <t>Q3</t>
  </si>
  <si>
    <t>July 2026</t>
  </si>
  <si>
    <t>August 2026</t>
  </si>
  <si>
    <t>September 2026</t>
  </si>
  <si>
    <t>Q4</t>
  </si>
  <si>
    <t>October 2026</t>
  </si>
  <si>
    <t>November 2026</t>
  </si>
  <si>
    <t>December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</si>
</sst>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b val="0"/>
      <i val="0"/>
      <sz val="12"/>
      <color theme="1"/>
      <name val="Aptos Narrow"/>
      <scheme val="minor"/>
    </font>
    <font>
      <b/>
      <i val="0"/>
      <sz val="16"/>
      <color rgb="FF1F4E79"/>
      <name val="Aptos Narrow"/>
    </font>
    <font>
      <b/>
      <i val="0"/>
      <sz val="11"/>
      <color rgb="FF0000FF"/>
      <name val="Aptos Narrow"/>
    </font>
    <font>
      <b val="0"/>
      <i val="0"/>
      <sz val="10"/>
      <color rgb="FF666666"/>
      <name val="Aptos Narrow"/>
    </font>
    <font>
      <b/>
      <i val="0"/>
      <sz val="11"/>
      <color rgb="FF1F4E79"/>
      <name val="Aptos Narrow"/>
    </font>
    <font>
      <b/>
      <i val="0"/>
      <sz val="10"/>
      <color rgb="FF1F4E79"/>
      <name val="Aptos Narrow"/>
    </font>
    <font>
      <b/>
      <i val="0"/>
      <sz val="11"/>
      <color rgb="FFFFFFFF"/>
      <name val="Aptos Narrow"/>
    </font>
    <font>
      <b/>
      <i val="0"/>
      <sz val="10"/>
      <color rgb="FFFFFFFF"/>
      <name val="Aptos Narrow"/>
    </font>
    <font>
      <b val="0"/>
      <i val="0"/>
      <sz val="10"/>
      <color rgb="FF333333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5B9BD5"/>
      </patternFill>
    </fill>
    <fill>
      <patternFill patternType="solid">
        <fgColor rgb="FFF2F7FB"/>
      </patternFill>
    </fill>
  </fills>
  <borders count="5">
    <border>
      <left/>
      <right/>
      <top/>
      <bottom/>
    </border>
    <border>
      <left/>
      <right/>
      <top/>
      <bottom/>
      <diagonal/>
    </border>
    <border>
      <left/>
      <right/>
      <top/>
      <bottom style="medium">
        <color rgb="FF1F4E79"/>
      </bottom>
      <diagonal/>
    </border>
    <border>
      <left/>
      <right/>
      <top/>
      <bottom style="thin">
        <color rgb="FF1F4E79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1"/>
  </cellStyleXfs>
  <cellXfs count="13">
    <xf numFmtId="0" fontId="0" fillId="0" borderId="1" xfId="0"/>
    <xf numFmtId="0" fontId="1" fillId="0" borderId="2" xfId="0">
      <alignment horizontal="left" vertical="center"/>
    </xf>
    <xf numFmtId="0" fontId="0" fillId="0" borderId="2" xfId="0"/>
    <xf numFmtId="0" fontId="2" fillId="0" borderId="2" xfId="0">
      <alignment horizontal="center" vertical="center"/>
    </xf>
    <xf numFmtId="0" fontId="3" fillId="0" borderId="2" xfId="0">
      <alignment horizontal="left" vertical="center"/>
    </xf>
    <xf numFmtId="0" fontId="4" fillId="0" borderId="2" xfId="0">
      <alignment horizontal="right" vertical="center"/>
    </xf>
    <xf numFmtId="0" fontId="2" fillId="0" borderId="3" xfId="0">
      <alignment horizontal="center" vertical="center"/>
    </xf>
    <xf numFmtId="0" fontId="3" fillId="0" borderId="1" xfId="0">
      <alignment horizontal="left" vertical="center"/>
    </xf>
    <xf numFmtId="0" fontId="5" fillId="0" borderId="1" xfId="0">
      <alignment horizontal="left" vertical="center"/>
    </xf>
    <xf numFmtId="0" fontId="6" fillId="2" borderId="1" xfId="0">
      <alignment horizontal="center" vertical="center"/>
    </xf>
    <xf numFmtId="0" fontId="7" fillId="3" borderId="1" xfId="0">
      <alignment horizontal="center" vertical="center"/>
    </xf>
    <xf numFmtId="0" fontId="8" fillId="0" borderId="4" xfId="0">
      <alignment horizontal="center" vertical="center"/>
    </xf>
    <xf numFmtId="0" fontId="8" fillId="4" borderId="4" xfId="0">
      <alignment horizontal="center" vertical="center"/>
    </xf>
  </cellXfs>
  <cellStyles count="1">
    <cellStyle name="Normal" xfId="0" builtinId="0"/>
  </cellStyles>
  <dxfs count="1">
    <dxf>
      <fill>
        <patternFill patternType="solid">
          <fgColor rgb="FFFFD700"/>
          <bgColor rgb="FFFFD700"/>
        </patternFill>
      </fill>
    </dxf>
  </dxfs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65EC94C8-0D58-2ACA-411F-CBAB6D778568}" mc:Ignorable="x14ac xr xr2 xr3">
  <dimension ref="A1:CV10000"/>
  <sheetViews>
    <sheetView showGridLines="0" topLeftCell="L1" zoomScale="90" workbookViewId="0" tabSelected="1">
      <pane ySplit="3" topLeftCell="A4" activePane="bottomLeft" state="frozen"/>
      <selection pane="bottomLeft" activeCell="AB22" sqref="AB22"/>
    </sheetView>
  </sheetViews>
  <sheetFormatPr defaultRowHeight="15.997499999999997" defaultColWidth="9.00390625" customHeight="1"/>
  <cols>
    <col min="1" max="1" width="2.75390625" customWidth="1"/>
    <col min="2" max="8" width="5.50390625" customWidth="1"/>
    <col min="9" max="9" width="2.75390625" customWidth="1"/>
    <col min="10" max="16" width="5.50390625" customWidth="1"/>
    <col min="17" max="17" width="2.75390625" customWidth="1"/>
    <col min="18" max="19" width="5.50390625" customWidth="1"/>
    <col min="20" max="22" width="6.875" customWidth="1"/>
    <col min="23" max="24" width="5.50390625" customWidth="1"/>
  </cols>
  <sheetData>
    <row r="1" ht="16.5" customHeight="1"/>
    <row r="2" ht="22.5" customHeight="1">
      <c r="B2" s="1" t="s">
        <v>0</v>
      </c>
      <c r="C2" s="1"/>
      <c r="D2" s="1"/>
      <c r="E2" s="1"/>
      <c r="F2" s="1"/>
      <c r="G2" s="1"/>
      <c r="H2" s="1"/>
      <c r="I2" s="2"/>
      <c r="J2" s="2"/>
      <c r="K2" s="2"/>
      <c r="L2" s="2"/>
      <c r="M2" s="2"/>
      <c r="N2" s="2"/>
      <c r="O2" s="3">
        <v>1</v>
      </c>
      <c r="P2" s="4" t="s">
        <v>1</v>
      </c>
      <c r="Q2" s="2"/>
      <c r="R2" s="2"/>
      <c r="S2" s="2"/>
      <c r="T2" s="5" t="str">
        <f>TEXT(DATE(IF(MOD(O2-1,12)+1&lt;O2,O3+1,O3),MOD(O2-1,12)+1,1),"MMM")&amp;" "&amp;O3&amp;" - "&amp;TEXT(DATE(IF(MOD(O2+11-1,12)+1&lt;O2,O3+1,O3),MOD(O2+11-1,12)+1,1),"MMM YYYY")</f>
        <v>Jan 2026 - Dec 2026</v>
      </c>
      <c r="U2" s="5"/>
      <c r="V2" s="5"/>
      <c r="W2" s="2"/>
      <c r="X2" s="2"/>
    </row>
    <row r="3" ht="15.75" customHeight="1">
      <c r="O3" s="6">
        <v>2026</v>
      </c>
      <c r="P3" s="7" t="s">
        <v>3</v>
      </c>
    </row>
    <row r="4" ht="16.5" customHeight="1"/>
    <row r="5" ht="15" customHeight="1">
      <c r="B5" s="8" t="s">
        <v>4</v>
      </c>
    </row>
    <row r="6" ht="15.75" customHeight="1">
      <c r="B6" s="9" t="str">
        <f>TEXT(DATE(IF(MOD($O$2+0-1,12)+1&lt;$O$2,$O$3+1,$O$3),MOD($O$2+0-1,12)+1,1),"MMMM YYYY")</f>
        <v>January 2026</v>
      </c>
      <c r="C6" s="9"/>
      <c r="D6" s="9"/>
      <c r="E6" s="9"/>
      <c r="F6" s="9"/>
      <c r="G6" s="9"/>
      <c r="H6" s="9"/>
      <c r="J6" s="9" t="str">
        <f>TEXT(DATE(IF(MOD($O$2+1-1,12)+1&lt;$O$2,$O$3+1,$O$3),MOD($O$2+1-1,12)+1,1),"MMMM YYYY")</f>
        <v>February 2026</v>
      </c>
      <c r="K6" s="9"/>
      <c r="L6" s="9"/>
      <c r="M6" s="9"/>
      <c r="N6" s="9"/>
      <c r="O6" s="9"/>
      <c r="P6" s="9"/>
      <c r="R6" s="9" t="str">
        <f>TEXT(DATE(IF(MOD($O$2+2-1,12)+1&lt;$O$2,$O$3+1,$O$3),MOD($O$2+2-1,12)+1,1),"MMMM YYYY")</f>
        <v>March 2026</v>
      </c>
      <c r="S6" s="9"/>
      <c r="T6" s="9"/>
      <c r="U6" s="9"/>
      <c r="V6" s="9"/>
      <c r="W6" s="9"/>
      <c r="X6" s="9"/>
    </row>
    <row r="7" ht="15" customHeight="1">
      <c r="B7" s="10" t="s">
        <v>8</v>
      </c>
      <c r="C7" s="10" t="s">
        <v>9</v>
      </c>
      <c r="D7" s="10" t="s">
        <v>10</v>
      </c>
      <c r="E7" s="10" t="s">
        <v>11</v>
      </c>
      <c r="F7" s="10" t="s">
        <v>12</v>
      </c>
      <c r="G7" s="10" t="s">
        <v>13</v>
      </c>
      <c r="H7" s="10" t="s">
        <v>14</v>
      </c>
      <c r="J7" s="10" t="s">
        <v>8</v>
      </c>
      <c r="K7" s="10" t="s">
        <v>9</v>
      </c>
      <c r="L7" s="10" t="s">
        <v>10</v>
      </c>
      <c r="M7" s="10" t="s">
        <v>11</v>
      </c>
      <c r="N7" s="10" t="s">
        <v>12</v>
      </c>
      <c r="O7" s="10" t="s">
        <v>13</v>
      </c>
      <c r="P7" s="10" t="s">
        <v>14</v>
      </c>
      <c r="R7" s="10" t="s">
        <v>8</v>
      </c>
      <c r="S7" s="10" t="s">
        <v>9</v>
      </c>
      <c r="T7" s="10" t="s">
        <v>10</v>
      </c>
      <c r="U7" s="10" t="s">
        <v>11</v>
      </c>
      <c r="V7" s="10" t="s">
        <v>12</v>
      </c>
      <c r="W7" s="10" t="s">
        <v>13</v>
      </c>
      <c r="X7" s="10" t="s">
        <v>14</v>
      </c>
    </row>
    <row r="8" ht="14.25" customHeight="1">
      <c r="B8" s="11" t="str">
        <f t="shared" si="0" ref="B8:H13">IF(AND((ROW()-8)*7+(COLUMN()-2)+2-WEEKDAY(DATE(IF(MOD($O$2+0-1,12)+1&lt;$O$2,$O$3+1,$O$3),MOD($O$2+0-1,12)+1,1))&gt;=1,(ROW()-8)*7+(COLUMN()-2)+2-WEEKDAY(DATE(IF(MOD($O$2+0-1,12)+1&lt;$O$2,$O$3+1,$O$3),MOD($O$2+0-1,12)+1,1))&lt;=DAY(EOMONTH(DATE(IF(MOD($O$2+0-1,12)+1&lt;$O$2,$O$3+1,$O$3),MOD($O$2+0-1,12)+1,1),0))),(ROW()-8)*7+(COLUMN()-2)+2-WEEKDAY(DATE(IF(MOD($O$2+0-1,12)+1&lt;$O$2,$O$3+1,$O$3),MOD($O$2+0-1,12)+1,1)),"")</f>
        <v/>
      </c>
      <c r="C8" s="11" t="str">
        <f t="shared" si="0"/>
        <v/>
      </c>
      <c r="D8" s="11" t="str">
        <f t="shared" si="0"/>
        <v/>
      </c>
      <c r="E8" s="11" t="str">
        <f t="shared" si="0"/>
        <v/>
      </c>
      <c r="F8" s="11">
        <f t="shared" si="0"/>
        <v>1</v>
      </c>
      <c r="G8" s="11">
        <f t="shared" si="0"/>
        <v>2</v>
      </c>
      <c r="H8" s="11">
        <f t="shared" si="0"/>
        <v>3</v>
      </c>
      <c r="J8" s="11">
        <f t="shared" si="1" ref="J8:P13">IF(AND((ROW()-8)*7+(COLUMN()-10)+2-WEEKDAY(DATE(IF(MOD($O$2+1-1,12)+1&lt;$O$2,$O$3+1,$O$3),MOD($O$2+1-1,12)+1,1))&gt;=1,(ROW()-8)*7+(COLUMN()-10)+2-WEEKDAY(DATE(IF(MOD($O$2+1-1,12)+1&lt;$O$2,$O$3+1,$O$3),MOD($O$2+1-1,12)+1,1))&lt;=DAY(EOMONTH(DATE(IF(MOD($O$2+1-1,12)+1&lt;$O$2,$O$3+1,$O$3),MOD($O$2+1-1,12)+1,1),0))),(ROW()-8)*7+(COLUMN()-10)+2-WEEKDAY(DATE(IF(MOD($O$2+1-1,12)+1&lt;$O$2,$O$3+1,$O$3),MOD($O$2+1-1,12)+1,1)),"")</f>
        <v>1</v>
      </c>
      <c r="K8" s="11">
        <f t="shared" si="1"/>
        <v>2</v>
      </c>
      <c r="L8" s="11">
        <f t="shared" si="1"/>
        <v>3</v>
      </c>
      <c r="M8" s="11">
        <f t="shared" si="1"/>
        <v>4</v>
      </c>
      <c r="N8" s="11">
        <f t="shared" si="1"/>
        <v>5</v>
      </c>
      <c r="O8" s="11">
        <f t="shared" si="1"/>
        <v>6</v>
      </c>
      <c r="P8" s="11">
        <f t="shared" si="1"/>
        <v>7</v>
      </c>
      <c r="R8" s="11">
        <f t="shared" si="2" ref="R8:X13">IF(AND((ROW()-8)*7+(COLUMN()-18)+2-WEEKDAY(DATE(IF(MOD($O$2+2-1,12)+1&lt;$O$2,$O$3+1,$O$3),MOD($O$2+2-1,12)+1,1))&gt;=1,(ROW()-8)*7+(COLUMN()-18)+2-WEEKDAY(DATE(IF(MOD($O$2+2-1,12)+1&lt;$O$2,$O$3+1,$O$3),MOD($O$2+2-1,12)+1,1))&lt;=DAY(EOMONTH(DATE(IF(MOD($O$2+2-1,12)+1&lt;$O$2,$O$3+1,$O$3),MOD($O$2+2-1,12)+1,1),0))),(ROW()-8)*7+(COLUMN()-18)+2-WEEKDAY(DATE(IF(MOD($O$2+2-1,12)+1&lt;$O$2,$O$3+1,$O$3),MOD($O$2+2-1,12)+1,1)),"")</f>
        <v>1</v>
      </c>
      <c r="S8" s="11">
        <f t="shared" si="2"/>
        <v>2</v>
      </c>
      <c r="T8" s="11">
        <f t="shared" si="2"/>
        <v>3</v>
      </c>
      <c r="U8" s="11">
        <f t="shared" si="2"/>
        <v>4</v>
      </c>
      <c r="V8" s="11">
        <f t="shared" si="2"/>
        <v>5</v>
      </c>
      <c r="W8" s="11">
        <f t="shared" si="2"/>
        <v>6</v>
      </c>
      <c r="X8" s="11">
        <f t="shared" si="2"/>
        <v>7</v>
      </c>
    </row>
    <row r="9" ht="14.25" customHeight="1">
      <c r="B9" s="12">
        <f t="shared" si="0"/>
        <v>4</v>
      </c>
      <c r="C9" s="12">
        <f t="shared" si="0"/>
        <v>5</v>
      </c>
      <c r="D9" s="12">
        <f t="shared" si="0"/>
        <v>6</v>
      </c>
      <c r="E9" s="12">
        <f t="shared" si="0"/>
        <v>7</v>
      </c>
      <c r="F9" s="12">
        <f t="shared" si="0"/>
        <v>8</v>
      </c>
      <c r="G9" s="12">
        <f t="shared" si="0"/>
        <v>9</v>
      </c>
      <c r="H9" s="12">
        <f t="shared" si="0"/>
        <v>10</v>
      </c>
      <c r="J9" s="12">
        <f t="shared" si="1"/>
        <v>8</v>
      </c>
      <c r="K9" s="12">
        <f t="shared" si="1"/>
        <v>9</v>
      </c>
      <c r="L9" s="12">
        <f t="shared" si="1"/>
        <v>10</v>
      </c>
      <c r="M9" s="12">
        <f t="shared" si="1"/>
        <v>11</v>
      </c>
      <c r="N9" s="12">
        <f t="shared" si="1"/>
        <v>12</v>
      </c>
      <c r="O9" s="12">
        <f t="shared" si="1"/>
        <v>13</v>
      </c>
      <c r="P9" s="12">
        <f t="shared" si="1"/>
        <v>14</v>
      </c>
      <c r="R9" s="12">
        <f t="shared" si="2"/>
        <v>8</v>
      </c>
      <c r="S9" s="12">
        <f t="shared" si="2"/>
        <v>9</v>
      </c>
      <c r="T9" s="12">
        <f t="shared" si="2"/>
        <v>10</v>
      </c>
      <c r="U9" s="12">
        <f t="shared" si="2"/>
        <v>11</v>
      </c>
      <c r="V9" s="12">
        <f t="shared" si="2"/>
        <v>12</v>
      </c>
      <c r="W9" s="12">
        <f t="shared" si="2"/>
        <v>13</v>
      </c>
      <c r="X9" s="12">
        <f t="shared" si="2"/>
        <v>14</v>
      </c>
    </row>
    <row r="10" ht="14.25" customHeight="1">
      <c r="B10" s="11">
        <f t="shared" si="0"/>
        <v>11</v>
      </c>
      <c r="C10" s="11">
        <f t="shared" si="0"/>
        <v>12</v>
      </c>
      <c r="D10" s="11">
        <f t="shared" si="0"/>
        <v>13</v>
      </c>
      <c r="E10" s="11">
        <f t="shared" si="0"/>
        <v>14</v>
      </c>
      <c r="F10" s="11">
        <f t="shared" si="0"/>
        <v>15</v>
      </c>
      <c r="G10" s="11">
        <f t="shared" si="0"/>
        <v>16</v>
      </c>
      <c r="H10" s="11">
        <f t="shared" si="0"/>
        <v>17</v>
      </c>
      <c r="J10" s="11">
        <f t="shared" si="1"/>
        <v>15</v>
      </c>
      <c r="K10" s="11">
        <f t="shared" si="1"/>
        <v>16</v>
      </c>
      <c r="L10" s="11">
        <f t="shared" si="1"/>
        <v>17</v>
      </c>
      <c r="M10" s="11">
        <f t="shared" si="1"/>
        <v>18</v>
      </c>
      <c r="N10" s="11">
        <f t="shared" si="1"/>
        <v>19</v>
      </c>
      <c r="O10" s="11">
        <f t="shared" si="1"/>
        <v>20</v>
      </c>
      <c r="P10" s="11">
        <f t="shared" si="1"/>
        <v>21</v>
      </c>
      <c r="R10" s="11">
        <f t="shared" si="2"/>
        <v>15</v>
      </c>
      <c r="S10" s="11">
        <f t="shared" si="2"/>
        <v>16</v>
      </c>
      <c r="T10" s="11">
        <f t="shared" si="2"/>
        <v>17</v>
      </c>
      <c r="U10" s="11">
        <f t="shared" si="2"/>
        <v>18</v>
      </c>
      <c r="V10" s="11">
        <f t="shared" si="2"/>
        <v>19</v>
      </c>
      <c r="W10" s="11">
        <f t="shared" si="2"/>
        <v>20</v>
      </c>
      <c r="X10" s="11">
        <f t="shared" si="2"/>
        <v>21</v>
      </c>
    </row>
    <row r="11" ht="14.25" customHeight="1">
      <c r="B11" s="12">
        <f t="shared" si="0"/>
        <v>18</v>
      </c>
      <c r="C11" s="12">
        <f t="shared" si="0"/>
        <v>19</v>
      </c>
      <c r="D11" s="12">
        <f t="shared" si="0"/>
        <v>20</v>
      </c>
      <c r="E11" s="12">
        <f t="shared" si="0"/>
        <v>21</v>
      </c>
      <c r="F11" s="12">
        <f t="shared" si="0"/>
        <v>22</v>
      </c>
      <c r="G11" s="12">
        <f t="shared" si="0"/>
        <v>23</v>
      </c>
      <c r="H11" s="12">
        <f t="shared" si="0"/>
        <v>24</v>
      </c>
      <c r="J11" s="12">
        <f t="shared" si="1"/>
        <v>22</v>
      </c>
      <c r="K11" s="12">
        <f t="shared" si="1"/>
        <v>23</v>
      </c>
      <c r="L11" s="12">
        <f t="shared" si="1"/>
        <v>24</v>
      </c>
      <c r="M11" s="12">
        <f t="shared" si="1"/>
        <v>25</v>
      </c>
      <c r="N11" s="12">
        <f t="shared" si="1"/>
        <v>26</v>
      </c>
      <c r="O11" s="12">
        <f t="shared" si="1"/>
        <v>27</v>
      </c>
      <c r="P11" s="12">
        <f t="shared" si="1"/>
        <v>28</v>
      </c>
      <c r="R11" s="12">
        <f t="shared" si="2"/>
        <v>22</v>
      </c>
      <c r="S11" s="12">
        <f t="shared" si="2"/>
        <v>23</v>
      </c>
      <c r="T11" s="12">
        <f t="shared" si="2"/>
        <v>24</v>
      </c>
      <c r="U11" s="12">
        <f t="shared" si="2"/>
        <v>25</v>
      </c>
      <c r="V11" s="12">
        <f t="shared" si="2"/>
        <v>26</v>
      </c>
      <c r="W11" s="12">
        <f t="shared" si="2"/>
        <v>27</v>
      </c>
      <c r="X11" s="12">
        <f t="shared" si="2"/>
        <v>28</v>
      </c>
    </row>
    <row r="12" ht="14.25" customHeight="1">
      <c r="B12" s="11">
        <f t="shared" si="0"/>
        <v>25</v>
      </c>
      <c r="C12" s="11">
        <f t="shared" si="0"/>
        <v>26</v>
      </c>
      <c r="D12" s="11">
        <f t="shared" si="0"/>
        <v>27</v>
      </c>
      <c r="E12" s="11">
        <f t="shared" si="0"/>
        <v>28</v>
      </c>
      <c r="F12" s="11">
        <f t="shared" si="0"/>
        <v>29</v>
      </c>
      <c r="G12" s="11">
        <f t="shared" si="0"/>
        <v>30</v>
      </c>
      <c r="H12" s="11">
        <f t="shared" si="0"/>
        <v>31</v>
      </c>
      <c r="J12" s="11" t="str">
        <f t="shared" si="1"/>
        <v/>
      </c>
      <c r="K12" s="11" t="str">
        <f t="shared" si="1"/>
        <v/>
      </c>
      <c r="L12" s="11" t="str">
        <f t="shared" si="1"/>
        <v/>
      </c>
      <c r="M12" s="11" t="str">
        <f t="shared" si="1"/>
        <v/>
      </c>
      <c r="N12" s="11" t="str">
        <f t="shared" si="1"/>
        <v/>
      </c>
      <c r="O12" s="11" t="str">
        <f t="shared" si="1"/>
        <v/>
      </c>
      <c r="P12" s="11" t="str">
        <f t="shared" si="1"/>
        <v/>
      </c>
      <c r="R12" s="11">
        <f t="shared" si="2"/>
        <v>29</v>
      </c>
      <c r="S12" s="11">
        <f t="shared" si="2"/>
        <v>30</v>
      </c>
      <c r="T12" s="11">
        <f t="shared" si="2"/>
        <v>31</v>
      </c>
      <c r="U12" s="11" t="str">
        <f t="shared" si="2"/>
        <v/>
      </c>
      <c r="V12" s="11" t="str">
        <f t="shared" si="2"/>
        <v/>
      </c>
      <c r="W12" s="11" t="str">
        <f t="shared" si="2"/>
        <v/>
      </c>
      <c r="X12" s="11" t="str">
        <f t="shared" si="2"/>
        <v/>
      </c>
    </row>
    <row r="13" ht="14.25" customHeight="1">
      <c r="B13" s="12" t="str">
        <f t="shared" si="0"/>
        <v/>
      </c>
      <c r="C13" s="12" t="str">
        <f t="shared" si="0"/>
        <v/>
      </c>
      <c r="D13" s="12" t="str">
        <f t="shared" si="0"/>
        <v/>
      </c>
      <c r="E13" s="12" t="str">
        <f t="shared" si="0"/>
        <v/>
      </c>
      <c r="F13" s="12" t="str">
        <f t="shared" si="0"/>
        <v/>
      </c>
      <c r="G13" s="12" t="str">
        <f t="shared" si="0"/>
        <v/>
      </c>
      <c r="H13" s="12" t="str">
        <f t="shared" si="0"/>
        <v/>
      </c>
      <c r="J13" s="12" t="str">
        <f t="shared" si="1"/>
        <v/>
      </c>
      <c r="K13" s="12" t="str">
        <f t="shared" si="1"/>
        <v/>
      </c>
      <c r="L13" s="12" t="str">
        <f t="shared" si="1"/>
        <v/>
      </c>
      <c r="M13" s="12" t="str">
        <f t="shared" si="1"/>
        <v/>
      </c>
      <c r="N13" s="12" t="str">
        <f t="shared" si="1"/>
        <v/>
      </c>
      <c r="O13" s="12" t="str">
        <f t="shared" si="1"/>
        <v/>
      </c>
      <c r="P13" s="12" t="str">
        <f t="shared" si="1"/>
        <v/>
      </c>
      <c r="R13" s="12" t="str">
        <f t="shared" si="2"/>
        <v/>
      </c>
      <c r="S13" s="12" t="str">
        <f t="shared" si="2"/>
        <v/>
      </c>
      <c r="T13" s="12" t="str">
        <f t="shared" si="2"/>
        <v/>
      </c>
      <c r="U13" s="12" t="str">
        <f t="shared" si="2"/>
        <v/>
      </c>
      <c r="V13" s="12" t="str">
        <f t="shared" si="2"/>
        <v/>
      </c>
      <c r="W13" s="12" t="str">
        <f t="shared" si="2"/>
        <v/>
      </c>
      <c r="X13" s="12" t="str">
        <f t="shared" si="2"/>
        <v/>
      </c>
    </row>
    <row r="14" ht="16.5" customHeight="1"/>
    <row r="15" ht="16.5" customHeight="1"/>
    <row r="16" ht="15" customHeight="1">
      <c r="B16" s="8" t="s">
        <v>16</v>
      </c>
    </row>
    <row r="17" ht="15.75" customHeight="1">
      <c r="B17" s="9" t="str">
        <f>TEXT(DATE(IF(MOD($O$2+3-1,12)+1&lt;$O$2,$O$3+1,$O$3),MOD($O$2+3-1,12)+1,1),"MMMM YYYY")</f>
        <v>April 2026</v>
      </c>
      <c r="C17" s="9"/>
      <c r="D17" s="9"/>
      <c r="E17" s="9"/>
      <c r="F17" s="9"/>
      <c r="G17" s="9"/>
      <c r="H17" s="9"/>
      <c r="J17" s="9" t="str">
        <f>TEXT(DATE(IF(MOD($O$2+4-1,12)+1&lt;$O$2,$O$3+1,$O$3),MOD($O$2+4-1,12)+1,1),"MMMM YYYY")</f>
        <v>May 2026</v>
      </c>
      <c r="K17" s="9"/>
      <c r="L17" s="9"/>
      <c r="M17" s="9"/>
      <c r="N17" s="9"/>
      <c r="O17" s="9"/>
      <c r="P17" s="9"/>
      <c r="R17" s="9" t="str">
        <f>TEXT(DATE(IF(MOD($O$2+5-1,12)+1&lt;$O$2,$O$3+1,$O$3),MOD($O$2+5-1,12)+1,1),"MMMM YYYY")</f>
        <v>June 2026</v>
      </c>
      <c r="S17" s="9"/>
      <c r="T17" s="9"/>
      <c r="U17" s="9"/>
      <c r="V17" s="9"/>
      <c r="W17" s="9"/>
      <c r="X17" s="9"/>
    </row>
    <row r="18" ht="15" customHeight="1">
      <c r="B18" s="10" t="s">
        <v>8</v>
      </c>
      <c r="C18" s="10" t="s">
        <v>9</v>
      </c>
      <c r="D18" s="10" t="s">
        <v>10</v>
      </c>
      <c r="E18" s="10" t="s">
        <v>11</v>
      </c>
      <c r="F18" s="10" t="s">
        <v>12</v>
      </c>
      <c r="G18" s="10" t="s">
        <v>13</v>
      </c>
      <c r="H18" s="10" t="s">
        <v>14</v>
      </c>
      <c r="J18" s="10" t="s">
        <v>8</v>
      </c>
      <c r="K18" s="10" t="s">
        <v>9</v>
      </c>
      <c r="L18" s="10" t="s">
        <v>10</v>
      </c>
      <c r="M18" s="10" t="s">
        <v>11</v>
      </c>
      <c r="N18" s="10" t="s">
        <v>12</v>
      </c>
      <c r="O18" s="10" t="s">
        <v>13</v>
      </c>
      <c r="P18" s="10" t="s">
        <v>14</v>
      </c>
      <c r="R18" s="10" t="s">
        <v>8</v>
      </c>
      <c r="S18" s="10" t="s">
        <v>9</v>
      </c>
      <c r="T18" s="10" t="s">
        <v>10</v>
      </c>
      <c r="U18" s="10" t="s">
        <v>11</v>
      </c>
      <c r="V18" s="10" t="s">
        <v>12</v>
      </c>
      <c r="W18" s="10" t="s">
        <v>13</v>
      </c>
      <c r="X18" s="10" t="s">
        <v>14</v>
      </c>
    </row>
    <row r="19" ht="14.25" customHeight="1">
      <c r="B19" s="11" t="str">
        <f t="shared" si="3" ref="B19:H24">IF(AND((ROW()-19)*7+(COLUMN()-2)+2-WEEKDAY(DATE(IF(MOD($O$2+3-1,12)+1&lt;$O$2,$O$3+1,$O$3),MOD($O$2+3-1,12)+1,1))&gt;=1,(ROW()-19)*7+(COLUMN()-2)+2-WEEKDAY(DATE(IF(MOD($O$2+3-1,12)+1&lt;$O$2,$O$3+1,$O$3),MOD($O$2+3-1,12)+1,1))&lt;=DAY(EOMONTH(DATE(IF(MOD($O$2+3-1,12)+1&lt;$O$2,$O$3+1,$O$3),MOD($O$2+3-1,12)+1,1),0))),(ROW()-19)*7+(COLUMN()-2)+2-WEEKDAY(DATE(IF(MOD($O$2+3-1,12)+1&lt;$O$2,$O$3+1,$O$3),MOD($O$2+3-1,12)+1,1)),"")</f>
        <v/>
      </c>
      <c r="C19" s="11" t="str">
        <f t="shared" si="3"/>
        <v/>
      </c>
      <c r="D19" s="11" t="str">
        <f t="shared" si="3"/>
        <v/>
      </c>
      <c r="E19" s="11">
        <f t="shared" si="3"/>
        <v>1</v>
      </c>
      <c r="F19" s="11">
        <f t="shared" si="3"/>
        <v>2</v>
      </c>
      <c r="G19" s="11">
        <f t="shared" si="3"/>
        <v>3</v>
      </c>
      <c r="H19" s="11">
        <f t="shared" si="3"/>
        <v>4</v>
      </c>
      <c r="J19" s="11" t="str">
        <f t="shared" si="4" ref="J19:P24">IF(AND((ROW()-19)*7+(COLUMN()-10)+2-WEEKDAY(DATE(IF(MOD($O$2+4-1,12)+1&lt;$O$2,$O$3+1,$O$3),MOD($O$2+4-1,12)+1,1))&gt;=1,(ROW()-19)*7+(COLUMN()-10)+2-WEEKDAY(DATE(IF(MOD($O$2+4-1,12)+1&lt;$O$2,$O$3+1,$O$3),MOD($O$2+4-1,12)+1,1))&lt;=DAY(EOMONTH(DATE(IF(MOD($O$2+4-1,12)+1&lt;$O$2,$O$3+1,$O$3),MOD($O$2+4-1,12)+1,1),0))),(ROW()-19)*7+(COLUMN()-10)+2-WEEKDAY(DATE(IF(MOD($O$2+4-1,12)+1&lt;$O$2,$O$3+1,$O$3),MOD($O$2+4-1,12)+1,1)),"")</f>
        <v/>
      </c>
      <c r="K19" s="11" t="str">
        <f t="shared" si="4"/>
        <v/>
      </c>
      <c r="L19" s="11" t="str">
        <f t="shared" si="4"/>
        <v/>
      </c>
      <c r="M19" s="11" t="str">
        <f t="shared" si="4"/>
        <v/>
      </c>
      <c r="N19" s="11" t="str">
        <f t="shared" si="4"/>
        <v/>
      </c>
      <c r="O19" s="11">
        <f t="shared" si="4"/>
        <v>1</v>
      </c>
      <c r="P19" s="11">
        <f t="shared" si="4"/>
        <v>2</v>
      </c>
      <c r="R19" s="11" t="str">
        <f t="shared" si="5" ref="R19:X24">IF(AND((ROW()-19)*7+(COLUMN()-18)+2-WEEKDAY(DATE(IF(MOD($O$2+5-1,12)+1&lt;$O$2,$O$3+1,$O$3),MOD($O$2+5-1,12)+1,1))&gt;=1,(ROW()-19)*7+(COLUMN()-18)+2-WEEKDAY(DATE(IF(MOD($O$2+5-1,12)+1&lt;$O$2,$O$3+1,$O$3),MOD($O$2+5-1,12)+1,1))&lt;=DAY(EOMONTH(DATE(IF(MOD($O$2+5-1,12)+1&lt;$O$2,$O$3+1,$O$3),MOD($O$2+5-1,12)+1,1),0))),(ROW()-19)*7+(COLUMN()-18)+2-WEEKDAY(DATE(IF(MOD($O$2+5-1,12)+1&lt;$O$2,$O$3+1,$O$3),MOD($O$2+5-1,12)+1,1)),"")</f>
        <v/>
      </c>
      <c r="S19" s="11">
        <f t="shared" si="5"/>
        <v>1</v>
      </c>
      <c r="T19" s="11">
        <f t="shared" si="5"/>
        <v>2</v>
      </c>
      <c r="U19" s="11">
        <f t="shared" si="5"/>
        <v>3</v>
      </c>
      <c r="V19" s="11">
        <f t="shared" si="5"/>
        <v>4</v>
      </c>
      <c r="W19" s="11">
        <f t="shared" si="5"/>
        <v>5</v>
      </c>
      <c r="X19" s="11">
        <f t="shared" si="5"/>
        <v>6</v>
      </c>
    </row>
    <row r="20" ht="14.25" customHeight="1">
      <c r="B20" s="12">
        <f t="shared" si="3"/>
        <v>5</v>
      </c>
      <c r="C20" s="12">
        <f t="shared" si="3"/>
        <v>6</v>
      </c>
      <c r="D20" s="12">
        <f t="shared" si="3"/>
        <v>7</v>
      </c>
      <c r="E20" s="12">
        <f t="shared" si="3"/>
        <v>8</v>
      </c>
      <c r="F20" s="12">
        <f t="shared" si="3"/>
        <v>9</v>
      </c>
      <c r="G20" s="12">
        <f t="shared" si="3"/>
        <v>10</v>
      </c>
      <c r="H20" s="12">
        <f t="shared" si="3"/>
        <v>11</v>
      </c>
      <c r="J20" s="12">
        <f t="shared" si="4"/>
        <v>3</v>
      </c>
      <c r="K20" s="12">
        <f t="shared" si="4"/>
        <v>4</v>
      </c>
      <c r="L20" s="12">
        <f t="shared" si="4"/>
        <v>5</v>
      </c>
      <c r="M20" s="12">
        <f t="shared" si="4"/>
        <v>6</v>
      </c>
      <c r="N20" s="12">
        <f t="shared" si="4"/>
        <v>7</v>
      </c>
      <c r="O20" s="12">
        <f t="shared" si="4"/>
        <v>8</v>
      </c>
      <c r="P20" s="12">
        <f t="shared" si="4"/>
        <v>9</v>
      </c>
      <c r="R20" s="12">
        <f t="shared" si="5"/>
        <v>7</v>
      </c>
      <c r="S20" s="12">
        <f t="shared" si="5"/>
        <v>8</v>
      </c>
      <c r="T20" s="12">
        <f t="shared" si="5"/>
        <v>9</v>
      </c>
      <c r="U20" s="12">
        <f t="shared" si="5"/>
        <v>10</v>
      </c>
      <c r="V20" s="12">
        <f t="shared" si="5"/>
        <v>11</v>
      </c>
      <c r="W20" s="12">
        <f t="shared" si="5"/>
        <v>12</v>
      </c>
      <c r="X20" s="12">
        <f t="shared" si="5"/>
        <v>13</v>
      </c>
    </row>
    <row r="21" ht="14.25" customHeight="1">
      <c r="B21" s="11">
        <f t="shared" si="3"/>
        <v>12</v>
      </c>
      <c r="C21" s="11">
        <f t="shared" si="3"/>
        <v>13</v>
      </c>
      <c r="D21" s="11">
        <f t="shared" si="3"/>
        <v>14</v>
      </c>
      <c r="E21" s="11">
        <f t="shared" si="3"/>
        <v>15</v>
      </c>
      <c r="F21" s="11">
        <f t="shared" si="3"/>
        <v>16</v>
      </c>
      <c r="G21" s="11">
        <f t="shared" si="3"/>
        <v>17</v>
      </c>
      <c r="H21" s="11">
        <f t="shared" si="3"/>
        <v>18</v>
      </c>
      <c r="J21" s="11">
        <f t="shared" si="4"/>
        <v>10</v>
      </c>
      <c r="K21" s="11">
        <f t="shared" si="4"/>
        <v>11</v>
      </c>
      <c r="L21" s="11">
        <f t="shared" si="4"/>
        <v>12</v>
      </c>
      <c r="M21" s="11">
        <f t="shared" si="4"/>
        <v>13</v>
      </c>
      <c r="N21" s="11">
        <f t="shared" si="4"/>
        <v>14</v>
      </c>
      <c r="O21" s="11">
        <f t="shared" si="4"/>
        <v>15</v>
      </c>
      <c r="P21" s="11">
        <f t="shared" si="4"/>
        <v>16</v>
      </c>
      <c r="R21" s="11">
        <f t="shared" si="5"/>
        <v>14</v>
      </c>
      <c r="S21" s="11">
        <f t="shared" si="5"/>
        <v>15</v>
      </c>
      <c r="T21" s="11">
        <f t="shared" si="5"/>
        <v>16</v>
      </c>
      <c r="U21" s="11">
        <f t="shared" si="5"/>
        <v>17</v>
      </c>
      <c r="V21" s="11">
        <f t="shared" si="5"/>
        <v>18</v>
      </c>
      <c r="W21" s="11">
        <f t="shared" si="5"/>
        <v>19</v>
      </c>
      <c r="X21" s="11">
        <f t="shared" si="5"/>
        <v>20</v>
      </c>
    </row>
    <row r="22" ht="14.25" customHeight="1">
      <c r="B22" s="12">
        <f t="shared" si="3"/>
        <v>19</v>
      </c>
      <c r="C22" s="12">
        <f t="shared" si="3"/>
        <v>20</v>
      </c>
      <c r="D22" s="12">
        <f t="shared" si="3"/>
        <v>21</v>
      </c>
      <c r="E22" s="12">
        <f t="shared" si="3"/>
        <v>22</v>
      </c>
      <c r="F22" s="12">
        <f t="shared" si="3"/>
        <v>23</v>
      </c>
      <c r="G22" s="12">
        <f t="shared" si="3"/>
        <v>24</v>
      </c>
      <c r="H22" s="12">
        <f t="shared" si="3"/>
        <v>25</v>
      </c>
      <c r="J22" s="12">
        <f t="shared" si="4"/>
        <v>17</v>
      </c>
      <c r="K22" s="12">
        <f t="shared" si="4"/>
        <v>18</v>
      </c>
      <c r="L22" s="12">
        <f t="shared" si="4"/>
        <v>19</v>
      </c>
      <c r="M22" s="12">
        <f t="shared" si="4"/>
        <v>20</v>
      </c>
      <c r="N22" s="12">
        <f t="shared" si="4"/>
        <v>21</v>
      </c>
      <c r="O22" s="12">
        <f t="shared" si="4"/>
        <v>22</v>
      </c>
      <c r="P22" s="12">
        <f t="shared" si="4"/>
        <v>23</v>
      </c>
      <c r="R22" s="12">
        <f t="shared" si="5"/>
        <v>21</v>
      </c>
      <c r="S22" s="12">
        <f t="shared" si="5"/>
        <v>22</v>
      </c>
      <c r="T22" s="12">
        <f t="shared" si="5"/>
        <v>23</v>
      </c>
      <c r="U22" s="12">
        <f t="shared" si="5"/>
        <v>24</v>
      </c>
      <c r="V22" s="12">
        <f t="shared" si="5"/>
        <v>25</v>
      </c>
      <c r="W22" s="12">
        <f t="shared" si="5"/>
        <v>26</v>
      </c>
      <c r="X22" s="12">
        <f t="shared" si="5"/>
        <v>27</v>
      </c>
    </row>
    <row r="23" ht="14.25" customHeight="1">
      <c r="B23" s="11">
        <f t="shared" si="3"/>
        <v>26</v>
      </c>
      <c r="C23" s="11">
        <f t="shared" si="3"/>
        <v>27</v>
      </c>
      <c r="D23" s="11">
        <f t="shared" si="3"/>
        <v>28</v>
      </c>
      <c r="E23" s="11">
        <f t="shared" si="3"/>
        <v>29</v>
      </c>
      <c r="F23" s="11">
        <f t="shared" si="3"/>
        <v>30</v>
      </c>
      <c r="G23" s="11" t="str">
        <f t="shared" si="3"/>
        <v/>
      </c>
      <c r="H23" s="11" t="str">
        <f t="shared" si="3"/>
        <v/>
      </c>
      <c r="J23" s="11">
        <f t="shared" si="4"/>
        <v>24</v>
      </c>
      <c r="K23" s="11">
        <f t="shared" si="4"/>
        <v>25</v>
      </c>
      <c r="L23" s="11">
        <f t="shared" si="4"/>
        <v>26</v>
      </c>
      <c r="M23" s="11">
        <f t="shared" si="4"/>
        <v>27</v>
      </c>
      <c r="N23" s="11">
        <f t="shared" si="4"/>
        <v>28</v>
      </c>
      <c r="O23" s="11">
        <f t="shared" si="4"/>
        <v>29</v>
      </c>
      <c r="P23" s="11">
        <f t="shared" si="4"/>
        <v>30</v>
      </c>
      <c r="R23" s="11">
        <f t="shared" si="5"/>
        <v>28</v>
      </c>
      <c r="S23" s="11">
        <f t="shared" si="5"/>
        <v>29</v>
      </c>
      <c r="T23" s="11">
        <f t="shared" si="5"/>
        <v>30</v>
      </c>
      <c r="U23" s="11" t="str">
        <f t="shared" si="5"/>
        <v/>
      </c>
      <c r="V23" s="11" t="str">
        <f t="shared" si="5"/>
        <v/>
      </c>
      <c r="W23" s="11" t="str">
        <f t="shared" si="5"/>
        <v/>
      </c>
      <c r="X23" s="11" t="str">
        <f t="shared" si="5"/>
        <v/>
      </c>
    </row>
    <row r="24" ht="14.25" customHeight="1">
      <c r="B24" s="12" t="str">
        <f t="shared" si="3"/>
        <v/>
      </c>
      <c r="C24" s="12" t="str">
        <f t="shared" si="3"/>
        <v/>
      </c>
      <c r="D24" s="12" t="str">
        <f t="shared" si="3"/>
        <v/>
      </c>
      <c r="E24" s="12" t="str">
        <f t="shared" si="3"/>
        <v/>
      </c>
      <c r="F24" s="12" t="str">
        <f t="shared" si="3"/>
        <v/>
      </c>
      <c r="G24" s="12" t="str">
        <f t="shared" si="3"/>
        <v/>
      </c>
      <c r="H24" s="12" t="str">
        <f t="shared" si="3"/>
        <v/>
      </c>
      <c r="J24" s="12">
        <f t="shared" si="4"/>
        <v>31</v>
      </c>
      <c r="K24" s="12" t="str">
        <f t="shared" si="4"/>
        <v/>
      </c>
      <c r="L24" s="12" t="str">
        <f t="shared" si="4"/>
        <v/>
      </c>
      <c r="M24" s="12" t="str">
        <f t="shared" si="4"/>
        <v/>
      </c>
      <c r="N24" s="12" t="str">
        <f t="shared" si="4"/>
        <v/>
      </c>
      <c r="O24" s="12" t="str">
        <f t="shared" si="4"/>
        <v/>
      </c>
      <c r="P24" s="12" t="str">
        <f t="shared" si="4"/>
        <v/>
      </c>
      <c r="R24" s="12" t="str">
        <f t="shared" si="5"/>
        <v/>
      </c>
      <c r="S24" s="12" t="str">
        <f t="shared" si="5"/>
        <v/>
      </c>
      <c r="T24" s="12" t="str">
        <f t="shared" si="5"/>
        <v/>
      </c>
      <c r="U24" s="12" t="str">
        <f t="shared" si="5"/>
        <v/>
      </c>
      <c r="V24" s="12" t="str">
        <f t="shared" si="5"/>
        <v/>
      </c>
      <c r="W24" s="12" t="str">
        <f t="shared" si="5"/>
        <v/>
      </c>
      <c r="X24" s="12" t="str">
        <f t="shared" si="5"/>
        <v/>
      </c>
    </row>
    <row r="25" ht="16.5" customHeight="1"/>
    <row r="26" ht="16.5" customHeight="1"/>
    <row r="27" ht="15" customHeight="1">
      <c r="B27" s="8" t="s">
        <v>20</v>
      </c>
    </row>
    <row r="28" ht="15.75" customHeight="1">
      <c r="B28" s="9" t="str">
        <f>TEXT(DATE(IF(MOD($O$2+6-1,12)+1&lt;$O$2,$O$3+1,$O$3),MOD($O$2+6-1,12)+1,1),"MMMM YYYY")</f>
        <v>July 2026</v>
      </c>
      <c r="C28" s="9"/>
      <c r="D28" s="9"/>
      <c r="E28" s="9"/>
      <c r="F28" s="9"/>
      <c r="G28" s="9"/>
      <c r="H28" s="9"/>
      <c r="J28" s="9" t="str">
        <f>TEXT(DATE(IF(MOD($O$2+7-1,12)+1&lt;$O$2,$O$3+1,$O$3),MOD($O$2+7-1,12)+1,1),"MMMM YYYY")</f>
        <v>August 2026</v>
      </c>
      <c r="K28" s="9"/>
      <c r="L28" s="9"/>
      <c r="M28" s="9"/>
      <c r="N28" s="9"/>
      <c r="O28" s="9"/>
      <c r="P28" s="9"/>
      <c r="R28" s="9" t="str">
        <f>TEXT(DATE(IF(MOD($O$2+8-1,12)+1&lt;$O$2,$O$3+1,$O$3),MOD($O$2+8-1,12)+1,1),"MMMM YYYY")</f>
        <v>September 2026</v>
      </c>
      <c r="S28" s="9"/>
      <c r="T28" s="9"/>
      <c r="U28" s="9"/>
      <c r="V28" s="9"/>
      <c r="W28" s="9"/>
      <c r="X28" s="9"/>
    </row>
    <row r="29" ht="15" customHeight="1">
      <c r="B29" s="10" t="s">
        <v>8</v>
      </c>
      <c r="C29" s="10" t="s">
        <v>9</v>
      </c>
      <c r="D29" s="10" t="s">
        <v>10</v>
      </c>
      <c r="E29" s="10" t="s">
        <v>11</v>
      </c>
      <c r="F29" s="10" t="s">
        <v>12</v>
      </c>
      <c r="G29" s="10" t="s">
        <v>13</v>
      </c>
      <c r="H29" s="10" t="s">
        <v>14</v>
      </c>
      <c r="J29" s="10" t="s">
        <v>8</v>
      </c>
      <c r="K29" s="10" t="s">
        <v>9</v>
      </c>
      <c r="L29" s="10" t="s">
        <v>10</v>
      </c>
      <c r="M29" s="10" t="s">
        <v>11</v>
      </c>
      <c r="N29" s="10" t="s">
        <v>12</v>
      </c>
      <c r="O29" s="10" t="s">
        <v>13</v>
      </c>
      <c r="P29" s="10" t="s">
        <v>14</v>
      </c>
      <c r="R29" s="10" t="s">
        <v>8</v>
      </c>
      <c r="S29" s="10" t="s">
        <v>9</v>
      </c>
      <c r="T29" s="10" t="s">
        <v>10</v>
      </c>
      <c r="U29" s="10" t="s">
        <v>11</v>
      </c>
      <c r="V29" s="10" t="s">
        <v>12</v>
      </c>
      <c r="W29" s="10" t="s">
        <v>13</v>
      </c>
      <c r="X29" s="10" t="s">
        <v>14</v>
      </c>
    </row>
    <row r="30" ht="14.25" customHeight="1">
      <c r="B30" s="11" t="str">
        <f t="shared" si="6" ref="B30:H35">IF(AND((ROW()-30)*7+(COLUMN()-2)+2-WEEKDAY(DATE(IF(MOD($O$2+6-1,12)+1&lt;$O$2,$O$3+1,$O$3),MOD($O$2+6-1,12)+1,1))&gt;=1,(ROW()-30)*7+(COLUMN()-2)+2-WEEKDAY(DATE(IF(MOD($O$2+6-1,12)+1&lt;$O$2,$O$3+1,$O$3),MOD($O$2+6-1,12)+1,1))&lt;=DAY(EOMONTH(DATE(IF(MOD($O$2+6-1,12)+1&lt;$O$2,$O$3+1,$O$3),MOD($O$2+6-1,12)+1,1),0))),(ROW()-30)*7+(COLUMN()-2)+2-WEEKDAY(DATE(IF(MOD($O$2+6-1,12)+1&lt;$O$2,$O$3+1,$O$3),MOD($O$2+6-1,12)+1,1)),"")</f>
        <v/>
      </c>
      <c r="C30" s="11" t="str">
        <f t="shared" si="6"/>
        <v/>
      </c>
      <c r="D30" s="11" t="str">
        <f t="shared" si="6"/>
        <v/>
      </c>
      <c r="E30" s="11">
        <f t="shared" si="6"/>
        <v>1</v>
      </c>
      <c r="F30" s="11">
        <f t="shared" si="6"/>
        <v>2</v>
      </c>
      <c r="G30" s="11">
        <f t="shared" si="6"/>
        <v>3</v>
      </c>
      <c r="H30" s="11">
        <f t="shared" si="6"/>
        <v>4</v>
      </c>
      <c r="J30" s="11" t="str">
        <f t="shared" si="7" ref="J30:P35">IF(AND((ROW()-30)*7+(COLUMN()-10)+2-WEEKDAY(DATE(IF(MOD($O$2+7-1,12)+1&lt;$O$2,$O$3+1,$O$3),MOD($O$2+7-1,12)+1,1))&gt;=1,(ROW()-30)*7+(COLUMN()-10)+2-WEEKDAY(DATE(IF(MOD($O$2+7-1,12)+1&lt;$O$2,$O$3+1,$O$3),MOD($O$2+7-1,12)+1,1))&lt;=DAY(EOMONTH(DATE(IF(MOD($O$2+7-1,12)+1&lt;$O$2,$O$3+1,$O$3),MOD($O$2+7-1,12)+1,1),0))),(ROW()-30)*7+(COLUMN()-10)+2-WEEKDAY(DATE(IF(MOD($O$2+7-1,12)+1&lt;$O$2,$O$3+1,$O$3),MOD($O$2+7-1,12)+1,1)),"")</f>
        <v/>
      </c>
      <c r="K30" s="11" t="str">
        <f t="shared" si="7"/>
        <v/>
      </c>
      <c r="L30" s="11" t="str">
        <f t="shared" si="7"/>
        <v/>
      </c>
      <c r="M30" s="11" t="str">
        <f t="shared" si="7"/>
        <v/>
      </c>
      <c r="N30" s="11" t="str">
        <f t="shared" si="7"/>
        <v/>
      </c>
      <c r="O30" s="11" t="str">
        <f t="shared" si="7"/>
        <v/>
      </c>
      <c r="P30" s="11">
        <f t="shared" si="7"/>
        <v>1</v>
      </c>
      <c r="R30" s="11" t="str">
        <f t="shared" si="8" ref="R30:X35">IF(AND((ROW()-30)*7+(COLUMN()-18)+2-WEEKDAY(DATE(IF(MOD($O$2+8-1,12)+1&lt;$O$2,$O$3+1,$O$3),MOD($O$2+8-1,12)+1,1))&gt;=1,(ROW()-30)*7+(COLUMN()-18)+2-WEEKDAY(DATE(IF(MOD($O$2+8-1,12)+1&lt;$O$2,$O$3+1,$O$3),MOD($O$2+8-1,12)+1,1))&lt;=DAY(EOMONTH(DATE(IF(MOD($O$2+8-1,12)+1&lt;$O$2,$O$3+1,$O$3),MOD($O$2+8-1,12)+1,1),0))),(ROW()-30)*7+(COLUMN()-18)+2-WEEKDAY(DATE(IF(MOD($O$2+8-1,12)+1&lt;$O$2,$O$3+1,$O$3),MOD($O$2+8-1,12)+1,1)),"")</f>
        <v/>
      </c>
      <c r="S30" s="11" t="str">
        <f t="shared" si="8"/>
        <v/>
      </c>
      <c r="T30" s="11">
        <f t="shared" si="8"/>
        <v>1</v>
      </c>
      <c r="U30" s="11">
        <f t="shared" si="8"/>
        <v>2</v>
      </c>
      <c r="V30" s="11">
        <f t="shared" si="8"/>
        <v>3</v>
      </c>
      <c r="W30" s="11">
        <f t="shared" si="8"/>
        <v>4</v>
      </c>
      <c r="X30" s="11">
        <f t="shared" si="8"/>
        <v>5</v>
      </c>
    </row>
    <row r="31" ht="14.25" customHeight="1">
      <c r="B31" s="12">
        <f t="shared" si="6"/>
        <v>5</v>
      </c>
      <c r="C31" s="12">
        <f t="shared" si="6"/>
        <v>6</v>
      </c>
      <c r="D31" s="12">
        <f t="shared" si="6"/>
        <v>7</v>
      </c>
      <c r="E31" s="12">
        <f t="shared" si="6"/>
        <v>8</v>
      </c>
      <c r="F31" s="12">
        <f t="shared" si="6"/>
        <v>9</v>
      </c>
      <c r="G31" s="12">
        <f t="shared" si="6"/>
        <v>10</v>
      </c>
      <c r="H31" s="12">
        <f t="shared" si="6"/>
        <v>11</v>
      </c>
      <c r="J31" s="12">
        <f t="shared" si="7"/>
        <v>2</v>
      </c>
      <c r="K31" s="12">
        <f t="shared" si="7"/>
        <v>3</v>
      </c>
      <c r="L31" s="12">
        <f t="shared" si="7"/>
        <v>4</v>
      </c>
      <c r="M31" s="12">
        <f t="shared" si="7"/>
        <v>5</v>
      </c>
      <c r="N31" s="12">
        <f t="shared" si="7"/>
        <v>6</v>
      </c>
      <c r="O31" s="12">
        <f t="shared" si="7"/>
        <v>7</v>
      </c>
      <c r="P31" s="12">
        <f t="shared" si="7"/>
        <v>8</v>
      </c>
      <c r="R31" s="12">
        <f t="shared" si="8"/>
        <v>6</v>
      </c>
      <c r="S31" s="12">
        <f t="shared" si="8"/>
        <v>7</v>
      </c>
      <c r="T31" s="12">
        <f t="shared" si="8"/>
        <v>8</v>
      </c>
      <c r="U31" s="12">
        <f t="shared" si="8"/>
        <v>9</v>
      </c>
      <c r="V31" s="12">
        <f t="shared" si="8"/>
        <v>10</v>
      </c>
      <c r="W31" s="12">
        <f t="shared" si="8"/>
        <v>11</v>
      </c>
      <c r="X31" s="12">
        <f t="shared" si="8"/>
        <v>12</v>
      </c>
    </row>
    <row r="32" ht="14.25" customHeight="1">
      <c r="B32" s="11">
        <f t="shared" si="6"/>
        <v>12</v>
      </c>
      <c r="C32" s="11">
        <f t="shared" si="6"/>
        <v>13</v>
      </c>
      <c r="D32" s="11">
        <f t="shared" si="6"/>
        <v>14</v>
      </c>
      <c r="E32" s="11">
        <f t="shared" si="6"/>
        <v>15</v>
      </c>
      <c r="F32" s="11">
        <f t="shared" si="6"/>
        <v>16</v>
      </c>
      <c r="G32" s="11">
        <f t="shared" si="6"/>
        <v>17</v>
      </c>
      <c r="H32" s="11">
        <f t="shared" si="6"/>
        <v>18</v>
      </c>
      <c r="J32" s="11">
        <f t="shared" si="7"/>
        <v>9</v>
      </c>
      <c r="K32" s="11">
        <f t="shared" si="7"/>
        <v>10</v>
      </c>
      <c r="L32" s="11">
        <f t="shared" si="7"/>
        <v>11</v>
      </c>
      <c r="M32" s="11">
        <f t="shared" si="7"/>
        <v>12</v>
      </c>
      <c r="N32" s="11">
        <f t="shared" si="7"/>
        <v>13</v>
      </c>
      <c r="O32" s="11">
        <f t="shared" si="7"/>
        <v>14</v>
      </c>
      <c r="P32" s="11">
        <f t="shared" si="7"/>
        <v>15</v>
      </c>
      <c r="R32" s="11">
        <f t="shared" si="8"/>
        <v>13</v>
      </c>
      <c r="S32" s="11">
        <f t="shared" si="8"/>
        <v>14</v>
      </c>
      <c r="T32" s="11">
        <f t="shared" si="8"/>
        <v>15</v>
      </c>
      <c r="U32" s="11">
        <f t="shared" si="8"/>
        <v>16</v>
      </c>
      <c r="V32" s="11">
        <f t="shared" si="8"/>
        <v>17</v>
      </c>
      <c r="W32" s="11">
        <f t="shared" si="8"/>
        <v>18</v>
      </c>
      <c r="X32" s="11">
        <f t="shared" si="8"/>
        <v>19</v>
      </c>
    </row>
    <row r="33" ht="14.25" customHeight="1">
      <c r="B33" s="12">
        <f t="shared" si="6"/>
        <v>19</v>
      </c>
      <c r="C33" s="12">
        <f t="shared" si="6"/>
        <v>20</v>
      </c>
      <c r="D33" s="12">
        <f t="shared" si="6"/>
        <v>21</v>
      </c>
      <c r="E33" s="12">
        <f t="shared" si="6"/>
        <v>22</v>
      </c>
      <c r="F33" s="12">
        <f t="shared" si="6"/>
        <v>23</v>
      </c>
      <c r="G33" s="12">
        <f t="shared" si="6"/>
        <v>24</v>
      </c>
      <c r="H33" s="12">
        <f t="shared" si="6"/>
        <v>25</v>
      </c>
      <c r="J33" s="12">
        <f t="shared" si="7"/>
        <v>16</v>
      </c>
      <c r="K33" s="12">
        <f t="shared" si="7"/>
        <v>17</v>
      </c>
      <c r="L33" s="12">
        <f t="shared" si="7"/>
        <v>18</v>
      </c>
      <c r="M33" s="12">
        <f t="shared" si="7"/>
        <v>19</v>
      </c>
      <c r="N33" s="12">
        <f t="shared" si="7"/>
        <v>20</v>
      </c>
      <c r="O33" s="12">
        <f t="shared" si="7"/>
        <v>21</v>
      </c>
      <c r="P33" s="12">
        <f t="shared" si="7"/>
        <v>22</v>
      </c>
      <c r="R33" s="12">
        <f t="shared" si="8"/>
        <v>20</v>
      </c>
      <c r="S33" s="12">
        <f t="shared" si="8"/>
        <v>21</v>
      </c>
      <c r="T33" s="12">
        <f t="shared" si="8"/>
        <v>22</v>
      </c>
      <c r="U33" s="12">
        <f t="shared" si="8"/>
        <v>23</v>
      </c>
      <c r="V33" s="12">
        <f t="shared" si="8"/>
        <v>24</v>
      </c>
      <c r="W33" s="12">
        <f t="shared" si="8"/>
        <v>25</v>
      </c>
      <c r="X33" s="12">
        <f t="shared" si="8"/>
        <v>26</v>
      </c>
    </row>
    <row r="34" ht="14.25" customHeight="1">
      <c r="B34" s="11">
        <f t="shared" si="6"/>
        <v>26</v>
      </c>
      <c r="C34" s="11">
        <f t="shared" si="6"/>
        <v>27</v>
      </c>
      <c r="D34" s="11">
        <f t="shared" si="6"/>
        <v>28</v>
      </c>
      <c r="E34" s="11">
        <f t="shared" si="6"/>
        <v>29</v>
      </c>
      <c r="F34" s="11">
        <f t="shared" si="6"/>
        <v>30</v>
      </c>
      <c r="G34" s="11">
        <f t="shared" si="6"/>
        <v>31</v>
      </c>
      <c r="H34" s="11" t="str">
        <f t="shared" si="6"/>
        <v/>
      </c>
      <c r="J34" s="11">
        <f t="shared" si="7"/>
        <v>23</v>
      </c>
      <c r="K34" s="11">
        <f t="shared" si="7"/>
        <v>24</v>
      </c>
      <c r="L34" s="11">
        <f t="shared" si="7"/>
        <v>25</v>
      </c>
      <c r="M34" s="11">
        <f t="shared" si="7"/>
        <v>26</v>
      </c>
      <c r="N34" s="11">
        <f t="shared" si="7"/>
        <v>27</v>
      </c>
      <c r="O34" s="11">
        <f t="shared" si="7"/>
        <v>28</v>
      </c>
      <c r="P34" s="11">
        <f t="shared" si="7"/>
        <v>29</v>
      </c>
      <c r="R34" s="11">
        <f t="shared" si="8"/>
        <v>27</v>
      </c>
      <c r="S34" s="11">
        <f t="shared" si="8"/>
        <v>28</v>
      </c>
      <c r="T34" s="11">
        <f t="shared" si="8"/>
        <v>29</v>
      </c>
      <c r="U34" s="11">
        <f t="shared" si="8"/>
        <v>30</v>
      </c>
      <c r="V34" s="11" t="str">
        <f t="shared" si="8"/>
        <v/>
      </c>
      <c r="W34" s="11" t="str">
        <f t="shared" si="8"/>
        <v/>
      </c>
      <c r="X34" s="11" t="str">
        <f t="shared" si="8"/>
        <v/>
      </c>
    </row>
    <row r="35" ht="14.25" customHeight="1">
      <c r="B35" s="12" t="str">
        <f t="shared" si="6"/>
        <v/>
      </c>
      <c r="C35" s="12" t="str">
        <f t="shared" si="6"/>
        <v/>
      </c>
      <c r="D35" s="12" t="str">
        <f t="shared" si="6"/>
        <v/>
      </c>
      <c r="E35" s="12" t="str">
        <f t="shared" si="6"/>
        <v/>
      </c>
      <c r="F35" s="12" t="str">
        <f t="shared" si="6"/>
        <v/>
      </c>
      <c r="G35" s="12" t="str">
        <f t="shared" si="6"/>
        <v/>
      </c>
      <c r="H35" s="12" t="str">
        <f t="shared" si="6"/>
        <v/>
      </c>
      <c r="J35" s="12">
        <f t="shared" si="7"/>
        <v>30</v>
      </c>
      <c r="K35" s="12">
        <f t="shared" si="7"/>
        <v>31</v>
      </c>
      <c r="L35" s="12" t="str">
        <f t="shared" si="7"/>
        <v/>
      </c>
      <c r="M35" s="12" t="str">
        <f t="shared" si="7"/>
        <v/>
      </c>
      <c r="N35" s="12" t="str">
        <f t="shared" si="7"/>
        <v/>
      </c>
      <c r="O35" s="12" t="str">
        <f t="shared" si="7"/>
        <v/>
      </c>
      <c r="P35" s="12" t="str">
        <f t="shared" si="7"/>
        <v/>
      </c>
      <c r="R35" s="12" t="str">
        <f t="shared" si="8"/>
        <v/>
      </c>
      <c r="S35" s="12" t="str">
        <f t="shared" si="8"/>
        <v/>
      </c>
      <c r="T35" s="12" t="str">
        <f t="shared" si="8"/>
        <v/>
      </c>
      <c r="U35" s="12" t="str">
        <f t="shared" si="8"/>
        <v/>
      </c>
      <c r="V35" s="12" t="str">
        <f t="shared" si="8"/>
        <v/>
      </c>
      <c r="W35" s="12" t="str">
        <f t="shared" si="8"/>
        <v/>
      </c>
      <c r="X35" s="12" t="str">
        <f t="shared" si="8"/>
        <v/>
      </c>
    </row>
    <row r="36" ht="16.5" customHeight="1"/>
    <row r="37" ht="16.5" customHeight="1"/>
    <row r="38" ht="15" customHeight="1">
      <c r="B38" s="8" t="s">
        <v>24</v>
      </c>
    </row>
    <row r="39" ht="15.75" customHeight="1">
      <c r="B39" s="9" t="str">
        <f>TEXT(DATE(IF(MOD($O$2+9-1,12)+1&lt;$O$2,$O$3+1,$O$3),MOD($O$2+9-1,12)+1,1),"MMMM YYYY")</f>
        <v>October 2026</v>
      </c>
      <c r="C39" s="9"/>
      <c r="D39" s="9"/>
      <c r="E39" s="9"/>
      <c r="F39" s="9"/>
      <c r="G39" s="9"/>
      <c r="H39" s="9"/>
      <c r="J39" s="9" t="str">
        <f>TEXT(DATE(IF(MOD($O$2+10-1,12)+1&lt;$O$2,$O$3+1,$O$3),MOD($O$2+10-1,12)+1,1),"MMMM YYYY")</f>
        <v>November 2026</v>
      </c>
      <c r="K39" s="9"/>
      <c r="L39" s="9"/>
      <c r="M39" s="9"/>
      <c r="N39" s="9"/>
      <c r="O39" s="9"/>
      <c r="P39" s="9"/>
      <c r="R39" s="9" t="str">
        <f>TEXT(DATE(IF(MOD($O$2+11-1,12)+1&lt;$O$2,$O$3+1,$O$3),MOD($O$2+11-1,12)+1,1),"MMMM YYYY")</f>
        <v>December 2026</v>
      </c>
      <c r="S39" s="9"/>
      <c r="T39" s="9"/>
      <c r="U39" s="9"/>
      <c r="V39" s="9"/>
      <c r="W39" s="9"/>
      <c r="X39" s="9"/>
    </row>
    <row r="40" ht="15" customHeight="1">
      <c r="B40" s="10" t="s">
        <v>8</v>
      </c>
      <c r="C40" s="10" t="s">
        <v>9</v>
      </c>
      <c r="D40" s="10" t="s">
        <v>10</v>
      </c>
      <c r="E40" s="10" t="s">
        <v>11</v>
      </c>
      <c r="F40" s="10" t="s">
        <v>12</v>
      </c>
      <c r="G40" s="10" t="s">
        <v>13</v>
      </c>
      <c r="H40" s="10" t="s">
        <v>14</v>
      </c>
      <c r="J40" s="10" t="s">
        <v>8</v>
      </c>
      <c r="K40" s="10" t="s">
        <v>9</v>
      </c>
      <c r="L40" s="10" t="s">
        <v>10</v>
      </c>
      <c r="M40" s="10" t="s">
        <v>11</v>
      </c>
      <c r="N40" s="10" t="s">
        <v>12</v>
      </c>
      <c r="O40" s="10" t="s">
        <v>13</v>
      </c>
      <c r="P40" s="10" t="s">
        <v>14</v>
      </c>
      <c r="R40" s="10" t="s">
        <v>8</v>
      </c>
      <c r="S40" s="10" t="s">
        <v>9</v>
      </c>
      <c r="T40" s="10" t="s">
        <v>10</v>
      </c>
      <c r="U40" s="10" t="s">
        <v>11</v>
      </c>
      <c r="V40" s="10" t="s">
        <v>12</v>
      </c>
      <c r="W40" s="10" t="s">
        <v>13</v>
      </c>
      <c r="X40" s="10" t="s">
        <v>14</v>
      </c>
    </row>
    <row r="41" ht="14.25" customHeight="1">
      <c r="B41" s="11" t="str">
        <f t="shared" si="9" ref="B41:H46">IF(AND((ROW()-41)*7+(COLUMN()-2)+2-WEEKDAY(DATE(IF(MOD($O$2+9-1,12)+1&lt;$O$2,$O$3+1,$O$3),MOD($O$2+9-1,12)+1,1))&gt;=1,(ROW()-41)*7+(COLUMN()-2)+2-WEEKDAY(DATE(IF(MOD($O$2+9-1,12)+1&lt;$O$2,$O$3+1,$O$3),MOD($O$2+9-1,12)+1,1))&lt;=DAY(EOMONTH(DATE(IF(MOD($O$2+9-1,12)+1&lt;$O$2,$O$3+1,$O$3),MOD($O$2+9-1,12)+1,1),0))),(ROW()-41)*7+(COLUMN()-2)+2-WEEKDAY(DATE(IF(MOD($O$2+9-1,12)+1&lt;$O$2,$O$3+1,$O$3),MOD($O$2+9-1,12)+1,1)),"")</f>
        <v/>
      </c>
      <c r="C41" s="11" t="str">
        <f t="shared" si="9"/>
        <v/>
      </c>
      <c r="D41" s="11" t="str">
        <f t="shared" si="9"/>
        <v/>
      </c>
      <c r="E41" s="11" t="str">
        <f t="shared" si="9"/>
        <v/>
      </c>
      <c r="F41" s="11">
        <f t="shared" si="9"/>
        <v>1</v>
      </c>
      <c r="G41" s="11">
        <f t="shared" si="9"/>
        <v>2</v>
      </c>
      <c r="H41" s="11">
        <f t="shared" si="9"/>
        <v>3</v>
      </c>
      <c r="J41" s="11">
        <f t="shared" si="10" ref="J41:P46">IF(AND((ROW()-41)*7+(COLUMN()-10)+2-WEEKDAY(DATE(IF(MOD($O$2+10-1,12)+1&lt;$O$2,$O$3+1,$O$3),MOD($O$2+10-1,12)+1,1))&gt;=1,(ROW()-41)*7+(COLUMN()-10)+2-WEEKDAY(DATE(IF(MOD($O$2+10-1,12)+1&lt;$O$2,$O$3+1,$O$3),MOD($O$2+10-1,12)+1,1))&lt;=DAY(EOMONTH(DATE(IF(MOD($O$2+10-1,12)+1&lt;$O$2,$O$3+1,$O$3),MOD($O$2+10-1,12)+1,1),0))),(ROW()-41)*7+(COLUMN()-10)+2-WEEKDAY(DATE(IF(MOD($O$2+10-1,12)+1&lt;$O$2,$O$3+1,$O$3),MOD($O$2+10-1,12)+1,1)),"")</f>
        <v>1</v>
      </c>
      <c r="K41" s="11">
        <f t="shared" si="10"/>
        <v>2</v>
      </c>
      <c r="L41" s="11">
        <f t="shared" si="10"/>
        <v>3</v>
      </c>
      <c r="M41" s="11">
        <f t="shared" si="10"/>
        <v>4</v>
      </c>
      <c r="N41" s="11">
        <f t="shared" si="10"/>
        <v>5</v>
      </c>
      <c r="O41" s="11">
        <f t="shared" si="10"/>
        <v>6</v>
      </c>
      <c r="P41" s="11">
        <f t="shared" si="10"/>
        <v>7</v>
      </c>
      <c r="R41" s="11" t="str">
        <f t="shared" si="11" ref="R41:X46">IF(AND((ROW()-41)*7+(COLUMN()-18)+2-WEEKDAY(DATE(IF(MOD($O$2+11-1,12)+1&lt;$O$2,$O$3+1,$O$3),MOD($O$2+11-1,12)+1,1))&gt;=1,(ROW()-41)*7+(COLUMN()-18)+2-WEEKDAY(DATE(IF(MOD($O$2+11-1,12)+1&lt;$O$2,$O$3+1,$O$3),MOD($O$2+11-1,12)+1,1))&lt;=DAY(EOMONTH(DATE(IF(MOD($O$2+11-1,12)+1&lt;$O$2,$O$3+1,$O$3),MOD($O$2+11-1,12)+1,1),0))),(ROW()-41)*7+(COLUMN()-18)+2-WEEKDAY(DATE(IF(MOD($O$2+11-1,12)+1&lt;$O$2,$O$3+1,$O$3),MOD($O$2+11-1,12)+1,1)),"")</f>
        <v/>
      </c>
      <c r="S41" s="11" t="str">
        <f t="shared" si="11"/>
        <v/>
      </c>
      <c r="T41" s="11">
        <f t="shared" si="11"/>
        <v>1</v>
      </c>
      <c r="U41" s="11">
        <f t="shared" si="11"/>
        <v>2</v>
      </c>
      <c r="V41" s="11">
        <f t="shared" si="11"/>
        <v>3</v>
      </c>
      <c r="W41" s="11">
        <f t="shared" si="11"/>
        <v>4</v>
      </c>
      <c r="X41" s="11">
        <f t="shared" si="11"/>
        <v>5</v>
      </c>
    </row>
    <row r="42" ht="14.25" customHeight="1">
      <c r="B42" s="12">
        <f t="shared" si="9"/>
        <v>4</v>
      </c>
      <c r="C42" s="12">
        <f t="shared" si="9"/>
        <v>5</v>
      </c>
      <c r="D42" s="12">
        <f t="shared" si="9"/>
        <v>6</v>
      </c>
      <c r="E42" s="12">
        <f t="shared" si="9"/>
        <v>7</v>
      </c>
      <c r="F42" s="12">
        <f t="shared" si="9"/>
        <v>8</v>
      </c>
      <c r="G42" s="12">
        <f t="shared" si="9"/>
        <v>9</v>
      </c>
      <c r="H42" s="12">
        <f t="shared" si="9"/>
        <v>10</v>
      </c>
      <c r="J42" s="12">
        <f t="shared" si="10"/>
        <v>8</v>
      </c>
      <c r="K42" s="12">
        <f t="shared" si="10"/>
        <v>9</v>
      </c>
      <c r="L42" s="12">
        <f t="shared" si="10"/>
        <v>10</v>
      </c>
      <c r="M42" s="12">
        <f t="shared" si="10"/>
        <v>11</v>
      </c>
      <c r="N42" s="12">
        <f t="shared" si="10"/>
        <v>12</v>
      </c>
      <c r="O42" s="12">
        <f t="shared" si="10"/>
        <v>13</v>
      </c>
      <c r="P42" s="12">
        <f t="shared" si="10"/>
        <v>14</v>
      </c>
      <c r="R42" s="12">
        <f t="shared" si="11"/>
        <v>6</v>
      </c>
      <c r="S42" s="12">
        <f t="shared" si="11"/>
        <v>7</v>
      </c>
      <c r="T42" s="12">
        <f t="shared" si="11"/>
        <v>8</v>
      </c>
      <c r="U42" s="12">
        <f t="shared" si="11"/>
        <v>9</v>
      </c>
      <c r="V42" s="12">
        <f t="shared" si="11"/>
        <v>10</v>
      </c>
      <c r="W42" s="12">
        <f t="shared" si="11"/>
        <v>11</v>
      </c>
      <c r="X42" s="12">
        <f t="shared" si="11"/>
        <v>12</v>
      </c>
    </row>
    <row r="43" ht="14.25" customHeight="1">
      <c r="B43" s="11">
        <f t="shared" si="9"/>
        <v>11</v>
      </c>
      <c r="C43" s="11">
        <f t="shared" si="9"/>
        <v>12</v>
      </c>
      <c r="D43" s="11">
        <f t="shared" si="9"/>
        <v>13</v>
      </c>
      <c r="E43" s="11">
        <f t="shared" si="9"/>
        <v>14</v>
      </c>
      <c r="F43" s="11">
        <f t="shared" si="9"/>
        <v>15</v>
      </c>
      <c r="G43" s="11">
        <f t="shared" si="9"/>
        <v>16</v>
      </c>
      <c r="H43" s="11">
        <f t="shared" si="9"/>
        <v>17</v>
      </c>
      <c r="J43" s="11">
        <f t="shared" si="10"/>
        <v>15</v>
      </c>
      <c r="K43" s="11">
        <f t="shared" si="10"/>
        <v>16</v>
      </c>
      <c r="L43" s="11">
        <f t="shared" si="10"/>
        <v>17</v>
      </c>
      <c r="M43" s="11">
        <f t="shared" si="10"/>
        <v>18</v>
      </c>
      <c r="N43" s="11">
        <f t="shared" si="10"/>
        <v>19</v>
      </c>
      <c r="O43" s="11">
        <f t="shared" si="10"/>
        <v>20</v>
      </c>
      <c r="P43" s="11">
        <f t="shared" si="10"/>
        <v>21</v>
      </c>
      <c r="R43" s="11">
        <f t="shared" si="11"/>
        <v>13</v>
      </c>
      <c r="S43" s="11">
        <f t="shared" si="11"/>
        <v>14</v>
      </c>
      <c r="T43" s="11">
        <f t="shared" si="11"/>
        <v>15</v>
      </c>
      <c r="U43" s="11">
        <f t="shared" si="11"/>
        <v>16</v>
      </c>
      <c r="V43" s="11">
        <f t="shared" si="11"/>
        <v>17</v>
      </c>
      <c r="W43" s="11">
        <f t="shared" si="11"/>
        <v>18</v>
      </c>
      <c r="X43" s="11">
        <f t="shared" si="11"/>
        <v>19</v>
      </c>
    </row>
    <row r="44" ht="14.25" customHeight="1">
      <c r="B44" s="12">
        <f t="shared" si="9"/>
        <v>18</v>
      </c>
      <c r="C44" s="12">
        <f t="shared" si="9"/>
        <v>19</v>
      </c>
      <c r="D44" s="12">
        <f t="shared" si="9"/>
        <v>20</v>
      </c>
      <c r="E44" s="12">
        <f t="shared" si="9"/>
        <v>21</v>
      </c>
      <c r="F44" s="12">
        <f t="shared" si="9"/>
        <v>22</v>
      </c>
      <c r="G44" s="12">
        <f t="shared" si="9"/>
        <v>23</v>
      </c>
      <c r="H44" s="12">
        <f t="shared" si="9"/>
        <v>24</v>
      </c>
      <c r="J44" s="12">
        <f t="shared" si="10"/>
        <v>22</v>
      </c>
      <c r="K44" s="12">
        <f t="shared" si="10"/>
        <v>23</v>
      </c>
      <c r="L44" s="12">
        <f t="shared" si="10"/>
        <v>24</v>
      </c>
      <c r="M44" s="12">
        <f t="shared" si="10"/>
        <v>25</v>
      </c>
      <c r="N44" s="12">
        <f t="shared" si="10"/>
        <v>26</v>
      </c>
      <c r="O44" s="12">
        <f t="shared" si="10"/>
        <v>27</v>
      </c>
      <c r="P44" s="12">
        <f t="shared" si="10"/>
        <v>28</v>
      </c>
      <c r="R44" s="12">
        <f t="shared" si="11"/>
        <v>20</v>
      </c>
      <c r="S44" s="12">
        <f t="shared" si="11"/>
        <v>21</v>
      </c>
      <c r="T44" s="12">
        <f t="shared" si="11"/>
        <v>22</v>
      </c>
      <c r="U44" s="12">
        <f t="shared" si="11"/>
        <v>23</v>
      </c>
      <c r="V44" s="12">
        <f t="shared" si="11"/>
        <v>24</v>
      </c>
      <c r="W44" s="12">
        <f t="shared" si="11"/>
        <v>25</v>
      </c>
      <c r="X44" s="12">
        <f t="shared" si="11"/>
        <v>26</v>
      </c>
    </row>
    <row r="45" ht="14.25" customHeight="1">
      <c r="B45" s="11">
        <f t="shared" si="9"/>
        <v>25</v>
      </c>
      <c r="C45" s="11">
        <f t="shared" si="9"/>
        <v>26</v>
      </c>
      <c r="D45" s="11">
        <f t="shared" si="9"/>
        <v>27</v>
      </c>
      <c r="E45" s="11">
        <f t="shared" si="9"/>
        <v>28</v>
      </c>
      <c r="F45" s="11">
        <f t="shared" si="9"/>
        <v>29</v>
      </c>
      <c r="G45" s="11">
        <f t="shared" si="9"/>
        <v>30</v>
      </c>
      <c r="H45" s="11">
        <f t="shared" si="9"/>
        <v>31</v>
      </c>
      <c r="J45" s="11">
        <f t="shared" si="10"/>
        <v>29</v>
      </c>
      <c r="K45" s="11">
        <f t="shared" si="10"/>
        <v>30</v>
      </c>
      <c r="L45" s="11" t="str">
        <f t="shared" si="10"/>
        <v/>
      </c>
      <c r="M45" s="11" t="str">
        <f t="shared" si="10"/>
        <v/>
      </c>
      <c r="N45" s="11" t="str">
        <f t="shared" si="10"/>
        <v/>
      </c>
      <c r="O45" s="11" t="str">
        <f t="shared" si="10"/>
        <v/>
      </c>
      <c r="P45" s="11" t="str">
        <f t="shared" si="10"/>
        <v/>
      </c>
      <c r="R45" s="11">
        <f t="shared" si="11"/>
        <v>27</v>
      </c>
      <c r="S45" s="11">
        <f t="shared" si="11"/>
        <v>28</v>
      </c>
      <c r="T45" s="11">
        <f t="shared" si="11"/>
        <v>29</v>
      </c>
      <c r="U45" s="11">
        <f t="shared" si="11"/>
        <v>30</v>
      </c>
      <c r="V45" s="11">
        <f t="shared" si="11"/>
        <v>31</v>
      </c>
      <c r="W45" s="11" t="str">
        <f t="shared" si="11"/>
        <v/>
      </c>
      <c r="X45" s="11" t="str">
        <f t="shared" si="11"/>
        <v/>
      </c>
    </row>
    <row r="46" ht="14.25" customHeight="1">
      <c r="B46" s="12" t="str">
        <f t="shared" si="9"/>
        <v/>
      </c>
      <c r="C46" s="12" t="str">
        <f t="shared" si="9"/>
        <v/>
      </c>
      <c r="D46" s="12" t="str">
        <f t="shared" si="9"/>
        <v/>
      </c>
      <c r="E46" s="12" t="str">
        <f t="shared" si="9"/>
        <v/>
      </c>
      <c r="F46" s="12" t="str">
        <f t="shared" si="9"/>
        <v/>
      </c>
      <c r="G46" s="12" t="str">
        <f t="shared" si="9"/>
        <v/>
      </c>
      <c r="H46" s="12" t="str">
        <f t="shared" si="9"/>
        <v/>
      </c>
      <c r="J46" s="12" t="str">
        <f t="shared" si="10"/>
        <v/>
      </c>
      <c r="K46" s="12" t="str">
        <f t="shared" si="10"/>
        <v/>
      </c>
      <c r="L46" s="12" t="str">
        <f t="shared" si="10"/>
        <v/>
      </c>
      <c r="M46" s="12" t="str">
        <f t="shared" si="10"/>
        <v/>
      </c>
      <c r="N46" s="12" t="str">
        <f t="shared" si="10"/>
        <v/>
      </c>
      <c r="O46" s="12" t="str">
        <f t="shared" si="10"/>
        <v/>
      </c>
      <c r="P46" s="12" t="str">
        <f t="shared" si="10"/>
        <v/>
      </c>
      <c r="R46" s="12" t="str">
        <f t="shared" si="11"/>
        <v/>
      </c>
      <c r="S46" s="12" t="str">
        <f t="shared" si="11"/>
        <v/>
      </c>
      <c r="T46" s="12" t="str">
        <f t="shared" si="11"/>
        <v/>
      </c>
      <c r="U46" s="12" t="str">
        <f t="shared" si="11"/>
        <v/>
      </c>
      <c r="V46" s="12" t="str">
        <f t="shared" si="11"/>
        <v/>
      </c>
      <c r="W46" s="12" t="str">
        <f t="shared" si="11"/>
        <v/>
      </c>
      <c r="X46" s="12" t="str">
        <f t="shared" si="11"/>
        <v/>
      </c>
    </row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>
    <mergeCell ref="B2:H2"/>
    <mergeCell ref="J2:N2"/>
    <mergeCell ref="P2:R2"/>
    <mergeCell ref="T2:V2"/>
    <mergeCell ref="B6:H6"/>
    <mergeCell ref="J6:P6"/>
    <mergeCell ref="R6:X6"/>
    <mergeCell ref="B17:H17"/>
    <mergeCell ref="J17:P17"/>
    <mergeCell ref="R17:X17"/>
    <mergeCell ref="B28:H28"/>
    <mergeCell ref="J28:P28"/>
    <mergeCell ref="R28:X28"/>
    <mergeCell ref="B39:H39"/>
    <mergeCell ref="J39:P39"/>
    <mergeCell ref="R39:X39"/>
  </mergeCells>
  <conditionalFormatting sqref="B8:H13">
    <cfRule type="expression" dxfId="0" priority="12" text="null">
      <formula>AND(B8&lt;&gt;"",DATE(IF(MOD($O$2+0-1,12)+1&lt;$O$2,$O$3+1,$O$3),MOD($O$2+0-1,12)+1,B8)=TODAY())</formula>
    </cfRule>
  </conditionalFormatting>
  <conditionalFormatting sqref="J8:P13">
    <cfRule type="expression" dxfId="0" priority="11" text="null">
      <formula>AND(J8&lt;&gt;"",DATE(IF(MOD($O$2+1-1,12)+1&lt;$O$2,$O$3+1,$O$3),MOD($O$2+1-1,12)+1,J8)=TODAY())</formula>
    </cfRule>
  </conditionalFormatting>
  <conditionalFormatting sqref="R8:X13">
    <cfRule type="expression" dxfId="0" priority="10" text="null">
      <formula>AND(R8&lt;&gt;"",DATE(IF(MOD($O$2+2-1,12)+1&lt;$O$2,$O$3+1,$O$3),MOD($O$2+2-1,12)+1,R8)=TODAY())</formula>
    </cfRule>
  </conditionalFormatting>
  <conditionalFormatting sqref="B19:H24">
    <cfRule type="expression" dxfId="0" priority="9" text="null">
      <formula>AND(B19&lt;&gt;"",DATE(IF(MOD($O$2+3-1,12)+1&lt;$O$2,$O$3+1,$O$3),MOD($O$2+3-1,12)+1,B19)=TODAY())</formula>
    </cfRule>
  </conditionalFormatting>
  <conditionalFormatting sqref="J19:P24">
    <cfRule type="expression" dxfId="0" priority="8" text="null">
      <formula>AND(J19&lt;&gt;"",DATE(IF(MOD($O$2+4-1,12)+1&lt;$O$2,$O$3+1,$O$3),MOD($O$2+4-1,12)+1,J19)=TODAY())</formula>
    </cfRule>
  </conditionalFormatting>
  <conditionalFormatting sqref="R19:X24">
    <cfRule type="expression" dxfId="0" priority="7" text="null">
      <formula>AND(R19&lt;&gt;"",DATE(IF(MOD($O$2+5-1,12)+1&lt;$O$2,$O$3+1,$O$3),MOD($O$2+5-1,12)+1,R19)=TODAY())</formula>
    </cfRule>
  </conditionalFormatting>
  <conditionalFormatting sqref="B30:H35">
    <cfRule type="expression" dxfId="0" priority="6" text="null">
      <formula>AND(B30&lt;&gt;"",DATE(IF(MOD($O$2+6-1,12)+1&lt;$O$2,$O$3+1,$O$3),MOD($O$2+6-1,12)+1,B30)=TODAY())</formula>
    </cfRule>
  </conditionalFormatting>
  <conditionalFormatting sqref="J30:P35">
    <cfRule type="expression" dxfId="0" priority="5" text="null">
      <formula>AND(J30&lt;&gt;"",DATE(IF(MOD($O$2+7-1,12)+1&lt;$O$2,$O$3+1,$O$3),MOD($O$2+7-1,12)+1,J30)=TODAY())</formula>
    </cfRule>
  </conditionalFormatting>
  <conditionalFormatting sqref="R30:X35">
    <cfRule type="expression" dxfId="0" priority="4" text="null">
      <formula>AND(R30&lt;&gt;"",DATE(IF(MOD($O$2+8-1,12)+1&lt;$O$2,$O$3+1,$O$3),MOD($O$2+8-1,12)+1,R30)=TODAY())</formula>
    </cfRule>
  </conditionalFormatting>
  <conditionalFormatting sqref="B41:H46">
    <cfRule type="expression" dxfId="0" priority="3" text="null">
      <formula>AND(B41&lt;&gt;"",DATE(IF(MOD($O$2+9-1,12)+1&lt;$O$2,$O$3+1,$O$3),MOD($O$2+9-1,12)+1,B41)=TODAY())</formula>
    </cfRule>
  </conditionalFormatting>
  <conditionalFormatting sqref="J41:P46">
    <cfRule type="expression" dxfId="0" priority="2" text="null">
      <formula>AND(J41&lt;&gt;"",DATE(IF(MOD($O$2+10-1,12)+1&lt;$O$2,$O$3+1,$O$3),MOD($O$2+10-1,12)+1,J41)=TODAY())</formula>
    </cfRule>
  </conditionalFormatting>
  <conditionalFormatting sqref="R41:X46">
    <cfRule type="expression" dxfId="0" priority="1" text="null">
      <formula>AND(R41&lt;&gt;"",DATE(IF(MOD($O$2+11-1,12)+1&lt;$O$2,$O$3+1,$O$3),MOD($O$2+11-1,12)+1,R41)=TODAY())</formula>
    </cfRule>
  </conditionalFormatting>
  <dataValidations count="2">
    <dataValidation allowBlank="1" prompt="Enter year (2000-2100)" promptTitle="Fiscal Year" showErrorMessage="1" showInputMessage="1" sqref="O3" type="whole">
      <formula1>2000</formula1>
      <formula2>2100</formula2>
    </dataValidation>
    <dataValidation allowBlank="1" prompt="Enter 1-12 (1=Jan, 7=Jul)" promptTitle="Start Month" showErrorMessage="1" showInputMessage="1" sqref="O2" type="whole">
      <formula1>1</formula1>
      <formula2>12</formula2>
    </dataValidation>
  </dataValidations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Shortcut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Shortcut</dc:creator>
  <cp:lastModifiedBy>Shortcut</cp:lastModifiedBy>
  <dcterms:created xsi:type="dcterms:W3CDTF">2025-05-22T23:41:35Z</dcterms:created>
  <dcterms:modified xsi:type="dcterms:W3CDTF">2025-05-22T23:45:09Z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hortcut_file_id">
    <vt:lpwstr>7198e3ce-8096-4394-9801-fa943976393d</vt:lpwstr>
  </property>
</Properties>
</file>