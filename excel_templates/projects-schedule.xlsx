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Project_Schedule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<sst xmlns="http://schemas.openxmlformats.org/spreadsheetml/2006/main" count="35" uniqueCount="35">
  <si>
    <t>Project Schedule</t>
  </si>
  <si>
    <t>Project timeline with Gantt chart visualization</t>
  </si>
  <si>
    <t>Project Start Date:</t>
  </si>
  <si>
    <t>TASK TABLE</t>
  </si>
  <si>
    <t>ID</t>
  </si>
  <si>
    <t>Task Name</t>
  </si>
  <si>
    <t>Start</t>
  </si>
  <si>
    <t>End</t>
  </si>
  <si>
    <t>Duration</t>
  </si>
  <si>
    <t>% Complete</t>
  </si>
  <si>
    <t>Predecessor</t>
  </si>
  <si>
    <t>Status</t>
  </si>
  <si>
    <t>Phase 1: Initiation</t>
  </si>
  <si>
    <t>Complete</t>
  </si>
  <si>
    <t>Define project scope</t>
  </si>
  <si>
    <t>Identify stakeholders</t>
  </si>
  <si>
    <t>Create project plan</t>
  </si>
  <si>
    <t>Approve project charter</t>
  </si>
  <si>
    <t>Phase 2: Design</t>
  </si>
  <si>
    <t>In Progress</t>
  </si>
  <si>
    <t>Requirements gathering</t>
  </si>
  <si>
    <t>Architecture design</t>
  </si>
  <si>
    <t>Design review</t>
  </si>
  <si>
    <t>Phase 3: Development</t>
  </si>
  <si>
    <t>Backend development</t>
  </si>
  <si>
    <t>Frontend development</t>
  </si>
  <si>
    <t>Integration</t>
  </si>
  <si>
    <t>Not Started</t>
  </si>
  <si>
    <t>Phase 4: Testing</t>
  </si>
  <si>
    <t>Unit testing</t>
  </si>
  <si>
    <t>System testing</t>
  </si>
  <si>
    <t>Phase 5: Deployment</t>
  </si>
  <si>
    <t>Staging deployment</t>
  </si>
  <si>
    <t>Production release</t>
  </si>
  <si>
    <t>Post-launch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</si>
</sst>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1" formatCode="mm/dd/yyyy"/>
    <numFmt numFmtId="172" formatCode="mm/dd"/>
    <numFmt numFmtId="174" formatCode="0.0"/>
  </numFmts>
  <fonts count="9">
    <font>
      <b val="0"/>
      <i val="0"/>
      <sz val="12"/>
      <color theme="1"/>
      <name val="Aptos Narrow"/>
      <scheme val="minor"/>
    </font>
    <font>
      <b/>
      <i val="0"/>
      <sz val="18"/>
      <color rgb="FF2B4C7E"/>
      <name val="Aptos"/>
    </font>
    <font>
      <b val="0"/>
      <i/>
      <sz val="11"/>
      <color rgb="FF5B7BA5"/>
      <name val="Aptos"/>
    </font>
    <font>
      <b/>
      <i val="0"/>
      <sz val="11"/>
      <color theme="1"/>
      <name val="Aptos"/>
    </font>
    <font>
      <b val="0"/>
      <i val="0"/>
      <sz val="11"/>
      <color rgb="FF0070C0"/>
      <name val="Aptos"/>
    </font>
    <font>
      <b/>
      <i val="0"/>
      <sz val="12"/>
      <color rgb="FFFFFFFF"/>
      <name val="Aptos"/>
    </font>
    <font>
      <b val="0"/>
      <i val="0"/>
      <sz val="11"/>
      <color theme="1"/>
      <name val="Aptos"/>
    </font>
    <font>
      <b/>
      <i val="0"/>
      <sz val="11"/>
      <color rgb="FFFFFFFF"/>
      <name val="Aptos"/>
    </font>
    <font>
      <b/>
      <i val="0"/>
      <sz val="8"/>
      <color rgb="FFFFFFFF"/>
      <name val="Aptos"/>
    </font>
  </fonts>
  <fills count="6">
    <fill>
      <patternFill patternType="none"/>
    </fill>
    <fill>
      <patternFill patternType="gray125"/>
    </fill>
    <fill>
      <patternFill patternType="solid">
        <fgColor rgb="FFE8EEF4"/>
      </patternFill>
    </fill>
    <fill>
      <patternFill patternType="solid">
        <fgColor rgb="FF2B4C7E"/>
      </patternFill>
    </fill>
    <fill>
      <patternFill patternType="solid">
        <fgColor rgb="FFD6E4F0"/>
      </patternFill>
    </fill>
    <fill>
      <patternFill patternType="solid">
        <fgColor rgb="FFF5F8FC"/>
      </patternFill>
    </fill>
  </fills>
  <borders count="9">
    <border>
      <left/>
      <right/>
      <top/>
      <bottom/>
    </border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1"/>
  </cellStyleXfs>
  <cellXfs count="43">
    <xf numFmtId="0" fontId="0" fillId="0" borderId="1" xfId="0"/>
    <xf numFmtId="0" fontId="1" fillId="0" borderId="1" xfId="0"/>
    <xf numFmtId="0" fontId="2" fillId="0" borderId="1" xfId="0"/>
    <xf numFmtId="0" fontId="3" fillId="0" borderId="1" xfId="0"/>
    <xf numFmtId="171" fontId="4" fillId="2" borderId="1" xfId="0"/>
    <xf numFmtId="0" fontId="5" fillId="3" borderId="1" xfId="0"/>
    <xf numFmtId="0" fontId="6" fillId="3" borderId="1" xfId="0"/>
    <xf numFmtId="0" fontId="7" fillId="3" borderId="2" xfId="0">
      <alignment horizontal="center" vertical="bottom"/>
    </xf>
    <xf numFmtId="0" fontId="7" fillId="3" borderId="3" xfId="0">
      <alignment horizontal="center" vertical="bottom"/>
    </xf>
    <xf numFmtId="172" fontId="8" fillId="3" borderId="1" xfId="0">
      <alignment horizontal="center" vertical="bottom" textRotation="90"/>
    </xf>
    <xf numFmtId="1" fontId="6" fillId="4" borderId="2" xfId="0">
      <alignment horizontal="center" vertical="bottom"/>
    </xf>
    <xf numFmtId="0" fontId="3" fillId="4" borderId="2" xfId="0"/>
    <xf numFmtId="171" fontId="6" fillId="4" borderId="2" xfId="0"/>
    <xf numFmtId="9" fontId="6" fillId="4" borderId="2" xfId="0">
      <alignment horizontal="center" vertical="bottom"/>
    </xf>
    <xf numFmtId="0" fontId="6" fillId="4" borderId="2" xfId="0">
      <alignment horizontal="center" vertical="bottom"/>
    </xf>
    <xf numFmtId="0" fontId="6" fillId="4" borderId="3" xfId="0">
      <alignment horizontal="center" vertical="bottom"/>
    </xf>
    <xf numFmtId="0" fontId="6" fillId="0" borderId="4" xfId="0"/>
    <xf numFmtId="0" fontId="0" fillId="0" borderId="5" xfId="0"/>
    <xf numFmtId="0" fontId="6" fillId="0" borderId="5" xfId="0"/>
    <xf numFmtId="0" fontId="6" fillId="0" borderId="6" xfId="0"/>
    <xf numFmtId="174" fontId="6" fillId="0" borderId="2" xfId="0">
      <alignment horizontal="center" vertical="bottom"/>
    </xf>
    <xf numFmtId="0" fontId="6" fillId="0" borderId="2" xfId="0">
      <alignment horizontal="left" vertical="bottom" indent="2"/>
    </xf>
    <xf numFmtId="171" fontId="6" fillId="0" borderId="2" xfId="0"/>
    <xf numFmtId="1" fontId="4" fillId="0" borderId="2" xfId="0">
      <alignment horizontal="center" vertical="bottom"/>
    </xf>
    <xf numFmtId="9" fontId="4" fillId="0" borderId="2" xfId="0">
      <alignment horizontal="center" vertical="bottom"/>
    </xf>
    <xf numFmtId="0" fontId="6" fillId="0" borderId="2" xfId="0">
      <alignment horizontal="center" vertical="bottom"/>
    </xf>
    <xf numFmtId="0" fontId="6" fillId="0" borderId="3" xfId="0">
      <alignment horizontal="center" vertical="bottom"/>
    </xf>
    <xf numFmtId="174" fontId="6" fillId="5" borderId="2" xfId="0">
      <alignment horizontal="center" vertical="bottom"/>
    </xf>
    <xf numFmtId="0" fontId="6" fillId="5" borderId="2" xfId="0">
      <alignment horizontal="left" vertical="bottom" indent="2"/>
    </xf>
    <xf numFmtId="171" fontId="6" fillId="5" borderId="2" xfId="0"/>
    <xf numFmtId="1" fontId="4" fillId="5" borderId="2" xfId="0">
      <alignment horizontal="center" vertical="bottom"/>
    </xf>
    <xf numFmtId="9" fontId="4" fillId="5" borderId="2" xfId="0">
      <alignment horizontal="center" vertical="bottom"/>
    </xf>
    <xf numFmtId="0" fontId="6" fillId="5" borderId="2" xfId="0">
      <alignment horizontal="center" vertical="bottom"/>
    </xf>
    <xf numFmtId="0" fontId="6" fillId="5" borderId="3" xfId="0">
      <alignment horizontal="center" vertical="bottom"/>
    </xf>
    <xf numFmtId="0" fontId="4" fillId="0" borderId="2" xfId="0">
      <alignment horizontal="center" vertical="bottom"/>
    </xf>
    <xf numFmtId="0" fontId="4" fillId="5" borderId="2" xfId="0">
      <alignment horizontal="center" vertical="bottom"/>
    </xf>
    <xf numFmtId="174" fontId="6" fillId="0" borderId="7" xfId="0">
      <alignment horizontal="center" vertical="bottom"/>
    </xf>
    <xf numFmtId="0" fontId="6" fillId="0" borderId="7" xfId="0">
      <alignment horizontal="left" vertical="bottom" indent="2"/>
    </xf>
    <xf numFmtId="171" fontId="6" fillId="0" borderId="7" xfId="0"/>
    <xf numFmtId="1" fontId="4" fillId="0" borderId="7" xfId="0">
      <alignment horizontal="center" vertical="bottom"/>
    </xf>
    <xf numFmtId="9" fontId="4" fillId="0" borderId="7" xfId="0">
      <alignment horizontal="center" vertical="bottom"/>
    </xf>
    <xf numFmtId="0" fontId="4" fillId="0" borderId="7" xfId="0">
      <alignment horizontal="center" vertical="bottom"/>
    </xf>
    <xf numFmtId="0" fontId="6" fillId="0" borderId="8" xfId="0">
      <alignment horizontal="center" vertical="bottom"/>
    </xf>
  </cellXfs>
  <cellStyles count="1">
    <cellStyle name="Normal" xfId="0" builtinId="0"/>
  </cellStyles>
  <dxfs count="6">
    <dxf>
      <fill>
        <patternFill patternType="solid">
          <fgColor rgb="FFD6E4F0"/>
          <bgColor rgb="FFD6E4F0"/>
        </patternFill>
      </fill>
    </dxf>
    <dxf>
      <fill>
        <patternFill patternType="solid">
          <fgColor rgb="FF2B4C7E"/>
          <bgColor rgb="FF2B4C7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25FC1E1-E51C-CC13-0FBE-EDC31A134711}" mc:Ignorable="x14ac xr xr2 xr3">
  <dimension ref="A1:CV10000"/>
  <sheetViews>
    <sheetView showGridLines="0" zoomScale="90" workbookViewId="0" tabSelected="1">
      <pane xSplit="9" ySplit="8" topLeftCell="J9" activePane="bottomRight" state="frozen"/>
      <selection pane="bottomLeft" activeCell="A9" sqref="A9"/>
      <selection pane="topRight" activeCell="J1" sqref="J1"/>
      <selection pane="bottomRight" activeCell="I11" sqref="I11"/>
    </sheetView>
  </sheetViews>
  <sheetFormatPr defaultRowHeight="15.997499999999997" defaultColWidth="9.00390625" customHeight="1"/>
  <cols>
    <col min="1" max="1" width="4.00390625" customWidth="1"/>
    <col min="2" max="2" width="6.875" customWidth="1"/>
    <col min="3" max="3" width="27.50390625" customWidth="1"/>
    <col min="4" max="4" width="12.50390625" customWidth="1"/>
    <col min="5" max="6" width="10.625" customWidth="1"/>
    <col min="9" max="9" width="14.375" customWidth="1"/>
    <col min="10" max="30" width="5.75390625" customWidth="1"/>
  </cols>
  <sheetData>
    <row r="1" ht="16.5" customHeight="1"/>
    <row r="2" ht="24.75" customHeight="1">
      <c r="B2" s="1" t="s">
        <v>0</v>
      </c>
    </row>
    <row r="3" ht="15.75" customHeight="1">
      <c r="B3" s="2" t="s">
        <v>1</v>
      </c>
    </row>
    <row r="4" ht="16.5" customHeight="1"/>
    <row r="5" ht="15.75" customHeight="1">
      <c r="B5" s="3" t="s">
        <v>2</v>
      </c>
      <c r="D5" s="4">
        <v>46113</v>
      </c>
    </row>
    <row r="6" ht="16.5" customHeight="1"/>
    <row r="7" ht="16.5" customHeight="1">
      <c r="B7" s="5" t="s">
        <v>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ht="23.25" customHeight="1"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  <c r="G8" s="7" t="s">
        <v>9</v>
      </c>
      <c r="H8" s="7" t="s">
        <v>10</v>
      </c>
      <c r="I8" s="8" t="s">
        <v>11</v>
      </c>
      <c r="J8" s="9">
        <f>D5+0</f>
        <v>46113</v>
      </c>
      <c r="K8" s="9">
        <f>D5+7</f>
        <v>46120</v>
      </c>
      <c r="L8" s="9">
        <f>D5+14</f>
        <v>46127</v>
      </c>
      <c r="M8" s="9">
        <f>D5+21</f>
        <v>46134</v>
      </c>
      <c r="N8" s="9">
        <f>D5+28</f>
        <v>46141</v>
      </c>
      <c r="O8" s="9">
        <f>D5+35</f>
        <v>46148</v>
      </c>
      <c r="P8" s="9">
        <f>D5+42</f>
        <v>46155</v>
      </c>
      <c r="Q8" s="9">
        <f>D5+49</f>
        <v>46162</v>
      </c>
      <c r="R8" s="9">
        <f>D5+56</f>
        <v>46169</v>
      </c>
      <c r="S8" s="9">
        <f>D5+63</f>
        <v>46176</v>
      </c>
      <c r="T8" s="9">
        <f>D5+70</f>
        <v>46183</v>
      </c>
      <c r="U8" s="9">
        <f>D5+77</f>
        <v>46190</v>
      </c>
      <c r="V8" s="9">
        <f>D5+84</f>
        <v>46197</v>
      </c>
      <c r="W8" s="9">
        <f>D5+91</f>
        <v>46204</v>
      </c>
      <c r="X8" s="9">
        <f>D5+98</f>
        <v>46211</v>
      </c>
      <c r="Y8" s="9">
        <f>D5+105</f>
        <v>46218</v>
      </c>
      <c r="Z8" s="9">
        <f>D5+112</f>
        <v>46225</v>
      </c>
      <c r="AA8" s="9">
        <f>D5+119</f>
        <v>46232</v>
      </c>
      <c r="AB8" s="9">
        <f>D5+126</f>
        <v>46239</v>
      </c>
      <c r="AC8" s="9">
        <f>D5+133</f>
        <v>46246</v>
      </c>
    </row>
    <row r="9" ht="15.75" customHeight="1">
      <c r="B9" s="10">
        <v>1</v>
      </c>
      <c r="C9" s="11" t="s">
        <v>12</v>
      </c>
      <c r="D9" s="12">
        <f t="shared" si="0" ref="D9:D10">$D$5+0</f>
        <v>46113</v>
      </c>
      <c r="E9" s="12">
        <f t="shared" si="1" ref="E9:E28">D9+F9-1</f>
        <v>46133</v>
      </c>
      <c r="F9" s="10">
        <f>MAX(E10:E13)-MIN(D10:D13)+1</f>
        <v>21</v>
      </c>
      <c r="G9" s="13">
        <f>AVERAGE(G10:G13)</f>
        <v>1</v>
      </c>
      <c r="H9" s="14"/>
      <c r="I9" s="15" t="str">
        <f t="shared" si="2" ref="I9:I28">IF(G9=1,"Complete",IF(G9&gt;0,"In Progress",IF(D9&lt;=TODAY(),"Overdue","Not Started")))</f>
        <v>Complete</v>
      </c>
      <c r="J9" s="16"/>
      <c r="K9" s="17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9"/>
    </row>
    <row r="10" ht="15.75" customHeight="1">
      <c r="B10" s="20">
        <v>1.1</v>
      </c>
      <c r="C10" s="21" t="s">
        <v>14</v>
      </c>
      <c r="D10" s="22">
        <f t="shared" si="0"/>
        <v>46113</v>
      </c>
      <c r="E10" s="22">
        <f t="shared" si="1"/>
        <v>46119</v>
      </c>
      <c r="F10" s="23">
        <v>7</v>
      </c>
      <c r="G10" s="24">
        <v>1</v>
      </c>
      <c r="H10" s="25"/>
      <c r="I10" s="26" t="str">
        <f t="shared" si="2"/>
        <v>Complete</v>
      </c>
      <c r="J10" s="16"/>
      <c r="K10" s="17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9"/>
    </row>
    <row r="11" ht="15.75" customHeight="1">
      <c r="B11" s="27">
        <v>1.2</v>
      </c>
      <c r="C11" s="28" t="s">
        <v>15</v>
      </c>
      <c r="D11" s="29">
        <f>$D$5+3</f>
        <v>46116</v>
      </c>
      <c r="E11" s="29">
        <f t="shared" si="1"/>
        <v>46120</v>
      </c>
      <c r="F11" s="30">
        <v>5</v>
      </c>
      <c r="G11" s="31">
        <v>1</v>
      </c>
      <c r="H11" s="32"/>
      <c r="I11" s="33" t="str">
        <f t="shared" si="2"/>
        <v>Complete</v>
      </c>
      <c r="J11" s="16"/>
      <c r="K11" s="17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9"/>
    </row>
    <row r="12" ht="15.75" customHeight="1">
      <c r="B12" s="20">
        <v>1.3</v>
      </c>
      <c r="C12" s="21" t="s">
        <v>16</v>
      </c>
      <c r="D12" s="22">
        <f>$D$5+7</f>
        <v>46120</v>
      </c>
      <c r="E12" s="22">
        <f t="shared" si="1"/>
        <v>46129</v>
      </c>
      <c r="F12" s="23">
        <v>10</v>
      </c>
      <c r="G12" s="24">
        <v>1</v>
      </c>
      <c r="H12" s="34">
        <v>1.2</v>
      </c>
      <c r="I12" s="26" t="str">
        <f t="shared" si="2"/>
        <v>Complete</v>
      </c>
      <c r="J12" s="16"/>
      <c r="K12" s="17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9"/>
    </row>
    <row r="13" ht="15.75" customHeight="1">
      <c r="B13" s="27">
        <v>1.4</v>
      </c>
      <c r="C13" s="28" t="s">
        <v>17</v>
      </c>
      <c r="D13" s="29">
        <f>$D$5+17</f>
        <v>46130</v>
      </c>
      <c r="E13" s="29">
        <f t="shared" si="1"/>
        <v>46133</v>
      </c>
      <c r="F13" s="30">
        <v>4</v>
      </c>
      <c r="G13" s="31">
        <v>1</v>
      </c>
      <c r="H13" s="35">
        <v>1.3</v>
      </c>
      <c r="I13" s="33" t="str">
        <f t="shared" si="2"/>
        <v>Complete</v>
      </c>
      <c r="J13" s="16"/>
      <c r="K13" s="17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9"/>
    </row>
    <row r="14" ht="15.75" customHeight="1">
      <c r="B14" s="10">
        <v>2</v>
      </c>
      <c r="C14" s="11" t="s">
        <v>18</v>
      </c>
      <c r="D14" s="12">
        <f t="shared" si="3" ref="D14:D15">$D$5+21</f>
        <v>46134</v>
      </c>
      <c r="E14" s="12">
        <f t="shared" si="1"/>
        <v>46161</v>
      </c>
      <c r="F14" s="10">
        <f t="shared" si="4" ref="F14:F25">MAX(E15:E17)-MIN(D15:D17)+1</f>
        <v>28</v>
      </c>
      <c r="G14" s="13">
        <f t="shared" si="5" ref="G14:G25">AVERAGE(G15:G17)</f>
        <v>0.766666666666667</v>
      </c>
      <c r="H14" s="14"/>
      <c r="I14" s="15" t="str">
        <f t="shared" si="2"/>
        <v>In Progress</v>
      </c>
      <c r="J14" s="16"/>
      <c r="K14" s="17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9"/>
    </row>
    <row r="15" ht="15.75" customHeight="1">
      <c r="B15" s="27">
        <v>2.1</v>
      </c>
      <c r="C15" s="28" t="s">
        <v>20</v>
      </c>
      <c r="D15" s="29">
        <f t="shared" si="3"/>
        <v>46134</v>
      </c>
      <c r="E15" s="29">
        <f t="shared" si="1"/>
        <v>46143</v>
      </c>
      <c r="F15" s="30">
        <v>10</v>
      </c>
      <c r="G15" s="31">
        <v>1</v>
      </c>
      <c r="H15" s="35">
        <v>1.4</v>
      </c>
      <c r="I15" s="33" t="str">
        <f t="shared" si="2"/>
        <v>Complete</v>
      </c>
      <c r="J15" s="16"/>
      <c r="K15" s="17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9"/>
    </row>
    <row r="16" ht="15.75" customHeight="1">
      <c r="B16" s="20">
        <v>2.2</v>
      </c>
      <c r="C16" s="21" t="s">
        <v>21</v>
      </c>
      <c r="D16" s="22">
        <f>$D$5+28</f>
        <v>46141</v>
      </c>
      <c r="E16" s="22">
        <f t="shared" si="1"/>
        <v>46154</v>
      </c>
      <c r="F16" s="23">
        <v>14</v>
      </c>
      <c r="G16" s="24">
        <v>0.8</v>
      </c>
      <c r="H16" s="34">
        <v>2.1</v>
      </c>
      <c r="I16" s="26" t="str">
        <f t="shared" si="2"/>
        <v>In Progress</v>
      </c>
      <c r="J16" s="16"/>
      <c r="K16" s="17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9"/>
    </row>
    <row r="17" ht="15.75" customHeight="1">
      <c r="B17" s="27">
        <v>2.3</v>
      </c>
      <c r="C17" s="28" t="s">
        <v>22</v>
      </c>
      <c r="D17" s="29">
        <f>$D$5+42</f>
        <v>46155</v>
      </c>
      <c r="E17" s="29">
        <f t="shared" si="1"/>
        <v>46161</v>
      </c>
      <c r="F17" s="30">
        <v>7</v>
      </c>
      <c r="G17" s="31">
        <v>0.5</v>
      </c>
      <c r="H17" s="35">
        <v>2.2</v>
      </c>
      <c r="I17" s="33" t="str">
        <f t="shared" si="2"/>
        <v>In Progress</v>
      </c>
      <c r="J17" s="16"/>
      <c r="K17" s="17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9"/>
    </row>
    <row r="18" ht="15.75" customHeight="1">
      <c r="B18" s="10">
        <v>3</v>
      </c>
      <c r="C18" s="11" t="s">
        <v>23</v>
      </c>
      <c r="D18" s="12">
        <f t="shared" si="6" ref="D18:D20">$D$5+49</f>
        <v>46162</v>
      </c>
      <c r="E18" s="12">
        <f t="shared" si="1"/>
        <v>46203</v>
      </c>
      <c r="F18" s="10">
        <f t="shared" si="4"/>
        <v>42</v>
      </c>
      <c r="G18" s="13">
        <f t="shared" si="5"/>
        <v>0.25</v>
      </c>
      <c r="H18" s="14"/>
      <c r="I18" s="15" t="str">
        <f t="shared" si="2"/>
        <v>In Progress</v>
      </c>
      <c r="J18" s="16"/>
      <c r="K18" s="17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9"/>
    </row>
    <row r="19" ht="15.75" customHeight="1">
      <c r="B19" s="27">
        <v>3.1</v>
      </c>
      <c r="C19" s="28" t="s">
        <v>24</v>
      </c>
      <c r="D19" s="29">
        <f t="shared" si="6"/>
        <v>46162</v>
      </c>
      <c r="E19" s="29">
        <f t="shared" si="1"/>
        <v>46189</v>
      </c>
      <c r="F19" s="30">
        <v>28</v>
      </c>
      <c r="G19" s="31">
        <v>0.4</v>
      </c>
      <c r="H19" s="35">
        <v>2.3</v>
      </c>
      <c r="I19" s="33" t="str">
        <f t="shared" si="2"/>
        <v>In Progress</v>
      </c>
      <c r="J19" s="16"/>
      <c r="K19" s="17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9"/>
    </row>
    <row r="20" ht="15.75" customHeight="1">
      <c r="B20" s="20">
        <v>3.2</v>
      </c>
      <c r="C20" s="21" t="s">
        <v>25</v>
      </c>
      <c r="D20" s="22">
        <f t="shared" si="6"/>
        <v>46162</v>
      </c>
      <c r="E20" s="22">
        <f t="shared" si="1"/>
        <v>46189</v>
      </c>
      <c r="F20" s="23">
        <v>28</v>
      </c>
      <c r="G20" s="24">
        <v>0.35</v>
      </c>
      <c r="H20" s="34">
        <v>2.3</v>
      </c>
      <c r="I20" s="26" t="str">
        <f t="shared" si="2"/>
        <v>In Progress</v>
      </c>
      <c r="J20" s="16"/>
      <c r="K20" s="17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9"/>
    </row>
    <row r="21" ht="15.75" customHeight="1">
      <c r="B21" s="27">
        <v>3.3</v>
      </c>
      <c r="C21" s="28" t="s">
        <v>26</v>
      </c>
      <c r="D21" s="29">
        <f>$D$5+77</f>
        <v>46190</v>
      </c>
      <c r="E21" s="29">
        <f t="shared" si="1"/>
        <v>46203</v>
      </c>
      <c r="F21" s="30">
        <v>14</v>
      </c>
      <c r="G21" s="31">
        <v>0</v>
      </c>
      <c r="H21" s="35">
        <v>3.1</v>
      </c>
      <c r="I21" s="33" t="str">
        <f t="shared" si="2"/>
        <v>Not Started</v>
      </c>
      <c r="J21" s="16"/>
      <c r="K21" s="17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9"/>
    </row>
    <row r="22" ht="15.75" customHeight="1">
      <c r="B22" s="10">
        <v>4</v>
      </c>
      <c r="C22" s="11" t="s">
        <v>28</v>
      </c>
      <c r="D22" s="12">
        <f t="shared" si="7" ref="D22:D23">$D$5+91</f>
        <v>46204</v>
      </c>
      <c r="E22" s="12">
        <f t="shared" si="1"/>
        <v>46224</v>
      </c>
      <c r="F22" s="10">
        <f>MAX(E23:E24)-MIN(D23:D24)+1</f>
        <v>21</v>
      </c>
      <c r="G22" s="13">
        <f>AVERAGE(G23:G24)</f>
        <v>0</v>
      </c>
      <c r="H22" s="14"/>
      <c r="I22" s="15" t="str">
        <f t="shared" si="2"/>
        <v>Not Started</v>
      </c>
      <c r="J22" s="16"/>
      <c r="K22" s="17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9"/>
    </row>
    <row r="23" ht="15.75" customHeight="1">
      <c r="B23" s="27">
        <v>4.1</v>
      </c>
      <c r="C23" s="28" t="s">
        <v>29</v>
      </c>
      <c r="D23" s="29">
        <f t="shared" si="7"/>
        <v>46204</v>
      </c>
      <c r="E23" s="29">
        <f t="shared" si="1"/>
        <v>46213</v>
      </c>
      <c r="F23" s="30">
        <v>10</v>
      </c>
      <c r="G23" s="31">
        <v>0</v>
      </c>
      <c r="H23" s="35">
        <v>3.3</v>
      </c>
      <c r="I23" s="33" t="str">
        <f t="shared" si="2"/>
        <v>Not Started</v>
      </c>
      <c r="J23" s="16"/>
      <c r="K23" s="17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9"/>
    </row>
    <row r="24" ht="15.75" customHeight="1">
      <c r="B24" s="20">
        <v>4.2</v>
      </c>
      <c r="C24" s="21" t="s">
        <v>30</v>
      </c>
      <c r="D24" s="22">
        <f>$D$5+98</f>
        <v>46211</v>
      </c>
      <c r="E24" s="22">
        <f t="shared" si="1"/>
        <v>46224</v>
      </c>
      <c r="F24" s="23">
        <v>14</v>
      </c>
      <c r="G24" s="24">
        <v>0</v>
      </c>
      <c r="H24" s="34">
        <v>4.1</v>
      </c>
      <c r="I24" s="26" t="str">
        <f t="shared" si="2"/>
        <v>Not Started</v>
      </c>
      <c r="J24" s="16"/>
      <c r="K24" s="17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9"/>
    </row>
    <row r="25" ht="15.75" customHeight="1">
      <c r="B25" s="10">
        <v>5</v>
      </c>
      <c r="C25" s="11" t="s">
        <v>31</v>
      </c>
      <c r="D25" s="12">
        <f t="shared" si="8" ref="D25:D26">$D$5+112</f>
        <v>46225</v>
      </c>
      <c r="E25" s="12">
        <f t="shared" si="1"/>
        <v>46245</v>
      </c>
      <c r="F25" s="10">
        <f t="shared" si="4"/>
        <v>21</v>
      </c>
      <c r="G25" s="13">
        <f t="shared" si="5"/>
        <v>0</v>
      </c>
      <c r="H25" s="14"/>
      <c r="I25" s="15" t="str">
        <f t="shared" si="2"/>
        <v>Not Started</v>
      </c>
      <c r="J25" s="16"/>
      <c r="K25" s="17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9"/>
    </row>
    <row r="26" ht="15.75" customHeight="1">
      <c r="B26" s="20">
        <v>5.1</v>
      </c>
      <c r="C26" s="21" t="s">
        <v>32</v>
      </c>
      <c r="D26" s="22">
        <f t="shared" si="8"/>
        <v>46225</v>
      </c>
      <c r="E26" s="22">
        <f t="shared" si="1"/>
        <v>46231</v>
      </c>
      <c r="F26" s="23">
        <v>7</v>
      </c>
      <c r="G26" s="24">
        <v>0</v>
      </c>
      <c r="H26" s="34">
        <v>4.2</v>
      </c>
      <c r="I26" s="26" t="str">
        <f t="shared" si="2"/>
        <v>Not Started</v>
      </c>
      <c r="J26" s="16"/>
      <c r="K26" s="17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9"/>
    </row>
    <row r="27" ht="15.75" customHeight="1">
      <c r="B27" s="27">
        <v>5.2</v>
      </c>
      <c r="C27" s="28" t="s">
        <v>33</v>
      </c>
      <c r="D27" s="29">
        <f t="shared" si="9" ref="D27:D28">$D$5+119</f>
        <v>46232</v>
      </c>
      <c r="E27" s="29">
        <f t="shared" si="1"/>
        <v>46236</v>
      </c>
      <c r="F27" s="30">
        <v>5</v>
      </c>
      <c r="G27" s="31">
        <v>0</v>
      </c>
      <c r="H27" s="35">
        <v>5.1</v>
      </c>
      <c r="I27" s="33" t="str">
        <f t="shared" si="2"/>
        <v>Not Started</v>
      </c>
      <c r="J27" s="16"/>
      <c r="K27" s="17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9"/>
    </row>
    <row r="28" ht="15.75" customHeight="1">
      <c r="B28" s="36">
        <v>5.3</v>
      </c>
      <c r="C28" s="37" t="s">
        <v>34</v>
      </c>
      <c r="D28" s="38">
        <f t="shared" si="9"/>
        <v>46232</v>
      </c>
      <c r="E28" s="38">
        <f t="shared" si="1"/>
        <v>46245</v>
      </c>
      <c r="F28" s="39">
        <v>14</v>
      </c>
      <c r="G28" s="40">
        <v>0</v>
      </c>
      <c r="H28" s="41">
        <v>5.2</v>
      </c>
      <c r="I28" s="42" t="str">
        <f t="shared" si="2"/>
        <v>Not Started</v>
      </c>
      <c r="J28" s="16"/>
      <c r="K28" s="17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9"/>
    </row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>
    <mergeCell ref="B5:C5"/>
  </mergeCells>
  <conditionalFormatting sqref="J9:AC28">
    <cfRule type="expression" dxfId="0" priority="6" text="null">
      <formula>AND($D9&lt;&gt;"",J$8&gt;=$D9,J$8&lt;=$E9)</formula>
    </cfRule>
  </conditionalFormatting>
  <conditionalFormatting sqref="J9:AC28">
    <cfRule type="expression" dxfId="1" priority="5" text="null">
      <formula>AND($D9&lt;&gt;"",J$8&gt;=$D9,J$8&lt;=($D9+($E9-$D9)*$G9))</formula>
    </cfRule>
  </conditionalFormatting>
  <conditionalFormatting sqref="I9:I28">
    <cfRule type="cellIs" dxfId="2" priority="4" operator="equal" text="null">
      <formula>"Complete"</formula>
    </cfRule>
  </conditionalFormatting>
  <conditionalFormatting sqref="I9:I28">
    <cfRule type="cellIs" dxfId="3" priority="3" operator="equal" text="null">
      <formula>"In Progress"</formula>
    </cfRule>
  </conditionalFormatting>
  <conditionalFormatting sqref="I9:I28">
    <cfRule type="cellIs" dxfId="4" priority="2" operator="equal" text="null">
      <formula>"Overdue"</formula>
    </cfRule>
  </conditionalFormatting>
  <conditionalFormatting sqref="I9:I28">
    <cfRule type="cellIs" dxfId="5" priority="1" operator="equal" text="null">
      <formula>"Not Started"</formula>
    </cfRule>
  </conditionalFormatting>
  <dataValidations count="1">
    <dataValidation allowBlank="1" error="Invalid Input: Please enter a value between 0 and 1" showErrorMessage="1" showInputMessage="1" sqref="G9 G10 G11 G12 G13 G14 G15 G16 G17 G18 G19 G20 G21 G22 G23 G24 G25 G26 G27 G28" type="decimal">
      <formula1>0</formula1>
      <formula2>1</formula2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6ba5b36a-f21c-468f-9d70-a950638dba36</vt:lpwstr>
  </property>
</Properties>
</file>