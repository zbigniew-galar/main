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Fishbone Diagram" sheetId="1"/>
    <sheet r:id="rId2" name="Cause Data" sheetId="2"/>
  </sheets>
  <definedNames>
    <definedName name="_xlnm.Print_Area" localSheetId="0">'Fishbone Diagram'!$A$1:$P$27</definedName>
    <definedName name="_xlnm.Print_Area" localSheetId="1">'Cause Data'!$A$1:$F$25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<sst xmlns="http://schemas.openxmlformats.org/spreadsheetml/2006/main" count="38" uniqueCount="38">
  <si>
    <t>Fishbone Diagram (Ishikawa)</t>
  </si>
  <si>
    <t>Root Cause Analysis — Cause and Effect</t>
  </si>
  <si>
    <t>PROBLEM / EFFECT</t>
  </si>
  <si>
    <t>High Product Defect Rate</t>
  </si>
  <si>
    <t>Skipped quality checks</t>
  </si>
  <si>
    <t>Improper storage</t>
  </si>
  <si>
    <t>Operator fatigue</t>
  </si>
  <si>
    <t>No standard work instructions</t>
  </si>
  <si>
    <t>Supplier variability</t>
  </si>
  <si>
    <t>High staff turnover</t>
  </si>
  <si>
    <t>Inconsistent procedures</t>
  </si>
  <si>
    <t>Substandard raw materials</t>
  </si>
  <si>
    <t>Inadequate training</t>
  </si>
  <si>
    <t>METHODS</t>
  </si>
  <si>
    <t>MATERIALS</t>
  </si>
  <si>
    <t>MANPOWER</t>
  </si>
  <si>
    <t>►</t>
  </si>
  <si>
    <t>MACHINES</t>
  </si>
  <si>
    <t>MEASUREMENTS</t>
  </si>
  <si>
    <t>ENVIRONMENT</t>
  </si>
  <si>
    <t>Outdated equipment</t>
  </si>
  <si>
    <t>Inaccurate gauges</t>
  </si>
  <si>
    <t>Temperature fluctuations</t>
  </si>
  <si>
    <t>Poor maintenance schedule</t>
  </si>
  <si>
    <t>Insufficient sampling</t>
  </si>
  <si>
    <t>Dust contamination</t>
  </si>
  <si>
    <t>Calibration drift</t>
  </si>
  <si>
    <t>No SPC in place</t>
  </si>
  <si>
    <t>Poor lighting</t>
  </si>
  <si>
    <t>Edit causes in the 'Cause Data' sheet — they automatically appear here.</t>
  </si>
  <si>
    <t>Cause &amp; Effect Data Entry</t>
  </si>
  <si>
    <t>Enter your problem statement and potential causes below</t>
  </si>
  <si>
    <t>#</t>
  </si>
  <si>
    <t>Potential Cause</t>
  </si>
  <si>
    <t>Priority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</si>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</sst>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b val="0"/>
      <i val="0"/>
      <sz val="12"/>
      <color theme="1"/>
      <name val="Aptos Narrow"/>
      <scheme val="minor"/>
    </font>
    <font>
      <b/>
      <i val="0"/>
      <sz val="18"/>
      <color rgb="FF2B4C7E"/>
      <name val="Aptos"/>
    </font>
    <font>
      <b val="0"/>
      <i/>
      <sz val="11"/>
      <color rgb="FF5B7BA5"/>
      <name val="Aptos"/>
    </font>
    <font>
      <b/>
      <i val="0"/>
      <sz val="11"/>
      <color rgb="FFFFFFFF"/>
      <name val="Aptos"/>
    </font>
    <font>
      <b/>
      <i val="0"/>
      <sz val="14"/>
      <color theme="1"/>
      <name val="Aptos"/>
    </font>
    <font>
      <b val="0"/>
      <i val="0"/>
      <sz val="11"/>
      <color theme="1"/>
      <name val="Aptos"/>
    </font>
    <font>
      <b/>
      <i val="0"/>
      <sz val="16"/>
      <color rgb="FF2B4C7E"/>
      <name val="Aptos"/>
    </font>
    <font>
      <b/>
      <i val="0"/>
      <sz val="12"/>
      <color rgb="FFFFFFFF"/>
      <name val="Aptos"/>
    </font>
    <font>
      <b val="0"/>
      <i val="0"/>
      <sz val="11"/>
      <color auto="1"/>
      <name val="Aptos"/>
    </font>
    <font>
      <b/>
      <i val="0"/>
      <sz val="13"/>
      <color rgb="FF0070C0"/>
      <name val="Aptos"/>
    </font>
    <font>
      <b/>
      <i val="0"/>
      <sz val="11"/>
      <color rgb="FF2B4C7E"/>
      <name val="Aptos"/>
    </font>
    <font>
      <b val="0"/>
      <i val="0"/>
      <sz val="11"/>
      <color rgb="FF0070C0"/>
      <name val="Aptos"/>
    </font>
  </fonts>
  <fills count="7">
    <fill>
      <patternFill patternType="none"/>
    </fill>
    <fill>
      <patternFill patternType="gray125"/>
    </fill>
    <fill>
      <patternFill patternType="solid">
        <fgColor rgb="FF2B4C7E"/>
      </patternFill>
    </fill>
    <fill>
      <patternFill patternType="solid">
        <fgColor rgb="FFE8EDF3"/>
      </patternFill>
    </fill>
    <fill>
      <patternFill patternType="solid">
        <fgColor rgb="FFD0D9E6"/>
      </patternFill>
    </fill>
    <fill>
      <patternFill patternType="solid">
        <fgColor rgb="FFE8EEF4"/>
      </patternFill>
    </fill>
    <fill>
      <patternFill patternType="solid">
        <fgColor rgb="FFF5F8FC"/>
      </patternFill>
    </fill>
  </fills>
  <borders count="14">
    <border>
      <left/>
      <right/>
      <top/>
      <bottom/>
    </border>
    <border>
      <left/>
      <right/>
      <top/>
      <bottom/>
      <diagonal/>
    </border>
    <border>
      <left style="medium">
        <color rgb="FF2B4C7E"/>
      </left>
      <right style="medium">
        <color rgb="FF2B4C7E"/>
      </right>
      <top style="medium">
        <color rgb="FF2B4C7E"/>
      </top>
      <bottom style="medium">
        <color rgb="FF2B4C7E"/>
      </bottom>
      <diagonal/>
    </border>
    <border>
      <left/>
      <right/>
      <top style="medium">
        <color rgb="FF2B4C7E"/>
      </top>
      <bottom style="medium">
        <color rgb="FF2B4C7E"/>
      </bottom>
      <diagonal/>
    </border>
    <border>
      <left/>
      <right style="medium">
        <color rgb="FF2B4C7E"/>
      </right>
      <top style="medium">
        <color rgb="FF2B4C7E"/>
      </top>
      <bottom style="medium">
        <color rgb="FF2B4C7E"/>
      </bottom>
      <diagonal/>
    </border>
    <border>
      <left/>
      <right style="thin">
        <color rgb="FF5B7BA5"/>
      </right>
      <top/>
      <bottom/>
      <diagonal/>
    </border>
    <border>
      <left/>
      <right/>
      <top/>
      <bottom style="medium">
        <color rgb="FF2B4C7E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1"/>
  </cellStyleXfs>
  <cellXfs count="36">
    <xf numFmtId="0" fontId="0" fillId="0" borderId="1" xfId="0"/>
    <xf numFmtId="0" fontId="1" fillId="0" borderId="1" xfId="0"/>
    <xf numFmtId="0" fontId="2" fillId="0" borderId="1" xfId="0"/>
    <xf numFmtId="0" fontId="3" fillId="2" borderId="1" xfId="0">
      <alignment horizontal="center" vertical="bottom"/>
    </xf>
    <xf numFmtId="0" fontId="4" fillId="3" borderId="2" xfId="0">
      <alignment horizontal="center" vertical="center"/>
    </xf>
    <xf numFmtId="0" fontId="5" fillId="0" borderId="3" xfId="0"/>
    <xf numFmtId="0" fontId="0" fillId="0" borderId="4" xfId="0"/>
    <xf numFmtId="0" fontId="5" fillId="0" borderId="1" xfId="0">
      <alignment horizontal="right" vertical="center"/>
    </xf>
    <xf numFmtId="0" fontId="5" fillId="4" borderId="1" xfId="0"/>
    <xf numFmtId="0" fontId="3" fillId="2" borderId="1" xfId="0">
      <alignment horizontal="center" vertical="center"/>
    </xf>
    <xf numFmtId="0" fontId="5" fillId="4" borderId="5" xfId="0"/>
    <xf numFmtId="0" fontId="5" fillId="0" borderId="6" xfId="0"/>
    <xf numFmtId="0" fontId="5" fillId="2" borderId="6" xfId="0"/>
    <xf numFmtId="0" fontId="6" fillId="2" borderId="6" xfId="0">
      <alignment horizontal="center" vertical="center"/>
    </xf>
    <xf numFmtId="0" fontId="1" fillId="0" borderId="1" xfId="0">
      <alignment vertical="top"/>
    </xf>
    <xf numFmtId="0" fontId="2" fillId="0" borderId="1" xfId="0">
      <alignment vertical="top"/>
    </xf>
    <xf numFmtId="0" fontId="7" fillId="2" borderId="1" xfId="0">
      <alignment vertical="top"/>
    </xf>
    <xf numFmtId="0" fontId="8" fillId="2" borderId="1" xfId="0">
      <alignment vertical="top"/>
    </xf>
    <xf numFmtId="0" fontId="9" fillId="5" borderId="7" xfId="0">
      <alignment vertical="top"/>
    </xf>
    <xf numFmtId="0" fontId="8" fillId="5" borderId="8" xfId="0">
      <alignment vertical="top"/>
    </xf>
    <xf numFmtId="0" fontId="8" fillId="5" borderId="9" xfId="0">
      <alignment vertical="top"/>
    </xf>
    <xf numFmtId="0" fontId="7" fillId="2" borderId="1" xfId="0">
      <alignment horizontal="center" vertical="top"/>
    </xf>
    <xf numFmtId="0" fontId="10" fillId="5" borderId="10" xfId="0">
      <alignment horizontal="center" vertical="top"/>
    </xf>
    <xf numFmtId="0" fontId="10" fillId="5" borderId="11" xfId="0">
      <alignment vertical="top"/>
    </xf>
    <xf numFmtId="0" fontId="10" fillId="5" borderId="12" xfId="0">
      <alignment vertical="top"/>
    </xf>
    <xf numFmtId="0" fontId="8" fillId="6" borderId="10" xfId="0">
      <alignment horizontal="center" vertical="top"/>
    </xf>
    <xf numFmtId="0" fontId="11" fillId="6" borderId="11" xfId="0">
      <alignment vertical="top"/>
    </xf>
    <xf numFmtId="0" fontId="11" fillId="6" borderId="12" xfId="0">
      <alignment vertical="top"/>
    </xf>
    <xf numFmtId="0" fontId="8" fillId="0" borderId="10" xfId="0">
      <alignment horizontal="center" vertical="top"/>
    </xf>
    <xf numFmtId="0" fontId="11" fillId="0" borderId="11" xfId="0">
      <alignment vertical="top"/>
    </xf>
    <xf numFmtId="0" fontId="11" fillId="0" borderId="12" xfId="0">
      <alignment vertical="top"/>
    </xf>
    <xf numFmtId="0" fontId="8" fillId="0" borderId="7" xfId="0">
      <alignment horizontal="center" vertical="top"/>
    </xf>
    <xf numFmtId="0" fontId="11" fillId="0" borderId="13" xfId="0">
      <alignment vertical="top"/>
    </xf>
    <xf numFmtId="0" fontId="11" fillId="0" borderId="8" xfId="0">
      <alignment vertical="top"/>
    </xf>
    <xf numFmtId="0" fontId="7" fillId="2" borderId="12" xfId="0">
      <alignment horizontal="center" vertical="top"/>
    </xf>
    <xf numFmtId="0" fontId="8" fillId="0" borderId="12" xfId="0">
      <alignment vertical="top"/>
    </xf>
  </cellXfs>
  <cellStyles count="1">
    <cellStyle name="Normal" xfId="0" builtinId="0"/>
  </cellStyles>
  <dxfs count="4">
    <dxf>
      <fill>
        <patternFill patternType="solid">
          <fgColor rgb="FFFFF2CC"/>
          <bgColor rgb="FFFFF2C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92037E8-9128-BFF6-9848-A5BCFB4F66BF}" mc:Ignorable="x14ac xr xr2 xr3">
  <dimension ref="A1:CV10000"/>
  <sheetViews>
    <sheetView showGridLines="0" topLeftCell="A1" zoomScale="90" workbookViewId="0" tabSelected="1">
      <selection activeCell="H20" sqref="H20"/>
    </sheetView>
  </sheetViews>
  <sheetFormatPr defaultRowHeight="15.997499999999997" defaultColWidth="9.00390625" customHeight="1"/>
  <cols>
    <col min="2" max="2" width="59.125" customWidth="1"/>
    <col min="3" max="3" width="25.125" customWidth="1"/>
    <col min="7" max="7" width="22.375" customWidth="1"/>
    <col min="11" max="11" width="20.625" customWidth="1"/>
    <col min="15" max="15" width="3.125" customWidth="1"/>
  </cols>
  <sheetData>
    <row r="1" ht="16.5" customHeight="1"/>
    <row r="2" ht="24.75" customHeight="1">
      <c r="B2" s="1" t="s">
        <v>0</v>
      </c>
    </row>
    <row r="3" ht="15.75" customHeight="1">
      <c r="B3" s="2" t="s">
        <v>1</v>
      </c>
    </row>
    <row r="4" ht="15.75" customHeight="1">
      <c r="E4" s="3" t="s">
        <v>2</v>
      </c>
    </row>
    <row r="5" ht="19.5" customHeight="1">
      <c r="E5" s="4" cm="1" t="str">
        <f t="array" ref="E5">'Cause Data'!B6</f>
        <v>High Product Defect Rate</v>
      </c>
      <c r="F5" s="5"/>
      <c r="G5" s="5"/>
      <c r="H5" s="5"/>
      <c r="I5" s="5"/>
      <c r="J5" s="5"/>
      <c r="K5" s="5"/>
      <c r="L5" s="5"/>
      <c r="M5" s="6"/>
    </row>
    <row r="6" ht="16.5" customHeight="1"/>
    <row r="7" ht="16.5" customHeight="1"/>
    <row r="8" ht="15.75" customHeight="1">
      <c r="C8" s="7" cm="1" t="str">
        <f t="array" ref="C8">'Cause Data'!C12</f>
        <v>Skipped quality checks</v>
      </c>
      <c r="D8" s="8"/>
      <c r="G8" s="7" cm="1" t="str">
        <f t="array" ref="G8">'Cause Data'!C18</f>
        <v>Improper storage</v>
      </c>
      <c r="H8" s="8"/>
      <c r="K8" s="7" cm="1" t="str">
        <f t="array" ref="K8">'Cause Data'!C24</f>
        <v>Operator fatigue</v>
      </c>
      <c r="L8" s="8"/>
    </row>
    <row r="9" ht="15.75" customHeight="1">
      <c r="C9" s="7" cm="1" t="str">
        <f t="array" ref="C9">'Cause Data'!C11</f>
        <v>No standard work instructions</v>
      </c>
      <c r="D9" s="8"/>
      <c r="G9" s="7" cm="1" t="str">
        <f t="array" ref="G9">'Cause Data'!C17</f>
        <v>Supplier variability</v>
      </c>
      <c r="H9" s="8"/>
      <c r="K9" s="7" cm="1" t="str">
        <f t="array" ref="K9">'Cause Data'!C23</f>
        <v>High staff turnover</v>
      </c>
      <c r="L9" s="8"/>
    </row>
    <row r="10" ht="15.75" customHeight="1">
      <c r="C10" s="7" cm="1" t="str">
        <f t="array" ref="C10">'Cause Data'!C10</f>
        <v>Inconsistent procedures</v>
      </c>
      <c r="D10" s="8"/>
      <c r="G10" s="7" cm="1" t="str">
        <f t="array" ref="G10">'Cause Data'!C16</f>
        <v>Substandard raw materials</v>
      </c>
      <c r="H10" s="8"/>
      <c r="K10" s="7" cm="1" t="str">
        <f t="array" ref="K10">'Cause Data'!C22</f>
        <v>Inadequate training</v>
      </c>
      <c r="L10" s="8"/>
    </row>
    <row r="11" ht="15.75" customHeight="1">
      <c r="D11" s="9" t="s">
        <v>13</v>
      </c>
      <c r="H11" s="9" t="s">
        <v>14</v>
      </c>
      <c r="L11" s="9" t="s">
        <v>15</v>
      </c>
    </row>
    <row r="12" ht="16.5" customHeight="1">
      <c r="D12" s="10"/>
      <c r="H12" s="10"/>
      <c r="L12" s="10"/>
    </row>
    <row r="13" ht="16.5" customHeight="1">
      <c r="D13" s="10"/>
      <c r="H13" s="10"/>
      <c r="L13" s="10"/>
    </row>
    <row r="14" ht="16.5" customHeight="1">
      <c r="D14" s="10"/>
      <c r="H14" s="10"/>
      <c r="L14" s="10"/>
    </row>
    <row r="15" ht="4.5" customHeight="1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 t="s">
        <v>16</v>
      </c>
    </row>
    <row r="16" ht="16.5" customHeight="1">
      <c r="D16" s="10"/>
      <c r="H16" s="10"/>
      <c r="L16" s="10"/>
    </row>
    <row r="17" ht="16.5" customHeight="1">
      <c r="D17" s="10"/>
      <c r="H17" s="10"/>
      <c r="L17" s="10"/>
    </row>
    <row r="18" ht="16.5" customHeight="1">
      <c r="D18" s="10"/>
      <c r="H18" s="10"/>
      <c r="L18" s="10"/>
    </row>
    <row r="19" ht="15.75" customHeight="1">
      <c r="D19" s="9" t="s">
        <v>17</v>
      </c>
      <c r="H19" s="9" t="s">
        <v>18</v>
      </c>
      <c r="L19" s="9" t="s">
        <v>19</v>
      </c>
    </row>
    <row r="20" ht="15.75" customHeight="1">
      <c r="C20" s="7" cm="1" t="str">
        <f t="array" ref="C20">'Cause Data'!F10</f>
        <v>Outdated equipment</v>
      </c>
      <c r="D20" s="8"/>
      <c r="G20" s="7" cm="1" t="str">
        <f t="array" ref="G20">'Cause Data'!F16</f>
        <v>Inaccurate gauges</v>
      </c>
      <c r="H20" s="8"/>
      <c r="K20" s="7" cm="1" t="str">
        <f t="array" ref="K20">'Cause Data'!F22</f>
        <v>Temperature fluctuations</v>
      </c>
      <c r="L20" s="8"/>
    </row>
    <row r="21" ht="15.75" customHeight="1">
      <c r="C21" s="7" cm="1" t="str">
        <f t="array" ref="C21">'Cause Data'!F11</f>
        <v>Poor maintenance schedule</v>
      </c>
      <c r="D21" s="8"/>
      <c r="G21" s="7" cm="1" t="str">
        <f t="array" ref="G21">'Cause Data'!F17</f>
        <v>Insufficient sampling</v>
      </c>
      <c r="H21" s="8"/>
      <c r="K21" s="7" cm="1" t="str">
        <f t="array" ref="K21">'Cause Data'!F23</f>
        <v>Dust contamination</v>
      </c>
      <c r="L21" s="8"/>
    </row>
    <row r="22" ht="15.75" customHeight="1">
      <c r="C22" s="7" cm="1" t="str">
        <f t="array" ref="C22">'Cause Data'!F12</f>
        <v>Calibration drift</v>
      </c>
      <c r="D22" s="8"/>
      <c r="G22" s="7" cm="1" t="str">
        <f t="array" ref="G22">'Cause Data'!F18</f>
        <v>No SPC in place</v>
      </c>
      <c r="H22" s="8"/>
      <c r="K22" s="7" cm="1" t="str">
        <f t="array" ref="K22">'Cause Data'!F24</f>
        <v>Poor lighting</v>
      </c>
      <c r="L22" s="8"/>
    </row>
    <row r="23" ht="16.5" customHeight="1"/>
    <row r="24" ht="16.5" customHeight="1"/>
    <row r="25" ht="16.5" customHeight="1"/>
    <row r="26" ht="16.5" customHeight="1"/>
    <row r="27" ht="15.75" customHeight="1">
      <c r="B27" s="2" t="s">
        <v>29</v>
      </c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>
    <mergeCell ref="E4:M4"/>
    <mergeCell ref="E5:M5"/>
    <mergeCell ref="D11:E11"/>
    <mergeCell ref="H11:I11"/>
    <mergeCell ref="L11:M11"/>
    <mergeCell ref="D19:E19"/>
    <mergeCell ref="H19:I19"/>
    <mergeCell ref="L19:M19"/>
  </mergeCell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424402D-1478-9908-9418-E1EFB132C2B8}" mc:Ignorable="x14ac xr xr2 xr3">
  <dimension ref="A1:CV10000"/>
  <sheetViews>
    <sheetView showGridLines="0" workbookViewId="0">
      <pane xSplit="1" ySplit="6" topLeftCell="B7" activePane="bottomRight" state="frozen"/>
      <selection pane="bottomLeft" activeCell="A7" sqref="A7"/>
      <selection pane="topRight" activeCell="B1" sqref="B1"/>
      <selection pane="bottomRight" activeCell="C12" sqref="C12"/>
    </sheetView>
  </sheetViews>
  <sheetFormatPr defaultRowHeight="15" defaultColWidth="7.75390625" customHeight="1"/>
  <cols>
    <col min="2" max="2" width="47.50390625" customWidth="1"/>
    <col min="3" max="3" width="25.125" customWidth="1"/>
    <col min="4" max="4" width="7.125" customWidth="1"/>
    <col min="5" max="5" width="1.50390625" customWidth="1"/>
    <col min="6" max="6" width="23.25390625" customWidth="1"/>
  </cols>
  <sheetData>
    <row r="2" ht="24" customHeight="1">
      <c r="B2" s="14" t="s">
        <v>30</v>
      </c>
    </row>
    <row r="3" ht="15" customHeight="1">
      <c r="B3" s="15" t="s">
        <v>31</v>
      </c>
    </row>
    <row r="5" ht="16.5" customHeight="1">
      <c r="B5" s="16" t="s">
        <v>2</v>
      </c>
      <c r="C5" s="17"/>
      <c r="D5" s="17"/>
      <c r="E5" s="17"/>
      <c r="F5" s="17"/>
    </row>
    <row r="6" ht="18.75" customHeight="1">
      <c r="B6" s="18" t="s">
        <v>3</v>
      </c>
      <c r="C6" s="19"/>
      <c r="D6" s="19"/>
      <c r="E6" s="20"/>
    </row>
    <row r="8" ht="16.5" customHeight="1">
      <c r="B8" s="21" t="s">
        <v>13</v>
      </c>
      <c r="E8" s="21" t="s">
        <v>17</v>
      </c>
    </row>
    <row r="9" ht="15" customHeight="1">
      <c r="B9" s="22" t="s">
        <v>32</v>
      </c>
      <c r="C9" s="23" t="s">
        <v>33</v>
      </c>
      <c r="D9" s="24" t="s">
        <v>34</v>
      </c>
      <c r="E9" s="22" t="s">
        <v>32</v>
      </c>
      <c r="F9" s="23" t="s">
        <v>33</v>
      </c>
    </row>
    <row r="10" ht="15" customHeight="1">
      <c r="B10" s="25">
        <v>1</v>
      </c>
      <c r="C10" s="26" t="s">
        <v>10</v>
      </c>
      <c r="D10" s="27" t="s">
        <v>35</v>
      </c>
      <c r="E10" s="25">
        <v>1</v>
      </c>
      <c r="F10" s="26" t="s">
        <v>20</v>
      </c>
    </row>
    <row r="11" ht="15" customHeight="1">
      <c r="B11" s="28">
        <v>2</v>
      </c>
      <c r="C11" s="29" t="s">
        <v>7</v>
      </c>
      <c r="D11" s="30" t="s">
        <v>36</v>
      </c>
      <c r="E11" s="28">
        <v>2</v>
      </c>
      <c r="F11" s="29" t="s">
        <v>23</v>
      </c>
    </row>
    <row r="12" ht="15" customHeight="1">
      <c r="B12" s="25">
        <v>3</v>
      </c>
      <c r="C12" s="26" t="s">
        <v>4</v>
      </c>
      <c r="D12" s="27" t="s">
        <v>35</v>
      </c>
      <c r="E12" s="25">
        <v>3</v>
      </c>
      <c r="F12" s="26" t="s">
        <v>26</v>
      </c>
    </row>
    <row r="13" ht="15" customHeight="1">
      <c r="B13" s="31">
        <v>4</v>
      </c>
      <c r="C13" s="32"/>
      <c r="D13" s="33"/>
      <c r="E13" s="31">
        <v>4</v>
      </c>
      <c r="F13" s="32"/>
    </row>
    <row r="14" ht="16.5" customHeight="1">
      <c r="B14" s="34" t="s">
        <v>14</v>
      </c>
      <c r="C14" s="35"/>
      <c r="E14" s="34" t="s">
        <v>18</v>
      </c>
      <c r="F14" s="35"/>
    </row>
    <row r="15" ht="15" customHeight="1">
      <c r="B15" s="22" t="s">
        <v>32</v>
      </c>
      <c r="C15" s="23" t="s">
        <v>33</v>
      </c>
      <c r="D15" s="24" t="s">
        <v>34</v>
      </c>
      <c r="E15" s="22" t="s">
        <v>32</v>
      </c>
      <c r="F15" s="23" t="s">
        <v>33</v>
      </c>
    </row>
    <row r="16" ht="15" customHeight="1">
      <c r="B16" s="25">
        <v>1</v>
      </c>
      <c r="C16" s="26" t="s">
        <v>11</v>
      </c>
      <c r="D16" s="27" t="s">
        <v>36</v>
      </c>
      <c r="E16" s="25">
        <v>1</v>
      </c>
      <c r="F16" s="26" t="s">
        <v>21</v>
      </c>
    </row>
    <row r="17" ht="15" customHeight="1">
      <c r="B17" s="28">
        <v>2</v>
      </c>
      <c r="C17" s="29" t="s">
        <v>8</v>
      </c>
      <c r="D17" s="30" t="s">
        <v>35</v>
      </c>
      <c r="E17" s="28">
        <v>2</v>
      </c>
      <c r="F17" s="29" t="s">
        <v>24</v>
      </c>
    </row>
    <row r="18" ht="15" customHeight="1">
      <c r="B18" s="25">
        <v>3</v>
      </c>
      <c r="C18" s="26" t="s">
        <v>5</v>
      </c>
      <c r="D18" s="27" t="s">
        <v>37</v>
      </c>
      <c r="E18" s="25">
        <v>3</v>
      </c>
      <c r="F18" s="26" t="s">
        <v>27</v>
      </c>
    </row>
    <row r="19" ht="15" customHeight="1">
      <c r="B19" s="31">
        <v>4</v>
      </c>
      <c r="C19" s="32"/>
      <c r="D19" s="33"/>
      <c r="E19" s="31">
        <v>4</v>
      </c>
      <c r="F19" s="32"/>
    </row>
    <row r="20" ht="16.5" customHeight="1">
      <c r="B20" s="34" t="s">
        <v>15</v>
      </c>
      <c r="C20" s="35"/>
      <c r="E20" s="34" t="s">
        <v>19</v>
      </c>
      <c r="F20" s="35"/>
    </row>
    <row r="21" ht="15" customHeight="1">
      <c r="B21" s="22" t="s">
        <v>32</v>
      </c>
      <c r="C21" s="23" t="s">
        <v>33</v>
      </c>
      <c r="D21" s="24" t="s">
        <v>34</v>
      </c>
      <c r="E21" s="22" t="s">
        <v>32</v>
      </c>
      <c r="F21" s="23" t="s">
        <v>33</v>
      </c>
    </row>
    <row r="22" ht="15" customHeight="1">
      <c r="B22" s="25">
        <v>1</v>
      </c>
      <c r="C22" s="26" t="s">
        <v>12</v>
      </c>
      <c r="D22" s="27" t="s">
        <v>35</v>
      </c>
      <c r="E22" s="25">
        <v>1</v>
      </c>
      <c r="F22" s="26" t="s">
        <v>22</v>
      </c>
    </row>
    <row r="23" ht="15" customHeight="1">
      <c r="B23" s="28">
        <v>2</v>
      </c>
      <c r="C23" s="29" t="s">
        <v>9</v>
      </c>
      <c r="D23" s="30" t="s">
        <v>36</v>
      </c>
      <c r="E23" s="28">
        <v>2</v>
      </c>
      <c r="F23" s="29" t="s">
        <v>25</v>
      </c>
    </row>
    <row r="24" ht="15" customHeight="1">
      <c r="B24" s="25">
        <v>3</v>
      </c>
      <c r="C24" s="26" t="s">
        <v>6</v>
      </c>
      <c r="D24" s="27" t="s">
        <v>37</v>
      </c>
      <c r="E24" s="25">
        <v>3</v>
      </c>
      <c r="F24" s="26" t="s">
        <v>28</v>
      </c>
    </row>
    <row r="25" ht="15" customHeight="1">
      <c r="B25" s="31">
        <v>4</v>
      </c>
      <c r="C25" s="32"/>
      <c r="D25" s="33"/>
      <c r="E25" s="31">
        <v>4</v>
      </c>
      <c r="F25" s="32"/>
    </row>
  </sheetData>
  <mergeCells>
    <mergeCell ref="B8:C8"/>
    <mergeCell ref="E8:F8"/>
    <mergeCell ref="B14:C14"/>
    <mergeCell ref="E14:F14"/>
    <mergeCell ref="B20:C20"/>
    <mergeCell ref="E20:F20"/>
  </mergeCells>
  <conditionalFormatting sqref="C10:C13">
    <cfRule type="expression" dxfId="0" priority="15" text="null">
      <formula>AND(C10="",B10&lt;&gt;"")</formula>
    </cfRule>
  </conditionalFormatting>
  <conditionalFormatting sqref="F10:F13">
    <cfRule type="expression" dxfId="0" priority="14" text="null">
      <formula>AND(F10="",E10&lt;&gt;"")</formula>
    </cfRule>
  </conditionalFormatting>
  <conditionalFormatting sqref="C16:C19">
    <cfRule type="expression" dxfId="0" priority="13" text="null">
      <formula>AND(C16="",B16&lt;&gt;"")</formula>
    </cfRule>
  </conditionalFormatting>
  <conditionalFormatting sqref="F16:F19">
    <cfRule type="expression" dxfId="0" priority="12" text="null">
      <formula>AND(F16="",E16&lt;&gt;"")</formula>
    </cfRule>
  </conditionalFormatting>
  <conditionalFormatting sqref="C22:C25">
    <cfRule type="expression" dxfId="0" priority="11" text="null">
      <formula>AND(C22="",B22&lt;&gt;"")</formula>
    </cfRule>
  </conditionalFormatting>
  <conditionalFormatting sqref="F22:F25">
    <cfRule type="expression" dxfId="0" priority="10" text="null">
      <formula>AND(F22="",E22&lt;&gt;"")</formula>
    </cfRule>
  </conditionalFormatting>
  <conditionalFormatting sqref="D10:D13">
    <cfRule type="cellIs" dxfId="1" priority="9" operator="equal" text="null">
      <formula>"High"</formula>
    </cfRule>
  </conditionalFormatting>
  <conditionalFormatting sqref="D10:D13">
    <cfRule type="cellIs" dxfId="2" priority="8" operator="equal" text="null">
      <formula>"Medium"</formula>
    </cfRule>
  </conditionalFormatting>
  <conditionalFormatting sqref="D10:D13">
    <cfRule type="cellIs" dxfId="3" priority="7" operator="equal" text="null">
      <formula>"Low"</formula>
    </cfRule>
  </conditionalFormatting>
  <conditionalFormatting sqref="D16:D19">
    <cfRule type="cellIs" dxfId="1" priority="6" operator="equal" text="null">
      <formula>"High"</formula>
    </cfRule>
  </conditionalFormatting>
  <conditionalFormatting sqref="D16:D19">
    <cfRule type="cellIs" dxfId="2" priority="5" operator="equal" text="null">
      <formula>"Medium"</formula>
    </cfRule>
  </conditionalFormatting>
  <conditionalFormatting sqref="D16:D19">
    <cfRule type="cellIs" dxfId="3" priority="4" operator="equal" text="null">
      <formula>"Low"</formula>
    </cfRule>
  </conditionalFormatting>
  <conditionalFormatting sqref="D22:D25">
    <cfRule type="cellIs" dxfId="1" priority="3" operator="equal" text="null">
      <formula>"High"</formula>
    </cfRule>
  </conditionalFormatting>
  <conditionalFormatting sqref="D22:D25">
    <cfRule type="cellIs" dxfId="2" priority="2" operator="equal" text="null">
      <formula>"Medium"</formula>
    </cfRule>
  </conditionalFormatting>
  <conditionalFormatting sqref="D22:D25">
    <cfRule type="cellIs" dxfId="3" priority="1" operator="equal" text="null">
      <formula>"Low"</formula>
    </cfRule>
  </conditionalFormatting>
  <dataValidations count="1">
    <dataValidation allowBlank="1" prompt="Select priority" promptTitle="Priority" showErrorMessage="1" showInputMessage="1" sqref="D10 D11 D12 D13 D16 D17 D18 D19 D22 D23 D24 D25" type="list">
      <formula1>"High,Medium,Low"</formula1>
    </dataValidation>
  </dataValidation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Shortcut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Shortcut</dc:creator>
  <cp:lastModifiedBy>Shortcut</cp:lastModifiedBy>
  <dcterms:created xsi:type="dcterms:W3CDTF">2025-05-22T23:41:35Z</dcterms:created>
  <dcterms:modified xsi:type="dcterms:W3CDTF">2025-05-22T23:45:09Z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e66e6a29-dba1-45fb-9e92-845e7286d9bf</vt:lpwstr>
  </property>
</Properties>
</file>