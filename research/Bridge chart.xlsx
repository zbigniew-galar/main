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4-Uniwersytet\01-Lectures\Quantitative Data Analysis Methods\"/>
    </mc:Choice>
  </mc:AlternateContent>
  <xr:revisionPtr revIDLastSave="0" documentId="8_{3BFE6AF7-21B1-443D-8490-B148A270875B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BRID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C4" i="1" l="1"/>
  <c r="C5" i="1"/>
  <c r="C6" i="1"/>
  <c r="C7" i="1"/>
  <c r="C8" i="1"/>
  <c r="C9" i="1"/>
  <c r="C10" i="1"/>
  <c r="C11" i="1"/>
  <c r="C12" i="1"/>
  <c r="C13" i="1"/>
  <c r="C14" i="1"/>
  <c r="C3" i="1"/>
  <c r="B3" i="1" s="1"/>
  <c r="D4" i="1"/>
  <c r="D5" i="1"/>
  <c r="D6" i="1"/>
  <c r="D7" i="1"/>
  <c r="D8" i="1"/>
  <c r="D9" i="1"/>
  <c r="D10" i="1"/>
  <c r="D11" i="1"/>
  <c r="D12" i="1"/>
  <c r="D13" i="1"/>
  <c r="D14" i="1"/>
  <c r="D3" i="1"/>
  <c r="E15" i="1"/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D15" i="1" s="1"/>
</calcChain>
</file>

<file path=xl/sharedStrings.xml><?xml version="1.0" encoding="utf-8"?>
<sst xmlns="http://schemas.openxmlformats.org/spreadsheetml/2006/main" count="17" uniqueCount="17">
  <si>
    <t>Start</t>
  </si>
  <si>
    <t>Koniec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</si>
  <si>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</si>
  <si>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</si>
  <si>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</si>
  <si>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</si>
  <si>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</si>
  <si>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</si>
  <si>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</si>
  <si>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</si>
  <si>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</si>
  <si>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</si>
  <si>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</si>
  <si>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</si>
  <si>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Base</t>
  </si>
  <si>
    <t>Decrease</t>
  </si>
  <si>
    <t>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</si>
</sst>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3" fontId="3" fillId="3" borderId="1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/>
    <xf numFmtId="0" fontId="3" fillId="0" borderId="0" xfId="0" applyFont="1"/>
    <xf numFmtId="3" fontId="3" fillId="4" borderId="1" xfId="0" applyNumberFormat="1" applyFont="1" applyFill="1" applyBorder="1"/>
    <xf numFmtId="3" fontId="3" fillId="0" borderId="1" xfId="0" applyNumberFormat="1" applyFont="1" applyBorder="1"/>
    <xf numFmtId="3" fontId="3" fillId="5" borderId="1" xfId="0" applyNumberFormat="1" applyFont="1" applyFill="1" applyBorder="1"/>
    <xf numFmtId="3" fontId="3" fillId="2" borderId="1" xfId="0" applyNumberFormat="1" applyFont="1" applyFill="1" applyBorder="1"/>
    <xf numFmtId="3" fontId="3" fillId="7" borderId="1" xfId="0" applyNumberFormat="1" applyFont="1" applyFill="1" applyBorder="1"/>
    <xf numFmtId="0" fontId="1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BRIDGE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BRIDGE!$B$1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ysClr val="window" lastClr="FFFFFF"/>
            </a:solidFill>
          </c:spPr>
          <c:invertIfNegative val="0"/>
          <c:cat>
            <c:strRef>
              <c:f>BRIDGE!$A$2:$A$15</c:f>
              <c:strCache>
                <c:ptCount val="14"/>
                <c:pt idx="0">
                  <c:v>Start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Koniec</c:v>
                </c:pt>
              </c:strCache>
            </c:strRef>
          </c:cat>
          <c:val>
            <c:numRef>
              <c:f>BRIDGE!$B$2:$B$15</c:f>
              <c:numCache>
                <c:formatCode>#,##0</c:formatCode>
                <c:ptCount val="14"/>
                <c:pt idx="1">
                  <c:v>4000</c:v>
                </c:pt>
                <c:pt idx="2">
                  <c:v>4100</c:v>
                </c:pt>
                <c:pt idx="3">
                  <c:v>4100</c:v>
                </c:pt>
                <c:pt idx="4">
                  <c:v>4200</c:v>
                </c:pt>
                <c:pt idx="5">
                  <c:v>3700</c:v>
                </c:pt>
                <c:pt idx="6">
                  <c:v>3700</c:v>
                </c:pt>
                <c:pt idx="7">
                  <c:v>4500</c:v>
                </c:pt>
                <c:pt idx="8">
                  <c:v>4750</c:v>
                </c:pt>
                <c:pt idx="9">
                  <c:v>4550</c:v>
                </c:pt>
                <c:pt idx="10">
                  <c:v>4550</c:v>
                </c:pt>
                <c:pt idx="11">
                  <c:v>4830</c:v>
                </c:pt>
                <c:pt idx="12">
                  <c:v>5080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9-4019-956F-73071F138345}"/>
            </c:ext>
          </c:extLst>
        </c:ser>
        <c:ser>
          <c:idx val="1"/>
          <c:order val="1"/>
          <c:tx>
            <c:strRef>
              <c:f>BRIDGE!$C$1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pl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BRIDGE!$A$2:$A$15</c:f>
              <c:strCache>
                <c:ptCount val="14"/>
                <c:pt idx="0">
                  <c:v>Start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Koniec</c:v>
                </c:pt>
              </c:strCache>
            </c:strRef>
          </c:cat>
          <c:val>
            <c:numRef>
              <c:f>BRIDGE!$C$2:$C$15</c:f>
              <c:numCache>
                <c:formatCode>#,##0</c:formatCode>
                <c:ptCount val="14"/>
                <c:pt idx="1">
                  <c:v>0</c:v>
                </c:pt>
                <c:pt idx="2">
                  <c:v>300</c:v>
                </c:pt>
                <c:pt idx="3">
                  <c:v>0</c:v>
                </c:pt>
                <c:pt idx="4">
                  <c:v>250</c:v>
                </c:pt>
                <c:pt idx="5">
                  <c:v>500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A9-4019-956F-73071F138345}"/>
            </c:ext>
          </c:extLst>
        </c:ser>
        <c:ser>
          <c:idx val="2"/>
          <c:order val="2"/>
          <c:tx>
            <c:strRef>
              <c:f>BRIDGE!$D$1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BRIDGE!$A$2:$A$15</c:f>
              <c:strCache>
                <c:ptCount val="14"/>
                <c:pt idx="0">
                  <c:v>Start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  <c:pt idx="13">
                  <c:v>Koniec</c:v>
                </c:pt>
              </c:strCache>
            </c:strRef>
          </c:cat>
          <c:val>
            <c:numRef>
              <c:f>BRIDGE!$D$2:$D$15</c:f>
              <c:numCache>
                <c:formatCode>#,##0</c:formatCode>
                <c:ptCount val="14"/>
                <c:pt idx="0">
                  <c:v>4000</c:v>
                </c:pt>
                <c:pt idx="1">
                  <c:v>400</c:v>
                </c:pt>
                <c:pt idx="2">
                  <c:v>0</c:v>
                </c:pt>
                <c:pt idx="3">
                  <c:v>350</c:v>
                </c:pt>
                <c:pt idx="4">
                  <c:v>0</c:v>
                </c:pt>
                <c:pt idx="5">
                  <c:v>0</c:v>
                </c:pt>
                <c:pt idx="6">
                  <c:v>800</c:v>
                </c:pt>
                <c:pt idx="7">
                  <c:v>250</c:v>
                </c:pt>
                <c:pt idx="8">
                  <c:v>300</c:v>
                </c:pt>
                <c:pt idx="9">
                  <c:v>0</c:v>
                </c:pt>
                <c:pt idx="10">
                  <c:v>280</c:v>
                </c:pt>
                <c:pt idx="11">
                  <c:v>250</c:v>
                </c:pt>
                <c:pt idx="12">
                  <c:v>600</c:v>
                </c:pt>
                <c:pt idx="13">
                  <c:v>5680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A9-4019-956F-73071F138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46455040"/>
        <c:axId val="217184448"/>
      </c:barChart>
      <c:catAx>
        <c:axId val="146455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solidFill>
            <a:sysClr val="window" lastClr="FFFFFF"/>
          </a:solidFill>
        </c:spPr>
        <c:txPr>
          <a:bodyPr/>
          <a:lstStyle/>
          <a:p>
            <a:pPr>
              <a:defRPr sz="1200" b="1"/>
            </a:pPr>
            <a:endParaRPr lang="pl-PL"/>
          </a:p>
        </c:txPr>
        <c:crossAx val="217184448"/>
        <c:crosses val="autoZero"/>
        <c:auto val="1"/>
        <c:lblAlgn val="ctr"/>
        <c:lblOffset val="100"/>
        <c:noMultiLvlLbl val="0"/>
      </c:catAx>
      <c:valAx>
        <c:axId val="21718444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pl-PL"/>
          </a:p>
        </c:txPr>
        <c:crossAx val="14645504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600" b="1"/>
          </a:pPr>
          <a:endParaRPr lang="pl-PL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28575</xdr:rowOff>
    </xdr:from>
    <xdr:to>
      <xdr:col>21</xdr:col>
      <xdr:colOff>304800</xdr:colOff>
      <xdr:row>26</xdr:row>
      <xdr:rowOff>180976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workbookViewId="0">
      <selection activeCell="C2" sqref="C2"/>
    </sheetView>
  </sheetViews>
  <sheetFormatPr defaultColWidth="9" defaultRowHeight="18"/>
  <cols>
    <col min="1" max="1" width="12.5" style="4" bestFit="1" customWidth="1"/>
    <col min="2" max="2" width="6.59765625" style="4" bestFit="1" customWidth="1"/>
    <col min="3" max="3" width="9.796875" style="4" bestFit="1" customWidth="1"/>
    <col min="4" max="4" width="8.8984375" style="4" bestFit="1" customWidth="1"/>
    <col min="5" max="5" width="6.59765625" style="4" hidden="1" customWidth="1"/>
    <col min="6" max="16384" width="9" style="1"/>
  </cols>
  <sheetData>
    <row r="1" spans="1:5">
      <c r="B1" s="2" t="s">
        <v>14</v>
      </c>
      <c r="C1" s="2" t="s">
        <v>15</v>
      </c>
      <c r="D1" s="2" t="s">
        <v>16</v>
      </c>
    </row>
    <row r="2" spans="1:5">
      <c r="A2" s="9" t="s">
        <v>0</v>
      </c>
      <c r="D2" s="5">
        <f>IF(E2&gt;0,E2,0)</f>
        <v>4000</v>
      </c>
      <c r="E2" s="6">
        <v>4000</v>
      </c>
    </row>
    <row r="3" spans="1:5">
      <c r="A3" s="3" t="s">
        <v>2</v>
      </c>
      <c r="B3" s="6">
        <f t="shared" ref="B3:B14" si="0">B2+D2-C3</f>
        <v>4000</v>
      </c>
      <c r="C3" s="7">
        <f>IF(E3&lt;=0,-E3,0)</f>
        <v>0</v>
      </c>
      <c r="D3" s="5">
        <f>IF(E3&gt;0,E3,0)</f>
        <v>400</v>
      </c>
      <c r="E3" s="6">
        <v>400</v>
      </c>
    </row>
    <row r="4" spans="1:5">
      <c r="A4" s="3" t="s">
        <v>3</v>
      </c>
      <c r="B4" s="6">
        <f t="shared" si="0"/>
        <v>4100</v>
      </c>
      <c r="C4" s="7">
        <f t="shared" ref="C4:C14" si="1">IF(E4&lt;=0,-E4,0)</f>
        <v>300</v>
      </c>
      <c r="D4" s="5">
        <f t="shared" ref="D4:D14" si="2">IF(E4&gt;0,E4,0)</f>
        <v>0</v>
      </c>
      <c r="E4" s="6">
        <v>-300</v>
      </c>
    </row>
    <row r="5" spans="1:5">
      <c r="A5" s="3" t="s">
        <v>4</v>
      </c>
      <c r="B5" s="6">
        <f t="shared" si="0"/>
        <v>4100</v>
      </c>
      <c r="C5" s="7">
        <f t="shared" si="1"/>
        <v>0</v>
      </c>
      <c r="D5" s="5">
        <f t="shared" si="2"/>
        <v>350</v>
      </c>
      <c r="E5" s="6">
        <v>350</v>
      </c>
    </row>
    <row r="6" spans="1:5">
      <c r="A6" s="3" t="s">
        <v>5</v>
      </c>
      <c r="B6" s="6">
        <f t="shared" si="0"/>
        <v>4200</v>
      </c>
      <c r="C6" s="7">
        <f t="shared" si="1"/>
        <v>250</v>
      </c>
      <c r="D6" s="5">
        <f t="shared" si="2"/>
        <v>0</v>
      </c>
      <c r="E6" s="6">
        <v>-250</v>
      </c>
    </row>
    <row r="7" spans="1:5">
      <c r="A7" s="3" t="s">
        <v>6</v>
      </c>
      <c r="B7" s="6">
        <f t="shared" si="0"/>
        <v>3700</v>
      </c>
      <c r="C7" s="7">
        <f t="shared" si="1"/>
        <v>500</v>
      </c>
      <c r="D7" s="5">
        <f t="shared" si="2"/>
        <v>0</v>
      </c>
      <c r="E7" s="6">
        <v>-500</v>
      </c>
    </row>
    <row r="8" spans="1:5">
      <c r="A8" s="3" t="s">
        <v>7</v>
      </c>
      <c r="B8" s="6">
        <f t="shared" si="0"/>
        <v>3700</v>
      </c>
      <c r="C8" s="7">
        <f t="shared" si="1"/>
        <v>0</v>
      </c>
      <c r="D8" s="5">
        <f t="shared" si="2"/>
        <v>800</v>
      </c>
      <c r="E8" s="6">
        <v>800</v>
      </c>
    </row>
    <row r="9" spans="1:5">
      <c r="A9" s="3" t="s">
        <v>8</v>
      </c>
      <c r="B9" s="6">
        <f t="shared" si="0"/>
        <v>4500</v>
      </c>
      <c r="C9" s="7">
        <f t="shared" si="1"/>
        <v>0</v>
      </c>
      <c r="D9" s="5">
        <f t="shared" si="2"/>
        <v>250</v>
      </c>
      <c r="E9" s="6">
        <v>250</v>
      </c>
    </row>
    <row r="10" spans="1:5">
      <c r="A10" s="3" t="s">
        <v>9</v>
      </c>
      <c r="B10" s="6">
        <f t="shared" si="0"/>
        <v>4750</v>
      </c>
      <c r="C10" s="7">
        <f t="shared" si="1"/>
        <v>0</v>
      </c>
      <c r="D10" s="5">
        <f t="shared" si="2"/>
        <v>300</v>
      </c>
      <c r="E10" s="6">
        <v>300</v>
      </c>
    </row>
    <row r="11" spans="1:5">
      <c r="A11" s="3" t="s">
        <v>10</v>
      </c>
      <c r="B11" s="6">
        <f t="shared" si="0"/>
        <v>4550</v>
      </c>
      <c r="C11" s="7">
        <f t="shared" si="1"/>
        <v>500</v>
      </c>
      <c r="D11" s="5">
        <f t="shared" si="2"/>
        <v>0</v>
      </c>
      <c r="E11" s="6">
        <v>-500</v>
      </c>
    </row>
    <row r="12" spans="1:5">
      <c r="A12" s="3" t="s">
        <v>11</v>
      </c>
      <c r="B12" s="6">
        <f t="shared" si="0"/>
        <v>4550</v>
      </c>
      <c r="C12" s="7">
        <f t="shared" si="1"/>
        <v>0</v>
      </c>
      <c r="D12" s="5">
        <f t="shared" si="2"/>
        <v>280</v>
      </c>
      <c r="E12" s="6">
        <v>280</v>
      </c>
    </row>
    <row r="13" spans="1:5">
      <c r="A13" s="3" t="s">
        <v>12</v>
      </c>
      <c r="B13" s="6">
        <f t="shared" si="0"/>
        <v>4830</v>
      </c>
      <c r="C13" s="7">
        <f t="shared" si="1"/>
        <v>0</v>
      </c>
      <c r="D13" s="5">
        <f t="shared" si="2"/>
        <v>250</v>
      </c>
      <c r="E13" s="6">
        <v>250</v>
      </c>
    </row>
    <row r="14" spans="1:5">
      <c r="A14" s="3" t="s">
        <v>13</v>
      </c>
      <c r="B14" s="6">
        <f t="shared" si="0"/>
        <v>5080</v>
      </c>
      <c r="C14" s="7">
        <f t="shared" si="1"/>
        <v>0</v>
      </c>
      <c r="D14" s="5">
        <f t="shared" si="2"/>
        <v>600</v>
      </c>
      <c r="E14" s="6">
        <v>600</v>
      </c>
    </row>
    <row r="15" spans="1:5">
      <c r="A15" s="9" t="s">
        <v>1</v>
      </c>
      <c r="D15" s="8">
        <f>B14+D14-C15</f>
        <v>5680</v>
      </c>
      <c r="E15" s="6">
        <f>SUM(E2:E14)</f>
        <v>5680</v>
      </c>
    </row>
    <row r="28" spans="8:8">
      <c r="H28" s="10"/>
    </row>
  </sheetData>
  <conditionalFormatting sqref="E2:E1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Wisniowski</dc:creator>
  <cp:lastModifiedBy>Zbigniew Galar</cp:lastModifiedBy>
  <dcterms:created xsi:type="dcterms:W3CDTF">2013-01-22T08:22:20Z</dcterms:created>
  <dcterms:modified xsi:type="dcterms:W3CDTF">2026-03-03T19:31:52Z</dcterms:modified>
</cp:coreProperties>
</file>