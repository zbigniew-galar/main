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en_skoroszyt"/>
  <mc:AlternateContent xmlns:mc="http://schemas.openxmlformats.org/markup-compatibility/2006">
    <mc:Choice Requires="x15">
      <x15ac:absPath xmlns:x15ac="http://schemas.microsoft.com/office/spreadsheetml/2010/11/ac" url="E:\04-Uniwersytet\01-Lectures\Analysis\"/>
    </mc:Choice>
  </mc:AlternateContent>
  <xr:revisionPtr revIDLastSave="0" documentId="13_ncr:1_{38AB8E42-361F-473C-AC65-2B0C0269B535}" xr6:coauthVersionLast="47" xr6:coauthVersionMax="47" xr10:uidLastSave="{00000000-0000-0000-0000-000000000000}"/>
  <bookViews>
    <workbookView xWindow="-108" yWindow="-108" windowWidth="41496" windowHeight="16776" activeTab="2" xr2:uid="{00000000-000D-0000-FFFF-FFFF00000000}"/>
  </bookViews>
  <sheets>
    <sheet name="Listy" sheetId="6" r:id="rId1"/>
    <sheet name="Instrukcja 2D" sheetId="1" r:id="rId2"/>
    <sheet name="Instrukcja 4D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1" i="6"/>
  <c r="E14" i="6" l="1"/>
  <c r="E13" i="6"/>
  <c r="E12" i="6"/>
  <c r="E11" i="6"/>
  <c r="E10" i="6"/>
  <c r="E9" i="6"/>
  <c r="E8" i="6"/>
  <c r="E7" i="6"/>
  <c r="E6" i="6"/>
  <c r="E5" i="6"/>
  <c r="E4" i="6"/>
  <c r="E3" i="6"/>
  <c r="F4" i="6" s="1"/>
  <c r="F10" i="6" l="1"/>
  <c r="F14" i="6"/>
  <c r="F3" i="6"/>
  <c r="D4" i="6" s="1"/>
  <c r="F11" i="6"/>
  <c r="F7" i="6"/>
  <c r="F6" i="6"/>
  <c r="F13" i="6"/>
  <c r="F9" i="6"/>
  <c r="F5" i="6"/>
  <c r="F12" i="6"/>
  <c r="F8" i="6"/>
  <c r="D3" i="6"/>
  <c r="K3" i="6" s="1"/>
  <c r="Z5" i="8"/>
  <c r="Z6" i="8"/>
  <c r="Z7" i="8"/>
  <c r="Z8" i="8"/>
  <c r="Z9" i="8"/>
  <c r="Z10" i="8"/>
  <c r="Z11" i="8"/>
  <c r="Z12" i="8"/>
  <c r="Z13" i="8"/>
  <c r="Z14" i="8"/>
  <c r="Z15" i="8"/>
  <c r="Z4" i="8"/>
  <c r="G19" i="8"/>
  <c r="F19" i="8"/>
  <c r="I18" i="8"/>
  <c r="I17" i="8"/>
  <c r="I16" i="8"/>
  <c r="I15" i="8"/>
  <c r="I14" i="8"/>
  <c r="M13" i="8"/>
  <c r="N13" i="8" s="1"/>
  <c r="I13" i="8"/>
  <c r="M12" i="8"/>
  <c r="I12" i="8"/>
  <c r="M11" i="8"/>
  <c r="I11" i="8"/>
  <c r="M10" i="8"/>
  <c r="I10" i="8"/>
  <c r="M9" i="8"/>
  <c r="I9" i="8"/>
  <c r="M8" i="8"/>
  <c r="I8" i="8"/>
  <c r="M7" i="8"/>
  <c r="I7" i="8"/>
  <c r="M6" i="8"/>
  <c r="I6" i="8"/>
  <c r="M5" i="8"/>
  <c r="I5" i="8"/>
  <c r="M4" i="8"/>
  <c r="I4" i="8"/>
  <c r="F4" i="1"/>
  <c r="D7" i="6" l="1"/>
  <c r="D11" i="6"/>
  <c r="D6" i="6"/>
  <c r="D14" i="6"/>
  <c r="D12" i="6"/>
  <c r="D9" i="6"/>
  <c r="K7" i="6" s="1"/>
  <c r="D8" i="6"/>
  <c r="D5" i="6"/>
  <c r="D13" i="6"/>
  <c r="D10" i="6"/>
  <c r="K4" i="6"/>
  <c r="K2" i="6"/>
  <c r="K6" i="6"/>
  <c r="AA5" i="8"/>
  <c r="AA4" i="8"/>
  <c r="AA14" i="8"/>
  <c r="AA12" i="8"/>
  <c r="AA10" i="8"/>
  <c r="AA8" i="8"/>
  <c r="AA6" i="8"/>
  <c r="AA15" i="8"/>
  <c r="AA13" i="8"/>
  <c r="AA11" i="8"/>
  <c r="AA9" i="8"/>
  <c r="AA7" i="8"/>
  <c r="J5" i="8"/>
  <c r="J18" i="8"/>
  <c r="J16" i="8"/>
  <c r="J14" i="8"/>
  <c r="J12" i="8"/>
  <c r="J10" i="8"/>
  <c r="J8" i="8"/>
  <c r="J6" i="8"/>
  <c r="J4" i="8"/>
  <c r="J17" i="8"/>
  <c r="J15" i="8"/>
  <c r="J13" i="8"/>
  <c r="J11" i="8"/>
  <c r="J9" i="8"/>
  <c r="J7" i="8"/>
  <c r="K5" i="6" l="1"/>
  <c r="Y5" i="8"/>
  <c r="Y7" i="8"/>
  <c r="Y9" i="8"/>
  <c r="Y11" i="8"/>
  <c r="Y13" i="8"/>
  <c r="Y15" i="8"/>
  <c r="Y6" i="8"/>
  <c r="Y8" i="8"/>
  <c r="Y10" i="8"/>
  <c r="Y12" i="8"/>
  <c r="Y14" i="8"/>
  <c r="Y4" i="8"/>
  <c r="K10" i="8"/>
  <c r="K12" i="8"/>
  <c r="K18" i="8"/>
  <c r="K8" i="8"/>
  <c r="K6" i="8"/>
  <c r="K14" i="8"/>
  <c r="K4" i="8"/>
  <c r="K7" i="8"/>
  <c r="K11" i="8"/>
  <c r="K15" i="8"/>
  <c r="K16" i="8"/>
  <c r="K5" i="8"/>
  <c r="K9" i="8"/>
  <c r="K13" i="8"/>
  <c r="K17" i="8"/>
  <c r="W5" i="8" l="1"/>
  <c r="W7" i="8"/>
  <c r="W9" i="8"/>
  <c r="W6" i="8"/>
  <c r="W8" i="8"/>
  <c r="W4" i="8"/>
  <c r="N5" i="8"/>
  <c r="N9" i="8"/>
  <c r="N12" i="8"/>
  <c r="N4" i="8"/>
  <c r="N7" i="8"/>
  <c r="N10" i="8"/>
  <c r="N11" i="8"/>
  <c r="N6" i="8"/>
  <c r="N8" i="8"/>
  <c r="C5" i="8" l="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C4" i="8"/>
  <c r="B3" i="8"/>
  <c r="B4" i="8"/>
  <c r="C3" i="8"/>
  <c r="P5" i="8"/>
  <c r="P6" i="8"/>
  <c r="P4" i="8"/>
  <c r="AF3" i="8" l="1"/>
  <c r="AF4" i="8" s="1"/>
  <c r="AG3" i="8"/>
  <c r="AG6" i="8" s="1"/>
  <c r="AF2" i="8"/>
  <c r="AG12" i="8"/>
  <c r="AG2" i="8"/>
  <c r="AG5" i="8"/>
  <c r="H19" i="8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I5" i="1"/>
  <c r="I8" i="1"/>
  <c r="I9" i="1"/>
  <c r="I12" i="1"/>
  <c r="I13" i="1"/>
  <c r="J13" i="1" s="1"/>
  <c r="I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AG10" i="8" l="1"/>
  <c r="AG8" i="8"/>
  <c r="AG14" i="8"/>
  <c r="AI14" i="8" s="1"/>
  <c r="AI5" i="8"/>
  <c r="AF13" i="8"/>
  <c r="AF9" i="8"/>
  <c r="AF11" i="8"/>
  <c r="AF6" i="8"/>
  <c r="AF14" i="8"/>
  <c r="AH14" i="8" s="1"/>
  <c r="AF12" i="8"/>
  <c r="AH12" i="8" s="1"/>
  <c r="AF10" i="8"/>
  <c r="AH10" i="8" s="1"/>
  <c r="AF8" i="8"/>
  <c r="AH8" i="8" s="1"/>
  <c r="AG4" i="8"/>
  <c r="AI4" i="8" s="1"/>
  <c r="AG13" i="8"/>
  <c r="AG11" i="8"/>
  <c r="AI11" i="8" s="1"/>
  <c r="AG9" i="8"/>
  <c r="AI9" i="8" s="1"/>
  <c r="AG7" i="8"/>
  <c r="AI7" i="8" s="1"/>
  <c r="AF7" i="8"/>
  <c r="AF5" i="8"/>
  <c r="AH5" i="8" s="1"/>
  <c r="AI8" i="8"/>
  <c r="AH6" i="8"/>
  <c r="I11" i="1"/>
  <c r="I7" i="1"/>
  <c r="I4" i="1"/>
  <c r="I10" i="1"/>
  <c r="G18" i="1"/>
  <c r="G14" i="1"/>
  <c r="G10" i="1"/>
  <c r="G6" i="1"/>
  <c r="G17" i="1"/>
  <c r="G5" i="1"/>
  <c r="G8" i="1"/>
  <c r="G15" i="1"/>
  <c r="G11" i="1"/>
  <c r="G7" i="1"/>
  <c r="G9" i="1"/>
  <c r="G13" i="1"/>
  <c r="G4" i="1"/>
  <c r="G16" i="1"/>
  <c r="G12" i="1"/>
  <c r="AH11" i="8" l="1"/>
  <c r="AH7" i="8"/>
  <c r="AH13" i="8"/>
  <c r="J12" i="1"/>
  <c r="AI13" i="8"/>
  <c r="AH9" i="8"/>
  <c r="AI12" i="8"/>
  <c r="AI6" i="8"/>
  <c r="AI10" i="8"/>
  <c r="AH4" i="8"/>
  <c r="J10" i="1"/>
  <c r="J11" i="1"/>
  <c r="J9" i="1"/>
  <c r="J7" i="1"/>
  <c r="J8" i="1"/>
  <c r="J5" i="1"/>
  <c r="J6" i="1"/>
  <c r="J4" i="1"/>
  <c r="AM12" i="8" l="1"/>
  <c r="AM11" i="8"/>
  <c r="AM7" i="8"/>
  <c r="AM6" i="8"/>
  <c r="AM4" i="8"/>
  <c r="AM10" i="8"/>
  <c r="AM13" i="8"/>
  <c r="AM9" i="8"/>
  <c r="AM5" i="8"/>
  <c r="AM8" i="8"/>
  <c r="AM14" i="8"/>
  <c r="AL6" i="8"/>
  <c r="AL8" i="8"/>
  <c r="AL10" i="8"/>
  <c r="AL4" i="8"/>
  <c r="AL11" i="8"/>
  <c r="AL12" i="8"/>
  <c r="AL13" i="8"/>
  <c r="AL14" i="8"/>
  <c r="AL5" i="8"/>
  <c r="AL7" i="8"/>
  <c r="AL9" i="8"/>
  <c r="L6" i="1"/>
  <c r="L4" i="1"/>
  <c r="L5" i="1"/>
  <c r="D19" i="1" l="1"/>
</calcChain>
</file>

<file path=xl/sharedStrings.xml><?xml version="1.0" encoding="utf-8"?>
<sst xmlns="http://schemas.openxmlformats.org/spreadsheetml/2006/main" count="105" uniqueCount="36">
  <si>
    <t>k=pierwiastek z liczby przypadków dopasowanych</t>
  </si>
  <si>
    <t xml:space="preserve">Suma k najbliższych euklidesowych odległości od punktu który mamy zaklasyfikować do punktów dopasowanych. </t>
  </si>
  <si>
    <t>X</t>
  </si>
  <si>
    <t>Y</t>
  </si>
  <si>
    <t>Z</t>
  </si>
  <si>
    <t>Długość</t>
  </si>
  <si>
    <t>Szerokość</t>
  </si>
  <si>
    <t>Przydział</t>
  </si>
  <si>
    <t>LP</t>
  </si>
  <si>
    <t>Odległość</t>
  </si>
  <si>
    <t>Ranking</t>
  </si>
  <si>
    <t>Etykieta</t>
  </si>
  <si>
    <t>Przypadków:</t>
  </si>
  <si>
    <t>Przypadek:</t>
  </si>
  <si>
    <t>Wartość</t>
  </si>
  <si>
    <t>Ile:</t>
  </si>
  <si>
    <t>Rodzaj:</t>
  </si>
  <si>
    <t>Wymiar 1</t>
  </si>
  <si>
    <t>Wymiar 2</t>
  </si>
  <si>
    <t>Wysokość</t>
  </si>
  <si>
    <t>4D</t>
  </si>
  <si>
    <t>Tablica kombinacji wymiarów</t>
  </si>
  <si>
    <t>Wymiary</t>
  </si>
  <si>
    <t>Opis wymiarów</t>
  </si>
  <si>
    <t>Kombinacja</t>
  </si>
  <si>
    <t>Unikaty</t>
  </si>
  <si>
    <t>Gęstość</t>
  </si>
  <si>
    <t>Krok</t>
  </si>
  <si>
    <t>Zakres</t>
  </si>
  <si>
    <t>Występowania 1</t>
  </si>
  <si>
    <t>Występowania 2</t>
  </si>
  <si>
    <t>Numer 1</t>
  </si>
  <si>
    <t>Numer 2</t>
  </si>
  <si>
    <t>Skupiska</t>
  </si>
  <si>
    <t>Kombinacja:</t>
  </si>
  <si>
    <t>Klasy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</si>
</sst>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3" fontId="0" fillId="0" borderId="1" xfId="0" applyNumberFormat="1" applyBorder="1"/>
    <xf numFmtId="0" fontId="2" fillId="0" borderId="0" xfId="0" applyFont="1"/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3" borderId="1" xfId="0" applyNumberFormat="1" applyFon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2" fillId="0" borderId="1" xfId="0" applyFont="1" applyBorder="1"/>
    <xf numFmtId="0" fontId="3" fillId="3" borderId="1" xfId="0" applyFont="1" applyFill="1" applyBorder="1"/>
    <xf numFmtId="0" fontId="2" fillId="0" borderId="2" xfId="0" applyFont="1" applyBorder="1" applyAlignment="1">
      <alignment horizontal="center" vertical="center"/>
    </xf>
    <xf numFmtId="0" fontId="2" fillId="2" borderId="6" xfId="0" applyFont="1" applyFill="1" applyBorder="1"/>
    <xf numFmtId="0" fontId="2" fillId="2" borderId="7" xfId="0" applyFont="1" applyFill="1" applyBorder="1"/>
    <xf numFmtId="0" fontId="2" fillId="3" borderId="8" xfId="0" applyFont="1" applyFill="1" applyBorder="1"/>
    <xf numFmtId="0" fontId="2" fillId="0" borderId="2" xfId="0" applyFont="1" applyBorder="1"/>
    <xf numFmtId="0" fontId="0" fillId="4" borderId="2" xfId="0" applyFill="1" applyBorder="1"/>
    <xf numFmtId="165" fontId="0" fillId="4" borderId="2" xfId="0" applyNumberFormat="1" applyFill="1" applyBorder="1"/>
    <xf numFmtId="164" fontId="0" fillId="0" borderId="2" xfId="0" applyNumberFormat="1" applyBorder="1"/>
    <xf numFmtId="3" fontId="0" fillId="0" borderId="2" xfId="0" applyNumberFormat="1" applyBorder="1"/>
    <xf numFmtId="0" fontId="2" fillId="2" borderId="9" xfId="0" applyFont="1" applyFill="1" applyBorder="1"/>
    <xf numFmtId="0" fontId="0" fillId="0" borderId="2" xfId="0" applyBorder="1"/>
    <xf numFmtId="0" fontId="2" fillId="3" borderId="9" xfId="0" applyFont="1" applyFill="1" applyBorder="1"/>
    <xf numFmtId="0" fontId="0" fillId="4" borderId="2" xfId="0" applyFill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4" borderId="8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" fontId="2" fillId="4" borderId="9" xfId="0" applyNumberFormat="1" applyFont="1" applyFill="1" applyBorder="1" applyAlignment="1">
      <alignment horizontal="center" vertical="center"/>
    </xf>
    <xf numFmtId="4" fontId="2" fillId="4" borderId="7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/>
    <xf numFmtId="0" fontId="2" fillId="0" borderId="1" xfId="0" applyFont="1" applyBorder="1" applyAlignment="1">
      <alignment horizontal="right" vertical="center"/>
    </xf>
    <xf numFmtId="0" fontId="3" fillId="5" borderId="8" xfId="0" applyFont="1" applyFill="1" applyBorder="1"/>
    <xf numFmtId="166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2">
    <cellStyle name="Normal" xfId="0" builtinId="0"/>
    <cellStyle name="Normalny 2" xfId="1" xr:uid="{00000000-0005-0000-0000-000001000000}"/>
  </cellStyles>
  <dxfs count="3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'Instrukcja 2D'!$B$1</c:f>
              <c:strCache>
                <c:ptCount val="1"/>
                <c:pt idx="0">
                  <c:v>Suma k najbliższych euklidesowych odległości od punktu który mamy zaklasyfikować do punktów dopasowanych.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A7B-43DF-841A-828FDCBD4FA0}"/>
              </c:ext>
            </c:extLst>
          </c:dPt>
          <c:dPt>
            <c:idx val="1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A7B-43DF-841A-828FDCBD4FA0}"/>
              </c:ext>
            </c:extLst>
          </c:dPt>
          <c:dPt>
            <c:idx val="2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A7B-43DF-841A-828FDCBD4FA0}"/>
              </c:ext>
            </c:extLst>
          </c:dPt>
          <c:dPt>
            <c:idx val="3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A7B-43DF-841A-828FDCBD4FA0}"/>
              </c:ext>
            </c:extLst>
          </c:dPt>
          <c:dPt>
            <c:idx val="4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A7B-43DF-841A-828FDCBD4FA0}"/>
              </c:ext>
            </c:extLst>
          </c:dPt>
          <c:dPt>
            <c:idx val="5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A7B-43DF-841A-828FDCBD4FA0}"/>
              </c:ext>
            </c:extLst>
          </c:dPt>
          <c:dPt>
            <c:idx val="6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A7B-43DF-841A-828FDCBD4FA0}"/>
              </c:ext>
            </c:extLst>
          </c:dPt>
          <c:dPt>
            <c:idx val="7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A7B-43DF-841A-828FDCBD4FA0}"/>
              </c:ext>
            </c:extLst>
          </c:dPt>
          <c:dPt>
            <c:idx val="8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A7B-43DF-841A-828FDCBD4FA0}"/>
              </c:ext>
            </c:extLst>
          </c:dPt>
          <c:dPt>
            <c:idx val="9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A7B-43DF-841A-828FDCBD4FA0}"/>
              </c:ext>
            </c:extLst>
          </c:dPt>
          <c:dPt>
            <c:idx val="10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A7B-43DF-841A-828FDCBD4FA0}"/>
              </c:ext>
            </c:extLst>
          </c:dPt>
          <c:dPt>
            <c:idx val="11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A7B-43DF-841A-828FDCBD4FA0}"/>
              </c:ext>
            </c:extLst>
          </c:dPt>
          <c:dPt>
            <c:idx val="12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A7B-43DF-841A-828FDCBD4FA0}"/>
              </c:ext>
            </c:extLst>
          </c:dPt>
          <c:dPt>
            <c:idx val="13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A7B-43DF-841A-828FDCBD4FA0}"/>
              </c:ext>
            </c:extLst>
          </c:dPt>
          <c:dPt>
            <c:idx val="14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A7B-43DF-841A-828FDCBD4FA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9850A5B-A16F-478F-8000-63B9C33396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A7B-43DF-841A-828FDCBD4F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D42E60-6698-48D6-B3ED-F4FEF88F1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A7B-43DF-841A-828FDCBD4FA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3150CC-D540-4419-BC73-75F0B5D671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A7B-43DF-841A-828FDCBD4FA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C4D5B0-241D-42DC-A273-52477B481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7B-43DF-841A-828FDCBD4FA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CC4D6B-D1BC-4EA0-B25D-6F5B1BE946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7B-43DF-841A-828FDCBD4FA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66486B-AD94-4EE4-91D8-032C678A95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7B-43DF-841A-828FDCBD4FA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BB9747D-A71A-412D-A7E7-EEEE49D09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A7B-43DF-841A-828FDCBD4FA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2CCF6E-7C4B-4460-960C-C7622B0B03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7B-43DF-841A-828FDCBD4FA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82E23E-7E61-4010-9410-D3F526AC8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A7B-43DF-841A-828FDCBD4FA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B2EA0CA-995B-43E1-91A6-95B623895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A7B-43DF-841A-828FDCBD4FA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A4F035F-6310-480D-8492-2496F12ED3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A7B-43DF-841A-828FDCBD4FA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351A8A9-69C7-4E8A-BA88-714ECCC08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A7B-43DF-841A-828FDCBD4FA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3031039-192B-4648-98E8-01F385C2E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A7B-43DF-841A-828FDCBD4FA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16E663-277E-4A14-99E0-0B917A5514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A7B-43DF-841A-828FDCBD4FA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A0D4C02-1C88-4846-BE17-70A5B38385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A7B-43DF-841A-828FDCBD4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'Instrukcja 2D'!$B$4:$B$18</c:f>
              <c:numCache>
                <c:formatCode>General</c:formatCode>
                <c:ptCount val="15"/>
                <c:pt idx="0">
                  <c:v>5.3</c:v>
                </c:pt>
                <c:pt idx="1">
                  <c:v>5.0999999999999996</c:v>
                </c:pt>
                <c:pt idx="2">
                  <c:v>7.2</c:v>
                </c:pt>
                <c:pt idx="3">
                  <c:v>5.4</c:v>
                </c:pt>
                <c:pt idx="4">
                  <c:v>5.0999999999999996</c:v>
                </c:pt>
                <c:pt idx="5">
                  <c:v>5.4</c:v>
                </c:pt>
                <c:pt idx="6">
                  <c:v>7.4</c:v>
                </c:pt>
                <c:pt idx="7">
                  <c:v>6.1</c:v>
                </c:pt>
                <c:pt idx="8">
                  <c:v>7.3</c:v>
                </c:pt>
                <c:pt idx="9">
                  <c:v>6</c:v>
                </c:pt>
                <c:pt idx="10">
                  <c:v>5.8</c:v>
                </c:pt>
                <c:pt idx="11">
                  <c:v>6.3</c:v>
                </c:pt>
                <c:pt idx="12">
                  <c:v>5.0999999999999996</c:v>
                </c:pt>
                <c:pt idx="13">
                  <c:v>6.3</c:v>
                </c:pt>
                <c:pt idx="14">
                  <c:v>5.5</c:v>
                </c:pt>
              </c:numCache>
            </c:numRef>
          </c:xVal>
          <c:yVal>
            <c:numRef>
              <c:f>'Instrukcja 2D'!$C$4:$C$18</c:f>
              <c:numCache>
                <c:formatCode>General</c:formatCode>
                <c:ptCount val="15"/>
                <c:pt idx="0">
                  <c:v>3.7</c:v>
                </c:pt>
                <c:pt idx="1">
                  <c:v>3.8</c:v>
                </c:pt>
                <c:pt idx="2">
                  <c:v>3</c:v>
                </c:pt>
                <c:pt idx="3">
                  <c:v>3.4</c:v>
                </c:pt>
                <c:pt idx="4">
                  <c:v>3.3</c:v>
                </c:pt>
                <c:pt idx="5">
                  <c:v>3.9</c:v>
                </c:pt>
                <c:pt idx="6">
                  <c:v>2.8</c:v>
                </c:pt>
                <c:pt idx="7">
                  <c:v>2.8</c:v>
                </c:pt>
                <c:pt idx="8">
                  <c:v>2.9</c:v>
                </c:pt>
                <c:pt idx="9">
                  <c:v>2.7</c:v>
                </c:pt>
                <c:pt idx="10">
                  <c:v>2.8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2.5</c:v>
                </c:pt>
                <c:pt idx="14">
                  <c:v>2.4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'Instrukcja 2D'!$E$4:$E$18</c15:f>
                <c15:dlblRangeCache>
                  <c:ptCount val="15"/>
                  <c:pt idx="0">
                    <c:v>1X</c:v>
                  </c:pt>
                  <c:pt idx="1">
                    <c:v>2X</c:v>
                  </c:pt>
                  <c:pt idx="2">
                    <c:v>3Y</c:v>
                  </c:pt>
                  <c:pt idx="3">
                    <c:v>4X</c:v>
                  </c:pt>
                  <c:pt idx="4">
                    <c:v>5X</c:v>
                  </c:pt>
                  <c:pt idx="5">
                    <c:v>6X</c:v>
                  </c:pt>
                  <c:pt idx="6">
                    <c:v>7Y</c:v>
                  </c:pt>
                  <c:pt idx="7">
                    <c:v>8Z</c:v>
                  </c:pt>
                  <c:pt idx="8">
                    <c:v>9Y</c:v>
                  </c:pt>
                  <c:pt idx="9">
                    <c:v>10Z</c:v>
                  </c:pt>
                  <c:pt idx="10">
                    <c:v>11Y</c:v>
                  </c:pt>
                  <c:pt idx="11">
                    <c:v>12Z</c:v>
                  </c:pt>
                  <c:pt idx="12">
                    <c:v>13Z</c:v>
                  </c:pt>
                  <c:pt idx="13">
                    <c:v>14Z</c:v>
                  </c:pt>
                  <c:pt idx="14">
                    <c:v>15Z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AA7B-43DF-841A-828FDCBD4FA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rgbClr val="7030A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6311159-36F7-45EE-860C-463D1CC0E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A7B-43DF-841A-828FDCBD4FA0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'Instrukcja 2D'!$B$19</c:f>
              <c:numCache>
                <c:formatCode>General</c:formatCode>
                <c:ptCount val="1"/>
                <c:pt idx="0">
                  <c:v>7.4</c:v>
                </c:pt>
              </c:numCache>
            </c:numRef>
          </c:xVal>
          <c:yVal>
            <c:numRef>
              <c:f>'Instrukcja 2D'!$C$19</c:f>
              <c:numCache>
                <c:formatCode>General</c:formatCode>
                <c:ptCount val="1"/>
                <c:pt idx="0">
                  <c:v>3.6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'Instrukcja 2D'!$D$19</c15:f>
                <c15:dlblRangeCache>
                  <c:ptCount val="1"/>
                  <c:pt idx="0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AA7B-43DF-841A-828FDCBD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61384"/>
        <c:axId val="457361776"/>
      </c:scatterChart>
      <c:valAx>
        <c:axId val="457361384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1"/>
                  <a:t>Długość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1776"/>
        <c:crosses val="autoZero"/>
        <c:crossBetween val="midCat"/>
      </c:valAx>
      <c:valAx>
        <c:axId val="45736177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1"/>
                  <a:t>Szerokość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'Instrukcja 4D'!$B$1</c:f>
              <c:strCache>
                <c:ptCount val="1"/>
                <c:pt idx="0">
                  <c:v>Suma k najbliższych euklidesowych odległości od punktu który mamy zaklasyfikować do punktów dopasowanych.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567-47B2-9A86-4D5FD2298A24}"/>
              </c:ext>
            </c:extLst>
          </c:dPt>
          <c:dPt>
            <c:idx val="1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567-47B2-9A86-4D5FD2298A24}"/>
              </c:ext>
            </c:extLst>
          </c:dPt>
          <c:dPt>
            <c:idx val="2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567-47B2-9A86-4D5FD2298A24}"/>
              </c:ext>
            </c:extLst>
          </c:dPt>
          <c:dPt>
            <c:idx val="3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567-47B2-9A86-4D5FD2298A24}"/>
              </c:ext>
            </c:extLst>
          </c:dPt>
          <c:dPt>
            <c:idx val="4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567-47B2-9A86-4D5FD2298A24}"/>
              </c:ext>
            </c:extLst>
          </c:dPt>
          <c:dPt>
            <c:idx val="5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567-47B2-9A86-4D5FD2298A24}"/>
              </c:ext>
            </c:extLst>
          </c:dPt>
          <c:dPt>
            <c:idx val="6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567-47B2-9A86-4D5FD2298A24}"/>
              </c:ext>
            </c:extLst>
          </c:dPt>
          <c:dPt>
            <c:idx val="7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567-47B2-9A86-4D5FD2298A24}"/>
              </c:ext>
            </c:extLst>
          </c:dPt>
          <c:dPt>
            <c:idx val="8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567-47B2-9A86-4D5FD2298A24}"/>
              </c:ext>
            </c:extLst>
          </c:dPt>
          <c:dPt>
            <c:idx val="9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567-47B2-9A86-4D5FD2298A24}"/>
              </c:ext>
            </c:extLst>
          </c:dPt>
          <c:dPt>
            <c:idx val="10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567-47B2-9A86-4D5FD2298A24}"/>
              </c:ext>
            </c:extLst>
          </c:dPt>
          <c:dPt>
            <c:idx val="11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567-47B2-9A86-4D5FD2298A24}"/>
              </c:ext>
            </c:extLst>
          </c:dPt>
          <c:dPt>
            <c:idx val="12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567-47B2-9A86-4D5FD2298A24}"/>
              </c:ext>
            </c:extLst>
          </c:dPt>
          <c:dPt>
            <c:idx val="13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567-47B2-9A86-4D5FD2298A24}"/>
              </c:ext>
            </c:extLst>
          </c:dPt>
          <c:dPt>
            <c:idx val="14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567-47B2-9A86-4D5FD2298A2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4315732-1D3B-4789-AD9B-0B88264FF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567-47B2-9A86-4D5FD2298A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F3F5DE-F813-4022-BFD8-EDE82E960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567-47B2-9A86-4D5FD2298A2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56AC1A-CB2A-4A64-A350-66483563B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567-47B2-9A86-4D5FD2298A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A71C75-4E6C-4EBE-9AA4-A6DE14E41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567-47B2-9A86-4D5FD2298A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68FFA0-AB84-4407-B164-7CA1F69060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67-47B2-9A86-4D5FD2298A2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B03C022-80E5-403F-B29E-448DC03991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67-47B2-9A86-4D5FD2298A2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82E42A-66BD-41B4-9826-61EB410C62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67-47B2-9A86-4D5FD2298A2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CE654F6-10A7-4103-A413-508961C910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67-47B2-9A86-4D5FD2298A2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1EEC6BE-ADAC-48E2-A5DE-4F74A4014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67-47B2-9A86-4D5FD2298A2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BB9FAF0-13F2-43D1-A892-E4D6084F01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67-47B2-9A86-4D5FD2298A2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407E3F-6B85-4226-A0AD-9A4019CEF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567-47B2-9A86-4D5FD2298A2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37FE326-5F79-40FD-9F96-79B0EAF0F3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567-47B2-9A86-4D5FD2298A2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580AFD4-9229-48A2-AD1B-602675A3B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567-47B2-9A86-4D5FD2298A2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FB3302C-86EF-453D-BB11-2DEB9FBCF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567-47B2-9A86-4D5FD2298A2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DE1AD7A-6286-47A9-983B-532B64AA62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567-47B2-9A86-4D5FD2298A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'Instrukcja 4D'!$B$4:$B$18</c:f>
              <c:numCache>
                <c:formatCode>#\ ##0.0</c:formatCode>
                <c:ptCount val="15"/>
                <c:pt idx="0">
                  <c:v>5.3</c:v>
                </c:pt>
                <c:pt idx="1">
                  <c:v>5.0999999999999996</c:v>
                </c:pt>
                <c:pt idx="2">
                  <c:v>7.2</c:v>
                </c:pt>
                <c:pt idx="3">
                  <c:v>5.4</c:v>
                </c:pt>
                <c:pt idx="4">
                  <c:v>5.0999999999999996</c:v>
                </c:pt>
                <c:pt idx="5">
                  <c:v>5.4</c:v>
                </c:pt>
                <c:pt idx="6">
                  <c:v>7.4</c:v>
                </c:pt>
                <c:pt idx="7">
                  <c:v>6.1</c:v>
                </c:pt>
                <c:pt idx="8">
                  <c:v>7.3</c:v>
                </c:pt>
                <c:pt idx="9">
                  <c:v>6</c:v>
                </c:pt>
                <c:pt idx="10">
                  <c:v>5.8</c:v>
                </c:pt>
                <c:pt idx="11">
                  <c:v>6.3</c:v>
                </c:pt>
                <c:pt idx="12">
                  <c:v>5.0999999999999996</c:v>
                </c:pt>
                <c:pt idx="13">
                  <c:v>6.3</c:v>
                </c:pt>
                <c:pt idx="14">
                  <c:v>5.5</c:v>
                </c:pt>
              </c:numCache>
            </c:numRef>
          </c:xVal>
          <c:yVal>
            <c:numRef>
              <c:f>'Instrukcja 4D'!$C$4:$C$18</c:f>
              <c:numCache>
                <c:formatCode>#\ ##0.0</c:formatCode>
                <c:ptCount val="15"/>
                <c:pt idx="0">
                  <c:v>5.0999999999999996</c:v>
                </c:pt>
                <c:pt idx="1">
                  <c:v>5.2</c:v>
                </c:pt>
                <c:pt idx="2">
                  <c:v>6.5</c:v>
                </c:pt>
                <c:pt idx="3">
                  <c:v>5.3</c:v>
                </c:pt>
                <c:pt idx="4">
                  <c:v>6.1199999999999992</c:v>
                </c:pt>
                <c:pt idx="5">
                  <c:v>4.7</c:v>
                </c:pt>
                <c:pt idx="6">
                  <c:v>6.4</c:v>
                </c:pt>
                <c:pt idx="7">
                  <c:v>4</c:v>
                </c:pt>
                <c:pt idx="8">
                  <c:v>6.1</c:v>
                </c:pt>
                <c:pt idx="9">
                  <c:v>3.5</c:v>
                </c:pt>
                <c:pt idx="10">
                  <c:v>6.1</c:v>
                </c:pt>
                <c:pt idx="11">
                  <c:v>3.2</c:v>
                </c:pt>
                <c:pt idx="12">
                  <c:v>3.3</c:v>
                </c:pt>
                <c:pt idx="13">
                  <c:v>3.4</c:v>
                </c:pt>
                <c:pt idx="14">
                  <c:v>3.7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'Instrukcja 4D'!$I$4:$I$18</c15:f>
                <c15:dlblRangeCache>
                  <c:ptCount val="15"/>
                  <c:pt idx="0">
                    <c:v>1X</c:v>
                  </c:pt>
                  <c:pt idx="1">
                    <c:v>2X</c:v>
                  </c:pt>
                  <c:pt idx="2">
                    <c:v>3Y</c:v>
                  </c:pt>
                  <c:pt idx="3">
                    <c:v>4X</c:v>
                  </c:pt>
                  <c:pt idx="4">
                    <c:v>5X</c:v>
                  </c:pt>
                  <c:pt idx="5">
                    <c:v>6X</c:v>
                  </c:pt>
                  <c:pt idx="6">
                    <c:v>7Y</c:v>
                  </c:pt>
                  <c:pt idx="7">
                    <c:v>8Z</c:v>
                  </c:pt>
                  <c:pt idx="8">
                    <c:v>9Y</c:v>
                  </c:pt>
                  <c:pt idx="9">
                    <c:v>10Z</c:v>
                  </c:pt>
                  <c:pt idx="10">
                    <c:v>11Y</c:v>
                  </c:pt>
                  <c:pt idx="11">
                    <c:v>12Z</c:v>
                  </c:pt>
                  <c:pt idx="12">
                    <c:v>13Z</c:v>
                  </c:pt>
                  <c:pt idx="13">
                    <c:v>14Z</c:v>
                  </c:pt>
                  <c:pt idx="14">
                    <c:v>15Z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5567-47B2-9A86-4D5FD2298A2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rgbClr val="7030A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8BCD83C-48D5-4544-94D8-7E7BA969E5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567-47B2-9A86-4D5FD2298A24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'Instrukcja 4D'!$B$19</c:f>
              <c:numCache>
                <c:formatCode>General</c:formatCode>
                <c:ptCount val="1"/>
                <c:pt idx="0">
                  <c:v>7.4</c:v>
                </c:pt>
              </c:numCache>
            </c:numRef>
          </c:xVal>
          <c:yVal>
            <c:numRef>
              <c:f>'Instrukcja 4D'!$C$19</c:f>
              <c:numCache>
                <c:formatCode>General</c:formatCode>
                <c:ptCount val="1"/>
                <c:pt idx="0">
                  <c:v>3.6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'Instrukcja 4D'!$H$19</c15:f>
                <c15:dlblRangeCache>
                  <c:ptCount val="1"/>
                  <c:pt idx="0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567-47B2-9A86-4D5FD2298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62560"/>
        <c:axId val="457362952"/>
      </c:scatterChart>
      <c:valAx>
        <c:axId val="4573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2952"/>
        <c:crosses val="autoZero"/>
        <c:crossBetween val="midCat"/>
      </c:valAx>
      <c:valAx>
        <c:axId val="45736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47624</xdr:colOff>
      <xdr:row>0</xdr:row>
      <xdr:rowOff>14287</xdr:rowOff>
    </xdr:from>
    <xdr:to>
      <xdr:col>29</xdr:col>
      <xdr:colOff>457199</xdr:colOff>
      <xdr:row>31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19</xdr:row>
      <xdr:rowOff>128587</xdr:rowOff>
    </xdr:from>
    <xdr:to>
      <xdr:col>16</xdr:col>
      <xdr:colOff>114299</xdr:colOff>
      <xdr:row>51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Q200"/>
  <sheetViews>
    <sheetView showGridLines="0"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7.6640625" customWidth="1"/>
    <col min="2" max="2" width="9.109375" style="8"/>
    <col min="4" max="4" width="3" bestFit="1" customWidth="1"/>
    <col min="5" max="5" width="11.33203125" bestFit="1" customWidth="1"/>
    <col min="6" max="6" width="7.6640625" bestFit="1" customWidth="1"/>
    <col min="7" max="8" width="9.33203125" bestFit="1" customWidth="1"/>
    <col min="12" max="12" width="10.6640625" customWidth="1"/>
    <col min="13" max="13" width="5.6640625" customWidth="1"/>
    <col min="14" max="14" width="12.109375" customWidth="1"/>
  </cols>
  <sheetData>
    <row r="1" spans="1:17" ht="15" thickBot="1" x14ac:dyDescent="0.35">
      <c r="A1" s="1">
        <v>1</v>
      </c>
      <c r="B1" s="7" t="str">
        <f>MID(ADDRESS(1,ROW(A1)+2,4),1,LEN(ADDRESS(1,ROW(A1)+2,4))-1)</f>
        <v>C</v>
      </c>
      <c r="D1" s="42" t="s">
        <v>21</v>
      </c>
      <c r="E1" s="43"/>
      <c r="F1" s="43"/>
      <c r="G1" s="43"/>
      <c r="H1" s="44"/>
      <c r="J1" s="42" t="s">
        <v>22</v>
      </c>
      <c r="K1" s="44"/>
      <c r="M1" s="45" t="s">
        <v>23</v>
      </c>
      <c r="N1" s="46"/>
      <c r="P1" s="12" t="s">
        <v>8</v>
      </c>
      <c r="Q1" s="12" t="s">
        <v>35</v>
      </c>
    </row>
    <row r="2" spans="1:17" x14ac:dyDescent="0.3">
      <c r="A2" s="1">
        <v>2</v>
      </c>
      <c r="B2" s="7" t="str">
        <f t="shared" ref="B2:B65" si="0">MID(ADDRESS(1,ROW(A2)+2,4),1,LEN(ADDRESS(1,ROW(A2)+2,4))-1)</f>
        <v>D</v>
      </c>
      <c r="D2" s="26" t="s">
        <v>8</v>
      </c>
      <c r="E2" s="26" t="s">
        <v>24</v>
      </c>
      <c r="F2" s="26" t="s">
        <v>25</v>
      </c>
      <c r="G2" s="26" t="s">
        <v>17</v>
      </c>
      <c r="H2" s="26" t="s">
        <v>18</v>
      </c>
      <c r="J2" s="14">
        <v>1</v>
      </c>
      <c r="K2" s="14" t="str">
        <f>CONCATENATE(MID(IFERROR(INDEX($E$3:$E$14,MATCH(ROW(A1),$D$3:$D$14,0)),0),3,1),".",MID(IFERROR(INDEX($E$3:$E$14,MATCH(ROW(A1),$D$3:$D$14,0)),0),1,1))</f>
        <v>1.2</v>
      </c>
      <c r="M2" s="24">
        <v>1</v>
      </c>
      <c r="N2" s="18" t="s">
        <v>5</v>
      </c>
      <c r="P2" s="39">
        <v>1</v>
      </c>
      <c r="Q2" s="2" t="s">
        <v>2</v>
      </c>
    </row>
    <row r="3" spans="1:17" x14ac:dyDescent="0.3">
      <c r="A3" s="1">
        <v>3</v>
      </c>
      <c r="B3" s="7" t="str">
        <f t="shared" si="0"/>
        <v>E</v>
      </c>
      <c r="D3" s="14">
        <f>SUM(F3:F$3)</f>
        <v>1</v>
      </c>
      <c r="E3" s="14" t="str">
        <f>CONCATENATE(H3,".",G3)</f>
        <v>2.1</v>
      </c>
      <c r="F3" s="14">
        <f>IF(COUNTIF(E3:E$3,CONCATENATE(G3,".",H3))=0,1,0)</f>
        <v>1</v>
      </c>
      <c r="G3" s="14">
        <v>1</v>
      </c>
      <c r="H3" s="14">
        <v>2</v>
      </c>
      <c r="J3" s="2">
        <v>2</v>
      </c>
      <c r="K3" s="14" t="str">
        <f t="shared" ref="K3:K7" si="1">CONCATENATE(MID(IFERROR(INDEX($E$3:$E$14,MATCH(ROW(A2),$D$3:$D$14,0)),0),3,1),".",MID(IFERROR(INDEX($E$3:$E$14,MATCH(ROW(A2),$D$3:$D$14,0)),0),1,1))</f>
        <v>1.3</v>
      </c>
      <c r="M3" s="1">
        <v>2</v>
      </c>
      <c r="N3" s="12" t="s">
        <v>6</v>
      </c>
      <c r="P3" s="39">
        <v>2</v>
      </c>
      <c r="Q3" s="2" t="s">
        <v>3</v>
      </c>
    </row>
    <row r="4" spans="1:17" x14ac:dyDescent="0.3">
      <c r="A4" s="1">
        <v>4</v>
      </c>
      <c r="B4" s="7" t="str">
        <f t="shared" si="0"/>
        <v>F</v>
      </c>
      <c r="D4" s="14">
        <f>SUM(F$3:F4)</f>
        <v>2</v>
      </c>
      <c r="E4" s="2" t="str">
        <f t="shared" ref="E4:E14" si="2">CONCATENATE(H4,".",G4)</f>
        <v>3.1</v>
      </c>
      <c r="F4" s="14">
        <f>IF(COUNTIF(E$3:E4,CONCATENATE(G4,".",H4))=0,1,0)</f>
        <v>1</v>
      </c>
      <c r="G4" s="2">
        <v>1</v>
      </c>
      <c r="H4" s="2">
        <v>3</v>
      </c>
      <c r="J4" s="2">
        <v>3</v>
      </c>
      <c r="K4" s="14" t="str">
        <f t="shared" si="1"/>
        <v>1.4</v>
      </c>
      <c r="M4" s="1">
        <v>3</v>
      </c>
      <c r="N4" s="12" t="s">
        <v>19</v>
      </c>
      <c r="P4" s="39">
        <v>3</v>
      </c>
      <c r="Q4" s="2" t="s">
        <v>4</v>
      </c>
    </row>
    <row r="5" spans="1:17" x14ac:dyDescent="0.3">
      <c r="A5" s="1">
        <v>5</v>
      </c>
      <c r="B5" s="7" t="str">
        <f t="shared" si="0"/>
        <v>G</v>
      </c>
      <c r="D5" s="14">
        <f>SUM(F$3:F5)</f>
        <v>3</v>
      </c>
      <c r="E5" s="2" t="str">
        <f t="shared" si="2"/>
        <v>4.1</v>
      </c>
      <c r="F5" s="14">
        <f>IF(COUNTIF(E$3:E5,CONCATENATE(G5,".",H5))=0,1,0)</f>
        <v>1</v>
      </c>
      <c r="G5" s="2">
        <v>1</v>
      </c>
      <c r="H5" s="2">
        <v>4</v>
      </c>
      <c r="J5" s="2">
        <v>4</v>
      </c>
      <c r="K5" s="14" t="str">
        <f t="shared" si="1"/>
        <v>2.3</v>
      </c>
      <c r="M5" s="1">
        <v>4</v>
      </c>
      <c r="N5" s="12" t="s">
        <v>20</v>
      </c>
      <c r="P5" s="39">
        <v>4</v>
      </c>
      <c r="Q5" s="2"/>
    </row>
    <row r="6" spans="1:17" x14ac:dyDescent="0.3">
      <c r="A6" s="1">
        <v>6</v>
      </c>
      <c r="B6" s="7" t="str">
        <f t="shared" si="0"/>
        <v>H</v>
      </c>
      <c r="D6" s="14">
        <f>SUM(F$3:F6)</f>
        <v>3</v>
      </c>
      <c r="E6" s="2" t="str">
        <f t="shared" si="2"/>
        <v>1.2</v>
      </c>
      <c r="F6" s="14">
        <f>IF(COUNTIF(E$3:E6,CONCATENATE(G6,".",H6))=0,1,0)</f>
        <v>0</v>
      </c>
      <c r="G6" s="2">
        <v>2</v>
      </c>
      <c r="H6" s="2">
        <v>1</v>
      </c>
      <c r="J6" s="2">
        <v>5</v>
      </c>
      <c r="K6" s="14" t="str">
        <f t="shared" si="1"/>
        <v>2.4</v>
      </c>
      <c r="M6" s="1">
        <v>5</v>
      </c>
      <c r="P6" s="39">
        <v>5</v>
      </c>
      <c r="Q6" s="2"/>
    </row>
    <row r="7" spans="1:17" x14ac:dyDescent="0.3">
      <c r="A7" s="1">
        <v>7</v>
      </c>
      <c r="B7" s="7" t="str">
        <f t="shared" si="0"/>
        <v>I</v>
      </c>
      <c r="D7" s="14">
        <f>SUM(F$3:F7)</f>
        <v>4</v>
      </c>
      <c r="E7" s="2" t="str">
        <f t="shared" si="2"/>
        <v>3.2</v>
      </c>
      <c r="F7" s="14">
        <f>IF(COUNTIF(E$3:E7,CONCATENATE(G7,".",H7))=0,1,0)</f>
        <v>1</v>
      </c>
      <c r="G7" s="2">
        <v>2</v>
      </c>
      <c r="H7" s="2">
        <v>3</v>
      </c>
      <c r="J7" s="2">
        <v>6</v>
      </c>
      <c r="K7" s="14" t="str">
        <f t="shared" si="1"/>
        <v>3.4</v>
      </c>
      <c r="M7" s="1">
        <v>6</v>
      </c>
      <c r="P7" s="39">
        <v>6</v>
      </c>
      <c r="Q7" s="2"/>
    </row>
    <row r="8" spans="1:17" x14ac:dyDescent="0.3">
      <c r="A8" s="1">
        <v>8</v>
      </c>
      <c r="B8" s="7" t="str">
        <f t="shared" si="0"/>
        <v>J</v>
      </c>
      <c r="D8" s="14">
        <f>SUM(F$3:F8)</f>
        <v>5</v>
      </c>
      <c r="E8" s="2" t="str">
        <f t="shared" si="2"/>
        <v>4.2</v>
      </c>
      <c r="F8" s="14">
        <f>IF(COUNTIF(E$3:E8,CONCATENATE(G8,".",H8))=0,1,0)</f>
        <v>1</v>
      </c>
      <c r="G8" s="2">
        <v>2</v>
      </c>
      <c r="H8" s="2">
        <v>4</v>
      </c>
      <c r="M8" s="1">
        <v>7</v>
      </c>
      <c r="P8" s="39">
        <v>7</v>
      </c>
      <c r="Q8" s="2"/>
    </row>
    <row r="9" spans="1:17" x14ac:dyDescent="0.3">
      <c r="A9" s="1">
        <v>9</v>
      </c>
      <c r="B9" s="7" t="str">
        <f t="shared" si="0"/>
        <v>K</v>
      </c>
      <c r="D9" s="14">
        <f>SUM(F$3:F9)</f>
        <v>5</v>
      </c>
      <c r="E9" s="2" t="str">
        <f t="shared" si="2"/>
        <v>1.3</v>
      </c>
      <c r="F9" s="14">
        <f>IF(COUNTIF(E$3:E9,CONCATENATE(G9,".",H9))=0,1,0)</f>
        <v>0</v>
      </c>
      <c r="G9" s="2">
        <v>3</v>
      </c>
      <c r="H9" s="2">
        <v>1</v>
      </c>
      <c r="M9" s="1">
        <v>8</v>
      </c>
      <c r="P9" s="39">
        <v>8</v>
      </c>
      <c r="Q9" s="2"/>
    </row>
    <row r="10" spans="1:17" x14ac:dyDescent="0.3">
      <c r="A10" s="1">
        <v>10</v>
      </c>
      <c r="B10" s="7" t="str">
        <f t="shared" si="0"/>
        <v>L</v>
      </c>
      <c r="D10" s="14">
        <f>SUM(F$3:F10)</f>
        <v>5</v>
      </c>
      <c r="E10" s="2" t="str">
        <f t="shared" si="2"/>
        <v>2.3</v>
      </c>
      <c r="F10" s="14">
        <f>IF(COUNTIF(E$3:E10,CONCATENATE(G10,".",H10))=0,1,0)</f>
        <v>0</v>
      </c>
      <c r="G10" s="2">
        <v>3</v>
      </c>
      <c r="H10" s="2">
        <v>2</v>
      </c>
      <c r="M10" s="1">
        <v>9</v>
      </c>
      <c r="P10" s="39">
        <v>9</v>
      </c>
      <c r="Q10" s="2"/>
    </row>
    <row r="11" spans="1:17" x14ac:dyDescent="0.3">
      <c r="A11" s="1">
        <v>11</v>
      </c>
      <c r="B11" s="7" t="str">
        <f t="shared" si="0"/>
        <v>M</v>
      </c>
      <c r="D11" s="14">
        <f>SUM(F$3:F11)</f>
        <v>6</v>
      </c>
      <c r="E11" s="2" t="str">
        <f t="shared" si="2"/>
        <v>4.3</v>
      </c>
      <c r="F11" s="14">
        <f>IF(COUNTIF(E$3:E11,CONCATENATE(G11,".",H11))=0,1,0)</f>
        <v>1</v>
      </c>
      <c r="G11" s="2">
        <v>3</v>
      </c>
      <c r="H11" s="2">
        <v>4</v>
      </c>
      <c r="M11" s="1">
        <v>10</v>
      </c>
      <c r="P11" s="39">
        <v>10</v>
      </c>
      <c r="Q11" s="2"/>
    </row>
    <row r="12" spans="1:17" x14ac:dyDescent="0.3">
      <c r="A12" s="1">
        <v>12</v>
      </c>
      <c r="B12" s="7" t="str">
        <f t="shared" si="0"/>
        <v>N</v>
      </c>
      <c r="D12" s="14">
        <f>SUM(F$3:F12)</f>
        <v>6</v>
      </c>
      <c r="E12" s="2" t="str">
        <f t="shared" si="2"/>
        <v>1.4</v>
      </c>
      <c r="F12" s="14">
        <f>IF(COUNTIF(E$3:E12,CONCATENATE(G12,".",H12))=0,1,0)</f>
        <v>0</v>
      </c>
      <c r="G12" s="2">
        <v>4</v>
      </c>
      <c r="H12" s="2">
        <v>1</v>
      </c>
      <c r="P12" s="39">
        <v>11</v>
      </c>
      <c r="Q12" s="2"/>
    </row>
    <row r="13" spans="1:17" x14ac:dyDescent="0.3">
      <c r="A13" s="1">
        <v>13</v>
      </c>
      <c r="B13" s="7" t="str">
        <f t="shared" si="0"/>
        <v>O</v>
      </c>
      <c r="D13" s="14">
        <f>SUM(F$3:F13)</f>
        <v>6</v>
      </c>
      <c r="E13" s="2" t="str">
        <f t="shared" si="2"/>
        <v>2.4</v>
      </c>
      <c r="F13" s="14">
        <f>IF(COUNTIF(E$3:E13,CONCATENATE(G13,".",H13))=0,1,0)</f>
        <v>0</v>
      </c>
      <c r="G13" s="2">
        <v>4</v>
      </c>
      <c r="H13" s="2">
        <v>2</v>
      </c>
      <c r="P13" s="39">
        <v>12</v>
      </c>
      <c r="Q13" s="2"/>
    </row>
    <row r="14" spans="1:17" x14ac:dyDescent="0.3">
      <c r="A14" s="1">
        <v>14</v>
      </c>
      <c r="B14" s="7" t="str">
        <f t="shared" si="0"/>
        <v>P</v>
      </c>
      <c r="D14" s="14">
        <f>SUM(F$3:F14)</f>
        <v>6</v>
      </c>
      <c r="E14" s="2" t="str">
        <f t="shared" si="2"/>
        <v>3.4</v>
      </c>
      <c r="F14" s="14">
        <f>IF(COUNTIF(E$3:E14,CONCATENATE(G14,".",H14))=0,1,0)</f>
        <v>0</v>
      </c>
      <c r="G14" s="2">
        <v>4</v>
      </c>
      <c r="H14" s="2">
        <v>3</v>
      </c>
    </row>
    <row r="15" spans="1:17" x14ac:dyDescent="0.3">
      <c r="A15" s="1">
        <v>15</v>
      </c>
      <c r="B15" s="7" t="str">
        <f t="shared" si="0"/>
        <v>Q</v>
      </c>
    </row>
    <row r="16" spans="1:17" x14ac:dyDescent="0.3">
      <c r="A16" s="1">
        <v>16</v>
      </c>
      <c r="B16" s="7" t="str">
        <f t="shared" si="0"/>
        <v>R</v>
      </c>
    </row>
    <row r="17" spans="1:2" x14ac:dyDescent="0.3">
      <c r="A17" s="1">
        <v>17</v>
      </c>
      <c r="B17" s="7" t="str">
        <f t="shared" si="0"/>
        <v>S</v>
      </c>
    </row>
    <row r="18" spans="1:2" x14ac:dyDescent="0.3">
      <c r="A18" s="1">
        <v>18</v>
      </c>
      <c r="B18" s="7" t="str">
        <f t="shared" si="0"/>
        <v>T</v>
      </c>
    </row>
    <row r="19" spans="1:2" x14ac:dyDescent="0.3">
      <c r="A19" s="1">
        <v>19</v>
      </c>
      <c r="B19" s="7" t="str">
        <f t="shared" si="0"/>
        <v>U</v>
      </c>
    </row>
    <row r="20" spans="1:2" x14ac:dyDescent="0.3">
      <c r="A20" s="1">
        <v>20</v>
      </c>
      <c r="B20" s="7" t="str">
        <f t="shared" si="0"/>
        <v>V</v>
      </c>
    </row>
    <row r="21" spans="1:2" x14ac:dyDescent="0.3">
      <c r="A21" s="1">
        <v>21</v>
      </c>
      <c r="B21" s="7" t="str">
        <f t="shared" si="0"/>
        <v>W</v>
      </c>
    </row>
    <row r="22" spans="1:2" x14ac:dyDescent="0.3">
      <c r="A22" s="1">
        <v>22</v>
      </c>
      <c r="B22" s="7" t="str">
        <f t="shared" si="0"/>
        <v>X</v>
      </c>
    </row>
    <row r="23" spans="1:2" x14ac:dyDescent="0.3">
      <c r="A23" s="1">
        <v>23</v>
      </c>
      <c r="B23" s="7" t="str">
        <f t="shared" si="0"/>
        <v>Y</v>
      </c>
    </row>
    <row r="24" spans="1:2" x14ac:dyDescent="0.3">
      <c r="A24" s="1">
        <v>24</v>
      </c>
      <c r="B24" s="7" t="str">
        <f t="shared" si="0"/>
        <v>Z</v>
      </c>
    </row>
    <row r="25" spans="1:2" x14ac:dyDescent="0.3">
      <c r="A25" s="1">
        <v>25</v>
      </c>
      <c r="B25" s="7" t="str">
        <f t="shared" si="0"/>
        <v>AA</v>
      </c>
    </row>
    <row r="26" spans="1:2" x14ac:dyDescent="0.3">
      <c r="A26" s="1">
        <v>26</v>
      </c>
      <c r="B26" s="7" t="str">
        <f t="shared" si="0"/>
        <v>AB</v>
      </c>
    </row>
    <row r="27" spans="1:2" x14ac:dyDescent="0.3">
      <c r="A27" s="1">
        <v>27</v>
      </c>
      <c r="B27" s="7" t="str">
        <f t="shared" si="0"/>
        <v>AC</v>
      </c>
    </row>
    <row r="28" spans="1:2" x14ac:dyDescent="0.3">
      <c r="A28" s="1">
        <v>28</v>
      </c>
      <c r="B28" s="7" t="str">
        <f t="shared" si="0"/>
        <v>AD</v>
      </c>
    </row>
    <row r="29" spans="1:2" x14ac:dyDescent="0.3">
      <c r="A29" s="1">
        <v>29</v>
      </c>
      <c r="B29" s="7" t="str">
        <f t="shared" si="0"/>
        <v>AE</v>
      </c>
    </row>
    <row r="30" spans="1:2" x14ac:dyDescent="0.3">
      <c r="A30" s="1">
        <v>30</v>
      </c>
      <c r="B30" s="7" t="str">
        <f t="shared" si="0"/>
        <v>AF</v>
      </c>
    </row>
    <row r="31" spans="1:2" x14ac:dyDescent="0.3">
      <c r="A31" s="1">
        <v>31</v>
      </c>
      <c r="B31" s="7" t="str">
        <f t="shared" si="0"/>
        <v>AG</v>
      </c>
    </row>
    <row r="32" spans="1:2" x14ac:dyDescent="0.3">
      <c r="A32" s="1">
        <v>32</v>
      </c>
      <c r="B32" s="7" t="str">
        <f t="shared" si="0"/>
        <v>AH</v>
      </c>
    </row>
    <row r="33" spans="1:2" x14ac:dyDescent="0.3">
      <c r="A33" s="1">
        <v>33</v>
      </c>
      <c r="B33" s="7" t="str">
        <f t="shared" si="0"/>
        <v>AI</v>
      </c>
    </row>
    <row r="34" spans="1:2" x14ac:dyDescent="0.3">
      <c r="A34" s="1">
        <v>34</v>
      </c>
      <c r="B34" s="7" t="str">
        <f t="shared" si="0"/>
        <v>AJ</v>
      </c>
    </row>
    <row r="35" spans="1:2" x14ac:dyDescent="0.3">
      <c r="A35" s="1">
        <v>35</v>
      </c>
      <c r="B35" s="7" t="str">
        <f t="shared" si="0"/>
        <v>AK</v>
      </c>
    </row>
    <row r="36" spans="1:2" x14ac:dyDescent="0.3">
      <c r="A36" s="1">
        <v>36</v>
      </c>
      <c r="B36" s="7" t="str">
        <f t="shared" si="0"/>
        <v>AL</v>
      </c>
    </row>
    <row r="37" spans="1:2" x14ac:dyDescent="0.3">
      <c r="A37" s="1">
        <v>37</v>
      </c>
      <c r="B37" s="7" t="str">
        <f t="shared" si="0"/>
        <v>AM</v>
      </c>
    </row>
    <row r="38" spans="1:2" x14ac:dyDescent="0.3">
      <c r="A38" s="1">
        <v>38</v>
      </c>
      <c r="B38" s="7" t="str">
        <f t="shared" si="0"/>
        <v>AN</v>
      </c>
    </row>
    <row r="39" spans="1:2" x14ac:dyDescent="0.3">
      <c r="A39" s="1">
        <v>39</v>
      </c>
      <c r="B39" s="7" t="str">
        <f t="shared" si="0"/>
        <v>AO</v>
      </c>
    </row>
    <row r="40" spans="1:2" x14ac:dyDescent="0.3">
      <c r="A40" s="1">
        <v>40</v>
      </c>
      <c r="B40" s="7" t="str">
        <f t="shared" si="0"/>
        <v>AP</v>
      </c>
    </row>
    <row r="41" spans="1:2" x14ac:dyDescent="0.3">
      <c r="A41" s="1">
        <v>41</v>
      </c>
      <c r="B41" s="7" t="str">
        <f t="shared" si="0"/>
        <v>AQ</v>
      </c>
    </row>
    <row r="42" spans="1:2" x14ac:dyDescent="0.3">
      <c r="A42" s="1">
        <v>42</v>
      </c>
      <c r="B42" s="7" t="str">
        <f t="shared" si="0"/>
        <v>AR</v>
      </c>
    </row>
    <row r="43" spans="1:2" x14ac:dyDescent="0.3">
      <c r="A43" s="1">
        <v>43</v>
      </c>
      <c r="B43" s="7" t="str">
        <f t="shared" si="0"/>
        <v>AS</v>
      </c>
    </row>
    <row r="44" spans="1:2" x14ac:dyDescent="0.3">
      <c r="A44" s="1">
        <v>44</v>
      </c>
      <c r="B44" s="7" t="str">
        <f t="shared" si="0"/>
        <v>AT</v>
      </c>
    </row>
    <row r="45" spans="1:2" x14ac:dyDescent="0.3">
      <c r="A45" s="1">
        <v>45</v>
      </c>
      <c r="B45" s="7" t="str">
        <f t="shared" si="0"/>
        <v>AU</v>
      </c>
    </row>
    <row r="46" spans="1:2" x14ac:dyDescent="0.3">
      <c r="A46" s="1">
        <v>46</v>
      </c>
      <c r="B46" s="7" t="str">
        <f t="shared" si="0"/>
        <v>AV</v>
      </c>
    </row>
    <row r="47" spans="1:2" x14ac:dyDescent="0.3">
      <c r="A47" s="1">
        <v>47</v>
      </c>
      <c r="B47" s="7" t="str">
        <f t="shared" si="0"/>
        <v>AW</v>
      </c>
    </row>
    <row r="48" spans="1:2" x14ac:dyDescent="0.3">
      <c r="A48" s="1">
        <v>48</v>
      </c>
      <c r="B48" s="7" t="str">
        <f t="shared" si="0"/>
        <v>AX</v>
      </c>
    </row>
    <row r="49" spans="1:2" x14ac:dyDescent="0.3">
      <c r="A49" s="1">
        <v>49</v>
      </c>
      <c r="B49" s="7" t="str">
        <f t="shared" si="0"/>
        <v>AY</v>
      </c>
    </row>
    <row r="50" spans="1:2" x14ac:dyDescent="0.3">
      <c r="A50" s="1">
        <v>50</v>
      </c>
      <c r="B50" s="7" t="str">
        <f t="shared" si="0"/>
        <v>AZ</v>
      </c>
    </row>
    <row r="51" spans="1:2" x14ac:dyDescent="0.3">
      <c r="A51" s="1">
        <v>51</v>
      </c>
      <c r="B51" s="7" t="str">
        <f t="shared" si="0"/>
        <v>BA</v>
      </c>
    </row>
    <row r="52" spans="1:2" x14ac:dyDescent="0.3">
      <c r="A52" s="1">
        <v>52</v>
      </c>
      <c r="B52" s="7" t="str">
        <f t="shared" si="0"/>
        <v>BB</v>
      </c>
    </row>
    <row r="53" spans="1:2" x14ac:dyDescent="0.3">
      <c r="A53" s="1">
        <v>53</v>
      </c>
      <c r="B53" s="7" t="str">
        <f t="shared" si="0"/>
        <v>BC</v>
      </c>
    </row>
    <row r="54" spans="1:2" x14ac:dyDescent="0.3">
      <c r="A54" s="1">
        <v>54</v>
      </c>
      <c r="B54" s="7" t="str">
        <f t="shared" si="0"/>
        <v>BD</v>
      </c>
    </row>
    <row r="55" spans="1:2" x14ac:dyDescent="0.3">
      <c r="A55" s="1">
        <v>55</v>
      </c>
      <c r="B55" s="7" t="str">
        <f t="shared" si="0"/>
        <v>BE</v>
      </c>
    </row>
    <row r="56" spans="1:2" x14ac:dyDescent="0.3">
      <c r="A56" s="1">
        <v>56</v>
      </c>
      <c r="B56" s="7" t="str">
        <f t="shared" si="0"/>
        <v>BF</v>
      </c>
    </row>
    <row r="57" spans="1:2" x14ac:dyDescent="0.3">
      <c r="A57" s="1">
        <v>57</v>
      </c>
      <c r="B57" s="7" t="str">
        <f t="shared" si="0"/>
        <v>BG</v>
      </c>
    </row>
    <row r="58" spans="1:2" x14ac:dyDescent="0.3">
      <c r="A58" s="1">
        <v>58</v>
      </c>
      <c r="B58" s="7" t="str">
        <f t="shared" si="0"/>
        <v>BH</v>
      </c>
    </row>
    <row r="59" spans="1:2" x14ac:dyDescent="0.3">
      <c r="A59" s="1">
        <v>59</v>
      </c>
      <c r="B59" s="7" t="str">
        <f t="shared" si="0"/>
        <v>BI</v>
      </c>
    </row>
    <row r="60" spans="1:2" x14ac:dyDescent="0.3">
      <c r="A60" s="1">
        <v>60</v>
      </c>
      <c r="B60" s="7" t="str">
        <f t="shared" si="0"/>
        <v>BJ</v>
      </c>
    </row>
    <row r="61" spans="1:2" x14ac:dyDescent="0.3">
      <c r="A61" s="1">
        <v>61</v>
      </c>
      <c r="B61" s="7" t="str">
        <f t="shared" si="0"/>
        <v>BK</v>
      </c>
    </row>
    <row r="62" spans="1:2" x14ac:dyDescent="0.3">
      <c r="A62" s="1">
        <v>62</v>
      </c>
      <c r="B62" s="7" t="str">
        <f t="shared" si="0"/>
        <v>BL</v>
      </c>
    </row>
    <row r="63" spans="1:2" x14ac:dyDescent="0.3">
      <c r="A63" s="1">
        <v>63</v>
      </c>
      <c r="B63" s="7" t="str">
        <f t="shared" si="0"/>
        <v>BM</v>
      </c>
    </row>
    <row r="64" spans="1:2" x14ac:dyDescent="0.3">
      <c r="A64" s="1">
        <v>64</v>
      </c>
      <c r="B64" s="7" t="str">
        <f t="shared" si="0"/>
        <v>BN</v>
      </c>
    </row>
    <row r="65" spans="1:2" x14ac:dyDescent="0.3">
      <c r="A65" s="1">
        <v>65</v>
      </c>
      <c r="B65" s="7" t="str">
        <f t="shared" si="0"/>
        <v>BO</v>
      </c>
    </row>
    <row r="66" spans="1:2" x14ac:dyDescent="0.3">
      <c r="A66" s="1">
        <v>66</v>
      </c>
      <c r="B66" s="7" t="str">
        <f t="shared" ref="B66:B129" si="3">MID(ADDRESS(1,ROW(A66)+2,4),1,LEN(ADDRESS(1,ROW(A66)+2,4))-1)</f>
        <v>BP</v>
      </c>
    </row>
    <row r="67" spans="1:2" x14ac:dyDescent="0.3">
      <c r="A67" s="1">
        <v>67</v>
      </c>
      <c r="B67" s="7" t="str">
        <f t="shared" si="3"/>
        <v>BQ</v>
      </c>
    </row>
    <row r="68" spans="1:2" x14ac:dyDescent="0.3">
      <c r="A68" s="1">
        <v>68</v>
      </c>
      <c r="B68" s="7" t="str">
        <f t="shared" si="3"/>
        <v>BR</v>
      </c>
    </row>
    <row r="69" spans="1:2" x14ac:dyDescent="0.3">
      <c r="A69" s="1">
        <v>69</v>
      </c>
      <c r="B69" s="7" t="str">
        <f t="shared" si="3"/>
        <v>BS</v>
      </c>
    </row>
    <row r="70" spans="1:2" x14ac:dyDescent="0.3">
      <c r="A70" s="1">
        <v>70</v>
      </c>
      <c r="B70" s="7" t="str">
        <f t="shared" si="3"/>
        <v>BT</v>
      </c>
    </row>
    <row r="71" spans="1:2" x14ac:dyDescent="0.3">
      <c r="A71" s="1">
        <v>71</v>
      </c>
      <c r="B71" s="7" t="str">
        <f t="shared" si="3"/>
        <v>BU</v>
      </c>
    </row>
    <row r="72" spans="1:2" x14ac:dyDescent="0.3">
      <c r="A72" s="1">
        <v>72</v>
      </c>
      <c r="B72" s="7" t="str">
        <f t="shared" si="3"/>
        <v>BV</v>
      </c>
    </row>
    <row r="73" spans="1:2" x14ac:dyDescent="0.3">
      <c r="A73" s="1">
        <v>73</v>
      </c>
      <c r="B73" s="7" t="str">
        <f t="shared" si="3"/>
        <v>BW</v>
      </c>
    </row>
    <row r="74" spans="1:2" x14ac:dyDescent="0.3">
      <c r="A74" s="1">
        <v>74</v>
      </c>
      <c r="B74" s="7" t="str">
        <f t="shared" si="3"/>
        <v>BX</v>
      </c>
    </row>
    <row r="75" spans="1:2" x14ac:dyDescent="0.3">
      <c r="A75" s="1">
        <v>75</v>
      </c>
      <c r="B75" s="7" t="str">
        <f t="shared" si="3"/>
        <v>BY</v>
      </c>
    </row>
    <row r="76" spans="1:2" x14ac:dyDescent="0.3">
      <c r="A76" s="1">
        <v>76</v>
      </c>
      <c r="B76" s="7" t="str">
        <f t="shared" si="3"/>
        <v>BZ</v>
      </c>
    </row>
    <row r="77" spans="1:2" x14ac:dyDescent="0.3">
      <c r="A77" s="1">
        <v>77</v>
      </c>
      <c r="B77" s="7" t="str">
        <f t="shared" si="3"/>
        <v>CA</v>
      </c>
    </row>
    <row r="78" spans="1:2" x14ac:dyDescent="0.3">
      <c r="A78" s="1">
        <v>78</v>
      </c>
      <c r="B78" s="7" t="str">
        <f t="shared" si="3"/>
        <v>CB</v>
      </c>
    </row>
    <row r="79" spans="1:2" x14ac:dyDescent="0.3">
      <c r="A79" s="1">
        <v>79</v>
      </c>
      <c r="B79" s="7" t="str">
        <f t="shared" si="3"/>
        <v>CC</v>
      </c>
    </row>
    <row r="80" spans="1:2" x14ac:dyDescent="0.3">
      <c r="A80" s="1">
        <v>80</v>
      </c>
      <c r="B80" s="7" t="str">
        <f t="shared" si="3"/>
        <v>CD</v>
      </c>
    </row>
    <row r="81" spans="1:2" x14ac:dyDescent="0.3">
      <c r="A81" s="1">
        <v>81</v>
      </c>
      <c r="B81" s="7" t="str">
        <f t="shared" si="3"/>
        <v>CE</v>
      </c>
    </row>
    <row r="82" spans="1:2" x14ac:dyDescent="0.3">
      <c r="A82" s="1">
        <v>82</v>
      </c>
      <c r="B82" s="7" t="str">
        <f t="shared" si="3"/>
        <v>CF</v>
      </c>
    </row>
    <row r="83" spans="1:2" x14ac:dyDescent="0.3">
      <c r="A83" s="1">
        <v>83</v>
      </c>
      <c r="B83" s="7" t="str">
        <f t="shared" si="3"/>
        <v>CG</v>
      </c>
    </row>
    <row r="84" spans="1:2" x14ac:dyDescent="0.3">
      <c r="A84" s="1">
        <v>84</v>
      </c>
      <c r="B84" s="7" t="str">
        <f t="shared" si="3"/>
        <v>CH</v>
      </c>
    </row>
    <row r="85" spans="1:2" x14ac:dyDescent="0.3">
      <c r="A85" s="1">
        <v>85</v>
      </c>
      <c r="B85" s="7" t="str">
        <f t="shared" si="3"/>
        <v>CI</v>
      </c>
    </row>
    <row r="86" spans="1:2" x14ac:dyDescent="0.3">
      <c r="A86" s="1">
        <v>86</v>
      </c>
      <c r="B86" s="7" t="str">
        <f t="shared" si="3"/>
        <v>CJ</v>
      </c>
    </row>
    <row r="87" spans="1:2" x14ac:dyDescent="0.3">
      <c r="A87" s="1">
        <v>87</v>
      </c>
      <c r="B87" s="7" t="str">
        <f t="shared" si="3"/>
        <v>CK</v>
      </c>
    </row>
    <row r="88" spans="1:2" x14ac:dyDescent="0.3">
      <c r="A88" s="1">
        <v>88</v>
      </c>
      <c r="B88" s="7" t="str">
        <f t="shared" si="3"/>
        <v>CL</v>
      </c>
    </row>
    <row r="89" spans="1:2" x14ac:dyDescent="0.3">
      <c r="A89" s="1">
        <v>89</v>
      </c>
      <c r="B89" s="7" t="str">
        <f t="shared" si="3"/>
        <v>CM</v>
      </c>
    </row>
    <row r="90" spans="1:2" x14ac:dyDescent="0.3">
      <c r="A90" s="1">
        <v>90</v>
      </c>
      <c r="B90" s="7" t="str">
        <f t="shared" si="3"/>
        <v>CN</v>
      </c>
    </row>
    <row r="91" spans="1:2" x14ac:dyDescent="0.3">
      <c r="A91" s="1">
        <v>91</v>
      </c>
      <c r="B91" s="7" t="str">
        <f t="shared" si="3"/>
        <v>CO</v>
      </c>
    </row>
    <row r="92" spans="1:2" x14ac:dyDescent="0.3">
      <c r="A92" s="1">
        <v>92</v>
      </c>
      <c r="B92" s="7" t="str">
        <f t="shared" si="3"/>
        <v>CP</v>
      </c>
    </row>
    <row r="93" spans="1:2" x14ac:dyDescent="0.3">
      <c r="A93" s="1">
        <v>93</v>
      </c>
      <c r="B93" s="7" t="str">
        <f t="shared" si="3"/>
        <v>CQ</v>
      </c>
    </row>
    <row r="94" spans="1:2" x14ac:dyDescent="0.3">
      <c r="A94" s="1">
        <v>94</v>
      </c>
      <c r="B94" s="7" t="str">
        <f t="shared" si="3"/>
        <v>CR</v>
      </c>
    </row>
    <row r="95" spans="1:2" x14ac:dyDescent="0.3">
      <c r="A95" s="1">
        <v>95</v>
      </c>
      <c r="B95" s="7" t="str">
        <f t="shared" si="3"/>
        <v>CS</v>
      </c>
    </row>
    <row r="96" spans="1:2" x14ac:dyDescent="0.3">
      <c r="A96" s="1">
        <v>96</v>
      </c>
      <c r="B96" s="7" t="str">
        <f t="shared" si="3"/>
        <v>CT</v>
      </c>
    </row>
    <row r="97" spans="1:2" x14ac:dyDescent="0.3">
      <c r="A97" s="1">
        <v>97</v>
      </c>
      <c r="B97" s="7" t="str">
        <f t="shared" si="3"/>
        <v>CU</v>
      </c>
    </row>
    <row r="98" spans="1:2" x14ac:dyDescent="0.3">
      <c r="A98" s="1">
        <v>98</v>
      </c>
      <c r="B98" s="7" t="str">
        <f t="shared" si="3"/>
        <v>CV</v>
      </c>
    </row>
    <row r="99" spans="1:2" x14ac:dyDescent="0.3">
      <c r="A99" s="1">
        <v>99</v>
      </c>
      <c r="B99" s="7" t="str">
        <f t="shared" si="3"/>
        <v>CW</v>
      </c>
    </row>
    <row r="100" spans="1:2" x14ac:dyDescent="0.3">
      <c r="A100" s="1">
        <v>100</v>
      </c>
      <c r="B100" s="7" t="str">
        <f t="shared" si="3"/>
        <v>CX</v>
      </c>
    </row>
    <row r="101" spans="1:2" x14ac:dyDescent="0.3">
      <c r="A101" s="1">
        <v>101</v>
      </c>
      <c r="B101" s="7" t="str">
        <f t="shared" si="3"/>
        <v>CY</v>
      </c>
    </row>
    <row r="102" spans="1:2" x14ac:dyDescent="0.3">
      <c r="A102" s="1">
        <v>102</v>
      </c>
      <c r="B102" s="7" t="str">
        <f t="shared" si="3"/>
        <v>CZ</v>
      </c>
    </row>
    <row r="103" spans="1:2" x14ac:dyDescent="0.3">
      <c r="A103" s="1">
        <v>103</v>
      </c>
      <c r="B103" s="7" t="str">
        <f t="shared" si="3"/>
        <v>DA</v>
      </c>
    </row>
    <row r="104" spans="1:2" x14ac:dyDescent="0.3">
      <c r="A104" s="1">
        <v>104</v>
      </c>
      <c r="B104" s="7" t="str">
        <f t="shared" si="3"/>
        <v>DB</v>
      </c>
    </row>
    <row r="105" spans="1:2" x14ac:dyDescent="0.3">
      <c r="A105" s="1">
        <v>105</v>
      </c>
      <c r="B105" s="7" t="str">
        <f t="shared" si="3"/>
        <v>DC</v>
      </c>
    </row>
    <row r="106" spans="1:2" x14ac:dyDescent="0.3">
      <c r="A106" s="1">
        <v>106</v>
      </c>
      <c r="B106" s="7" t="str">
        <f t="shared" si="3"/>
        <v>DD</v>
      </c>
    </row>
    <row r="107" spans="1:2" x14ac:dyDescent="0.3">
      <c r="A107" s="1">
        <v>107</v>
      </c>
      <c r="B107" s="7" t="str">
        <f t="shared" si="3"/>
        <v>DE</v>
      </c>
    </row>
    <row r="108" spans="1:2" x14ac:dyDescent="0.3">
      <c r="A108" s="1">
        <v>108</v>
      </c>
      <c r="B108" s="7" t="str">
        <f t="shared" si="3"/>
        <v>DF</v>
      </c>
    </row>
    <row r="109" spans="1:2" x14ac:dyDescent="0.3">
      <c r="A109" s="1">
        <v>109</v>
      </c>
      <c r="B109" s="7" t="str">
        <f t="shared" si="3"/>
        <v>DG</v>
      </c>
    </row>
    <row r="110" spans="1:2" x14ac:dyDescent="0.3">
      <c r="A110" s="1">
        <v>110</v>
      </c>
      <c r="B110" s="7" t="str">
        <f t="shared" si="3"/>
        <v>DH</v>
      </c>
    </row>
    <row r="111" spans="1:2" x14ac:dyDescent="0.3">
      <c r="A111" s="1">
        <v>111</v>
      </c>
      <c r="B111" s="7" t="str">
        <f t="shared" si="3"/>
        <v>DI</v>
      </c>
    </row>
    <row r="112" spans="1:2" x14ac:dyDescent="0.3">
      <c r="A112" s="1">
        <v>112</v>
      </c>
      <c r="B112" s="7" t="str">
        <f t="shared" si="3"/>
        <v>DJ</v>
      </c>
    </row>
    <row r="113" spans="1:2" x14ac:dyDescent="0.3">
      <c r="A113" s="1">
        <v>113</v>
      </c>
      <c r="B113" s="7" t="str">
        <f t="shared" si="3"/>
        <v>DK</v>
      </c>
    </row>
    <row r="114" spans="1:2" x14ac:dyDescent="0.3">
      <c r="A114" s="1">
        <v>114</v>
      </c>
      <c r="B114" s="7" t="str">
        <f t="shared" si="3"/>
        <v>DL</v>
      </c>
    </row>
    <row r="115" spans="1:2" x14ac:dyDescent="0.3">
      <c r="A115" s="1">
        <v>115</v>
      </c>
      <c r="B115" s="7" t="str">
        <f t="shared" si="3"/>
        <v>DM</v>
      </c>
    </row>
    <row r="116" spans="1:2" x14ac:dyDescent="0.3">
      <c r="A116" s="1">
        <v>116</v>
      </c>
      <c r="B116" s="7" t="str">
        <f t="shared" si="3"/>
        <v>DN</v>
      </c>
    </row>
    <row r="117" spans="1:2" x14ac:dyDescent="0.3">
      <c r="A117" s="1">
        <v>117</v>
      </c>
      <c r="B117" s="7" t="str">
        <f t="shared" si="3"/>
        <v>DO</v>
      </c>
    </row>
    <row r="118" spans="1:2" x14ac:dyDescent="0.3">
      <c r="A118" s="1">
        <v>118</v>
      </c>
      <c r="B118" s="7" t="str">
        <f t="shared" si="3"/>
        <v>DP</v>
      </c>
    </row>
    <row r="119" spans="1:2" x14ac:dyDescent="0.3">
      <c r="A119" s="1">
        <v>119</v>
      </c>
      <c r="B119" s="7" t="str">
        <f t="shared" si="3"/>
        <v>DQ</v>
      </c>
    </row>
    <row r="120" spans="1:2" x14ac:dyDescent="0.3">
      <c r="A120" s="1">
        <v>120</v>
      </c>
      <c r="B120" s="7" t="str">
        <f t="shared" si="3"/>
        <v>DR</v>
      </c>
    </row>
    <row r="121" spans="1:2" x14ac:dyDescent="0.3">
      <c r="A121" s="1">
        <v>121</v>
      </c>
      <c r="B121" s="7" t="str">
        <f t="shared" si="3"/>
        <v>DS</v>
      </c>
    </row>
    <row r="122" spans="1:2" x14ac:dyDescent="0.3">
      <c r="A122" s="1">
        <v>122</v>
      </c>
      <c r="B122" s="7" t="str">
        <f t="shared" si="3"/>
        <v>DT</v>
      </c>
    </row>
    <row r="123" spans="1:2" x14ac:dyDescent="0.3">
      <c r="A123" s="1">
        <v>123</v>
      </c>
      <c r="B123" s="7" t="str">
        <f t="shared" si="3"/>
        <v>DU</v>
      </c>
    </row>
    <row r="124" spans="1:2" x14ac:dyDescent="0.3">
      <c r="A124" s="1">
        <v>124</v>
      </c>
      <c r="B124" s="7" t="str">
        <f t="shared" si="3"/>
        <v>DV</v>
      </c>
    </row>
    <row r="125" spans="1:2" x14ac:dyDescent="0.3">
      <c r="A125" s="1">
        <v>125</v>
      </c>
      <c r="B125" s="7" t="str">
        <f t="shared" si="3"/>
        <v>DW</v>
      </c>
    </row>
    <row r="126" spans="1:2" x14ac:dyDescent="0.3">
      <c r="A126" s="1">
        <v>126</v>
      </c>
      <c r="B126" s="7" t="str">
        <f t="shared" si="3"/>
        <v>DX</v>
      </c>
    </row>
    <row r="127" spans="1:2" x14ac:dyDescent="0.3">
      <c r="A127" s="1">
        <v>127</v>
      </c>
      <c r="B127" s="7" t="str">
        <f t="shared" si="3"/>
        <v>DY</v>
      </c>
    </row>
    <row r="128" spans="1:2" x14ac:dyDescent="0.3">
      <c r="A128" s="1">
        <v>128</v>
      </c>
      <c r="B128" s="7" t="str">
        <f t="shared" si="3"/>
        <v>DZ</v>
      </c>
    </row>
    <row r="129" spans="1:2" x14ac:dyDescent="0.3">
      <c r="A129" s="1">
        <v>129</v>
      </c>
      <c r="B129" s="7" t="str">
        <f t="shared" si="3"/>
        <v>EA</v>
      </c>
    </row>
    <row r="130" spans="1:2" x14ac:dyDescent="0.3">
      <c r="A130" s="1">
        <v>130</v>
      </c>
      <c r="B130" s="7" t="str">
        <f t="shared" ref="B130:B193" si="4">MID(ADDRESS(1,ROW(A130)+2,4),1,LEN(ADDRESS(1,ROW(A130)+2,4))-1)</f>
        <v>EB</v>
      </c>
    </row>
    <row r="131" spans="1:2" x14ac:dyDescent="0.3">
      <c r="A131" s="1">
        <v>131</v>
      </c>
      <c r="B131" s="7" t="str">
        <f t="shared" si="4"/>
        <v>EC</v>
      </c>
    </row>
    <row r="132" spans="1:2" x14ac:dyDescent="0.3">
      <c r="A132" s="1">
        <v>132</v>
      </c>
      <c r="B132" s="7" t="str">
        <f t="shared" si="4"/>
        <v>ED</v>
      </c>
    </row>
    <row r="133" spans="1:2" x14ac:dyDescent="0.3">
      <c r="A133" s="1">
        <v>133</v>
      </c>
      <c r="B133" s="7" t="str">
        <f t="shared" si="4"/>
        <v>EE</v>
      </c>
    </row>
    <row r="134" spans="1:2" x14ac:dyDescent="0.3">
      <c r="A134" s="1">
        <v>134</v>
      </c>
      <c r="B134" s="7" t="str">
        <f t="shared" si="4"/>
        <v>EF</v>
      </c>
    </row>
    <row r="135" spans="1:2" x14ac:dyDescent="0.3">
      <c r="A135" s="1">
        <v>135</v>
      </c>
      <c r="B135" s="7" t="str">
        <f t="shared" si="4"/>
        <v>EG</v>
      </c>
    </row>
    <row r="136" spans="1:2" x14ac:dyDescent="0.3">
      <c r="A136" s="1">
        <v>136</v>
      </c>
      <c r="B136" s="7" t="str">
        <f t="shared" si="4"/>
        <v>EH</v>
      </c>
    </row>
    <row r="137" spans="1:2" x14ac:dyDescent="0.3">
      <c r="A137" s="1">
        <v>137</v>
      </c>
      <c r="B137" s="7" t="str">
        <f t="shared" si="4"/>
        <v>EI</v>
      </c>
    </row>
    <row r="138" spans="1:2" x14ac:dyDescent="0.3">
      <c r="A138" s="1">
        <v>138</v>
      </c>
      <c r="B138" s="7" t="str">
        <f t="shared" si="4"/>
        <v>EJ</v>
      </c>
    </row>
    <row r="139" spans="1:2" x14ac:dyDescent="0.3">
      <c r="A139" s="1">
        <v>139</v>
      </c>
      <c r="B139" s="7" t="str">
        <f t="shared" si="4"/>
        <v>EK</v>
      </c>
    </row>
    <row r="140" spans="1:2" x14ac:dyDescent="0.3">
      <c r="A140" s="1">
        <v>140</v>
      </c>
      <c r="B140" s="7" t="str">
        <f t="shared" si="4"/>
        <v>EL</v>
      </c>
    </row>
    <row r="141" spans="1:2" x14ac:dyDescent="0.3">
      <c r="A141" s="1">
        <v>141</v>
      </c>
      <c r="B141" s="7" t="str">
        <f t="shared" si="4"/>
        <v>EM</v>
      </c>
    </row>
    <row r="142" spans="1:2" x14ac:dyDescent="0.3">
      <c r="A142" s="1">
        <v>142</v>
      </c>
      <c r="B142" s="7" t="str">
        <f t="shared" si="4"/>
        <v>EN</v>
      </c>
    </row>
    <row r="143" spans="1:2" x14ac:dyDescent="0.3">
      <c r="A143" s="1">
        <v>143</v>
      </c>
      <c r="B143" s="7" t="str">
        <f t="shared" si="4"/>
        <v>EO</v>
      </c>
    </row>
    <row r="144" spans="1:2" x14ac:dyDescent="0.3">
      <c r="A144" s="1">
        <v>144</v>
      </c>
      <c r="B144" s="7" t="str">
        <f t="shared" si="4"/>
        <v>EP</v>
      </c>
    </row>
    <row r="145" spans="1:2" x14ac:dyDescent="0.3">
      <c r="A145" s="1">
        <v>145</v>
      </c>
      <c r="B145" s="7" t="str">
        <f t="shared" si="4"/>
        <v>EQ</v>
      </c>
    </row>
    <row r="146" spans="1:2" x14ac:dyDescent="0.3">
      <c r="A146" s="1">
        <v>146</v>
      </c>
      <c r="B146" s="7" t="str">
        <f t="shared" si="4"/>
        <v>ER</v>
      </c>
    </row>
    <row r="147" spans="1:2" x14ac:dyDescent="0.3">
      <c r="A147" s="1">
        <v>147</v>
      </c>
      <c r="B147" s="7" t="str">
        <f t="shared" si="4"/>
        <v>ES</v>
      </c>
    </row>
    <row r="148" spans="1:2" x14ac:dyDescent="0.3">
      <c r="A148" s="1">
        <v>148</v>
      </c>
      <c r="B148" s="7" t="str">
        <f t="shared" si="4"/>
        <v>ET</v>
      </c>
    </row>
    <row r="149" spans="1:2" x14ac:dyDescent="0.3">
      <c r="A149" s="1">
        <v>149</v>
      </c>
      <c r="B149" s="7" t="str">
        <f t="shared" si="4"/>
        <v>EU</v>
      </c>
    </row>
    <row r="150" spans="1:2" x14ac:dyDescent="0.3">
      <c r="A150" s="1">
        <v>150</v>
      </c>
      <c r="B150" s="7" t="str">
        <f t="shared" si="4"/>
        <v>EV</v>
      </c>
    </row>
    <row r="151" spans="1:2" x14ac:dyDescent="0.3">
      <c r="A151" s="1">
        <v>151</v>
      </c>
      <c r="B151" s="7" t="str">
        <f t="shared" si="4"/>
        <v>EW</v>
      </c>
    </row>
    <row r="152" spans="1:2" x14ac:dyDescent="0.3">
      <c r="A152" s="1">
        <v>152</v>
      </c>
      <c r="B152" s="7" t="str">
        <f t="shared" si="4"/>
        <v>EX</v>
      </c>
    </row>
    <row r="153" spans="1:2" x14ac:dyDescent="0.3">
      <c r="A153" s="1">
        <v>153</v>
      </c>
      <c r="B153" s="7" t="str">
        <f t="shared" si="4"/>
        <v>EY</v>
      </c>
    </row>
    <row r="154" spans="1:2" x14ac:dyDescent="0.3">
      <c r="A154" s="1">
        <v>154</v>
      </c>
      <c r="B154" s="7" t="str">
        <f t="shared" si="4"/>
        <v>EZ</v>
      </c>
    </row>
    <row r="155" spans="1:2" x14ac:dyDescent="0.3">
      <c r="A155" s="1">
        <v>155</v>
      </c>
      <c r="B155" s="7" t="str">
        <f t="shared" si="4"/>
        <v>FA</v>
      </c>
    </row>
    <row r="156" spans="1:2" x14ac:dyDescent="0.3">
      <c r="A156" s="1">
        <v>156</v>
      </c>
      <c r="B156" s="7" t="str">
        <f t="shared" si="4"/>
        <v>FB</v>
      </c>
    </row>
    <row r="157" spans="1:2" x14ac:dyDescent="0.3">
      <c r="A157" s="1">
        <v>157</v>
      </c>
      <c r="B157" s="7" t="str">
        <f t="shared" si="4"/>
        <v>FC</v>
      </c>
    </row>
    <row r="158" spans="1:2" x14ac:dyDescent="0.3">
      <c r="A158" s="1">
        <v>158</v>
      </c>
      <c r="B158" s="7" t="str">
        <f t="shared" si="4"/>
        <v>FD</v>
      </c>
    </row>
    <row r="159" spans="1:2" x14ac:dyDescent="0.3">
      <c r="A159" s="1">
        <v>159</v>
      </c>
      <c r="B159" s="7" t="str">
        <f t="shared" si="4"/>
        <v>FE</v>
      </c>
    </row>
    <row r="160" spans="1:2" x14ac:dyDescent="0.3">
      <c r="A160" s="1">
        <v>160</v>
      </c>
      <c r="B160" s="7" t="str">
        <f t="shared" si="4"/>
        <v>FF</v>
      </c>
    </row>
    <row r="161" spans="1:2" x14ac:dyDescent="0.3">
      <c r="A161" s="1">
        <v>161</v>
      </c>
      <c r="B161" s="7" t="str">
        <f t="shared" si="4"/>
        <v>FG</v>
      </c>
    </row>
    <row r="162" spans="1:2" x14ac:dyDescent="0.3">
      <c r="A162" s="1">
        <v>162</v>
      </c>
      <c r="B162" s="7" t="str">
        <f t="shared" si="4"/>
        <v>FH</v>
      </c>
    </row>
    <row r="163" spans="1:2" x14ac:dyDescent="0.3">
      <c r="A163" s="1">
        <v>163</v>
      </c>
      <c r="B163" s="7" t="str">
        <f t="shared" si="4"/>
        <v>FI</v>
      </c>
    </row>
    <row r="164" spans="1:2" x14ac:dyDescent="0.3">
      <c r="A164" s="1">
        <v>164</v>
      </c>
      <c r="B164" s="7" t="str">
        <f t="shared" si="4"/>
        <v>FJ</v>
      </c>
    </row>
    <row r="165" spans="1:2" x14ac:dyDescent="0.3">
      <c r="A165" s="1">
        <v>165</v>
      </c>
      <c r="B165" s="7" t="str">
        <f t="shared" si="4"/>
        <v>FK</v>
      </c>
    </row>
    <row r="166" spans="1:2" x14ac:dyDescent="0.3">
      <c r="A166" s="1">
        <v>166</v>
      </c>
      <c r="B166" s="7" t="str">
        <f t="shared" si="4"/>
        <v>FL</v>
      </c>
    </row>
    <row r="167" spans="1:2" x14ac:dyDescent="0.3">
      <c r="A167" s="1">
        <v>167</v>
      </c>
      <c r="B167" s="7" t="str">
        <f t="shared" si="4"/>
        <v>FM</v>
      </c>
    </row>
    <row r="168" spans="1:2" x14ac:dyDescent="0.3">
      <c r="A168" s="1">
        <v>168</v>
      </c>
      <c r="B168" s="7" t="str">
        <f t="shared" si="4"/>
        <v>FN</v>
      </c>
    </row>
    <row r="169" spans="1:2" x14ac:dyDescent="0.3">
      <c r="A169" s="1">
        <v>169</v>
      </c>
      <c r="B169" s="7" t="str">
        <f t="shared" si="4"/>
        <v>FO</v>
      </c>
    </row>
    <row r="170" spans="1:2" x14ac:dyDescent="0.3">
      <c r="A170" s="1">
        <v>170</v>
      </c>
      <c r="B170" s="7" t="str">
        <f t="shared" si="4"/>
        <v>FP</v>
      </c>
    </row>
    <row r="171" spans="1:2" x14ac:dyDescent="0.3">
      <c r="A171" s="1">
        <v>171</v>
      </c>
      <c r="B171" s="7" t="str">
        <f t="shared" si="4"/>
        <v>FQ</v>
      </c>
    </row>
    <row r="172" spans="1:2" x14ac:dyDescent="0.3">
      <c r="A172" s="1">
        <v>172</v>
      </c>
      <c r="B172" s="7" t="str">
        <f t="shared" si="4"/>
        <v>FR</v>
      </c>
    </row>
    <row r="173" spans="1:2" x14ac:dyDescent="0.3">
      <c r="A173" s="1">
        <v>173</v>
      </c>
      <c r="B173" s="7" t="str">
        <f t="shared" si="4"/>
        <v>FS</v>
      </c>
    </row>
    <row r="174" spans="1:2" x14ac:dyDescent="0.3">
      <c r="A174" s="1">
        <v>174</v>
      </c>
      <c r="B174" s="7" t="str">
        <f t="shared" si="4"/>
        <v>FT</v>
      </c>
    </row>
    <row r="175" spans="1:2" x14ac:dyDescent="0.3">
      <c r="A175" s="1">
        <v>175</v>
      </c>
      <c r="B175" s="7" t="str">
        <f t="shared" si="4"/>
        <v>FU</v>
      </c>
    </row>
    <row r="176" spans="1:2" x14ac:dyDescent="0.3">
      <c r="A176" s="1">
        <v>176</v>
      </c>
      <c r="B176" s="7" t="str">
        <f t="shared" si="4"/>
        <v>FV</v>
      </c>
    </row>
    <row r="177" spans="1:2" x14ac:dyDescent="0.3">
      <c r="A177" s="1">
        <v>177</v>
      </c>
      <c r="B177" s="7" t="str">
        <f t="shared" si="4"/>
        <v>FW</v>
      </c>
    </row>
    <row r="178" spans="1:2" x14ac:dyDescent="0.3">
      <c r="A178" s="1">
        <v>178</v>
      </c>
      <c r="B178" s="7" t="str">
        <f t="shared" si="4"/>
        <v>FX</v>
      </c>
    </row>
    <row r="179" spans="1:2" x14ac:dyDescent="0.3">
      <c r="A179" s="1">
        <v>179</v>
      </c>
      <c r="B179" s="7" t="str">
        <f t="shared" si="4"/>
        <v>FY</v>
      </c>
    </row>
    <row r="180" spans="1:2" x14ac:dyDescent="0.3">
      <c r="A180" s="1">
        <v>180</v>
      </c>
      <c r="B180" s="7" t="str">
        <f t="shared" si="4"/>
        <v>FZ</v>
      </c>
    </row>
    <row r="181" spans="1:2" x14ac:dyDescent="0.3">
      <c r="A181" s="1">
        <v>181</v>
      </c>
      <c r="B181" s="7" t="str">
        <f t="shared" si="4"/>
        <v>GA</v>
      </c>
    </row>
    <row r="182" spans="1:2" x14ac:dyDescent="0.3">
      <c r="A182" s="1">
        <v>182</v>
      </c>
      <c r="B182" s="7" t="str">
        <f t="shared" si="4"/>
        <v>GB</v>
      </c>
    </row>
    <row r="183" spans="1:2" x14ac:dyDescent="0.3">
      <c r="A183" s="1">
        <v>183</v>
      </c>
      <c r="B183" s="7" t="str">
        <f t="shared" si="4"/>
        <v>GC</v>
      </c>
    </row>
    <row r="184" spans="1:2" x14ac:dyDescent="0.3">
      <c r="A184" s="1">
        <v>184</v>
      </c>
      <c r="B184" s="7" t="str">
        <f t="shared" si="4"/>
        <v>GD</v>
      </c>
    </row>
    <row r="185" spans="1:2" x14ac:dyDescent="0.3">
      <c r="A185" s="1">
        <v>185</v>
      </c>
      <c r="B185" s="7" t="str">
        <f t="shared" si="4"/>
        <v>GE</v>
      </c>
    </row>
    <row r="186" spans="1:2" x14ac:dyDescent="0.3">
      <c r="A186" s="1">
        <v>186</v>
      </c>
      <c r="B186" s="7" t="str">
        <f t="shared" si="4"/>
        <v>GF</v>
      </c>
    </row>
    <row r="187" spans="1:2" x14ac:dyDescent="0.3">
      <c r="A187" s="1">
        <v>187</v>
      </c>
      <c r="B187" s="7" t="str">
        <f t="shared" si="4"/>
        <v>GG</v>
      </c>
    </row>
    <row r="188" spans="1:2" x14ac:dyDescent="0.3">
      <c r="A188" s="1">
        <v>188</v>
      </c>
      <c r="B188" s="7" t="str">
        <f t="shared" si="4"/>
        <v>GH</v>
      </c>
    </row>
    <row r="189" spans="1:2" x14ac:dyDescent="0.3">
      <c r="A189" s="1">
        <v>189</v>
      </c>
      <c r="B189" s="7" t="str">
        <f t="shared" si="4"/>
        <v>GI</v>
      </c>
    </row>
    <row r="190" spans="1:2" x14ac:dyDescent="0.3">
      <c r="A190" s="1">
        <v>190</v>
      </c>
      <c r="B190" s="7" t="str">
        <f t="shared" si="4"/>
        <v>GJ</v>
      </c>
    </row>
    <row r="191" spans="1:2" x14ac:dyDescent="0.3">
      <c r="A191" s="1">
        <v>191</v>
      </c>
      <c r="B191" s="7" t="str">
        <f t="shared" si="4"/>
        <v>GK</v>
      </c>
    </row>
    <row r="192" spans="1:2" x14ac:dyDescent="0.3">
      <c r="A192" s="1">
        <v>192</v>
      </c>
      <c r="B192" s="7" t="str">
        <f t="shared" si="4"/>
        <v>GL</v>
      </c>
    </row>
    <row r="193" spans="1:2" x14ac:dyDescent="0.3">
      <c r="A193" s="1">
        <v>193</v>
      </c>
      <c r="B193" s="7" t="str">
        <f t="shared" si="4"/>
        <v>GM</v>
      </c>
    </row>
    <row r="194" spans="1:2" x14ac:dyDescent="0.3">
      <c r="A194" s="1">
        <v>194</v>
      </c>
      <c r="B194" s="7" t="str">
        <f t="shared" ref="B194:B200" si="5">MID(ADDRESS(1,ROW(A194)+2,4),1,LEN(ADDRESS(1,ROW(A194)+2,4))-1)</f>
        <v>GN</v>
      </c>
    </row>
    <row r="195" spans="1:2" x14ac:dyDescent="0.3">
      <c r="A195" s="1">
        <v>195</v>
      </c>
      <c r="B195" s="7" t="str">
        <f t="shared" si="5"/>
        <v>GO</v>
      </c>
    </row>
    <row r="196" spans="1:2" x14ac:dyDescent="0.3">
      <c r="A196" s="1">
        <v>196</v>
      </c>
      <c r="B196" s="7" t="str">
        <f t="shared" si="5"/>
        <v>GP</v>
      </c>
    </row>
    <row r="197" spans="1:2" x14ac:dyDescent="0.3">
      <c r="A197" s="1">
        <v>197</v>
      </c>
      <c r="B197" s="7" t="str">
        <f t="shared" si="5"/>
        <v>GQ</v>
      </c>
    </row>
    <row r="198" spans="1:2" x14ac:dyDescent="0.3">
      <c r="A198" s="1">
        <v>198</v>
      </c>
      <c r="B198" s="7" t="str">
        <f t="shared" si="5"/>
        <v>GR</v>
      </c>
    </row>
    <row r="199" spans="1:2" x14ac:dyDescent="0.3">
      <c r="A199" s="1">
        <v>199</v>
      </c>
      <c r="B199" s="7" t="str">
        <f t="shared" si="5"/>
        <v>GS</v>
      </c>
    </row>
    <row r="200" spans="1:2" x14ac:dyDescent="0.3">
      <c r="A200" s="1">
        <v>200</v>
      </c>
      <c r="B200" s="7" t="str">
        <f t="shared" si="5"/>
        <v>GT</v>
      </c>
    </row>
  </sheetData>
  <mergeCells count="3">
    <mergeCell ref="D1:H1"/>
    <mergeCell ref="J1:K1"/>
    <mergeCell ref="M1:N1"/>
  </mergeCells>
  <conditionalFormatting sqref="H3:H14">
    <cfRule type="containsText" dxfId="32" priority="10" operator="containsText" text="Z">
      <formula>NOT(ISERROR(SEARCH("Z",H3)))</formula>
    </cfRule>
    <cfRule type="containsText" dxfId="31" priority="11" operator="containsText" text="Y">
      <formula>NOT(ISERROR(SEARCH("Y",H3)))</formula>
    </cfRule>
    <cfRule type="containsText" dxfId="30" priority="12" operator="containsText" text="X">
      <formula>NOT(ISERROR(SEARCH("X",H3)))</formula>
    </cfRule>
  </conditionalFormatting>
  <conditionalFormatting sqref="P2:Q13">
    <cfRule type="containsText" dxfId="29" priority="1" operator="containsText" text="Z">
      <formula>NOT(ISERROR(SEARCH("Z",P2)))</formula>
    </cfRule>
    <cfRule type="containsText" dxfId="28" priority="2" operator="containsText" text="Y">
      <formula>NOT(ISERROR(SEARCH("Y",P2)))</formula>
    </cfRule>
    <cfRule type="containsText" dxfId="27" priority="3" operator="containsText" text="X">
      <formula>NOT(ISERROR(SEARCH("X",P2)))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1">
    <tabColor rgb="FF92D050"/>
  </sheetPr>
  <dimension ref="A1:M19"/>
  <sheetViews>
    <sheetView showGridLines="0" workbookViewId="0">
      <selection activeCell="J4" sqref="J4"/>
    </sheetView>
  </sheetViews>
  <sheetFormatPr defaultRowHeight="14.4" x14ac:dyDescent="0.3"/>
  <cols>
    <col min="1" max="1" width="3" bestFit="1" customWidth="1"/>
    <col min="3" max="3" width="11.109375" customWidth="1"/>
    <col min="6" max="6" width="10.88671875" customWidth="1"/>
    <col min="8" max="8" width="8.44140625" customWidth="1"/>
    <col min="9" max="9" width="12.33203125" bestFit="1" customWidth="1"/>
    <col min="12" max="12" width="6" customWidth="1"/>
    <col min="13" max="13" width="7.44140625" bestFit="1" customWidth="1"/>
  </cols>
  <sheetData>
    <row r="1" spans="1:13" x14ac:dyDescent="0.3">
      <c r="B1" s="5" t="s">
        <v>1</v>
      </c>
    </row>
    <row r="2" spans="1:13" ht="15" thickBot="1" x14ac:dyDescent="0.35">
      <c r="B2" s="5" t="s">
        <v>0</v>
      </c>
      <c r="I2" s="17" t="s">
        <v>12</v>
      </c>
      <c r="J2" s="17">
        <v>5</v>
      </c>
    </row>
    <row r="3" spans="1:13" ht="15" thickBot="1" x14ac:dyDescent="0.35">
      <c r="A3" s="15" t="s">
        <v>8</v>
      </c>
      <c r="B3" s="23" t="s">
        <v>5</v>
      </c>
      <c r="C3" s="23" t="s">
        <v>6</v>
      </c>
      <c r="D3" s="23" t="s">
        <v>7</v>
      </c>
      <c r="E3" s="23" t="s">
        <v>11</v>
      </c>
      <c r="F3" s="23" t="s">
        <v>9</v>
      </c>
      <c r="G3" s="16" t="s">
        <v>10</v>
      </c>
      <c r="I3" s="15" t="s">
        <v>13</v>
      </c>
      <c r="J3" s="16" t="s">
        <v>14</v>
      </c>
      <c r="L3" s="15" t="s">
        <v>15</v>
      </c>
      <c r="M3" s="16" t="s">
        <v>16</v>
      </c>
    </row>
    <row r="4" spans="1:13" x14ac:dyDescent="0.3">
      <c r="A4" s="24">
        <v>1</v>
      </c>
      <c r="B4" s="24">
        <v>5.3</v>
      </c>
      <c r="C4" s="24">
        <v>3.7</v>
      </c>
      <c r="D4" s="14" t="s">
        <v>2</v>
      </c>
      <c r="E4" s="14" t="str">
        <f t="shared" ref="E4:E18" si="0">CONCATENATE(A4,D4)</f>
        <v>1X</v>
      </c>
      <c r="F4" s="21">
        <f>TRUNC(SQRT(($B$19-B4)^2+($C$19-C4)^2)*10)/10</f>
        <v>2.1</v>
      </c>
      <c r="G4" s="22">
        <f t="shared" ref="G4:G18" si="1">_xlfn.RANK.EQ(F4,$F$4:$F$18,1)</f>
        <v>11</v>
      </c>
      <c r="I4" s="14" t="str">
        <f t="shared" ref="I4:I13" si="2">IF(ROW(A1)&lt;=$J$2,CONCATENATE("K",ROW(A1)),"")</f>
        <v>K1</v>
      </c>
      <c r="J4" s="14" t="str">
        <f t="shared" ref="J4:J13" si="3">IF(I4="","",IFERROR(INDEX($D$4:$D$18,MATCH(SMALL($G$4:$G$18,ROW(A1)),$G$4:$G$18,0)),0))</f>
        <v>Y</v>
      </c>
      <c r="L4" s="14">
        <f>COUNTIF($J$4:$J$13,M4)</f>
        <v>0</v>
      </c>
      <c r="M4" s="14" t="s">
        <v>2</v>
      </c>
    </row>
    <row r="5" spans="1:13" x14ac:dyDescent="0.3">
      <c r="A5" s="1">
        <v>2</v>
      </c>
      <c r="B5" s="1">
        <v>5.0999999999999996</v>
      </c>
      <c r="C5" s="1">
        <v>3.8</v>
      </c>
      <c r="D5" s="2" t="s">
        <v>2</v>
      </c>
      <c r="E5" s="2" t="str">
        <f t="shared" si="0"/>
        <v>2X</v>
      </c>
      <c r="F5" s="3">
        <f t="shared" ref="F5:F18" si="4">TRUNC(SQRT(($B$19-B5)^2+($C$19-C5)^2)*10)/10</f>
        <v>2.2999999999999998</v>
      </c>
      <c r="G5" s="4">
        <f t="shared" si="1"/>
        <v>13</v>
      </c>
      <c r="I5" s="2" t="str">
        <f t="shared" si="2"/>
        <v>K2</v>
      </c>
      <c r="J5" s="2" t="str">
        <f t="shared" si="3"/>
        <v>Y</v>
      </c>
      <c r="L5" s="2">
        <f t="shared" ref="L5:L6" si="5">COUNTIF($J$4:$J$13,M5)</f>
        <v>3</v>
      </c>
      <c r="M5" s="2" t="s">
        <v>3</v>
      </c>
    </row>
    <row r="6" spans="1:13" x14ac:dyDescent="0.3">
      <c r="A6" s="1">
        <v>3</v>
      </c>
      <c r="B6" s="1">
        <v>7.2</v>
      </c>
      <c r="C6" s="1">
        <v>3</v>
      </c>
      <c r="D6" s="2" t="s">
        <v>3</v>
      </c>
      <c r="E6" s="2" t="str">
        <f t="shared" si="0"/>
        <v>3Y</v>
      </c>
      <c r="F6" s="3">
        <f t="shared" si="4"/>
        <v>0.6</v>
      </c>
      <c r="G6" s="4">
        <f t="shared" si="1"/>
        <v>1</v>
      </c>
      <c r="I6" s="2" t="str">
        <f t="shared" si="2"/>
        <v>K3</v>
      </c>
      <c r="J6" s="2" t="str">
        <f t="shared" si="3"/>
        <v>Y</v>
      </c>
      <c r="L6" s="2">
        <f t="shared" si="5"/>
        <v>2</v>
      </c>
      <c r="M6" s="2" t="s">
        <v>4</v>
      </c>
    </row>
    <row r="7" spans="1:13" x14ac:dyDescent="0.3">
      <c r="A7" s="1">
        <v>4</v>
      </c>
      <c r="B7" s="1">
        <v>5.4</v>
      </c>
      <c r="C7" s="1">
        <v>3.4</v>
      </c>
      <c r="D7" s="2" t="s">
        <v>2</v>
      </c>
      <c r="E7" s="2" t="str">
        <f t="shared" si="0"/>
        <v>4X</v>
      </c>
      <c r="F7" s="3">
        <f t="shared" si="4"/>
        <v>2</v>
      </c>
      <c r="G7" s="4">
        <f t="shared" si="1"/>
        <v>9</v>
      </c>
      <c r="I7" s="2" t="str">
        <f t="shared" si="2"/>
        <v>K4</v>
      </c>
      <c r="J7" s="2" t="str">
        <f t="shared" si="3"/>
        <v>Z</v>
      </c>
    </row>
    <row r="8" spans="1:13" x14ac:dyDescent="0.3">
      <c r="A8" s="1">
        <v>5</v>
      </c>
      <c r="B8" s="1">
        <v>5.0999999999999996</v>
      </c>
      <c r="C8" s="1">
        <v>3.3</v>
      </c>
      <c r="D8" s="2" t="s">
        <v>2</v>
      </c>
      <c r="E8" s="2" t="str">
        <f t="shared" si="0"/>
        <v>5X</v>
      </c>
      <c r="F8" s="3">
        <f t="shared" si="4"/>
        <v>2.2999999999999998</v>
      </c>
      <c r="G8" s="4">
        <f t="shared" si="1"/>
        <v>13</v>
      </c>
      <c r="I8" s="2" t="str">
        <f t="shared" si="2"/>
        <v>K5</v>
      </c>
      <c r="J8" s="2" t="str">
        <f t="shared" si="3"/>
        <v>Z</v>
      </c>
    </row>
    <row r="9" spans="1:13" x14ac:dyDescent="0.3">
      <c r="A9" s="1">
        <v>6</v>
      </c>
      <c r="B9" s="1">
        <v>5.4</v>
      </c>
      <c r="C9" s="1">
        <v>3.9</v>
      </c>
      <c r="D9" s="2" t="s">
        <v>2</v>
      </c>
      <c r="E9" s="2" t="str">
        <f t="shared" si="0"/>
        <v>6X</v>
      </c>
      <c r="F9" s="3">
        <f t="shared" si="4"/>
        <v>2</v>
      </c>
      <c r="G9" s="4">
        <f t="shared" si="1"/>
        <v>9</v>
      </c>
      <c r="I9" s="2" t="str">
        <f t="shared" si="2"/>
        <v/>
      </c>
      <c r="J9" s="2" t="str">
        <f t="shared" si="3"/>
        <v/>
      </c>
    </row>
    <row r="10" spans="1:13" x14ac:dyDescent="0.3">
      <c r="A10" s="1">
        <v>7</v>
      </c>
      <c r="B10" s="1">
        <v>7.4</v>
      </c>
      <c r="C10" s="1">
        <v>2.8</v>
      </c>
      <c r="D10" s="2" t="s">
        <v>3</v>
      </c>
      <c r="E10" s="2" t="str">
        <f t="shared" si="0"/>
        <v>7Y</v>
      </c>
      <c r="F10" s="3">
        <f t="shared" si="4"/>
        <v>0.8</v>
      </c>
      <c r="G10" s="4">
        <f t="shared" si="1"/>
        <v>3</v>
      </c>
      <c r="I10" s="2" t="str">
        <f t="shared" si="2"/>
        <v/>
      </c>
      <c r="J10" s="2" t="str">
        <f t="shared" si="3"/>
        <v/>
      </c>
    </row>
    <row r="11" spans="1:13" x14ac:dyDescent="0.3">
      <c r="A11" s="1">
        <v>8</v>
      </c>
      <c r="B11" s="1">
        <v>6.1</v>
      </c>
      <c r="C11" s="1">
        <v>2.8</v>
      </c>
      <c r="D11" s="2" t="s">
        <v>4</v>
      </c>
      <c r="E11" s="2" t="str">
        <f t="shared" si="0"/>
        <v>8Z</v>
      </c>
      <c r="F11" s="3">
        <f t="shared" si="4"/>
        <v>1.5</v>
      </c>
      <c r="G11" s="4">
        <f t="shared" si="1"/>
        <v>4</v>
      </c>
      <c r="I11" s="2" t="str">
        <f t="shared" si="2"/>
        <v/>
      </c>
      <c r="J11" s="2" t="str">
        <f t="shared" si="3"/>
        <v/>
      </c>
    </row>
    <row r="12" spans="1:13" x14ac:dyDescent="0.3">
      <c r="A12" s="1">
        <v>9</v>
      </c>
      <c r="B12" s="1">
        <v>7.3</v>
      </c>
      <c r="C12" s="1">
        <v>2.9</v>
      </c>
      <c r="D12" s="2" t="s">
        <v>3</v>
      </c>
      <c r="E12" s="2" t="str">
        <f t="shared" si="0"/>
        <v>9Y</v>
      </c>
      <c r="F12" s="3">
        <f t="shared" si="4"/>
        <v>0.7</v>
      </c>
      <c r="G12" s="4">
        <f t="shared" si="1"/>
        <v>2</v>
      </c>
      <c r="I12" s="2" t="str">
        <f t="shared" si="2"/>
        <v/>
      </c>
      <c r="J12" s="2" t="str">
        <f t="shared" si="3"/>
        <v/>
      </c>
    </row>
    <row r="13" spans="1:13" x14ac:dyDescent="0.3">
      <c r="A13" s="1">
        <v>10</v>
      </c>
      <c r="B13" s="1">
        <v>6</v>
      </c>
      <c r="C13" s="1">
        <v>2.7</v>
      </c>
      <c r="D13" s="2" t="s">
        <v>4</v>
      </c>
      <c r="E13" s="2" t="str">
        <f t="shared" si="0"/>
        <v>10Z</v>
      </c>
      <c r="F13" s="3">
        <f t="shared" si="4"/>
        <v>1.6</v>
      </c>
      <c r="G13" s="4">
        <f t="shared" si="1"/>
        <v>6</v>
      </c>
      <c r="I13" s="2" t="str">
        <f t="shared" si="2"/>
        <v/>
      </c>
      <c r="J13" s="2" t="str">
        <f t="shared" si="3"/>
        <v/>
      </c>
    </row>
    <row r="14" spans="1:13" x14ac:dyDescent="0.3">
      <c r="A14" s="1">
        <v>11</v>
      </c>
      <c r="B14" s="1">
        <v>5.8</v>
      </c>
      <c r="C14" s="1">
        <v>2.8</v>
      </c>
      <c r="D14" s="2" t="s">
        <v>3</v>
      </c>
      <c r="E14" s="2" t="str">
        <f t="shared" si="0"/>
        <v>11Y</v>
      </c>
      <c r="F14" s="3">
        <f t="shared" si="4"/>
        <v>1.7</v>
      </c>
      <c r="G14" s="4">
        <f t="shared" si="1"/>
        <v>7</v>
      </c>
    </row>
    <row r="15" spans="1:13" x14ac:dyDescent="0.3">
      <c r="A15" s="1">
        <v>12</v>
      </c>
      <c r="B15" s="1">
        <v>6.3</v>
      </c>
      <c r="C15" s="1">
        <v>2.2999999999999998</v>
      </c>
      <c r="D15" s="2" t="s">
        <v>4</v>
      </c>
      <c r="E15" s="2" t="str">
        <f t="shared" si="0"/>
        <v>12Z</v>
      </c>
      <c r="F15" s="3">
        <f t="shared" si="4"/>
        <v>1.7</v>
      </c>
      <c r="G15" s="4">
        <f t="shared" si="1"/>
        <v>7</v>
      </c>
    </row>
    <row r="16" spans="1:13" x14ac:dyDescent="0.3">
      <c r="A16" s="1">
        <v>13</v>
      </c>
      <c r="B16" s="1">
        <v>5.0999999999999996</v>
      </c>
      <c r="C16" s="1">
        <v>2.5</v>
      </c>
      <c r="D16" s="2" t="s">
        <v>4</v>
      </c>
      <c r="E16" s="2" t="str">
        <f t="shared" si="0"/>
        <v>13Z</v>
      </c>
      <c r="F16" s="3">
        <f t="shared" si="4"/>
        <v>2.5</v>
      </c>
      <c r="G16" s="4">
        <f t="shared" si="1"/>
        <v>15</v>
      </c>
      <c r="I16" s="41"/>
    </row>
    <row r="17" spans="1:7" x14ac:dyDescent="0.3">
      <c r="A17" s="1">
        <v>14</v>
      </c>
      <c r="B17" s="1">
        <v>6.3</v>
      </c>
      <c r="C17" s="1">
        <v>2.5</v>
      </c>
      <c r="D17" s="2" t="s">
        <v>4</v>
      </c>
      <c r="E17" s="2" t="str">
        <f t="shared" si="0"/>
        <v>14Z</v>
      </c>
      <c r="F17" s="3">
        <f t="shared" si="4"/>
        <v>1.5</v>
      </c>
      <c r="G17" s="4">
        <f t="shared" si="1"/>
        <v>4</v>
      </c>
    </row>
    <row r="18" spans="1:7" x14ac:dyDescent="0.3">
      <c r="A18" s="1">
        <v>15</v>
      </c>
      <c r="B18" s="1">
        <v>5.5</v>
      </c>
      <c r="C18" s="1">
        <v>2.4</v>
      </c>
      <c r="D18" s="2" t="s">
        <v>4</v>
      </c>
      <c r="E18" s="2" t="str">
        <f t="shared" si="0"/>
        <v>15Z</v>
      </c>
      <c r="F18" s="3">
        <f t="shared" si="4"/>
        <v>2.2000000000000002</v>
      </c>
      <c r="G18" s="4">
        <f t="shared" si="1"/>
        <v>12</v>
      </c>
    </row>
    <row r="19" spans="1:7" x14ac:dyDescent="0.3">
      <c r="A19" s="6">
        <v>16</v>
      </c>
      <c r="B19" s="6">
        <v>7.4</v>
      </c>
      <c r="C19" s="6">
        <v>3.6</v>
      </c>
      <c r="D19" s="2" t="str">
        <f>IFERROR(INDEX(M4:M6,MATCH(MAX(L4:L6),L4:L6,0)),"?")</f>
        <v>Y</v>
      </c>
    </row>
  </sheetData>
  <conditionalFormatting sqref="D19">
    <cfRule type="containsText" dxfId="26" priority="1" operator="containsText" text="Z">
      <formula>NOT(ISERROR(SEARCH("Z",D19)))</formula>
    </cfRule>
    <cfRule type="containsText" dxfId="25" priority="2" operator="containsText" text="Y">
      <formula>NOT(ISERROR(SEARCH("Y",D19)))</formula>
    </cfRule>
    <cfRule type="containsText" dxfId="24" priority="3" operator="containsText" text="X">
      <formula>NOT(ISERROR(SEARCH("X",D19)))</formula>
    </cfRule>
  </conditionalFormatting>
  <conditionalFormatting sqref="D4:E18">
    <cfRule type="containsText" dxfId="23" priority="10" operator="containsText" text="Z">
      <formula>NOT(ISERROR(SEARCH("Z",D4)))</formula>
    </cfRule>
    <cfRule type="containsText" dxfId="22" priority="11" operator="containsText" text="Y">
      <formula>NOT(ISERROR(SEARCH("Y",D4)))</formula>
    </cfRule>
    <cfRule type="containsText" dxfId="21" priority="12" operator="containsText" text="X">
      <formula>NOT(ISERROR(SEARCH("X",D4)))</formula>
    </cfRule>
  </conditionalFormatting>
  <conditionalFormatting sqref="J4:J13">
    <cfRule type="containsText" dxfId="20" priority="7" operator="containsText" text="Z">
      <formula>NOT(ISERROR(SEARCH("Z",J4)))</formula>
    </cfRule>
    <cfRule type="containsText" dxfId="19" priority="8" operator="containsText" text="Y">
      <formula>NOT(ISERROR(SEARCH("Y",J4)))</formula>
    </cfRule>
    <cfRule type="containsText" dxfId="18" priority="9" operator="containsText" text="X">
      <formula>NOT(ISERROR(SEARCH("X",J4)))</formula>
    </cfRule>
  </conditionalFormatting>
  <conditionalFormatting sqref="M4:M6">
    <cfRule type="containsText" dxfId="17" priority="4" operator="containsText" text="Z">
      <formula>NOT(ISERROR(SEARCH("Z",M4)))</formula>
    </cfRule>
    <cfRule type="containsText" dxfId="16" priority="5" operator="containsText" text="Y">
      <formula>NOT(ISERROR(SEARCH("Y",M4)))</formula>
    </cfRule>
    <cfRule type="containsText" dxfId="15" priority="6" operator="containsText" text="X">
      <formula>NOT(ISERROR(SEARCH("X",M4)))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Listy!$A$1:$A$10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M19"/>
  <sheetViews>
    <sheetView showGridLines="0" tabSelected="1" workbookViewId="0">
      <selection activeCell="C2" sqref="C2"/>
    </sheetView>
  </sheetViews>
  <sheetFormatPr defaultRowHeight="14.4" x14ac:dyDescent="0.3"/>
  <cols>
    <col min="1" max="1" width="3" bestFit="1" customWidth="1"/>
    <col min="2" max="3" width="11.6640625" customWidth="1"/>
    <col min="4" max="7" width="11.109375" customWidth="1"/>
    <col min="10" max="10" width="10.88671875" customWidth="1"/>
    <col min="12" max="12" width="8.44140625" customWidth="1"/>
    <col min="13" max="13" width="12.33203125" bestFit="1" customWidth="1"/>
    <col min="16" max="16" width="6" customWidth="1"/>
    <col min="17" max="17" width="7.44140625" bestFit="1" customWidth="1"/>
    <col min="18" max="19" width="7.44140625" customWidth="1"/>
    <col min="20" max="20" width="9.6640625" bestFit="1" customWidth="1"/>
    <col min="21" max="24" width="7.44140625" customWidth="1"/>
    <col min="25" max="25" width="3" bestFit="1" customWidth="1"/>
    <col min="26" max="26" width="11.33203125" bestFit="1" customWidth="1"/>
    <col min="27" max="27" width="7.6640625" bestFit="1" customWidth="1"/>
    <col min="28" max="29" width="9.33203125" bestFit="1" customWidth="1"/>
    <col min="34" max="35" width="15.5546875" bestFit="1" customWidth="1"/>
  </cols>
  <sheetData>
    <row r="1" spans="1:39" ht="15" thickBot="1" x14ac:dyDescent="0.35">
      <c r="B1" s="5" t="s">
        <v>1</v>
      </c>
      <c r="L1" s="5" t="s">
        <v>0</v>
      </c>
      <c r="AF1" s="47" t="s">
        <v>26</v>
      </c>
      <c r="AG1" s="48"/>
      <c r="AH1" s="48"/>
      <c r="AI1" s="49"/>
    </row>
    <row r="2" spans="1:39" ht="15" thickBot="1" x14ac:dyDescent="0.35">
      <c r="B2" s="40" t="s">
        <v>34</v>
      </c>
      <c r="C2" s="40">
        <v>2</v>
      </c>
      <c r="M2" s="17" t="s">
        <v>12</v>
      </c>
      <c r="N2" s="17">
        <v>6</v>
      </c>
      <c r="Y2" s="42" t="s">
        <v>21</v>
      </c>
      <c r="Z2" s="43"/>
      <c r="AA2" s="43"/>
      <c r="AB2" s="43"/>
      <c r="AC2" s="44"/>
      <c r="AE2" s="29" t="s">
        <v>28</v>
      </c>
      <c r="AF2" s="30">
        <f>(MAX($B$4:$B$18)-MIN($B$4:$B$18))</f>
        <v>2.3000000000000007</v>
      </c>
      <c r="AG2" s="30">
        <f>(MAX($C$4:$C$18)-MIN($C$4:$C$18))</f>
        <v>3.3</v>
      </c>
      <c r="AK2" s="50" t="s">
        <v>33</v>
      </c>
      <c r="AL2" s="51"/>
      <c r="AM2" s="52"/>
    </row>
    <row r="3" spans="1:39" ht="15" thickBot="1" x14ac:dyDescent="0.35">
      <c r="A3" s="15" t="s">
        <v>8</v>
      </c>
      <c r="B3" s="25" t="str">
        <f>CONCATENATE("Wymiar ",MID(IFERROR(INDEX($W$4:$W$9,MATCH($C$2,$V$4:$V$9,0)),""),1,1))</f>
        <v>Wymiar 1</v>
      </c>
      <c r="C3" s="25" t="str">
        <f>CONCATENATE("Wymiar ",MID(IFERROR(INDEX($W$4:$W$9,MATCH($C$2,$V$4:$V$9,0)),""),3,1))</f>
        <v>Wymiar 3</v>
      </c>
      <c r="D3" s="23" t="s">
        <v>5</v>
      </c>
      <c r="E3" s="23" t="s">
        <v>6</v>
      </c>
      <c r="F3" s="23" t="s">
        <v>19</v>
      </c>
      <c r="G3" s="23" t="s">
        <v>20</v>
      </c>
      <c r="H3" s="23" t="s">
        <v>7</v>
      </c>
      <c r="I3" s="23" t="s">
        <v>11</v>
      </c>
      <c r="J3" s="23" t="s">
        <v>9</v>
      </c>
      <c r="K3" s="16" t="s">
        <v>10</v>
      </c>
      <c r="M3" s="15" t="s">
        <v>13</v>
      </c>
      <c r="N3" s="16" t="s">
        <v>14</v>
      </c>
      <c r="P3" s="15" t="s">
        <v>15</v>
      </c>
      <c r="Q3" s="16" t="s">
        <v>16</v>
      </c>
      <c r="S3" s="45" t="s">
        <v>23</v>
      </c>
      <c r="T3" s="46"/>
      <c r="V3" s="42" t="s">
        <v>22</v>
      </c>
      <c r="W3" s="44"/>
      <c r="Y3" s="26" t="s">
        <v>8</v>
      </c>
      <c r="Z3" s="26" t="s">
        <v>24</v>
      </c>
      <c r="AA3" s="26" t="s">
        <v>25</v>
      </c>
      <c r="AB3" s="26" t="s">
        <v>17</v>
      </c>
      <c r="AC3" s="26" t="s">
        <v>18</v>
      </c>
      <c r="AE3" s="29" t="s">
        <v>27</v>
      </c>
      <c r="AF3" s="31">
        <f>(MAX($B$4:$B$18)-MIN($B$4:$B$18))/10</f>
        <v>0.23000000000000007</v>
      </c>
      <c r="AG3" s="32">
        <f>(MAX($C$4:$C$18)-MIN($C$4:$C$18))/10</f>
        <v>0.32999999999999996</v>
      </c>
      <c r="AH3" s="29" t="s">
        <v>29</v>
      </c>
      <c r="AI3" s="29" t="s">
        <v>30</v>
      </c>
      <c r="AK3" s="35" t="s">
        <v>8</v>
      </c>
      <c r="AL3" s="36" t="s">
        <v>31</v>
      </c>
      <c r="AM3" s="37" t="s">
        <v>32</v>
      </c>
    </row>
    <row r="4" spans="1:39" x14ac:dyDescent="0.3">
      <c r="A4" s="18">
        <v>1</v>
      </c>
      <c r="B4" s="38">
        <f>IFERROR(INDEX($D4:$G4,1,TRUNC(MID(IFERROR(INDEX($W$4:$W$9,MATCH($C$2,$V$4:$V$9,0)),0),1,1))),0)</f>
        <v>5.3</v>
      </c>
      <c r="C4" s="38">
        <f>IFERROR(INDEX($D4:$G4,1,TRUNC(MID(IFERROR(INDEX($W$4:$W$9,MATCH($C$2,$V$4:$V$9,0)),0),3,1))),0)</f>
        <v>5.0999999999999996</v>
      </c>
      <c r="D4" s="19">
        <v>5.3</v>
      </c>
      <c r="E4" s="19">
        <v>3.7</v>
      </c>
      <c r="F4" s="20">
        <v>5.0999999999999996</v>
      </c>
      <c r="G4" s="20">
        <v>2.2000000000000002</v>
      </c>
      <c r="H4" s="14" t="s">
        <v>2</v>
      </c>
      <c r="I4" s="14" t="str">
        <f t="shared" ref="I4:I18" si="0">CONCATENATE(A4,H4)</f>
        <v>1X</v>
      </c>
      <c r="J4" s="21">
        <f>TRUNC(SQRT(($D$19-D4)^2+($E$19-E4)^2+($F$19-F4)^2+($G$19-G4)^2)*10)/10</f>
        <v>4</v>
      </c>
      <c r="K4" s="22">
        <f t="shared" ref="K4:K18" si="1">_xlfn.RANK.EQ(J4,$J$4:$J$18,1)</f>
        <v>8</v>
      </c>
      <c r="M4" s="14" t="str">
        <f t="shared" ref="M4:M13" si="2">IF(ROW(A1)&lt;=$N$2,CONCATENATE("K",ROW(A1)),"")</f>
        <v>K1</v>
      </c>
      <c r="N4" s="14" t="str">
        <f t="shared" ref="N4:N13" si="3">IF(M4="","",IFERROR(INDEX($H$4:$H$18,MATCH(SMALL($K$4:$K$18,ROW(A1)),$K$4:$K$18,0)),0))</f>
        <v>Y</v>
      </c>
      <c r="P4" s="14">
        <f>COUNTIF($N$4:$N$13,Q4)</f>
        <v>2</v>
      </c>
      <c r="Q4" s="14" t="s">
        <v>2</v>
      </c>
      <c r="S4" s="24">
        <v>1</v>
      </c>
      <c r="T4" s="18" t="s">
        <v>5</v>
      </c>
      <c r="V4" s="14">
        <v>1</v>
      </c>
      <c r="W4" s="14" t="str">
        <f t="shared" ref="W4:W9" si="4">CONCATENATE(MID(IFERROR(INDEX($Z$4:$Z$15,MATCH(ROW(A1),$Y$4:$Y$15,0)),0),3,1),".",MID(IFERROR(INDEX($Z$4:$Z$15,MATCH(ROW(A1),$Y$4:$Y$15,0)),0),1,1))</f>
        <v>1.2</v>
      </c>
      <c r="Y4" s="14">
        <f>SUM(AA$4:AA4)</f>
        <v>1</v>
      </c>
      <c r="Z4" s="14" t="str">
        <f>CONCATENATE(AC4,".",AB4)</f>
        <v>2.1</v>
      </c>
      <c r="AA4" s="14">
        <f>IF(COUNTIF(Z$4:Z4,CONCATENATE(AB4,".",AC4))=0,1,0)</f>
        <v>1</v>
      </c>
      <c r="AB4" s="14">
        <v>1</v>
      </c>
      <c r="AC4" s="14">
        <v>2</v>
      </c>
      <c r="AE4" s="14">
        <v>1</v>
      </c>
      <c r="AF4" s="27">
        <f>MIN(B$4:B$18)+(ROW($A1)-1)*AF$3</f>
        <v>5.0999999999999996</v>
      </c>
      <c r="AG4" s="28">
        <f>MIN(C$4:C$18)+(ROW($A1)-1)*AG$3</f>
        <v>3.2</v>
      </c>
      <c r="AH4" s="33">
        <f>COUNTIFS(B$4:B$18,"&gt;="&amp;AF4,B$4:B$18,"&lt;"&amp;AF5)</f>
        <v>4</v>
      </c>
      <c r="AI4" s="33">
        <f>COUNTIFS(C$4:C$18,"&gt;="&amp;AG4,C$4:C$18,"&lt;"&amp;AG5)</f>
        <v>4</v>
      </c>
      <c r="AK4" s="14">
        <v>1</v>
      </c>
      <c r="AL4" s="34">
        <f t="shared" ref="AL4:AL14" si="5">IFERROR(INDEX($AE$4:$AE$14,MATCH(LARGE(AH$4:AH$14,ROW($A1)),AH$4:AH$14,0)),0)</f>
        <v>1</v>
      </c>
      <c r="AM4" s="34">
        <f t="shared" ref="AM4:AM14" si="6">IFERROR(INDEX($AE$4:$AE$14,MATCH(LARGE(AI$4:AI$14,ROW($A1)),AI$4:AI$14,0)),0)</f>
        <v>1</v>
      </c>
    </row>
    <row r="5" spans="1:39" x14ac:dyDescent="0.3">
      <c r="A5" s="12">
        <v>2</v>
      </c>
      <c r="B5" s="38">
        <f t="shared" ref="B5:B18" si="7">IFERROR(INDEX($D5:$G5,1,TRUNC(MID(IFERROR(INDEX($W$4:$W$9,MATCH($C$2,$V$4:$V$9,0)),0),1,1))),0)</f>
        <v>5.0999999999999996</v>
      </c>
      <c r="C5" s="38">
        <f t="shared" ref="C5:C18" si="8">IFERROR(INDEX($D5:$G5,1,TRUNC(MID(IFERROR(INDEX($W$4:$W$9,MATCH($C$2,$V$4:$V$9,0)),0),3,1))),0)</f>
        <v>5.2</v>
      </c>
      <c r="D5" s="10">
        <v>5.0999999999999996</v>
      </c>
      <c r="E5" s="10">
        <v>3.8</v>
      </c>
      <c r="F5" s="11">
        <v>5.2</v>
      </c>
      <c r="G5" s="11">
        <v>2.7</v>
      </c>
      <c r="H5" s="2" t="s">
        <v>2</v>
      </c>
      <c r="I5" s="2" t="str">
        <f t="shared" si="0"/>
        <v>2X</v>
      </c>
      <c r="J5" s="3">
        <f t="shared" ref="J5:J18" si="9">TRUNC(SQRT(($D$19-D5)^2+($E$19-E5)^2+($F$19-F5)^2+($G$19-G5)^2)*10)/10</f>
        <v>3.9</v>
      </c>
      <c r="K5" s="4">
        <f t="shared" si="1"/>
        <v>7</v>
      </c>
      <c r="M5" s="2" t="str">
        <f t="shared" si="2"/>
        <v>K2</v>
      </c>
      <c r="N5" s="2" t="str">
        <f t="shared" si="3"/>
        <v>Y</v>
      </c>
      <c r="P5" s="2">
        <f t="shared" ref="P5:P6" si="10">COUNTIF($N$4:$N$13,Q5)</f>
        <v>4</v>
      </c>
      <c r="Q5" s="2" t="s">
        <v>3</v>
      </c>
      <c r="S5" s="1">
        <v>2</v>
      </c>
      <c r="T5" s="12" t="s">
        <v>6</v>
      </c>
      <c r="V5" s="2">
        <v>2</v>
      </c>
      <c r="W5" s="14" t="str">
        <f t="shared" si="4"/>
        <v>1.3</v>
      </c>
      <c r="Y5" s="2">
        <f>SUM(AA$4:AA5)</f>
        <v>2</v>
      </c>
      <c r="Z5" s="2" t="str">
        <f t="shared" ref="Z5:Z15" si="11">CONCATENATE(AC5,".",AB5)</f>
        <v>3.1</v>
      </c>
      <c r="AA5" s="2">
        <f>IF(COUNTIF(Z$4:Z5,CONCATENATE(AB5,".",AC5))=0,1,0)</f>
        <v>1</v>
      </c>
      <c r="AB5" s="2">
        <v>1</v>
      </c>
      <c r="AC5" s="2">
        <v>3</v>
      </c>
      <c r="AE5" s="2">
        <v>2</v>
      </c>
      <c r="AF5" s="27">
        <f t="shared" ref="AF5:AG5" si="12">MIN(B$4:B$18)+(ROW($A2)-1)*AF$3</f>
        <v>5.33</v>
      </c>
      <c r="AG5" s="27">
        <f t="shared" si="12"/>
        <v>3.5300000000000002</v>
      </c>
      <c r="AH5" s="33">
        <f t="shared" ref="AH5:AH13" si="13">COUNTIFS(B$4:B$18,"&gt;="&amp;AF5,B$4:B$18,"&lt;"&amp;AF6)</f>
        <v>3</v>
      </c>
      <c r="AI5" s="33">
        <f t="shared" ref="AI5:AI13" si="14">COUNTIFS(C$4:C$18,"&gt;="&amp;AG5,C$4:C$18,"&lt;"&amp;AG6)</f>
        <v>1</v>
      </c>
      <c r="AK5" s="14">
        <v>2</v>
      </c>
      <c r="AL5" s="34">
        <f t="shared" si="5"/>
        <v>2</v>
      </c>
      <c r="AM5" s="34">
        <f t="shared" si="6"/>
        <v>9</v>
      </c>
    </row>
    <row r="6" spans="1:39" x14ac:dyDescent="0.3">
      <c r="A6" s="12">
        <v>3</v>
      </c>
      <c r="B6" s="38">
        <f t="shared" si="7"/>
        <v>7.2</v>
      </c>
      <c r="C6" s="38">
        <f t="shared" si="8"/>
        <v>6.5</v>
      </c>
      <c r="D6" s="10">
        <v>7.2</v>
      </c>
      <c r="E6" s="10">
        <v>3</v>
      </c>
      <c r="F6" s="11">
        <v>6.5</v>
      </c>
      <c r="G6" s="11">
        <v>5.2</v>
      </c>
      <c r="H6" s="2" t="s">
        <v>3</v>
      </c>
      <c r="I6" s="2" t="str">
        <f t="shared" si="0"/>
        <v>3Y</v>
      </c>
      <c r="J6" s="3">
        <f t="shared" si="9"/>
        <v>2.1</v>
      </c>
      <c r="K6" s="4">
        <f t="shared" si="1"/>
        <v>1</v>
      </c>
      <c r="M6" s="2" t="str">
        <f t="shared" si="2"/>
        <v>K3</v>
      </c>
      <c r="N6" s="2" t="str">
        <f t="shared" si="3"/>
        <v>Y</v>
      </c>
      <c r="P6" s="2">
        <f t="shared" si="10"/>
        <v>0</v>
      </c>
      <c r="Q6" s="2" t="s">
        <v>4</v>
      </c>
      <c r="S6" s="1">
        <v>3</v>
      </c>
      <c r="T6" s="12" t="s">
        <v>19</v>
      </c>
      <c r="V6" s="2">
        <v>3</v>
      </c>
      <c r="W6" s="14" t="str">
        <f t="shared" si="4"/>
        <v>1.4</v>
      </c>
      <c r="Y6" s="2">
        <f>SUM(AA$4:AA6)</f>
        <v>3</v>
      </c>
      <c r="Z6" s="2" t="str">
        <f t="shared" si="11"/>
        <v>4.1</v>
      </c>
      <c r="AA6" s="2">
        <f>IF(COUNTIF(Z$4:Z6,CONCATENATE(AB6,".",AC6))=0,1,0)</f>
        <v>1</v>
      </c>
      <c r="AB6" s="2">
        <v>1</v>
      </c>
      <c r="AC6" s="2">
        <v>4</v>
      </c>
      <c r="AE6" s="14">
        <v>3</v>
      </c>
      <c r="AF6" s="27">
        <f t="shared" ref="AF6:AG6" si="15">MIN(B$4:B$18)+(ROW($A3)-1)*AF$3</f>
        <v>5.56</v>
      </c>
      <c r="AG6" s="27">
        <f t="shared" si="15"/>
        <v>3.8600000000000003</v>
      </c>
      <c r="AH6" s="33">
        <f t="shared" si="13"/>
        <v>0</v>
      </c>
      <c r="AI6" s="33">
        <f t="shared" si="14"/>
        <v>1</v>
      </c>
      <c r="AK6" s="2">
        <v>3</v>
      </c>
      <c r="AL6" s="34">
        <f t="shared" si="5"/>
        <v>4</v>
      </c>
      <c r="AM6" s="34">
        <f t="shared" si="6"/>
        <v>7</v>
      </c>
    </row>
    <row r="7" spans="1:39" x14ac:dyDescent="0.3">
      <c r="A7" s="12">
        <v>4</v>
      </c>
      <c r="B7" s="38">
        <f t="shared" si="7"/>
        <v>5.4</v>
      </c>
      <c r="C7" s="38">
        <f t="shared" si="8"/>
        <v>5.3</v>
      </c>
      <c r="D7" s="10">
        <v>5.4</v>
      </c>
      <c r="E7" s="10">
        <v>3.4</v>
      </c>
      <c r="F7" s="11">
        <v>5.3</v>
      </c>
      <c r="G7" s="11">
        <v>2.2999999999999998</v>
      </c>
      <c r="H7" s="2" t="s">
        <v>2</v>
      </c>
      <c r="I7" s="2" t="str">
        <f t="shared" si="0"/>
        <v>4X</v>
      </c>
      <c r="J7" s="3">
        <f t="shared" si="9"/>
        <v>3.8</v>
      </c>
      <c r="K7" s="4">
        <f t="shared" si="1"/>
        <v>6</v>
      </c>
      <c r="M7" s="2" t="str">
        <f t="shared" si="2"/>
        <v>K4</v>
      </c>
      <c r="N7" s="2" t="str">
        <f t="shared" si="3"/>
        <v>Y</v>
      </c>
      <c r="S7" s="1">
        <v>4</v>
      </c>
      <c r="T7" s="12" t="s">
        <v>20</v>
      </c>
      <c r="V7" s="2">
        <v>4</v>
      </c>
      <c r="W7" s="14" t="str">
        <f t="shared" si="4"/>
        <v>2.3</v>
      </c>
      <c r="Y7" s="2">
        <f>SUM(AA$4:AA7)</f>
        <v>3</v>
      </c>
      <c r="Z7" s="2" t="str">
        <f t="shared" si="11"/>
        <v>1.2</v>
      </c>
      <c r="AA7" s="2">
        <f>IF(COUNTIF(Z$4:Z7,CONCATENATE(AB7,".",AC7))=0,1,0)</f>
        <v>0</v>
      </c>
      <c r="AB7" s="2">
        <v>2</v>
      </c>
      <c r="AC7" s="2">
        <v>1</v>
      </c>
      <c r="AE7" s="2">
        <v>4</v>
      </c>
      <c r="AF7" s="27">
        <f t="shared" ref="AF7:AG7" si="16">MIN(B$4:B$18)+(ROW($A4)-1)*AF$3</f>
        <v>5.79</v>
      </c>
      <c r="AG7" s="27">
        <f t="shared" si="16"/>
        <v>4.1900000000000004</v>
      </c>
      <c r="AH7" s="33">
        <f t="shared" si="13"/>
        <v>2</v>
      </c>
      <c r="AI7" s="33">
        <f t="shared" si="14"/>
        <v>0</v>
      </c>
      <c r="AK7" s="14">
        <v>4</v>
      </c>
      <c r="AL7" s="34">
        <f t="shared" si="5"/>
        <v>4</v>
      </c>
      <c r="AM7" s="34">
        <f t="shared" si="6"/>
        <v>2</v>
      </c>
    </row>
    <row r="8" spans="1:39" x14ac:dyDescent="0.3">
      <c r="A8" s="12">
        <v>5</v>
      </c>
      <c r="B8" s="38">
        <f t="shared" si="7"/>
        <v>5.0999999999999996</v>
      </c>
      <c r="C8" s="38">
        <f t="shared" si="8"/>
        <v>6.1199999999999992</v>
      </c>
      <c r="D8" s="10">
        <v>5.0999999999999996</v>
      </c>
      <c r="E8" s="10">
        <v>3.3</v>
      </c>
      <c r="F8" s="11">
        <v>6.1199999999999992</v>
      </c>
      <c r="G8" s="11">
        <v>2.6</v>
      </c>
      <c r="H8" s="2" t="s">
        <v>2</v>
      </c>
      <c r="I8" s="2" t="str">
        <f t="shared" si="0"/>
        <v>5X</v>
      </c>
      <c r="J8" s="3">
        <f t="shared" si="9"/>
        <v>3.3</v>
      </c>
      <c r="K8" s="4">
        <f t="shared" si="1"/>
        <v>5</v>
      </c>
      <c r="M8" s="2" t="str">
        <f t="shared" si="2"/>
        <v>K5</v>
      </c>
      <c r="N8" s="2" t="str">
        <f t="shared" si="3"/>
        <v>X</v>
      </c>
      <c r="V8" s="2">
        <v>5</v>
      </c>
      <c r="W8" s="14" t="str">
        <f t="shared" si="4"/>
        <v>2.4</v>
      </c>
      <c r="Y8" s="2">
        <f>SUM(AA$4:AA8)</f>
        <v>4</v>
      </c>
      <c r="Z8" s="2" t="str">
        <f t="shared" si="11"/>
        <v>3.2</v>
      </c>
      <c r="AA8" s="2">
        <f>IF(COUNTIF(Z$4:Z8,CONCATENATE(AB8,".",AC8))=0,1,0)</f>
        <v>1</v>
      </c>
      <c r="AB8" s="2">
        <v>2</v>
      </c>
      <c r="AC8" s="2">
        <v>3</v>
      </c>
      <c r="AE8" s="14">
        <v>5</v>
      </c>
      <c r="AF8" s="27">
        <f t="shared" ref="AF8:AG8" si="17">MIN(B$4:B$18)+(ROW($A5)-1)*AF$3</f>
        <v>6.02</v>
      </c>
      <c r="AG8" s="27">
        <f t="shared" si="17"/>
        <v>4.5199999999999996</v>
      </c>
      <c r="AH8" s="33">
        <f t="shared" si="13"/>
        <v>1</v>
      </c>
      <c r="AI8" s="33">
        <f t="shared" si="14"/>
        <v>1</v>
      </c>
      <c r="AK8" s="2">
        <v>5</v>
      </c>
      <c r="AL8" s="34">
        <f t="shared" si="5"/>
        <v>4</v>
      </c>
      <c r="AM8" s="34">
        <f t="shared" si="6"/>
        <v>2</v>
      </c>
    </row>
    <row r="9" spans="1:39" x14ac:dyDescent="0.3">
      <c r="A9" s="12">
        <v>6</v>
      </c>
      <c r="B9" s="38">
        <f t="shared" si="7"/>
        <v>5.4</v>
      </c>
      <c r="C9" s="38">
        <f t="shared" si="8"/>
        <v>4.7</v>
      </c>
      <c r="D9" s="10">
        <v>5.4</v>
      </c>
      <c r="E9" s="10">
        <v>3.9</v>
      </c>
      <c r="F9" s="11">
        <v>4.7</v>
      </c>
      <c r="G9" s="11">
        <v>2.9</v>
      </c>
      <c r="H9" s="2" t="s">
        <v>2</v>
      </c>
      <c r="I9" s="2" t="str">
        <f t="shared" si="0"/>
        <v>6X</v>
      </c>
      <c r="J9" s="3">
        <f t="shared" si="9"/>
        <v>4.0999999999999996</v>
      </c>
      <c r="K9" s="4">
        <f t="shared" si="1"/>
        <v>9</v>
      </c>
      <c r="M9" s="2" t="str">
        <f t="shared" si="2"/>
        <v>K6</v>
      </c>
      <c r="N9" s="2" t="str">
        <f t="shared" si="3"/>
        <v>X</v>
      </c>
      <c r="V9" s="2">
        <v>6</v>
      </c>
      <c r="W9" s="14" t="str">
        <f t="shared" si="4"/>
        <v>3.4</v>
      </c>
      <c r="Y9" s="2">
        <f>SUM(AA$4:AA9)</f>
        <v>5</v>
      </c>
      <c r="Z9" s="2" t="str">
        <f t="shared" si="11"/>
        <v>4.2</v>
      </c>
      <c r="AA9" s="2">
        <f>IF(COUNTIF(Z$4:Z9,CONCATENATE(AB9,".",AC9))=0,1,0)</f>
        <v>1</v>
      </c>
      <c r="AB9" s="2">
        <v>2</v>
      </c>
      <c r="AC9" s="2">
        <v>4</v>
      </c>
      <c r="AE9" s="2">
        <v>6</v>
      </c>
      <c r="AF9" s="27">
        <f t="shared" ref="AF9:AG9" si="18">MIN(B$4:B$18)+(ROW($A6)-1)*AF$3</f>
        <v>6.25</v>
      </c>
      <c r="AG9" s="27">
        <f t="shared" si="18"/>
        <v>4.8499999999999996</v>
      </c>
      <c r="AH9" s="33">
        <f t="shared" si="13"/>
        <v>2</v>
      </c>
      <c r="AI9" s="33">
        <f t="shared" si="14"/>
        <v>1</v>
      </c>
      <c r="AK9" s="14">
        <v>6</v>
      </c>
      <c r="AL9" s="34">
        <f t="shared" si="5"/>
        <v>5</v>
      </c>
      <c r="AM9" s="34">
        <f t="shared" si="6"/>
        <v>2</v>
      </c>
    </row>
    <row r="10" spans="1:39" x14ac:dyDescent="0.3">
      <c r="A10" s="12">
        <v>7</v>
      </c>
      <c r="B10" s="38">
        <f t="shared" si="7"/>
        <v>7.4</v>
      </c>
      <c r="C10" s="38">
        <f t="shared" si="8"/>
        <v>6.4</v>
      </c>
      <c r="D10" s="10">
        <v>7.4</v>
      </c>
      <c r="E10" s="10">
        <v>2.8</v>
      </c>
      <c r="F10" s="11">
        <v>6.4</v>
      </c>
      <c r="G10" s="11">
        <v>5.0999999999999996</v>
      </c>
      <c r="H10" s="2" t="s">
        <v>3</v>
      </c>
      <c r="I10" s="2" t="str">
        <f t="shared" si="0"/>
        <v>7Y</v>
      </c>
      <c r="J10" s="3">
        <f t="shared" si="9"/>
        <v>2.2000000000000002</v>
      </c>
      <c r="K10" s="4">
        <f t="shared" si="1"/>
        <v>2</v>
      </c>
      <c r="M10" s="2" t="str">
        <f t="shared" si="2"/>
        <v/>
      </c>
      <c r="N10" s="2" t="str">
        <f t="shared" si="3"/>
        <v/>
      </c>
      <c r="Y10" s="2">
        <f>SUM(AA$4:AA10)</f>
        <v>5</v>
      </c>
      <c r="Z10" s="2" t="str">
        <f t="shared" si="11"/>
        <v>1.3</v>
      </c>
      <c r="AA10" s="2">
        <f>IF(COUNTIF(Z$4:Z10,CONCATENATE(AB10,".",AC10))=0,1,0)</f>
        <v>0</v>
      </c>
      <c r="AB10" s="2">
        <v>3</v>
      </c>
      <c r="AC10" s="2">
        <v>1</v>
      </c>
      <c r="AE10" s="14">
        <v>7</v>
      </c>
      <c r="AF10" s="27">
        <f t="shared" ref="AF10:AG10" si="19">MIN(B$4:B$18)+(ROW($A7)-1)*AF$3</f>
        <v>6.48</v>
      </c>
      <c r="AG10" s="27">
        <f t="shared" si="19"/>
        <v>5.18</v>
      </c>
      <c r="AH10" s="33">
        <f t="shared" si="13"/>
        <v>0</v>
      </c>
      <c r="AI10" s="33">
        <f t="shared" si="14"/>
        <v>2</v>
      </c>
      <c r="AK10" s="2">
        <v>7</v>
      </c>
      <c r="AL10" s="34">
        <f t="shared" si="5"/>
        <v>3</v>
      </c>
      <c r="AM10" s="34">
        <f t="shared" si="6"/>
        <v>2</v>
      </c>
    </row>
    <row r="11" spans="1:39" x14ac:dyDescent="0.3">
      <c r="A11" s="12">
        <v>8</v>
      </c>
      <c r="B11" s="38">
        <f t="shared" si="7"/>
        <v>6.1</v>
      </c>
      <c r="C11" s="38">
        <f t="shared" si="8"/>
        <v>4</v>
      </c>
      <c r="D11" s="10">
        <v>6.1</v>
      </c>
      <c r="E11" s="10">
        <v>2.8</v>
      </c>
      <c r="F11" s="11">
        <v>4</v>
      </c>
      <c r="G11" s="11">
        <v>1.8</v>
      </c>
      <c r="H11" s="2" t="s">
        <v>4</v>
      </c>
      <c r="I11" s="2" t="str">
        <f t="shared" si="0"/>
        <v>8Z</v>
      </c>
      <c r="J11" s="3">
        <f t="shared" si="9"/>
        <v>4.9000000000000004</v>
      </c>
      <c r="K11" s="4">
        <f t="shared" si="1"/>
        <v>10</v>
      </c>
      <c r="M11" s="2" t="str">
        <f t="shared" si="2"/>
        <v/>
      </c>
      <c r="N11" s="2" t="str">
        <f t="shared" si="3"/>
        <v/>
      </c>
      <c r="Y11" s="2">
        <f>SUM(AA$4:AA11)</f>
        <v>5</v>
      </c>
      <c r="Z11" s="2" t="str">
        <f t="shared" si="11"/>
        <v>2.3</v>
      </c>
      <c r="AA11" s="2">
        <f>IF(COUNTIF(Z$4:Z11,CONCATENATE(AB11,".",AC11))=0,1,0)</f>
        <v>0</v>
      </c>
      <c r="AB11" s="2">
        <v>3</v>
      </c>
      <c r="AC11" s="2">
        <v>2</v>
      </c>
      <c r="AE11" s="2">
        <v>8</v>
      </c>
      <c r="AF11" s="27">
        <f t="shared" ref="AF11:AG11" si="20">MIN(B$4:B$18)+(ROW($A8)-1)*AF$3</f>
        <v>6.71</v>
      </c>
      <c r="AG11" s="27">
        <f t="shared" si="20"/>
        <v>5.51</v>
      </c>
      <c r="AH11" s="33">
        <f t="shared" si="13"/>
        <v>0</v>
      </c>
      <c r="AI11" s="33">
        <f t="shared" si="14"/>
        <v>0</v>
      </c>
      <c r="AK11" s="14">
        <v>8</v>
      </c>
      <c r="AL11" s="34">
        <f t="shared" si="5"/>
        <v>3</v>
      </c>
      <c r="AM11" s="34">
        <f t="shared" si="6"/>
        <v>2</v>
      </c>
    </row>
    <row r="12" spans="1:39" x14ac:dyDescent="0.3">
      <c r="A12" s="12">
        <v>9</v>
      </c>
      <c r="B12" s="38">
        <f t="shared" si="7"/>
        <v>7.3</v>
      </c>
      <c r="C12" s="38">
        <f t="shared" si="8"/>
        <v>6.1</v>
      </c>
      <c r="D12" s="10">
        <v>7.3</v>
      </c>
      <c r="E12" s="10">
        <v>2.9</v>
      </c>
      <c r="F12" s="11">
        <v>6.1</v>
      </c>
      <c r="G12" s="11">
        <v>6</v>
      </c>
      <c r="H12" s="2" t="s">
        <v>3</v>
      </c>
      <c r="I12" s="2" t="str">
        <f t="shared" si="0"/>
        <v>9Y</v>
      </c>
      <c r="J12" s="3">
        <f t="shared" si="9"/>
        <v>2.9</v>
      </c>
      <c r="K12" s="4">
        <f t="shared" si="1"/>
        <v>3</v>
      </c>
      <c r="M12" s="2" t="str">
        <f t="shared" si="2"/>
        <v/>
      </c>
      <c r="N12" s="2" t="str">
        <f t="shared" si="3"/>
        <v/>
      </c>
      <c r="Y12" s="2">
        <f>SUM(AA$4:AA12)</f>
        <v>6</v>
      </c>
      <c r="Z12" s="2" t="str">
        <f t="shared" si="11"/>
        <v>4.3</v>
      </c>
      <c r="AA12" s="2">
        <f>IF(COUNTIF(Z$4:Z12,CONCATENATE(AB12,".",AC12))=0,1,0)</f>
        <v>1</v>
      </c>
      <c r="AB12" s="2">
        <v>3</v>
      </c>
      <c r="AC12" s="2">
        <v>4</v>
      </c>
      <c r="AE12" s="14">
        <v>9</v>
      </c>
      <c r="AF12" s="27">
        <f t="shared" ref="AF12:AG12" si="21">MIN(B$4:B$18)+(ROW($A9)-1)*AF$3</f>
        <v>6.94</v>
      </c>
      <c r="AG12" s="27">
        <f t="shared" si="21"/>
        <v>5.84</v>
      </c>
      <c r="AH12" s="33">
        <f t="shared" si="13"/>
        <v>0</v>
      </c>
      <c r="AI12" s="33">
        <f t="shared" si="14"/>
        <v>3</v>
      </c>
      <c r="AK12" s="2">
        <v>9</v>
      </c>
      <c r="AL12" s="34">
        <f t="shared" si="5"/>
        <v>3</v>
      </c>
      <c r="AM12" s="34">
        <f t="shared" si="6"/>
        <v>4</v>
      </c>
    </row>
    <row r="13" spans="1:39" x14ac:dyDescent="0.3">
      <c r="A13" s="12">
        <v>10</v>
      </c>
      <c r="B13" s="38">
        <f t="shared" si="7"/>
        <v>6</v>
      </c>
      <c r="C13" s="38">
        <f t="shared" si="8"/>
        <v>3.5</v>
      </c>
      <c r="D13" s="10">
        <v>6</v>
      </c>
      <c r="E13" s="10">
        <v>2.7</v>
      </c>
      <c r="F13" s="11">
        <v>3.5</v>
      </c>
      <c r="G13" s="11">
        <v>1.9</v>
      </c>
      <c r="H13" s="2" t="s">
        <v>4</v>
      </c>
      <c r="I13" s="2" t="str">
        <f t="shared" si="0"/>
        <v>10Z</v>
      </c>
      <c r="J13" s="3">
        <f t="shared" si="9"/>
        <v>5.3</v>
      </c>
      <c r="K13" s="4">
        <f t="shared" si="1"/>
        <v>11</v>
      </c>
      <c r="M13" s="2" t="str">
        <f t="shared" si="2"/>
        <v/>
      </c>
      <c r="N13" s="2" t="str">
        <f t="shared" si="3"/>
        <v/>
      </c>
      <c r="Y13" s="2">
        <f>SUM(AA$4:AA13)</f>
        <v>6</v>
      </c>
      <c r="Z13" s="2" t="str">
        <f t="shared" si="11"/>
        <v>1.4</v>
      </c>
      <c r="AA13" s="2">
        <f>IF(COUNTIF(Z$4:Z13,CONCATENATE(AB13,".",AC13))=0,1,0)</f>
        <v>0</v>
      </c>
      <c r="AB13" s="2">
        <v>4</v>
      </c>
      <c r="AC13" s="2">
        <v>1</v>
      </c>
      <c r="AE13" s="2">
        <v>10</v>
      </c>
      <c r="AF13" s="27">
        <f t="shared" ref="AF13:AG13" si="22">MIN(B$4:B$18)+(ROW($A10)-1)*AF$3</f>
        <v>7.17</v>
      </c>
      <c r="AG13" s="27">
        <f t="shared" si="22"/>
        <v>6.17</v>
      </c>
      <c r="AH13" s="33">
        <f t="shared" si="13"/>
        <v>2</v>
      </c>
      <c r="AI13" s="33">
        <f t="shared" si="14"/>
        <v>1</v>
      </c>
      <c r="AK13" s="14">
        <v>10</v>
      </c>
      <c r="AL13" s="34">
        <f t="shared" si="5"/>
        <v>3</v>
      </c>
      <c r="AM13" s="34">
        <f t="shared" si="6"/>
        <v>4</v>
      </c>
    </row>
    <row r="14" spans="1:39" x14ac:dyDescent="0.3">
      <c r="A14" s="12">
        <v>11</v>
      </c>
      <c r="B14" s="38">
        <f t="shared" si="7"/>
        <v>5.8</v>
      </c>
      <c r="C14" s="38">
        <f t="shared" si="8"/>
        <v>6.1</v>
      </c>
      <c r="D14" s="10">
        <v>5.8</v>
      </c>
      <c r="E14" s="10">
        <v>2.8</v>
      </c>
      <c r="F14" s="11">
        <v>6.1</v>
      </c>
      <c r="G14" s="11">
        <v>5.7</v>
      </c>
      <c r="H14" s="2" t="s">
        <v>3</v>
      </c>
      <c r="I14" s="2" t="str">
        <f t="shared" si="0"/>
        <v>11Y</v>
      </c>
      <c r="J14" s="3">
        <f t="shared" si="9"/>
        <v>3.2</v>
      </c>
      <c r="K14" s="4">
        <f t="shared" si="1"/>
        <v>4</v>
      </c>
      <c r="Y14" s="2">
        <f>SUM(AA$4:AA14)</f>
        <v>6</v>
      </c>
      <c r="Z14" s="2" t="str">
        <f t="shared" si="11"/>
        <v>2.4</v>
      </c>
      <c r="AA14" s="2">
        <f>IF(COUNTIF(Z$4:Z14,CONCATENATE(AB14,".",AC14))=0,1,0)</f>
        <v>0</v>
      </c>
      <c r="AB14" s="2">
        <v>4</v>
      </c>
      <c r="AC14" s="2">
        <v>2</v>
      </c>
      <c r="AE14" s="14">
        <v>11</v>
      </c>
      <c r="AF14" s="27">
        <f t="shared" ref="AF14:AG14" si="23">MIN(B$4:B$18)+(ROW($A11)-1)*AF$3</f>
        <v>7.4</v>
      </c>
      <c r="AG14" s="27">
        <f t="shared" si="23"/>
        <v>6.5</v>
      </c>
      <c r="AH14" s="33">
        <f>COUNTIFS(B$4:B$18,"&gt;="&amp;AF14,B$4:B$18,"&lt;"&amp;#REF!)</f>
        <v>0</v>
      </c>
      <c r="AI14" s="33">
        <f>COUNTIFS(C$4:C$18,"&gt;="&amp;AG14,C$4:C$18,"&lt;"&amp;#REF!)</f>
        <v>0</v>
      </c>
      <c r="AK14" s="2">
        <v>11</v>
      </c>
      <c r="AL14" s="34">
        <f t="shared" si="5"/>
        <v>3</v>
      </c>
      <c r="AM14" s="34">
        <f t="shared" si="6"/>
        <v>4</v>
      </c>
    </row>
    <row r="15" spans="1:39" x14ac:dyDescent="0.3">
      <c r="A15" s="12">
        <v>12</v>
      </c>
      <c r="B15" s="38">
        <f t="shared" si="7"/>
        <v>6.3</v>
      </c>
      <c r="C15" s="38">
        <f t="shared" si="8"/>
        <v>3.2</v>
      </c>
      <c r="D15" s="10">
        <v>6.3</v>
      </c>
      <c r="E15" s="10">
        <v>2.2999999999999998</v>
      </c>
      <c r="F15" s="11">
        <v>3.2</v>
      </c>
      <c r="G15" s="11">
        <v>1.7</v>
      </c>
      <c r="H15" s="2" t="s">
        <v>4</v>
      </c>
      <c r="I15" s="2" t="str">
        <f t="shared" si="0"/>
        <v>12Z</v>
      </c>
      <c r="J15" s="3">
        <f t="shared" si="9"/>
        <v>5.6</v>
      </c>
      <c r="K15" s="4">
        <f t="shared" si="1"/>
        <v>12</v>
      </c>
      <c r="Y15" s="2">
        <f>SUM(AA$4:AA15)</f>
        <v>6</v>
      </c>
      <c r="Z15" s="2" t="str">
        <f t="shared" si="11"/>
        <v>3.4</v>
      </c>
      <c r="AA15" s="2">
        <f>IF(COUNTIF(Z$4:Z15,CONCATENATE(AB15,".",AC15))=0,1,0)</f>
        <v>0</v>
      </c>
      <c r="AB15" s="2">
        <v>4</v>
      </c>
      <c r="AC15" s="2">
        <v>3</v>
      </c>
    </row>
    <row r="16" spans="1:39" x14ac:dyDescent="0.3">
      <c r="A16" s="12">
        <v>13</v>
      </c>
      <c r="B16" s="38">
        <f t="shared" si="7"/>
        <v>5.0999999999999996</v>
      </c>
      <c r="C16" s="38">
        <f t="shared" si="8"/>
        <v>3.3</v>
      </c>
      <c r="D16" s="10">
        <v>5.0999999999999996</v>
      </c>
      <c r="E16" s="10">
        <v>2.5</v>
      </c>
      <c r="F16" s="11">
        <v>3.3</v>
      </c>
      <c r="G16" s="11">
        <v>1.4</v>
      </c>
      <c r="H16" s="2" t="s">
        <v>4</v>
      </c>
      <c r="I16" s="2" t="str">
        <f t="shared" si="0"/>
        <v>13Z</v>
      </c>
      <c r="J16" s="3">
        <f t="shared" si="9"/>
        <v>6</v>
      </c>
      <c r="K16" s="4">
        <f t="shared" si="1"/>
        <v>15</v>
      </c>
    </row>
    <row r="17" spans="1:11" x14ac:dyDescent="0.3">
      <c r="A17" s="12">
        <v>14</v>
      </c>
      <c r="B17" s="38">
        <f t="shared" si="7"/>
        <v>6.3</v>
      </c>
      <c r="C17" s="38">
        <f t="shared" si="8"/>
        <v>3.4</v>
      </c>
      <c r="D17" s="10">
        <v>6.3</v>
      </c>
      <c r="E17" s="10">
        <v>2.5</v>
      </c>
      <c r="F17" s="11">
        <v>3.4</v>
      </c>
      <c r="G17" s="11">
        <v>1.2</v>
      </c>
      <c r="H17" s="2" t="s">
        <v>4</v>
      </c>
      <c r="I17" s="2" t="str">
        <f t="shared" si="0"/>
        <v>14Z</v>
      </c>
      <c r="J17" s="3">
        <f t="shared" si="9"/>
        <v>5.7</v>
      </c>
      <c r="K17" s="4">
        <f t="shared" si="1"/>
        <v>13</v>
      </c>
    </row>
    <row r="18" spans="1:11" x14ac:dyDescent="0.3">
      <c r="A18" s="12">
        <v>15</v>
      </c>
      <c r="B18" s="38">
        <f t="shared" si="7"/>
        <v>5.5</v>
      </c>
      <c r="C18" s="38">
        <f t="shared" si="8"/>
        <v>3.7</v>
      </c>
      <c r="D18" s="10">
        <v>5.5</v>
      </c>
      <c r="E18" s="10">
        <v>2.4</v>
      </c>
      <c r="F18" s="11">
        <v>3.7</v>
      </c>
      <c r="G18" s="11">
        <v>1</v>
      </c>
      <c r="H18" s="2" t="s">
        <v>4</v>
      </c>
      <c r="I18" s="2" t="str">
        <f t="shared" si="0"/>
        <v>15Z</v>
      </c>
      <c r="J18" s="3">
        <f t="shared" si="9"/>
        <v>5.7</v>
      </c>
      <c r="K18" s="4">
        <f t="shared" si="1"/>
        <v>13</v>
      </c>
    </row>
    <row r="19" spans="1:11" x14ac:dyDescent="0.3">
      <c r="A19" s="13">
        <v>16</v>
      </c>
      <c r="B19" s="13">
        <v>7.4</v>
      </c>
      <c r="C19" s="13">
        <v>3.6</v>
      </c>
      <c r="D19" s="6">
        <v>7.4</v>
      </c>
      <c r="E19" s="6">
        <v>3.6</v>
      </c>
      <c r="F19" s="9">
        <f>B19*1.1</f>
        <v>8.14</v>
      </c>
      <c r="G19" s="9">
        <f>C19*1.1</f>
        <v>3.9600000000000004</v>
      </c>
      <c r="H19" s="2" t="str">
        <f>IFERROR(INDEX(Q4:Q6,MATCH(MAX(P4:P6),P4:P6,0)),"?")</f>
        <v>Y</v>
      </c>
    </row>
  </sheetData>
  <mergeCells count="5">
    <mergeCell ref="Y2:AC2"/>
    <mergeCell ref="V3:W3"/>
    <mergeCell ref="S3:T3"/>
    <mergeCell ref="AF1:AI1"/>
    <mergeCell ref="AK2:AM2"/>
  </mergeCells>
  <conditionalFormatting sqref="H19">
    <cfRule type="containsText" dxfId="14" priority="13" operator="containsText" text="Z">
      <formula>NOT(ISERROR(SEARCH("Z",H19)))</formula>
    </cfRule>
    <cfRule type="containsText" dxfId="13" priority="14" operator="containsText" text="Y">
      <formula>NOT(ISERROR(SEARCH("Y",H19)))</formula>
    </cfRule>
    <cfRule type="containsText" dxfId="12" priority="15" operator="containsText" text="X">
      <formula>NOT(ISERROR(SEARCH("X",H19)))</formula>
    </cfRule>
  </conditionalFormatting>
  <conditionalFormatting sqref="H4:I18">
    <cfRule type="containsText" dxfId="11" priority="22" operator="containsText" text="Z">
      <formula>NOT(ISERROR(SEARCH("Z",H4)))</formula>
    </cfRule>
    <cfRule type="containsText" dxfId="10" priority="23" operator="containsText" text="Y">
      <formula>NOT(ISERROR(SEARCH("Y",H4)))</formula>
    </cfRule>
    <cfRule type="containsText" dxfId="9" priority="24" operator="containsText" text="X">
      <formula>NOT(ISERROR(SEARCH("X",H4)))</formula>
    </cfRule>
  </conditionalFormatting>
  <conditionalFormatting sqref="N4:N13">
    <cfRule type="containsText" dxfId="8" priority="19" operator="containsText" text="Z">
      <formula>NOT(ISERROR(SEARCH("Z",N4)))</formula>
    </cfRule>
    <cfRule type="containsText" dxfId="7" priority="20" operator="containsText" text="Y">
      <formula>NOT(ISERROR(SEARCH("Y",N4)))</formula>
    </cfRule>
    <cfRule type="containsText" dxfId="6" priority="21" operator="containsText" text="X">
      <formula>NOT(ISERROR(SEARCH("X",N4)))</formula>
    </cfRule>
  </conditionalFormatting>
  <conditionalFormatting sqref="Q4:Q6">
    <cfRule type="containsText" dxfId="5" priority="16" operator="containsText" text="Z">
      <formula>NOT(ISERROR(SEARCH("Z",Q4)))</formula>
    </cfRule>
    <cfRule type="containsText" dxfId="4" priority="17" operator="containsText" text="Y">
      <formula>NOT(ISERROR(SEARCH("Y",Q4)))</formula>
    </cfRule>
    <cfRule type="containsText" dxfId="3" priority="18" operator="containsText" text="X">
      <formula>NOT(ISERROR(SEARCH("X",Q4)))</formula>
    </cfRule>
  </conditionalFormatting>
  <conditionalFormatting sqref="AC4:AC15">
    <cfRule type="containsText" dxfId="2" priority="1" operator="containsText" text="Z">
      <formula>NOT(ISERROR(SEARCH("Z",AC4)))</formula>
    </cfRule>
    <cfRule type="containsText" dxfId="1" priority="2" operator="containsText" text="Y">
      <formula>NOT(ISERROR(SEARCH("Y",AC4)))</formula>
    </cfRule>
    <cfRule type="containsText" dxfId="0" priority="3" operator="containsText" text="X">
      <formula>NOT(ISERROR(SEARCH("X",AC4)))</formula>
    </cfRule>
  </conditionalFormatting>
  <dataValidations count="1">
    <dataValidation type="list" allowBlank="1" showInputMessage="1" showErrorMessage="1" sqref="C2" xr:uid="{00000000-0002-0000-0800-000000000000}">
      <formula1>$V$4:$V$9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Listy!$A$1:$A$10</xm:f>
          </x14:formula1>
          <xm:sqref>N2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Listy</vt:lpstr>
      <vt:lpstr>Instrukcja 2D</vt:lpstr>
      <vt:lpstr>Instrukcja 4D</vt:lpstr>
    </vt:vector>
  </TitlesOfParts>
  <Company>Adamed Sp. z 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2016-09-22T07:04:38Z</dcterms:created>
  <dcterms:modified xsi:type="dcterms:W3CDTF">2026-03-24T19:32:51Z</dcterms:modified>
  <cp:contentStatus/>
</cp:coreProperties>
</file>