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00-Uniwersytet\01-Lectures\Analysis\"/>
    </mc:Choice>
  </mc:AlternateContent>
  <xr:revisionPtr revIDLastSave="0" documentId="13_ncr:1_{F06C669E-424A-4DED-83D0-3A85BA82B34D}" xr6:coauthVersionLast="47" xr6:coauthVersionMax="47" xr10:uidLastSave="{00000000-0000-0000-0000-000000000000}"/>
  <bookViews>
    <workbookView xWindow="-110" yWindow="-110" windowWidth="34620" windowHeight="13900" tabRatio="393" activeTab="1" xr2:uid="{532EE4E1-5A25-485A-B146-13C5285E7D0A}"/>
  </bookViews>
  <sheets>
    <sheet name="Sales_table" sheetId="1" r:id="rId1"/>
    <sheet name="Linear regression" sheetId="2" r:id="rId2"/>
    <sheet name="Seasonality" sheetId="3" r:id="rId3"/>
  </sheets>
  <definedNames>
    <definedName name="_xlnm._FilterDatabase" localSheetId="0" hidden="1">Sales_table!$A$3:$AH$3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27" i="3"/>
  <c r="E28" i="3"/>
  <c r="E29" i="3"/>
  <c r="E30" i="3"/>
  <c r="E31" i="3"/>
  <c r="E32" i="3"/>
  <c r="E33" i="3"/>
  <c r="E34" i="3"/>
  <c r="E35" i="3"/>
  <c r="E36" i="3"/>
  <c r="E37" i="3"/>
  <c r="K2" i="3"/>
  <c r="L2" i="3" s="1"/>
  <c r="L8" i="3"/>
  <c r="L7" i="3"/>
  <c r="E15" i="3"/>
  <c r="E16" i="3"/>
  <c r="E17" i="3"/>
  <c r="E18" i="3"/>
  <c r="E19" i="3"/>
  <c r="E20" i="3"/>
  <c r="E21" i="3"/>
  <c r="E22" i="3"/>
  <c r="E23" i="3"/>
  <c r="E24" i="3"/>
  <c r="E25" i="3"/>
  <c r="E14" i="3"/>
  <c r="W5" i="1"/>
  <c r="X5" i="1"/>
  <c r="Y5" i="1"/>
  <c r="Z5" i="1"/>
  <c r="AA5" i="1"/>
  <c r="AB5" i="1"/>
  <c r="AC5" i="1"/>
  <c r="AD5" i="1"/>
  <c r="AE5" i="1" s="1"/>
  <c r="AF5" i="1" s="1"/>
  <c r="AG5" i="1" s="1"/>
  <c r="AH5" i="1" s="1"/>
  <c r="W6" i="1"/>
  <c r="X6" i="1"/>
  <c r="Y6" i="1"/>
  <c r="Z6" i="1"/>
  <c r="AA6" i="1"/>
  <c r="AB6" i="1"/>
  <c r="AC6" i="1"/>
  <c r="AD6" i="1"/>
  <c r="AE6" i="1"/>
  <c r="AF6" i="1"/>
  <c r="AG6" i="1"/>
  <c r="AH6" i="1"/>
  <c r="W7" i="1"/>
  <c r="X7" i="1"/>
  <c r="Y7" i="1"/>
  <c r="Z7" i="1"/>
  <c r="AA7" i="1"/>
  <c r="AB7" i="1"/>
  <c r="AC7" i="1"/>
  <c r="AD7" i="1" s="1"/>
  <c r="AE7" i="1" s="1"/>
  <c r="AF7" i="1" s="1"/>
  <c r="AG7" i="1" s="1"/>
  <c r="AH7" i="1" s="1"/>
  <c r="W8" i="1"/>
  <c r="X8" i="1"/>
  <c r="Y8" i="1"/>
  <c r="Z8" i="1"/>
  <c r="AA8" i="1" s="1"/>
  <c r="AB8" i="1" s="1"/>
  <c r="AC8" i="1" s="1"/>
  <c r="AD8" i="1" s="1"/>
  <c r="AE8" i="1" s="1"/>
  <c r="AF8" i="1" s="1"/>
  <c r="AG8" i="1" s="1"/>
  <c r="AH8" i="1" s="1"/>
  <c r="W9" i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W10" i="1"/>
  <c r="X10" i="1"/>
  <c r="Y10" i="1"/>
  <c r="Z10" i="1"/>
  <c r="AA10" i="1"/>
  <c r="AB10" i="1"/>
  <c r="AC10" i="1"/>
  <c r="AD10" i="1"/>
  <c r="AE10" i="1"/>
  <c r="AF10" i="1"/>
  <c r="AG10" i="1"/>
  <c r="AH10" i="1"/>
  <c r="W11" i="1"/>
  <c r="X11" i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W12" i="1"/>
  <c r="X12" i="1"/>
  <c r="Y12" i="1"/>
  <c r="Z12" i="1"/>
  <c r="AA12" i="1"/>
  <c r="AB12" i="1"/>
  <c r="AC12" i="1"/>
  <c r="AD12" i="1"/>
  <c r="AE12" i="1"/>
  <c r="AF12" i="1"/>
  <c r="AG12" i="1"/>
  <c r="AH12" i="1"/>
  <c r="W13" i="1"/>
  <c r="X13" i="1"/>
  <c r="Y13" i="1"/>
  <c r="Z13" i="1"/>
  <c r="AA13" i="1"/>
  <c r="AB13" i="1"/>
  <c r="AC13" i="1"/>
  <c r="AD13" i="1"/>
  <c r="AE13" i="1"/>
  <c r="AF13" i="1"/>
  <c r="AG13" i="1"/>
  <c r="AH13" i="1"/>
  <c r="W14" i="1"/>
  <c r="X14" i="1"/>
  <c r="Y14" i="1"/>
  <c r="Z14" i="1" s="1"/>
  <c r="AA14" i="1" s="1"/>
  <c r="AB14" i="1" s="1"/>
  <c r="AC14" i="1" s="1"/>
  <c r="AD14" i="1" s="1"/>
  <c r="AE14" i="1" s="1"/>
  <c r="AF14" i="1" s="1"/>
  <c r="AG14" i="1" s="1"/>
  <c r="AH14" i="1" s="1"/>
  <c r="W15" i="1"/>
  <c r="X15" i="1"/>
  <c r="Y15" i="1"/>
  <c r="Z15" i="1"/>
  <c r="AA15" i="1"/>
  <c r="AB15" i="1"/>
  <c r="AC15" i="1"/>
  <c r="AD15" i="1"/>
  <c r="AE15" i="1"/>
  <c r="AF15" i="1"/>
  <c r="AG15" i="1"/>
  <c r="AH15" i="1"/>
  <c r="W16" i="1"/>
  <c r="X16" i="1"/>
  <c r="Y16" i="1"/>
  <c r="Z16" i="1"/>
  <c r="AA16" i="1"/>
  <c r="AB16" i="1" s="1"/>
  <c r="AC16" i="1" s="1"/>
  <c r="AD16" i="1" s="1"/>
  <c r="AE16" i="1" s="1"/>
  <c r="AF16" i="1" s="1"/>
  <c r="AG16" i="1" s="1"/>
  <c r="AH16" i="1"/>
  <c r="W17" i="1"/>
  <c r="X17" i="1"/>
  <c r="Y17" i="1"/>
  <c r="Z17" i="1"/>
  <c r="AA17" i="1"/>
  <c r="AB17" i="1"/>
  <c r="AC17" i="1"/>
  <c r="AD17" i="1"/>
  <c r="AE17" i="1"/>
  <c r="AF17" i="1"/>
  <c r="AG17" i="1"/>
  <c r="AH17" i="1"/>
  <c r="W18" i="1"/>
  <c r="X18" i="1"/>
  <c r="Y18" i="1"/>
  <c r="Z18" i="1"/>
  <c r="AA18" i="1"/>
  <c r="AB18" i="1"/>
  <c r="AC18" i="1"/>
  <c r="AD18" i="1"/>
  <c r="AE18" i="1"/>
  <c r="AF18" i="1"/>
  <c r="AG18" i="1"/>
  <c r="AH18" i="1"/>
  <c r="W19" i="1"/>
  <c r="X19" i="1"/>
  <c r="Y19" i="1"/>
  <c r="Z19" i="1"/>
  <c r="AA19" i="1"/>
  <c r="AB19" i="1"/>
  <c r="AC19" i="1"/>
  <c r="AD19" i="1"/>
  <c r="AE19" i="1"/>
  <c r="AF19" i="1"/>
  <c r="AG19" i="1"/>
  <c r="AH19" i="1"/>
  <c r="W20" i="1"/>
  <c r="X20" i="1"/>
  <c r="Y20" i="1"/>
  <c r="Z20" i="1"/>
  <c r="AA20" i="1" s="1"/>
  <c r="AB20" i="1" s="1"/>
  <c r="AC20" i="1" s="1"/>
  <c r="AD20" i="1" s="1"/>
  <c r="AE20" i="1" s="1"/>
  <c r="AF20" i="1" s="1"/>
  <c r="AG20" i="1" s="1"/>
  <c r="AH20" i="1" s="1"/>
  <c r="W21" i="1"/>
  <c r="X21" i="1"/>
  <c r="Y21" i="1"/>
  <c r="Z21" i="1"/>
  <c r="AA21" i="1"/>
  <c r="AB21" i="1"/>
  <c r="AC21" i="1"/>
  <c r="AD21" i="1"/>
  <c r="AE21" i="1"/>
  <c r="AF21" i="1"/>
  <c r="AG21" i="1"/>
  <c r="AH21" i="1"/>
  <c r="W22" i="1"/>
  <c r="X22" i="1"/>
  <c r="Y22" i="1"/>
  <c r="Z22" i="1"/>
  <c r="AA22" i="1"/>
  <c r="AB22" i="1"/>
  <c r="AC22" i="1"/>
  <c r="AD22" i="1"/>
  <c r="AE22" i="1"/>
  <c r="AF22" i="1"/>
  <c r="AG22" i="1"/>
  <c r="AH22" i="1"/>
  <c r="W23" i="1"/>
  <c r="X23" i="1"/>
  <c r="Y23" i="1"/>
  <c r="Z23" i="1"/>
  <c r="AA23" i="1"/>
  <c r="AB23" i="1"/>
  <c r="AC23" i="1"/>
  <c r="AD23" i="1"/>
  <c r="AE23" i="1" s="1"/>
  <c r="AF23" i="1" s="1"/>
  <c r="AG23" i="1" s="1"/>
  <c r="AH23" i="1" s="1"/>
  <c r="W24" i="1"/>
  <c r="X24" i="1"/>
  <c r="Y24" i="1"/>
  <c r="Z24" i="1" s="1"/>
  <c r="AA24" i="1" s="1"/>
  <c r="AB24" i="1" s="1"/>
  <c r="AC24" i="1" s="1"/>
  <c r="AD24" i="1" s="1"/>
  <c r="AE24" i="1" s="1"/>
  <c r="AF24" i="1" s="1"/>
  <c r="AG24" i="1" s="1"/>
  <c r="AH24" i="1" s="1"/>
  <c r="W25" i="1"/>
  <c r="X25" i="1"/>
  <c r="Y25" i="1"/>
  <c r="Z25" i="1"/>
  <c r="AA25" i="1"/>
  <c r="AB25" i="1"/>
  <c r="AC25" i="1"/>
  <c r="AD25" i="1"/>
  <c r="AE25" i="1"/>
  <c r="AF25" i="1"/>
  <c r="AG25" i="1"/>
  <c r="AH25" i="1"/>
  <c r="W26" i="1"/>
  <c r="X26" i="1"/>
  <c r="Y26" i="1"/>
  <c r="Z26" i="1"/>
  <c r="AA26" i="1" s="1"/>
  <c r="AB26" i="1" s="1"/>
  <c r="AC26" i="1" s="1"/>
  <c r="AD26" i="1" s="1"/>
  <c r="AE26" i="1" s="1"/>
  <c r="AF26" i="1" s="1"/>
  <c r="AG26" i="1" s="1"/>
  <c r="AH26" i="1" s="1"/>
  <c r="W27" i="1"/>
  <c r="X27" i="1"/>
  <c r="Y27" i="1"/>
  <c r="Z27" i="1"/>
  <c r="AA27" i="1"/>
  <c r="AB27" i="1"/>
  <c r="AC27" i="1"/>
  <c r="AD27" i="1"/>
  <c r="AE27" i="1"/>
  <c r="AF27" i="1"/>
  <c r="AG27" i="1"/>
  <c r="AH27" i="1"/>
  <c r="W28" i="1"/>
  <c r="X28" i="1"/>
  <c r="Y28" i="1"/>
  <c r="Z28" i="1"/>
  <c r="AA28" i="1"/>
  <c r="AB28" i="1"/>
  <c r="AC28" i="1"/>
  <c r="AD28" i="1"/>
  <c r="AE28" i="1"/>
  <c r="AF28" i="1"/>
  <c r="AG28" i="1"/>
  <c r="AH28" i="1"/>
  <c r="W29" i="1"/>
  <c r="X29" i="1"/>
  <c r="Y29" i="1"/>
  <c r="Z29" i="1"/>
  <c r="AA29" i="1"/>
  <c r="AB29" i="1"/>
  <c r="AC29" i="1"/>
  <c r="AD29" i="1"/>
  <c r="AE29" i="1" s="1"/>
  <c r="AF29" i="1" s="1"/>
  <c r="AG29" i="1" s="1"/>
  <c r="AH29" i="1" s="1"/>
  <c r="W30" i="1"/>
  <c r="X30" i="1"/>
  <c r="Y30" i="1"/>
  <c r="Z30" i="1"/>
  <c r="AA30" i="1"/>
  <c r="AB30" i="1"/>
  <c r="AC30" i="1"/>
  <c r="AD30" i="1"/>
  <c r="AE30" i="1" s="1"/>
  <c r="AF30" i="1" s="1"/>
  <c r="AG30" i="1" s="1"/>
  <c r="AH30" i="1" s="1"/>
  <c r="W31" i="1"/>
  <c r="X31" i="1"/>
  <c r="Y31" i="1"/>
  <c r="Z31" i="1"/>
  <c r="AA31" i="1"/>
  <c r="AB31" i="1"/>
  <c r="AC31" i="1"/>
  <c r="AD31" i="1"/>
  <c r="AE31" i="1"/>
  <c r="AF31" i="1"/>
  <c r="AG31" i="1"/>
  <c r="AH31" i="1"/>
  <c r="W32" i="1"/>
  <c r="X32" i="1"/>
  <c r="Y32" i="1"/>
  <c r="Z32" i="1"/>
  <c r="AA32" i="1"/>
  <c r="AB32" i="1" s="1"/>
  <c r="AC32" i="1" s="1"/>
  <c r="AD32" i="1" s="1"/>
  <c r="AE32" i="1" s="1"/>
  <c r="AF32" i="1" s="1"/>
  <c r="AG32" i="1" s="1"/>
  <c r="AH32" i="1" s="1"/>
  <c r="W33" i="1"/>
  <c r="X33" i="1"/>
  <c r="Y33" i="1"/>
  <c r="Z33" i="1"/>
  <c r="AA33" i="1"/>
  <c r="AB33" i="1"/>
  <c r="AC33" i="1"/>
  <c r="AD33" i="1"/>
  <c r="AE33" i="1"/>
  <c r="AF33" i="1"/>
  <c r="AG33" i="1"/>
  <c r="AH33" i="1"/>
  <c r="W34" i="1"/>
  <c r="X34" i="1"/>
  <c r="Y34" i="1"/>
  <c r="Z34" i="1"/>
  <c r="AA34" i="1"/>
  <c r="AB34" i="1"/>
  <c r="AC34" i="1"/>
  <c r="AD34" i="1"/>
  <c r="AE34" i="1"/>
  <c r="AF34" i="1"/>
  <c r="AG34" i="1"/>
  <c r="AH34" i="1"/>
  <c r="W35" i="1"/>
  <c r="X35" i="1"/>
  <c r="Y35" i="1"/>
  <c r="Z35" i="1"/>
  <c r="AA35" i="1"/>
  <c r="AB35" i="1"/>
  <c r="AC35" i="1"/>
  <c r="AD35" i="1"/>
  <c r="AE35" i="1"/>
  <c r="AF35" i="1"/>
  <c r="AG35" i="1" s="1"/>
  <c r="AH35" i="1" s="1"/>
  <c r="W36" i="1"/>
  <c r="X36" i="1"/>
  <c r="Y36" i="1"/>
  <c r="Z36" i="1"/>
  <c r="AA36" i="1"/>
  <c r="AB36" i="1"/>
  <c r="AC36" i="1"/>
  <c r="AD36" i="1"/>
  <c r="AE36" i="1"/>
  <c r="AF36" i="1"/>
  <c r="AG36" i="1"/>
  <c r="AH36" i="1"/>
  <c r="W37" i="1"/>
  <c r="X37" i="1"/>
  <c r="Y37" i="1"/>
  <c r="Z37" i="1"/>
  <c r="AA37" i="1"/>
  <c r="AB37" i="1"/>
  <c r="AC37" i="1"/>
  <c r="AD37" i="1"/>
  <c r="AE37" i="1"/>
  <c r="AF37" i="1"/>
  <c r="AG37" i="1"/>
  <c r="AH37" i="1"/>
  <c r="W38" i="1"/>
  <c r="X38" i="1"/>
  <c r="Y38" i="1"/>
  <c r="Z38" i="1"/>
  <c r="AA38" i="1"/>
  <c r="AB38" i="1"/>
  <c r="AC38" i="1"/>
  <c r="AD38" i="1"/>
  <c r="AE38" i="1"/>
  <c r="AF38" i="1"/>
  <c r="AG38" i="1"/>
  <c r="AH38" i="1"/>
  <c r="W39" i="1"/>
  <c r="X39" i="1"/>
  <c r="Y39" i="1"/>
  <c r="Z39" i="1"/>
  <c r="AA39" i="1"/>
  <c r="AB39" i="1"/>
  <c r="AC39" i="1"/>
  <c r="AD39" i="1"/>
  <c r="AE39" i="1"/>
  <c r="AF39" i="1"/>
  <c r="AG39" i="1"/>
  <c r="AH39" i="1"/>
  <c r="W40" i="1"/>
  <c r="X40" i="1"/>
  <c r="Y40" i="1"/>
  <c r="Z40" i="1"/>
  <c r="AA40" i="1" s="1"/>
  <c r="AB40" i="1" s="1"/>
  <c r="AC40" i="1" s="1"/>
  <c r="AD40" i="1" s="1"/>
  <c r="AE40" i="1" s="1"/>
  <c r="AF40" i="1" s="1"/>
  <c r="AG40" i="1" s="1"/>
  <c r="AH40" i="1"/>
  <c r="W41" i="1"/>
  <c r="X41" i="1"/>
  <c r="Y41" i="1"/>
  <c r="Z41" i="1"/>
  <c r="AA41" i="1" s="1"/>
  <c r="AB41" i="1" s="1"/>
  <c r="AC41" i="1"/>
  <c r="AD41" i="1" s="1"/>
  <c r="AE41" i="1" s="1"/>
  <c r="AF41" i="1" s="1"/>
  <c r="AG41" i="1" s="1"/>
  <c r="AH41" i="1" s="1"/>
  <c r="W42" i="1"/>
  <c r="X42" i="1"/>
  <c r="Y42" i="1"/>
  <c r="Z42" i="1" s="1"/>
  <c r="AA42" i="1" s="1"/>
  <c r="AB42" i="1" s="1"/>
  <c r="AC42" i="1" s="1"/>
  <c r="AD42" i="1" s="1"/>
  <c r="AE42" i="1" s="1"/>
  <c r="AF42" i="1" s="1"/>
  <c r="AG42" i="1" s="1"/>
  <c r="AH42" i="1" s="1"/>
  <c r="W43" i="1"/>
  <c r="X43" i="1"/>
  <c r="Y43" i="1"/>
  <c r="Z43" i="1"/>
  <c r="AA43" i="1"/>
  <c r="AB43" i="1"/>
  <c r="AC43" i="1"/>
  <c r="AD43" i="1"/>
  <c r="AE43" i="1" s="1"/>
  <c r="AF43" i="1" s="1"/>
  <c r="AG43" i="1" s="1"/>
  <c r="AH43" i="1" s="1"/>
  <c r="W44" i="1"/>
  <c r="X44" i="1"/>
  <c r="Y44" i="1"/>
  <c r="Z44" i="1"/>
  <c r="AA44" i="1"/>
  <c r="AB44" i="1"/>
  <c r="AC44" i="1"/>
  <c r="AD44" i="1"/>
  <c r="AE44" i="1"/>
  <c r="AF44" i="1"/>
  <c r="AG44" i="1"/>
  <c r="AH44" i="1"/>
  <c r="W45" i="1"/>
  <c r="X45" i="1"/>
  <c r="Y45" i="1"/>
  <c r="Z45" i="1"/>
  <c r="AA45" i="1"/>
  <c r="AB45" i="1"/>
  <c r="AC45" i="1"/>
  <c r="AD45" i="1" s="1"/>
  <c r="AE45" i="1" s="1"/>
  <c r="AF45" i="1" s="1"/>
  <c r="AG45" i="1" s="1"/>
  <c r="AH45" i="1" s="1"/>
  <c r="W46" i="1"/>
  <c r="X46" i="1"/>
  <c r="Y46" i="1"/>
  <c r="Z46" i="1"/>
  <c r="AA46" i="1"/>
  <c r="AB46" i="1"/>
  <c r="AC46" i="1"/>
  <c r="AD46" i="1"/>
  <c r="AE46" i="1"/>
  <c r="AF46" i="1"/>
  <c r="AG46" i="1"/>
  <c r="AH46" i="1"/>
  <c r="W47" i="1"/>
  <c r="X47" i="1" s="1"/>
  <c r="Y47" i="1"/>
  <c r="Z47" i="1" s="1"/>
  <c r="AA47" i="1" s="1"/>
  <c r="AB47" i="1" s="1"/>
  <c r="AC47" i="1" s="1"/>
  <c r="AD47" i="1" s="1"/>
  <c r="AE47" i="1" s="1"/>
  <c r="AF47" i="1" s="1"/>
  <c r="AG47" i="1" s="1"/>
  <c r="AH47" i="1" s="1"/>
  <c r="W48" i="1"/>
  <c r="X48" i="1"/>
  <c r="Y48" i="1"/>
  <c r="Z48" i="1"/>
  <c r="AA48" i="1"/>
  <c r="AB48" i="1"/>
  <c r="AC48" i="1"/>
  <c r="AD48" i="1"/>
  <c r="AE48" i="1"/>
  <c r="AF48" i="1"/>
  <c r="AG48" i="1"/>
  <c r="AH48" i="1"/>
  <c r="W49" i="1"/>
  <c r="X49" i="1"/>
  <c r="Y49" i="1"/>
  <c r="Z49" i="1"/>
  <c r="AA49" i="1"/>
  <c r="AB49" i="1"/>
  <c r="AC49" i="1"/>
  <c r="AD49" i="1"/>
  <c r="AE49" i="1"/>
  <c r="AF49" i="1"/>
  <c r="AG49" i="1"/>
  <c r="AH49" i="1"/>
  <c r="W50" i="1"/>
  <c r="X50" i="1"/>
  <c r="Y50" i="1"/>
  <c r="Z50" i="1"/>
  <c r="AA50" i="1"/>
  <c r="AB50" i="1"/>
  <c r="AC50" i="1"/>
  <c r="AD50" i="1"/>
  <c r="AE50" i="1"/>
  <c r="AF50" i="1"/>
  <c r="AG50" i="1"/>
  <c r="AH50" i="1"/>
  <c r="W51" i="1"/>
  <c r="X51" i="1"/>
  <c r="Y51" i="1"/>
  <c r="Z51" i="1"/>
  <c r="AA51" i="1"/>
  <c r="AB51" i="1"/>
  <c r="AC51" i="1"/>
  <c r="AD51" i="1"/>
  <c r="AE51" i="1"/>
  <c r="AF51" i="1"/>
  <c r="AG51" i="1"/>
  <c r="AH51" i="1"/>
  <c r="W52" i="1"/>
  <c r="X52" i="1"/>
  <c r="Y52" i="1"/>
  <c r="Z52" i="1"/>
  <c r="AA52" i="1"/>
  <c r="AB52" i="1"/>
  <c r="AC52" i="1"/>
  <c r="AD52" i="1"/>
  <c r="AE52" i="1"/>
  <c r="AF52" i="1"/>
  <c r="AG52" i="1"/>
  <c r="AH52" i="1"/>
  <c r="W53" i="1"/>
  <c r="X53" i="1"/>
  <c r="Y53" i="1"/>
  <c r="Z53" i="1"/>
  <c r="AA53" i="1"/>
  <c r="AB53" i="1"/>
  <c r="AC53" i="1"/>
  <c r="AD53" i="1"/>
  <c r="AE53" i="1"/>
  <c r="AF53" i="1"/>
  <c r="AG53" i="1"/>
  <c r="AH53" i="1"/>
  <c r="W54" i="1"/>
  <c r="X54" i="1"/>
  <c r="Y54" i="1"/>
  <c r="Z54" i="1"/>
  <c r="AA54" i="1"/>
  <c r="AB54" i="1"/>
  <c r="AC54" i="1"/>
  <c r="AD54" i="1"/>
  <c r="AE54" i="1"/>
  <c r="AF54" i="1"/>
  <c r="AG54" i="1"/>
  <c r="AH54" i="1"/>
  <c r="W55" i="1"/>
  <c r="X55" i="1"/>
  <c r="Y55" i="1"/>
  <c r="Z55" i="1"/>
  <c r="AA55" i="1"/>
  <c r="AB55" i="1"/>
  <c r="AC55" i="1"/>
  <c r="AD55" i="1"/>
  <c r="AE55" i="1"/>
  <c r="AF55" i="1"/>
  <c r="AG55" i="1"/>
  <c r="AH55" i="1"/>
  <c r="W56" i="1"/>
  <c r="X56" i="1"/>
  <c r="Y56" i="1"/>
  <c r="Z56" i="1" s="1"/>
  <c r="AA56" i="1" s="1"/>
  <c r="AB56" i="1" s="1"/>
  <c r="AC56" i="1" s="1"/>
  <c r="AD56" i="1" s="1"/>
  <c r="AE56" i="1" s="1"/>
  <c r="AF56" i="1" s="1"/>
  <c r="AG56" i="1" s="1"/>
  <c r="AH56" i="1" s="1"/>
  <c r="W57" i="1"/>
  <c r="X57" i="1"/>
  <c r="Y57" i="1"/>
  <c r="Z57" i="1"/>
  <c r="AA57" i="1"/>
  <c r="AB57" i="1"/>
  <c r="AC57" i="1"/>
  <c r="AD57" i="1"/>
  <c r="AE57" i="1" s="1"/>
  <c r="AF57" i="1" s="1"/>
  <c r="AG57" i="1" s="1"/>
  <c r="AH57" i="1" s="1"/>
  <c r="W58" i="1"/>
  <c r="X58" i="1"/>
  <c r="Y58" i="1"/>
  <c r="Z58" i="1"/>
  <c r="AA58" i="1"/>
  <c r="AB58" i="1"/>
  <c r="AC58" i="1"/>
  <c r="AD58" i="1"/>
  <c r="AE58" i="1"/>
  <c r="AF58" i="1"/>
  <c r="AG58" i="1"/>
  <c r="AH58" i="1"/>
  <c r="W59" i="1"/>
  <c r="X59" i="1"/>
  <c r="Y59" i="1"/>
  <c r="Z59" i="1"/>
  <c r="AA59" i="1"/>
  <c r="AB59" i="1"/>
  <c r="AC59" i="1"/>
  <c r="AD59" i="1"/>
  <c r="AE59" i="1"/>
  <c r="AF59" i="1"/>
  <c r="AG59" i="1"/>
  <c r="AH59" i="1"/>
  <c r="W60" i="1"/>
  <c r="X60" i="1"/>
  <c r="Y60" i="1"/>
  <c r="Z60" i="1"/>
  <c r="AA60" i="1"/>
  <c r="AB60" i="1"/>
  <c r="AC60" i="1"/>
  <c r="AD60" i="1"/>
  <c r="AE60" i="1"/>
  <c r="AF60" i="1"/>
  <c r="AG60" i="1"/>
  <c r="AH60" i="1"/>
  <c r="W61" i="1"/>
  <c r="X61" i="1"/>
  <c r="Y61" i="1"/>
  <c r="Z61" i="1"/>
  <c r="AA61" i="1"/>
  <c r="AB61" i="1"/>
  <c r="AC61" i="1"/>
  <c r="AD61" i="1"/>
  <c r="AE61" i="1"/>
  <c r="AF61" i="1"/>
  <c r="AG61" i="1"/>
  <c r="AH61" i="1"/>
  <c r="W62" i="1"/>
  <c r="X62" i="1"/>
  <c r="Y62" i="1"/>
  <c r="Z62" i="1" s="1"/>
  <c r="AA62" i="1" s="1"/>
  <c r="AB62" i="1" s="1"/>
  <c r="AC62" i="1" s="1"/>
  <c r="AD62" i="1" s="1"/>
  <c r="AE62" i="1" s="1"/>
  <c r="AF62" i="1" s="1"/>
  <c r="AG62" i="1" s="1"/>
  <c r="AH62" i="1" s="1"/>
  <c r="W63" i="1"/>
  <c r="X63" i="1"/>
  <c r="Y63" i="1"/>
  <c r="Z63" i="1"/>
  <c r="AA63" i="1"/>
  <c r="AB63" i="1"/>
  <c r="AC63" i="1"/>
  <c r="AD63" i="1"/>
  <c r="AE63" i="1"/>
  <c r="AF63" i="1"/>
  <c r="AG63" i="1"/>
  <c r="AH63" i="1"/>
  <c r="W64" i="1"/>
  <c r="X64" i="1"/>
  <c r="Y64" i="1"/>
  <c r="Z64" i="1"/>
  <c r="AA64" i="1"/>
  <c r="AB64" i="1"/>
  <c r="AC64" i="1"/>
  <c r="AD64" i="1" s="1"/>
  <c r="AE64" i="1" s="1"/>
  <c r="AF64" i="1" s="1"/>
  <c r="AG64" i="1"/>
  <c r="AH64" i="1" s="1"/>
  <c r="W65" i="1"/>
  <c r="X65" i="1"/>
  <c r="Y65" i="1"/>
  <c r="Z65" i="1"/>
  <c r="AA65" i="1"/>
  <c r="AB65" i="1"/>
  <c r="AC65" i="1"/>
  <c r="AD65" i="1" s="1"/>
  <c r="AE65" i="1" s="1"/>
  <c r="AF65" i="1" s="1"/>
  <c r="AG65" i="1" s="1"/>
  <c r="AH65" i="1" s="1"/>
  <c r="W66" i="1"/>
  <c r="X66" i="1"/>
  <c r="Y66" i="1"/>
  <c r="Z66" i="1"/>
  <c r="AA66" i="1" s="1"/>
  <c r="AB66" i="1" s="1"/>
  <c r="AC66" i="1"/>
  <c r="AD66" i="1" s="1"/>
  <c r="AE66" i="1" s="1"/>
  <c r="AF66" i="1" s="1"/>
  <c r="AG66" i="1"/>
  <c r="AH66" i="1" s="1"/>
  <c r="W67" i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W68" i="1"/>
  <c r="X68" i="1"/>
  <c r="Y68" i="1"/>
  <c r="Z68" i="1"/>
  <c r="AA68" i="1"/>
  <c r="AB68" i="1"/>
  <c r="AC68" i="1"/>
  <c r="AD68" i="1"/>
  <c r="AE68" i="1"/>
  <c r="AF68" i="1"/>
  <c r="AG68" i="1"/>
  <c r="AH68" i="1"/>
  <c r="W69" i="1"/>
  <c r="X69" i="1"/>
  <c r="Y69" i="1"/>
  <c r="Z69" i="1" s="1"/>
  <c r="AA69" i="1" s="1"/>
  <c r="AB69" i="1" s="1"/>
  <c r="AC69" i="1" s="1"/>
  <c r="AD69" i="1" s="1"/>
  <c r="AE69" i="1" s="1"/>
  <c r="AF69" i="1" s="1"/>
  <c r="AG69" i="1"/>
  <c r="AH69" i="1" s="1"/>
  <c r="W70" i="1"/>
  <c r="X70" i="1"/>
  <c r="Y70" i="1"/>
  <c r="Z70" i="1"/>
  <c r="AA70" i="1" s="1"/>
  <c r="AB70" i="1" s="1"/>
  <c r="AC70" i="1" s="1"/>
  <c r="AD70" i="1" s="1"/>
  <c r="AE70" i="1" s="1"/>
  <c r="AF70" i="1" s="1"/>
  <c r="AG70" i="1" s="1"/>
  <c r="AH70" i="1" s="1"/>
  <c r="W71" i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W72" i="1"/>
  <c r="X72" i="1"/>
  <c r="Y72" i="1"/>
  <c r="Z72" i="1"/>
  <c r="AA72" i="1"/>
  <c r="AB72" i="1"/>
  <c r="AC72" i="1"/>
  <c r="AD72" i="1"/>
  <c r="AE72" i="1"/>
  <c r="AF72" i="1"/>
  <c r="AG72" i="1"/>
  <c r="AH72" i="1"/>
  <c r="W73" i="1"/>
  <c r="X73" i="1" s="1"/>
  <c r="Y73" i="1"/>
  <c r="Z73" i="1" s="1"/>
  <c r="AA73" i="1" s="1"/>
  <c r="AB73" i="1" s="1"/>
  <c r="AC73" i="1" s="1"/>
  <c r="AD73" i="1" s="1"/>
  <c r="AE73" i="1" s="1"/>
  <c r="AF73" i="1" s="1"/>
  <c r="AG73" i="1" s="1"/>
  <c r="AH73" i="1" s="1"/>
  <c r="W74" i="1"/>
  <c r="X74" i="1"/>
  <c r="Y74" i="1"/>
  <c r="Z74" i="1"/>
  <c r="AA74" i="1"/>
  <c r="AB74" i="1"/>
  <c r="AC74" i="1"/>
  <c r="AD74" i="1"/>
  <c r="AE74" i="1"/>
  <c r="AF74" i="1"/>
  <c r="AG74" i="1"/>
  <c r="AH74" i="1"/>
  <c r="W75" i="1"/>
  <c r="X75" i="1"/>
  <c r="Y75" i="1"/>
  <c r="Z75" i="1"/>
  <c r="AA75" i="1"/>
  <c r="AB75" i="1"/>
  <c r="AC75" i="1"/>
  <c r="AD75" i="1"/>
  <c r="AE75" i="1"/>
  <c r="AF75" i="1"/>
  <c r="AG75" i="1"/>
  <c r="AH75" i="1"/>
  <c r="W76" i="1"/>
  <c r="X76" i="1"/>
  <c r="Y76" i="1"/>
  <c r="Z76" i="1"/>
  <c r="AA76" i="1"/>
  <c r="AB76" i="1"/>
  <c r="AC76" i="1"/>
  <c r="AD76" i="1"/>
  <c r="AE76" i="1"/>
  <c r="AF76" i="1"/>
  <c r="AG76" i="1"/>
  <c r="AH76" i="1"/>
  <c r="W77" i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W78" i="1"/>
  <c r="X78" i="1"/>
  <c r="Y78" i="1"/>
  <c r="Z78" i="1"/>
  <c r="AA78" i="1"/>
  <c r="AB78" i="1" s="1"/>
  <c r="AC78" i="1"/>
  <c r="AD78" i="1" s="1"/>
  <c r="AE78" i="1" s="1"/>
  <c r="AF78" i="1" s="1"/>
  <c r="AG78" i="1" s="1"/>
  <c r="AH78" i="1" s="1"/>
  <c r="W79" i="1"/>
  <c r="X79" i="1" s="1"/>
  <c r="Y79" i="1"/>
  <c r="Z79" i="1" s="1"/>
  <c r="AA79" i="1" s="1"/>
  <c r="AB79" i="1" s="1"/>
  <c r="AC79" i="1" s="1"/>
  <c r="AD79" i="1" s="1"/>
  <c r="AE79" i="1" s="1"/>
  <c r="AF79" i="1" s="1"/>
  <c r="AG79" i="1" s="1"/>
  <c r="AH79" i="1" s="1"/>
  <c r="W80" i="1"/>
  <c r="X80" i="1"/>
  <c r="Y80" i="1"/>
  <c r="Z80" i="1"/>
  <c r="AA80" i="1" s="1"/>
  <c r="AB80" i="1" s="1"/>
  <c r="AC80" i="1"/>
  <c r="AD80" i="1" s="1"/>
  <c r="AE80" i="1" s="1"/>
  <c r="AF80" i="1" s="1"/>
  <c r="AG80" i="1" s="1"/>
  <c r="AH80" i="1" s="1"/>
  <c r="W81" i="1"/>
  <c r="X81" i="1"/>
  <c r="Y81" i="1"/>
  <c r="Z81" i="1"/>
  <c r="AA81" i="1"/>
  <c r="AB81" i="1"/>
  <c r="AC81" i="1"/>
  <c r="AD81" i="1"/>
  <c r="AE81" i="1"/>
  <c r="AF81" i="1"/>
  <c r="AG81" i="1"/>
  <c r="AH81" i="1"/>
  <c r="W82" i="1"/>
  <c r="X82" i="1"/>
  <c r="Y82" i="1"/>
  <c r="Z82" i="1"/>
  <c r="AA82" i="1" s="1"/>
  <c r="AB82" i="1" s="1"/>
  <c r="AC82" i="1" s="1"/>
  <c r="AD82" i="1" s="1"/>
  <c r="AE82" i="1" s="1"/>
  <c r="AF82" i="1" s="1"/>
  <c r="AG82" i="1" s="1"/>
  <c r="AH82" i="1" s="1"/>
  <c r="W83" i="1"/>
  <c r="X83" i="1" s="1"/>
  <c r="Y83" i="1"/>
  <c r="Z83" i="1" s="1"/>
  <c r="AA83" i="1" s="1"/>
  <c r="AB83" i="1" s="1"/>
  <c r="AC83" i="1"/>
  <c r="AD83" i="1" s="1"/>
  <c r="AE83" i="1" s="1"/>
  <c r="AF83" i="1" s="1"/>
  <c r="AG83" i="1" s="1"/>
  <c r="AH83" i="1" s="1"/>
  <c r="W84" i="1"/>
  <c r="X84" i="1"/>
  <c r="Y84" i="1"/>
  <c r="Z84" i="1" s="1"/>
  <c r="AA84" i="1" s="1"/>
  <c r="AB84" i="1" s="1"/>
  <c r="AC84" i="1" s="1"/>
  <c r="AD84" i="1" s="1"/>
  <c r="AE84" i="1" s="1"/>
  <c r="AF84" i="1" s="1"/>
  <c r="AG84" i="1" s="1"/>
  <c r="AH84" i="1" s="1"/>
  <c r="W85" i="1"/>
  <c r="X85" i="1"/>
  <c r="Y85" i="1"/>
  <c r="Z85" i="1"/>
  <c r="AA85" i="1"/>
  <c r="AB85" i="1"/>
  <c r="AC85" i="1"/>
  <c r="AD85" i="1" s="1"/>
  <c r="AE85" i="1" s="1"/>
  <c r="AF85" i="1" s="1"/>
  <c r="AG85" i="1" s="1"/>
  <c r="AH85" i="1" s="1"/>
  <c r="W86" i="1"/>
  <c r="X86" i="1"/>
  <c r="Y86" i="1"/>
  <c r="Z86" i="1"/>
  <c r="AA86" i="1"/>
  <c r="AB86" i="1"/>
  <c r="AC86" i="1"/>
  <c r="AD86" i="1"/>
  <c r="AE86" i="1"/>
  <c r="AF86" i="1"/>
  <c r="AG86" i="1"/>
  <c r="AH86" i="1"/>
  <c r="W87" i="1"/>
  <c r="X87" i="1"/>
  <c r="Y87" i="1"/>
  <c r="Z87" i="1" s="1"/>
  <c r="AA87" i="1" s="1"/>
  <c r="AB87" i="1" s="1"/>
  <c r="AC87" i="1"/>
  <c r="AD87" i="1" s="1"/>
  <c r="AE87" i="1" s="1"/>
  <c r="AF87" i="1" s="1"/>
  <c r="AG87" i="1" s="1"/>
  <c r="AH87" i="1" s="1"/>
  <c r="W88" i="1"/>
  <c r="X88" i="1"/>
  <c r="Y88" i="1"/>
  <c r="Z88" i="1"/>
  <c r="AA88" i="1" s="1"/>
  <c r="AB88" i="1" s="1"/>
  <c r="AC88" i="1" s="1"/>
  <c r="AD88" i="1" s="1"/>
  <c r="AE88" i="1" s="1"/>
  <c r="AF88" i="1" s="1"/>
  <c r="AG88" i="1" s="1"/>
  <c r="AH88" i="1" s="1"/>
  <c r="W89" i="1"/>
  <c r="X89" i="1"/>
  <c r="Y89" i="1"/>
  <c r="Z89" i="1"/>
  <c r="AA89" i="1"/>
  <c r="AB89" i="1"/>
  <c r="AC89" i="1"/>
  <c r="AD89" i="1"/>
  <c r="AE89" i="1"/>
  <c r="AF89" i="1"/>
  <c r="AG89" i="1"/>
  <c r="AH89" i="1"/>
  <c r="W90" i="1"/>
  <c r="X90" i="1"/>
  <c r="Y90" i="1"/>
  <c r="Z90" i="1"/>
  <c r="AA90" i="1"/>
  <c r="AB90" i="1"/>
  <c r="AC90" i="1"/>
  <c r="AD90" i="1"/>
  <c r="AE90" i="1"/>
  <c r="AF90" i="1"/>
  <c r="AG90" i="1"/>
  <c r="AH90" i="1" s="1"/>
  <c r="W91" i="1"/>
  <c r="X91" i="1"/>
  <c r="Y91" i="1"/>
  <c r="Z91" i="1"/>
  <c r="AA91" i="1"/>
  <c r="AB91" i="1"/>
  <c r="AC91" i="1"/>
  <c r="AD91" i="1"/>
  <c r="AE91" i="1"/>
  <c r="AF91" i="1"/>
  <c r="AG91" i="1"/>
  <c r="AH91" i="1"/>
  <c r="W92" i="1"/>
  <c r="X92" i="1"/>
  <c r="Y92" i="1"/>
  <c r="Z92" i="1"/>
  <c r="AA92" i="1"/>
  <c r="AB92" i="1"/>
  <c r="AC92" i="1"/>
  <c r="AD92" i="1"/>
  <c r="AE92" i="1"/>
  <c r="AF92" i="1"/>
  <c r="AG92" i="1"/>
  <c r="AH92" i="1" s="1"/>
  <c r="W93" i="1"/>
  <c r="X93" i="1"/>
  <c r="Y93" i="1"/>
  <c r="Z93" i="1"/>
  <c r="AA93" i="1"/>
  <c r="AB93" i="1"/>
  <c r="AC93" i="1"/>
  <c r="AD93" i="1"/>
  <c r="AE93" i="1"/>
  <c r="AF93" i="1"/>
  <c r="AG93" i="1"/>
  <c r="AH93" i="1"/>
  <c r="W94" i="1"/>
  <c r="X94" i="1"/>
  <c r="Y94" i="1"/>
  <c r="Z94" i="1"/>
  <c r="AA94" i="1"/>
  <c r="AB94" i="1"/>
  <c r="AC94" i="1"/>
  <c r="AD94" i="1"/>
  <c r="AE94" i="1"/>
  <c r="AF94" i="1"/>
  <c r="AG94" i="1"/>
  <c r="AH94" i="1"/>
  <c r="W95" i="1"/>
  <c r="X95" i="1"/>
  <c r="Y95" i="1"/>
  <c r="Z95" i="1"/>
  <c r="AA95" i="1"/>
  <c r="AB95" i="1"/>
  <c r="AC95" i="1"/>
  <c r="AD95" i="1"/>
  <c r="AE95" i="1"/>
  <c r="AF95" i="1"/>
  <c r="AG95" i="1"/>
  <c r="AH95" i="1"/>
  <c r="W96" i="1"/>
  <c r="X96" i="1"/>
  <c r="Y96" i="1"/>
  <c r="Z96" i="1" s="1"/>
  <c r="AA96" i="1" s="1"/>
  <c r="AB96" i="1" s="1"/>
  <c r="AC96" i="1" s="1"/>
  <c r="AD96" i="1" s="1"/>
  <c r="AE96" i="1" s="1"/>
  <c r="AF96" i="1" s="1"/>
  <c r="AG96" i="1" s="1"/>
  <c r="AH96" i="1" s="1"/>
  <c r="W97" i="1"/>
  <c r="X97" i="1"/>
  <c r="Y97" i="1"/>
  <c r="Z97" i="1"/>
  <c r="AA97" i="1"/>
  <c r="AB97" i="1"/>
  <c r="AC97" i="1"/>
  <c r="AD97" i="1"/>
  <c r="AE97" i="1"/>
  <c r="AF97" i="1"/>
  <c r="AG97" i="1"/>
  <c r="AH97" i="1"/>
  <c r="W98" i="1"/>
  <c r="X98" i="1"/>
  <c r="Y98" i="1"/>
  <c r="Z98" i="1"/>
  <c r="AA98" i="1" s="1"/>
  <c r="AB98" i="1" s="1"/>
  <c r="AC98" i="1" s="1"/>
  <c r="AD98" i="1" s="1"/>
  <c r="AE98" i="1" s="1"/>
  <c r="AF98" i="1" s="1"/>
  <c r="AG98" i="1" s="1"/>
  <c r="AH98" i="1" s="1"/>
  <c r="W99" i="1"/>
  <c r="X99" i="1"/>
  <c r="Y99" i="1"/>
  <c r="Z99" i="1"/>
  <c r="AA99" i="1" s="1"/>
  <c r="AB99" i="1" s="1"/>
  <c r="AC99" i="1"/>
  <c r="AD99" i="1" s="1"/>
  <c r="AE99" i="1" s="1"/>
  <c r="AF99" i="1" s="1"/>
  <c r="AG99" i="1"/>
  <c r="AH99" i="1" s="1"/>
  <c r="W100" i="1"/>
  <c r="X100" i="1"/>
  <c r="Y100" i="1"/>
  <c r="Z100" i="1"/>
  <c r="AA100" i="1" s="1"/>
  <c r="AB100" i="1" s="1"/>
  <c r="AC100" i="1" s="1"/>
  <c r="AD100" i="1" s="1"/>
  <c r="AE100" i="1" s="1"/>
  <c r="AF100" i="1" s="1"/>
  <c r="AG100" i="1" s="1"/>
  <c r="AH100" i="1" s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W102" i="1"/>
  <c r="X102" i="1"/>
  <c r="Y102" i="1"/>
  <c r="Z102" i="1"/>
  <c r="AA102" i="1"/>
  <c r="AB102" i="1" s="1"/>
  <c r="AC102" i="1" s="1"/>
  <c r="AD102" i="1" s="1"/>
  <c r="AE102" i="1" s="1"/>
  <c r="AF102" i="1" s="1"/>
  <c r="AG102" i="1" s="1"/>
  <c r="AH102" i="1" s="1"/>
  <c r="W103" i="1"/>
  <c r="X103" i="1"/>
  <c r="Y103" i="1"/>
  <c r="Z103" i="1" s="1"/>
  <c r="AA103" i="1" s="1"/>
  <c r="AB103" i="1" s="1"/>
  <c r="AC103" i="1" s="1"/>
  <c r="AD103" i="1" s="1"/>
  <c r="AE103" i="1" s="1"/>
  <c r="AF103" i="1" s="1"/>
  <c r="AG103" i="1" s="1"/>
  <c r="AH103" i="1" s="1"/>
  <c r="W104" i="1"/>
  <c r="X104" i="1"/>
  <c r="Y104" i="1"/>
  <c r="Z104" i="1" s="1"/>
  <c r="AA104" i="1" s="1"/>
  <c r="AB104" i="1" s="1"/>
  <c r="AC104" i="1" s="1"/>
  <c r="AD104" i="1" s="1"/>
  <c r="AE104" i="1" s="1"/>
  <c r="AF104" i="1" s="1"/>
  <c r="AG104" i="1" s="1"/>
  <c r="AH104" i="1"/>
  <c r="W105" i="1"/>
  <c r="X105" i="1"/>
  <c r="Y105" i="1"/>
  <c r="Z105" i="1" s="1"/>
  <c r="AA105" i="1" s="1"/>
  <c r="AB105" i="1" s="1"/>
  <c r="AC105" i="1"/>
  <c r="AD105" i="1" s="1"/>
  <c r="AE105" i="1" s="1"/>
  <c r="AF105" i="1" s="1"/>
  <c r="AG105" i="1" s="1"/>
  <c r="AH105" i="1" s="1"/>
  <c r="W106" i="1"/>
  <c r="X106" i="1"/>
  <c r="Y106" i="1"/>
  <c r="Z106" i="1"/>
  <c r="AA106" i="1" s="1"/>
  <c r="AB106" i="1" s="1"/>
  <c r="AC106" i="1" s="1"/>
  <c r="AD106" i="1" s="1"/>
  <c r="AE106" i="1" s="1"/>
  <c r="AF106" i="1" s="1"/>
  <c r="AG106" i="1" s="1"/>
  <c r="AH106" i="1" s="1"/>
  <c r="W107" i="1"/>
  <c r="X107" i="1"/>
  <c r="Y107" i="1"/>
  <c r="Z107" i="1"/>
  <c r="AA107" i="1" s="1"/>
  <c r="AB107" i="1" s="1"/>
  <c r="AC107" i="1"/>
  <c r="AD107" i="1" s="1"/>
  <c r="AE107" i="1" s="1"/>
  <c r="AF107" i="1" s="1"/>
  <c r="AG107" i="1" s="1"/>
  <c r="AH107" i="1" s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W114" i="1"/>
  <c r="X114" i="1"/>
  <c r="Y114" i="1"/>
  <c r="Z114" i="1"/>
  <c r="AA114" i="1"/>
  <c r="AB114" i="1"/>
  <c r="AC114" i="1"/>
  <c r="AD114" i="1"/>
  <c r="AE114" i="1"/>
  <c r="AF114" i="1" s="1"/>
  <c r="AG114" i="1"/>
  <c r="AH114" i="1" s="1"/>
  <c r="W115" i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W116" i="1"/>
  <c r="X116" i="1" s="1"/>
  <c r="Y116" i="1"/>
  <c r="Z116" i="1" s="1"/>
  <c r="AA116" i="1" s="1"/>
  <c r="AB116" i="1" s="1"/>
  <c r="AC116" i="1"/>
  <c r="AD116" i="1" s="1"/>
  <c r="AE116" i="1" s="1"/>
  <c r="AF116" i="1" s="1"/>
  <c r="AG116" i="1" s="1"/>
  <c r="AH116" i="1" s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W119" i="1"/>
  <c r="X119" i="1" s="1"/>
  <c r="Y119" i="1"/>
  <c r="Z119" i="1" s="1"/>
  <c r="AA119" i="1" s="1"/>
  <c r="AB119" i="1" s="1"/>
  <c r="AC119" i="1" s="1"/>
  <c r="AD119" i="1" s="1"/>
  <c r="AE119" i="1" s="1"/>
  <c r="AF119" i="1" s="1"/>
  <c r="AG119" i="1" s="1"/>
  <c r="AH119" i="1" s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W121" i="1"/>
  <c r="X121" i="1"/>
  <c r="Y121" i="1"/>
  <c r="Z121" i="1"/>
  <c r="AA121" i="1"/>
  <c r="AB121" i="1"/>
  <c r="AC121" i="1"/>
  <c r="AD121" i="1"/>
  <c r="AE121" i="1"/>
  <c r="AF121" i="1"/>
  <c r="AG121" i="1"/>
  <c r="AH121" i="1" s="1"/>
  <c r="W122" i="1"/>
  <c r="X122" i="1"/>
  <c r="Y122" i="1"/>
  <c r="Z122" i="1"/>
  <c r="AA122" i="1"/>
  <c r="AB122" i="1"/>
  <c r="AC122" i="1"/>
  <c r="AD122" i="1"/>
  <c r="AE122" i="1"/>
  <c r="AF122" i="1" s="1"/>
  <c r="AG122" i="1"/>
  <c r="AH122" i="1" s="1"/>
  <c r="W123" i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W128" i="1"/>
  <c r="X128" i="1" s="1"/>
  <c r="Y128" i="1"/>
  <c r="Z128" i="1" s="1"/>
  <c r="AA128" i="1" s="1"/>
  <c r="AB128" i="1" s="1"/>
  <c r="AC128" i="1" s="1"/>
  <c r="AD128" i="1" s="1"/>
  <c r="AE128" i="1" s="1"/>
  <c r="AF128" i="1" s="1"/>
  <c r="AG128" i="1" s="1"/>
  <c r="AH128" i="1" s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W133" i="1"/>
  <c r="X133" i="1"/>
  <c r="Y133" i="1"/>
  <c r="Z133" i="1"/>
  <c r="AA133" i="1"/>
  <c r="AB133" i="1"/>
  <c r="AC133" i="1"/>
  <c r="AD133" i="1"/>
  <c r="AE133" i="1"/>
  <c r="AF133" i="1"/>
  <c r="AG133" i="1"/>
  <c r="AH133" i="1" s="1"/>
  <c r="W134" i="1"/>
  <c r="X134" i="1"/>
  <c r="Y134" i="1"/>
  <c r="Z134" i="1"/>
  <c r="AA134" i="1"/>
  <c r="AB134" i="1" s="1"/>
  <c r="AC134" i="1" s="1"/>
  <c r="AD134" i="1" s="1"/>
  <c r="AE134" i="1" s="1"/>
  <c r="AF134" i="1" s="1"/>
  <c r="AG134" i="1" s="1"/>
  <c r="AH134" i="1" s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W138" i="1"/>
  <c r="X138" i="1"/>
  <c r="Y138" i="1"/>
  <c r="Z138" i="1"/>
  <c r="AA138" i="1"/>
  <c r="AB138" i="1"/>
  <c r="AC138" i="1"/>
  <c r="AD138" i="1"/>
  <c r="AE138" i="1"/>
  <c r="AF138" i="1" s="1"/>
  <c r="AG138" i="1" s="1"/>
  <c r="AH138" i="1" s="1"/>
  <c r="W139" i="1"/>
  <c r="X139" i="1" s="1"/>
  <c r="Y139" i="1"/>
  <c r="Z139" i="1" s="1"/>
  <c r="AA139" i="1" s="1"/>
  <c r="AB139" i="1" s="1"/>
  <c r="AC139" i="1" s="1"/>
  <c r="AD139" i="1" s="1"/>
  <c r="AE139" i="1" s="1"/>
  <c r="AF139" i="1" s="1"/>
  <c r="AG139" i="1" s="1"/>
  <c r="AH139" i="1" s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W143" i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W146" i="1"/>
  <c r="X146" i="1" s="1"/>
  <c r="Y146" i="1"/>
  <c r="Z146" i="1"/>
  <c r="AA146" i="1" s="1"/>
  <c r="AB146" i="1" s="1"/>
  <c r="AC146" i="1"/>
  <c r="AD146" i="1" s="1"/>
  <c r="AE146" i="1" s="1"/>
  <c r="AF146" i="1" s="1"/>
  <c r="AG146" i="1" s="1"/>
  <c r="AH146" i="1" s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W148" i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W150" i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W152" i="1"/>
  <c r="X152" i="1"/>
  <c r="Y152" i="1"/>
  <c r="Z152" i="1"/>
  <c r="AA152" i="1" s="1"/>
  <c r="AB152" i="1" s="1"/>
  <c r="AC152" i="1" s="1"/>
  <c r="AD152" i="1" s="1"/>
  <c r="AE152" i="1" s="1"/>
  <c r="AF152" i="1" s="1"/>
  <c r="AG152" i="1" s="1"/>
  <c r="AH152" i="1" s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W156" i="1"/>
  <c r="X156" i="1" s="1"/>
  <c r="Y156" i="1" s="1"/>
  <c r="Z156" i="1" s="1"/>
  <c r="AA156" i="1" s="1"/>
  <c r="AB156" i="1" s="1"/>
  <c r="AC156" i="1" s="1"/>
  <c r="AD156" i="1" s="1"/>
  <c r="AE156" i="1" s="1"/>
  <c r="AF156" i="1" s="1"/>
  <c r="AG156" i="1" s="1"/>
  <c r="AH156" i="1" s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W159" i="1"/>
  <c r="X159" i="1"/>
  <c r="Y159" i="1"/>
  <c r="Z159" i="1"/>
  <c r="AA159" i="1"/>
  <c r="AB159" i="1" s="1"/>
  <c r="AC159" i="1"/>
  <c r="AD159" i="1" s="1"/>
  <c r="AE159" i="1" s="1"/>
  <c r="AF159" i="1" s="1"/>
  <c r="AG159" i="1" s="1"/>
  <c r="AH159" i="1" s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W165" i="1"/>
  <c r="X165" i="1"/>
  <c r="Y165" i="1"/>
  <c r="Z165" i="1"/>
  <c r="AA165" i="1"/>
  <c r="AB165" i="1"/>
  <c r="AC165" i="1" s="1"/>
  <c r="AD165" i="1" s="1"/>
  <c r="AE165" i="1" s="1"/>
  <c r="AF165" i="1" s="1"/>
  <c r="AG165" i="1" s="1"/>
  <c r="AH165" i="1" s="1"/>
  <c r="W166" i="1"/>
  <c r="X166" i="1"/>
  <c r="Y166" i="1" s="1"/>
  <c r="Z166" i="1" s="1"/>
  <c r="AA166" i="1" s="1"/>
  <c r="AB166" i="1" s="1"/>
  <c r="AC166" i="1" s="1"/>
  <c r="AD166" i="1" s="1"/>
  <c r="AE166" i="1" s="1"/>
  <c r="AF166" i="1"/>
  <c r="AG166" i="1" s="1"/>
  <c r="AH166" i="1" s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W169" i="1"/>
  <c r="X169" i="1"/>
  <c r="Y169" i="1"/>
  <c r="Z169" i="1"/>
  <c r="AA169" i="1"/>
  <c r="AB169" i="1"/>
  <c r="AC169" i="1"/>
  <c r="AD169" i="1"/>
  <c r="AE169" i="1" s="1"/>
  <c r="AF169" i="1" s="1"/>
  <c r="AG169" i="1" s="1"/>
  <c r="AH169" i="1" s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W171" i="1"/>
  <c r="X171" i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W179" i="1"/>
  <c r="X179" i="1"/>
  <c r="Y179" i="1" s="1"/>
  <c r="Z179" i="1" s="1"/>
  <c r="AA179" i="1" s="1"/>
  <c r="AB179" i="1"/>
  <c r="AC179" i="1" s="1"/>
  <c r="AD179" i="1" s="1"/>
  <c r="AE179" i="1" s="1"/>
  <c r="AF179" i="1" s="1"/>
  <c r="AG179" i="1" s="1"/>
  <c r="AH179" i="1" s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W182" i="1"/>
  <c r="X182" i="1"/>
  <c r="Y182" i="1" s="1"/>
  <c r="Z182" i="1" s="1"/>
  <c r="AA182" i="1" s="1"/>
  <c r="AB182" i="1" s="1"/>
  <c r="AC182" i="1" s="1"/>
  <c r="AD182" i="1" s="1"/>
  <c r="AE182" i="1" s="1"/>
  <c r="AF182" i="1"/>
  <c r="AG182" i="1" s="1"/>
  <c r="AH182" i="1" s="1"/>
  <c r="W183" i="1"/>
  <c r="X183" i="1"/>
  <c r="Y183" i="1" s="1"/>
  <c r="Z183" i="1" s="1"/>
  <c r="AA183" i="1" s="1"/>
  <c r="AB183" i="1" s="1"/>
  <c r="AC183" i="1" s="1"/>
  <c r="AD183" i="1" s="1"/>
  <c r="AE183" i="1" s="1"/>
  <c r="AF183" i="1" s="1"/>
  <c r="AG183" i="1" s="1"/>
  <c r="AH183" i="1" s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W188" i="1"/>
  <c r="X188" i="1"/>
  <c r="Y188" i="1" s="1"/>
  <c r="Z188" i="1" s="1"/>
  <c r="AA188" i="1" s="1"/>
  <c r="AB188" i="1" s="1"/>
  <c r="AC188" i="1" s="1"/>
  <c r="AD188" i="1" s="1"/>
  <c r="AE188" i="1" s="1"/>
  <c r="AF188" i="1" s="1"/>
  <c r="AG188" i="1" s="1"/>
  <c r="AH188" i="1" s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W190" i="1"/>
  <c r="X190" i="1"/>
  <c r="Y190" i="1" s="1"/>
  <c r="Z190" i="1" s="1"/>
  <c r="AA190" i="1" s="1"/>
  <c r="AB190" i="1" s="1"/>
  <c r="AC190" i="1" s="1"/>
  <c r="AD190" i="1" s="1"/>
  <c r="AE190" i="1" s="1"/>
  <c r="AF190" i="1"/>
  <c r="AG190" i="1" s="1"/>
  <c r="AH190" i="1" s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W192" i="1"/>
  <c r="X192" i="1"/>
  <c r="Y192" i="1" s="1"/>
  <c r="Z192" i="1" s="1"/>
  <c r="AA192" i="1" s="1"/>
  <c r="AB192" i="1" s="1"/>
  <c r="AC192" i="1" s="1"/>
  <c r="AD192" i="1" s="1"/>
  <c r="AE192" i="1" s="1"/>
  <c r="AF192" i="1" s="1"/>
  <c r="AG192" i="1" s="1"/>
  <c r="AH192" i="1" s="1"/>
  <c r="W193" i="1"/>
  <c r="X193" i="1"/>
  <c r="Y193" i="1"/>
  <c r="Z193" i="1"/>
  <c r="AA193" i="1"/>
  <c r="AB193" i="1"/>
  <c r="AC193" i="1" s="1"/>
  <c r="AD193" i="1" s="1"/>
  <c r="AE193" i="1" s="1"/>
  <c r="AF193" i="1" s="1"/>
  <c r="AG193" i="1" s="1"/>
  <c r="AH193" i="1" s="1"/>
  <c r="W194" i="1"/>
  <c r="X194" i="1"/>
  <c r="Y194" i="1"/>
  <c r="Z194" i="1"/>
  <c r="AA194" i="1"/>
  <c r="AB194" i="1"/>
  <c r="AC194" i="1"/>
  <c r="AD194" i="1"/>
  <c r="AE194" i="1"/>
  <c r="AF194" i="1"/>
  <c r="AG194" i="1" s="1"/>
  <c r="AH194" i="1" s="1"/>
  <c r="W195" i="1"/>
  <c r="X195" i="1"/>
  <c r="Y195" i="1"/>
  <c r="Z195" i="1"/>
  <c r="AA195" i="1"/>
  <c r="AB195" i="1"/>
  <c r="AC195" i="1" s="1"/>
  <c r="AD195" i="1" s="1"/>
  <c r="AE195" i="1" s="1"/>
  <c r="AF195" i="1" s="1"/>
  <c r="AG195" i="1" s="1"/>
  <c r="AH195" i="1" s="1"/>
  <c r="W196" i="1"/>
  <c r="X196" i="1"/>
  <c r="Y196" i="1"/>
  <c r="Z196" i="1"/>
  <c r="AA196" i="1"/>
  <c r="AB196" i="1"/>
  <c r="AC196" i="1"/>
  <c r="AD196" i="1"/>
  <c r="AE196" i="1"/>
  <c r="AF196" i="1"/>
  <c r="AG196" i="1" s="1"/>
  <c r="AH196" i="1" s="1"/>
  <c r="W197" i="1"/>
  <c r="X197" i="1"/>
  <c r="Y197" i="1"/>
  <c r="Z197" i="1"/>
  <c r="AA197" i="1"/>
  <c r="AB197" i="1"/>
  <c r="AC197" i="1"/>
  <c r="AD197" i="1"/>
  <c r="AE197" i="1" s="1"/>
  <c r="AF197" i="1" s="1"/>
  <c r="AG197" i="1" s="1"/>
  <c r="AH197" i="1" s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W201" i="1"/>
  <c r="X201" i="1"/>
  <c r="Y201" i="1"/>
  <c r="Z201" i="1"/>
  <c r="AA201" i="1"/>
  <c r="AB201" i="1"/>
  <c r="AC201" i="1" s="1"/>
  <c r="AD201" i="1" s="1"/>
  <c r="AE201" i="1" s="1"/>
  <c r="AF201" i="1" s="1"/>
  <c r="AG201" i="1" s="1"/>
  <c r="AH201" i="1" s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W212" i="1"/>
  <c r="X212" i="1"/>
  <c r="Y212" i="1"/>
  <c r="Z212" i="1"/>
  <c r="AA212" i="1"/>
  <c r="AB212" i="1"/>
  <c r="AC212" i="1"/>
  <c r="AD212" i="1"/>
  <c r="AE212" i="1"/>
  <c r="AF212" i="1"/>
  <c r="AG212" i="1" s="1"/>
  <c r="AH212" i="1" s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W214" i="1"/>
  <c r="X214" i="1"/>
  <c r="Y214" i="1" s="1"/>
  <c r="Z214" i="1" s="1"/>
  <c r="AA214" i="1" s="1"/>
  <c r="AB214" i="1" s="1"/>
  <c r="AC214" i="1" s="1"/>
  <c r="AD214" i="1" s="1"/>
  <c r="AE214" i="1" s="1"/>
  <c r="AF214" i="1" s="1"/>
  <c r="AG214" i="1" s="1"/>
  <c r="AH214" i="1" s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W216" i="1"/>
  <c r="X216" i="1"/>
  <c r="Y216" i="1" s="1"/>
  <c r="Z216" i="1" s="1"/>
  <c r="AA216" i="1" s="1"/>
  <c r="AB216" i="1" s="1"/>
  <c r="AC216" i="1" s="1"/>
  <c r="AD216" i="1" s="1"/>
  <c r="AE216" i="1" s="1"/>
  <c r="AF216" i="1" s="1"/>
  <c r="AG216" i="1" s="1"/>
  <c r="AH216" i="1" s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W218" i="1"/>
  <c r="X218" i="1"/>
  <c r="Y218" i="1"/>
  <c r="Z218" i="1"/>
  <c r="AA218" i="1"/>
  <c r="AB218" i="1"/>
  <c r="AC218" i="1"/>
  <c r="AD218" i="1"/>
  <c r="AE218" i="1"/>
  <c r="AF218" i="1"/>
  <c r="AG218" i="1" s="1"/>
  <c r="AH218" i="1"/>
  <c r="W219" i="1"/>
  <c r="X219" i="1"/>
  <c r="Y219" i="1" s="1"/>
  <c r="Z219" i="1" s="1"/>
  <c r="AA219" i="1" s="1"/>
  <c r="AB219" i="1"/>
  <c r="AC219" i="1" s="1"/>
  <c r="AD219" i="1" s="1"/>
  <c r="AE219" i="1" s="1"/>
  <c r="AF219" i="1" s="1"/>
  <c r="AG219" i="1" s="1"/>
  <c r="AH219" i="1" s="1"/>
  <c r="W220" i="1"/>
  <c r="X220" i="1"/>
  <c r="Y220" i="1"/>
  <c r="Z220" i="1"/>
  <c r="AA220" i="1" s="1"/>
  <c r="AB220" i="1" s="1"/>
  <c r="AC220" i="1" s="1"/>
  <c r="AD220" i="1" s="1"/>
  <c r="AE220" i="1" s="1"/>
  <c r="AF220" i="1" s="1"/>
  <c r="AG220" i="1" s="1"/>
  <c r="AH220" i="1" s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W224" i="1"/>
  <c r="X224" i="1"/>
  <c r="Y224" i="1"/>
  <c r="Z224" i="1"/>
  <c r="AA224" i="1"/>
  <c r="AB224" i="1"/>
  <c r="AC224" i="1"/>
  <c r="AD224" i="1"/>
  <c r="AE224" i="1"/>
  <c r="AF224" i="1"/>
  <c r="AG224" i="1" s="1"/>
  <c r="AH224" i="1" s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W226" i="1"/>
  <c r="X226" i="1"/>
  <c r="Y226" i="1"/>
  <c r="Z226" i="1"/>
  <c r="AA226" i="1"/>
  <c r="AB226" i="1"/>
  <c r="AC226" i="1" s="1"/>
  <c r="AD226" i="1" s="1"/>
  <c r="AE226" i="1" s="1"/>
  <c r="AF226" i="1" s="1"/>
  <c r="AG226" i="1" s="1"/>
  <c r="AH226" i="1"/>
  <c r="W227" i="1"/>
  <c r="X227" i="1"/>
  <c r="Y227" i="1" s="1"/>
  <c r="Z227" i="1" s="1"/>
  <c r="AA227" i="1" s="1"/>
  <c r="AB227" i="1"/>
  <c r="AC227" i="1" s="1"/>
  <c r="AD227" i="1" s="1"/>
  <c r="AE227" i="1" s="1"/>
  <c r="AF227" i="1" s="1"/>
  <c r="AG227" i="1" s="1"/>
  <c r="AH227" i="1" s="1"/>
  <c r="W228" i="1"/>
  <c r="X228" i="1"/>
  <c r="Y228" i="1"/>
  <c r="Z228" i="1"/>
  <c r="AA228" i="1"/>
  <c r="AB228" i="1"/>
  <c r="AC228" i="1"/>
  <c r="AD228" i="1"/>
  <c r="AE228" i="1"/>
  <c r="AF228" i="1"/>
  <c r="AG228" i="1" s="1"/>
  <c r="AH228" i="1" s="1"/>
  <c r="W229" i="1"/>
  <c r="X229" i="1"/>
  <c r="Y229" i="1" s="1"/>
  <c r="Z229" i="1" s="1"/>
  <c r="AA229" i="1" s="1"/>
  <c r="AB229" i="1"/>
  <c r="AC229" i="1" s="1"/>
  <c r="AD229" i="1"/>
  <c r="AE229" i="1" s="1"/>
  <c r="AF229" i="1" s="1"/>
  <c r="AG229" i="1" s="1"/>
  <c r="AH229" i="1" s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W232" i="1"/>
  <c r="X232" i="1"/>
  <c r="Y232" i="1"/>
  <c r="Z232" i="1"/>
  <c r="AA232" i="1"/>
  <c r="AB232" i="1"/>
  <c r="AC232" i="1"/>
  <c r="AD232" i="1"/>
  <c r="AE232" i="1"/>
  <c r="AF232" i="1"/>
  <c r="AG232" i="1" s="1"/>
  <c r="AH232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W234" i="1"/>
  <c r="X234" i="1"/>
  <c r="Y234" i="1"/>
  <c r="Z234" i="1"/>
  <c r="AA234" i="1" s="1"/>
  <c r="AB234" i="1" s="1"/>
  <c r="AC234" i="1" s="1"/>
  <c r="AD234" i="1" s="1"/>
  <c r="AE234" i="1" s="1"/>
  <c r="AF234" i="1" s="1"/>
  <c r="AG234" i="1" s="1"/>
  <c r="AH234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W237" i="1"/>
  <c r="X237" i="1"/>
  <c r="Y237" i="1" s="1"/>
  <c r="Z237" i="1" s="1"/>
  <c r="AA237" i="1" s="1"/>
  <c r="AB237" i="1"/>
  <c r="AC237" i="1" s="1"/>
  <c r="AD237" i="1" s="1"/>
  <c r="AE237" i="1" s="1"/>
  <c r="AF237" i="1" s="1"/>
  <c r="AG237" i="1" s="1"/>
  <c r="AH237" i="1" s="1"/>
  <c r="W238" i="1"/>
  <c r="X238" i="1"/>
  <c r="Y238" i="1"/>
  <c r="Z238" i="1"/>
  <c r="AA238" i="1"/>
  <c r="AB238" i="1"/>
  <c r="AC238" i="1" s="1"/>
  <c r="AD238" i="1" s="1"/>
  <c r="AE238" i="1" s="1"/>
  <c r="AF238" i="1"/>
  <c r="AG238" i="1" s="1"/>
  <c r="AH238" i="1" s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W240" i="1"/>
  <c r="X240" i="1"/>
  <c r="Y240" i="1"/>
  <c r="Z240" i="1"/>
  <c r="AA240" i="1"/>
  <c r="AB240" i="1"/>
  <c r="AC240" i="1"/>
  <c r="AD240" i="1"/>
  <c r="AE240" i="1"/>
  <c r="AF240" i="1"/>
  <c r="AG240" i="1" s="1"/>
  <c r="AH240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W245" i="1"/>
  <c r="X245" i="1"/>
  <c r="Y245" i="1" s="1"/>
  <c r="Z245" i="1" s="1"/>
  <c r="AA245" i="1"/>
  <c r="AB245" i="1" s="1"/>
  <c r="AC245" i="1" s="1"/>
  <c r="AD245" i="1" s="1"/>
  <c r="AE245" i="1" s="1"/>
  <c r="AF245" i="1" s="1"/>
  <c r="AG245" i="1" s="1"/>
  <c r="AH245" i="1" s="1"/>
  <c r="W246" i="1"/>
  <c r="X246" i="1"/>
  <c r="Y246" i="1"/>
  <c r="Z246" i="1"/>
  <c r="AA246" i="1"/>
  <c r="AB246" i="1"/>
  <c r="AC246" i="1" s="1"/>
  <c r="AD246" i="1" s="1"/>
  <c r="AE246" i="1" s="1"/>
  <c r="AF246" i="1"/>
  <c r="AG246" i="1" s="1"/>
  <c r="AH246" i="1" s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W248" i="1"/>
  <c r="X248" i="1"/>
  <c r="Y248" i="1"/>
  <c r="Z248" i="1"/>
  <c r="AA248" i="1" s="1"/>
  <c r="AB248" i="1" s="1"/>
  <c r="AC248" i="1" s="1"/>
  <c r="AD248" i="1" s="1"/>
  <c r="AE248" i="1" s="1"/>
  <c r="AF248" i="1" s="1"/>
  <c r="AG248" i="1" s="1"/>
  <c r="AH248" i="1" s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W250" i="1"/>
  <c r="X250" i="1"/>
  <c r="Y250" i="1"/>
  <c r="Z250" i="1"/>
  <c r="AA250" i="1"/>
  <c r="AB250" i="1" s="1"/>
  <c r="AC250" i="1" s="1"/>
  <c r="AD250" i="1" s="1"/>
  <c r="AE250" i="1"/>
  <c r="AF250" i="1" s="1"/>
  <c r="AG250" i="1" s="1"/>
  <c r="AH250" i="1" s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W252" i="1"/>
  <c r="X252" i="1"/>
  <c r="Y252" i="1"/>
  <c r="Z252" i="1"/>
  <c r="AA252" i="1" s="1"/>
  <c r="AB252" i="1" s="1"/>
  <c r="AC252" i="1" s="1"/>
  <c r="AD252" i="1" s="1"/>
  <c r="AE252" i="1" s="1"/>
  <c r="AF252" i="1" s="1"/>
  <c r="AG252" i="1" s="1"/>
  <c r="AH252" i="1" s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W254" i="1"/>
  <c r="X254" i="1" s="1"/>
  <c r="Y254" i="1" s="1"/>
  <c r="Z254" i="1" s="1"/>
  <c r="AA254" i="1" s="1"/>
  <c r="AB254" i="1" s="1"/>
  <c r="AC254" i="1" s="1"/>
  <c r="AD254" i="1" s="1"/>
  <c r="AE254" i="1" s="1"/>
  <c r="AF254" i="1" s="1"/>
  <c r="AG254" i="1" s="1"/>
  <c r="AH254" i="1" s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W256" i="1"/>
  <c r="X256" i="1"/>
  <c r="Y256" i="1"/>
  <c r="Z256" i="1"/>
  <c r="AA256" i="1"/>
  <c r="AB256" i="1" s="1"/>
  <c r="AC256" i="1" s="1"/>
  <c r="AD256" i="1" s="1"/>
  <c r="AE256" i="1" s="1"/>
  <c r="AF256" i="1"/>
  <c r="AG256" i="1" s="1"/>
  <c r="AH256" i="1" s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W258" i="1"/>
  <c r="X258" i="1"/>
  <c r="Y258" i="1"/>
  <c r="Z258" i="1"/>
  <c r="AA258" i="1"/>
  <c r="AB258" i="1"/>
  <c r="AC258" i="1"/>
  <c r="AD258" i="1"/>
  <c r="AE258" i="1"/>
  <c r="AF258" i="1" s="1"/>
  <c r="AG258" i="1" s="1"/>
  <c r="AH258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W260" i="1"/>
  <c r="X260" i="1"/>
  <c r="Y260" i="1" s="1"/>
  <c r="Z260" i="1" s="1"/>
  <c r="AA260" i="1" s="1"/>
  <c r="AB260" i="1" s="1"/>
  <c r="AC260" i="1" s="1"/>
  <c r="AD260" i="1" s="1"/>
  <c r="AE260" i="1"/>
  <c r="AF260" i="1" s="1"/>
  <c r="AG260" i="1" s="1"/>
  <c r="AH260" i="1" s="1"/>
  <c r="W261" i="1"/>
  <c r="X261" i="1"/>
  <c r="Y261" i="1"/>
  <c r="Z261" i="1"/>
  <c r="AA261" i="1"/>
  <c r="AB261" i="1"/>
  <c r="AC261" i="1" s="1"/>
  <c r="AD261" i="1" s="1"/>
  <c r="AE261" i="1" s="1"/>
  <c r="AF261" i="1" s="1"/>
  <c r="AG261" i="1" s="1"/>
  <c r="AH261" i="1" s="1"/>
  <c r="W262" i="1"/>
  <c r="X262" i="1"/>
  <c r="Y262" i="1"/>
  <c r="Z262" i="1"/>
  <c r="AA262" i="1"/>
  <c r="AB262" i="1"/>
  <c r="AC262" i="1"/>
  <c r="AD262" i="1"/>
  <c r="AE262" i="1"/>
  <c r="AF262" i="1"/>
  <c r="AG262" i="1" s="1"/>
  <c r="AH262" i="1" s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W264" i="1"/>
  <c r="X264" i="1" s="1"/>
  <c r="Y264" i="1" s="1"/>
  <c r="Z264" i="1" s="1"/>
  <c r="AA264" i="1" s="1"/>
  <c r="AB264" i="1" s="1"/>
  <c r="AC264" i="1" s="1"/>
  <c r="AD264" i="1" s="1"/>
  <c r="AE264" i="1" s="1"/>
  <c r="AF264" i="1" s="1"/>
  <c r="AG264" i="1" s="1"/>
  <c r="AH264" i="1" s="1"/>
  <c r="W265" i="1"/>
  <c r="X265" i="1"/>
  <c r="Y265" i="1"/>
  <c r="Z265" i="1"/>
  <c r="AA265" i="1"/>
  <c r="AB265" i="1"/>
  <c r="AC265" i="1"/>
  <c r="AD265" i="1"/>
  <c r="AE265" i="1" s="1"/>
  <c r="AF265" i="1" s="1"/>
  <c r="AG265" i="1" s="1"/>
  <c r="AH265" i="1" s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W267" i="1"/>
  <c r="X267" i="1"/>
  <c r="Y267" i="1" s="1"/>
  <c r="Z267" i="1" s="1"/>
  <c r="AA267" i="1"/>
  <c r="AB267" i="1"/>
  <c r="AC267" i="1" s="1"/>
  <c r="AD267" i="1" s="1"/>
  <c r="AE267" i="1" s="1"/>
  <c r="AF267" i="1" s="1"/>
  <c r="AG267" i="1" s="1"/>
  <c r="AH267" i="1" s="1"/>
  <c r="W268" i="1"/>
  <c r="X268" i="1"/>
  <c r="Y268" i="1"/>
  <c r="Z268" i="1"/>
  <c r="AA268" i="1"/>
  <c r="AB268" i="1"/>
  <c r="AC268" i="1"/>
  <c r="AD268" i="1"/>
  <c r="AE268" i="1"/>
  <c r="AF268" i="1" s="1"/>
  <c r="AG268" i="1" s="1"/>
  <c r="AH268" i="1" s="1"/>
  <c r="W269" i="1"/>
  <c r="X269" i="1"/>
  <c r="Y269" i="1" s="1"/>
  <c r="Z269" i="1" s="1"/>
  <c r="AA269" i="1"/>
  <c r="AB269" i="1"/>
  <c r="AC269" i="1" s="1"/>
  <c r="AD269" i="1" s="1"/>
  <c r="AE269" i="1" s="1"/>
  <c r="AF269" i="1" s="1"/>
  <c r="AG269" i="1" s="1"/>
  <c r="AH269" i="1" s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W272" i="1"/>
  <c r="X272" i="1" s="1"/>
  <c r="Y272" i="1" s="1"/>
  <c r="Z272" i="1" s="1"/>
  <c r="AA272" i="1" s="1"/>
  <c r="AB272" i="1" s="1"/>
  <c r="AC272" i="1" s="1"/>
  <c r="AD272" i="1" s="1"/>
  <c r="AE272" i="1" s="1"/>
  <c r="AF272" i="1" s="1"/>
  <c r="AG272" i="1" s="1"/>
  <c r="AH272" i="1" s="1"/>
  <c r="W273" i="1"/>
  <c r="X273" i="1"/>
  <c r="Y273" i="1" s="1"/>
  <c r="Z273" i="1" s="1"/>
  <c r="AA273" i="1"/>
  <c r="AB273" i="1" s="1"/>
  <c r="AC273" i="1" s="1"/>
  <c r="AD273" i="1" s="1"/>
  <c r="AE273" i="1" s="1"/>
  <c r="AF273" i="1" s="1"/>
  <c r="AG273" i="1" s="1"/>
  <c r="AH273" i="1" s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W275" i="1"/>
  <c r="X275" i="1"/>
  <c r="Y275" i="1" s="1"/>
  <c r="Z275" i="1" s="1"/>
  <c r="AA275" i="1" s="1"/>
  <c r="AB275" i="1" s="1"/>
  <c r="AC275" i="1" s="1"/>
  <c r="AD275" i="1" s="1"/>
  <c r="AE275" i="1" s="1"/>
  <c r="AF275" i="1" s="1"/>
  <c r="AG275" i="1" s="1"/>
  <c r="AH275" i="1" s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W278" i="1"/>
  <c r="X278" i="1"/>
  <c r="Y278" i="1"/>
  <c r="Z278" i="1"/>
  <c r="AA278" i="1" s="1"/>
  <c r="AB278" i="1" s="1"/>
  <c r="AC278" i="1" s="1"/>
  <c r="AD278" i="1" s="1"/>
  <c r="AE278" i="1" s="1"/>
  <c r="AF278" i="1" s="1"/>
  <c r="AG278" i="1" s="1"/>
  <c r="AH278" i="1" s="1"/>
  <c r="W279" i="1"/>
  <c r="X279" i="1"/>
  <c r="Y279" i="1"/>
  <c r="Z279" i="1"/>
  <c r="AA279" i="1"/>
  <c r="AB279" i="1"/>
  <c r="AC279" i="1"/>
  <c r="AD279" i="1"/>
  <c r="AE279" i="1"/>
  <c r="AF279" i="1"/>
  <c r="AG279" i="1" s="1"/>
  <c r="AH279" i="1" s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W281" i="1"/>
  <c r="X281" i="1"/>
  <c r="Y281" i="1"/>
  <c r="Z281" i="1"/>
  <c r="AA281" i="1"/>
  <c r="AB281" i="1"/>
  <c r="AC281" i="1"/>
  <c r="AD281" i="1"/>
  <c r="AE281" i="1" s="1"/>
  <c r="AF281" i="1"/>
  <c r="AG281" i="1" s="1"/>
  <c r="AH281" i="1" s="1"/>
  <c r="W282" i="1"/>
  <c r="X282" i="1"/>
  <c r="Y282" i="1" s="1"/>
  <c r="Z282" i="1" s="1"/>
  <c r="AA282" i="1" s="1"/>
  <c r="AB282" i="1" s="1"/>
  <c r="AC282" i="1" s="1"/>
  <c r="AD282" i="1" s="1"/>
  <c r="AE282" i="1" s="1"/>
  <c r="AF282" i="1" s="1"/>
  <c r="AG282" i="1" s="1"/>
  <c r="AH282" i="1" s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W286" i="1"/>
  <c r="X286" i="1"/>
  <c r="Y286" i="1"/>
  <c r="Z286" i="1"/>
  <c r="AA286" i="1"/>
  <c r="AB286" i="1"/>
  <c r="AC286" i="1" s="1"/>
  <c r="AD286" i="1"/>
  <c r="AE286" i="1" s="1"/>
  <c r="AF286" i="1" s="1"/>
  <c r="AG286" i="1" s="1"/>
  <c r="AH286" i="1" s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W288" i="1"/>
  <c r="X288" i="1" s="1"/>
  <c r="Y288" i="1" s="1"/>
  <c r="Z288" i="1" s="1"/>
  <c r="AA288" i="1" s="1"/>
  <c r="AB288" i="1" s="1"/>
  <c r="AC288" i="1" s="1"/>
  <c r="AD288" i="1"/>
  <c r="AE288" i="1" s="1"/>
  <c r="AF288" i="1" s="1"/>
  <c r="AG288" i="1" s="1"/>
  <c r="AH288" i="1" s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W292" i="1"/>
  <c r="X292" i="1" s="1"/>
  <c r="Y292" i="1" s="1"/>
  <c r="Z292" i="1" s="1"/>
  <c r="AA292" i="1" s="1"/>
  <c r="AB292" i="1" s="1"/>
  <c r="AC292" i="1" s="1"/>
  <c r="AD292" i="1"/>
  <c r="AE292" i="1" s="1"/>
  <c r="AF292" i="1" s="1"/>
  <c r="AG292" i="1" s="1"/>
  <c r="AH292" i="1" s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W294" i="1"/>
  <c r="X294" i="1" s="1"/>
  <c r="Y294" i="1" s="1"/>
  <c r="Z294" i="1" s="1"/>
  <c r="AA294" i="1" s="1"/>
  <c r="AB294" i="1" s="1"/>
  <c r="AC294" i="1" s="1"/>
  <c r="AD294" i="1" s="1"/>
  <c r="AE294" i="1" s="1"/>
  <c r="AF294" i="1" s="1"/>
  <c r="AG294" i="1" s="1"/>
  <c r="AH294" i="1" s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W297" i="1"/>
  <c r="X297" i="1"/>
  <c r="Y297" i="1"/>
  <c r="Z297" i="1"/>
  <c r="AA297" i="1"/>
  <c r="AB297" i="1"/>
  <c r="AC297" i="1"/>
  <c r="AD297" i="1"/>
  <c r="AE297" i="1"/>
  <c r="AF297" i="1"/>
  <c r="AG297" i="1" s="1"/>
  <c r="AH297" i="1" s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W300" i="1"/>
  <c r="X300" i="1"/>
  <c r="Y300" i="1"/>
  <c r="Z300" i="1"/>
  <c r="AA300" i="1"/>
  <c r="AB300" i="1"/>
  <c r="AC300" i="1" s="1"/>
  <c r="AD300" i="1"/>
  <c r="AE300" i="1" s="1"/>
  <c r="AF300" i="1" s="1"/>
  <c r="AG300" i="1" s="1"/>
  <c r="AH300" i="1" s="1"/>
  <c r="W301" i="1"/>
  <c r="X301" i="1"/>
  <c r="Y301" i="1" s="1"/>
  <c r="Z301" i="1" s="1"/>
  <c r="AA301" i="1" s="1"/>
  <c r="AB301" i="1" s="1"/>
  <c r="AC301" i="1" s="1"/>
  <c r="AD301" i="1" s="1"/>
  <c r="AE301" i="1" s="1"/>
  <c r="AF301" i="1" s="1"/>
  <c r="AG301" i="1" s="1"/>
  <c r="AH301" i="1" s="1"/>
  <c r="W302" i="1"/>
  <c r="X302" i="1" s="1"/>
  <c r="Y302" i="1" s="1"/>
  <c r="Z302" i="1" s="1"/>
  <c r="AA302" i="1" s="1"/>
  <c r="AB302" i="1" s="1"/>
  <c r="AC302" i="1" s="1"/>
  <c r="AD302" i="1" s="1"/>
  <c r="AE302" i="1" s="1"/>
  <c r="AF302" i="1" s="1"/>
  <c r="AG302" i="1" s="1"/>
  <c r="AH302" i="1" s="1"/>
  <c r="W303" i="1"/>
  <c r="X303" i="1"/>
  <c r="Y303" i="1" s="1"/>
  <c r="Z303" i="1" s="1"/>
  <c r="AA303" i="1" s="1"/>
  <c r="AB303" i="1" s="1"/>
  <c r="AC303" i="1" s="1"/>
  <c r="AD303" i="1" s="1"/>
  <c r="AE303" i="1" s="1"/>
  <c r="AF303" i="1" s="1"/>
  <c r="AG303" i="1" s="1"/>
  <c r="AH303" i="1" s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W305" i="1"/>
  <c r="X305" i="1"/>
  <c r="Y305" i="1" s="1"/>
  <c r="Z305" i="1" s="1"/>
  <c r="AA305" i="1" s="1"/>
  <c r="AB305" i="1" s="1"/>
  <c r="AC305" i="1" s="1"/>
  <c r="AD305" i="1" s="1"/>
  <c r="AE305" i="1" s="1"/>
  <c r="AF305" i="1" s="1"/>
  <c r="AG305" i="1" s="1"/>
  <c r="AH305" i="1" s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W308" i="1"/>
  <c r="X308" i="1"/>
  <c r="Y308" i="1"/>
  <c r="Z308" i="1"/>
  <c r="AA308" i="1"/>
  <c r="AB308" i="1"/>
  <c r="AC308" i="1"/>
  <c r="AD308" i="1"/>
  <c r="AE308" i="1"/>
  <c r="AF308" i="1"/>
  <c r="AG308" i="1"/>
  <c r="AH308" i="1" s="1"/>
  <c r="W309" i="1"/>
  <c r="X309" i="1"/>
  <c r="Y309" i="1"/>
  <c r="Z309" i="1"/>
  <c r="AA309" i="1"/>
  <c r="AB309" i="1"/>
  <c r="AC309" i="1"/>
  <c r="AD309" i="1"/>
  <c r="AE309" i="1"/>
  <c r="AF309" i="1"/>
  <c r="AG309" i="1" s="1"/>
  <c r="AH309" i="1"/>
  <c r="W310" i="1"/>
  <c r="X310" i="1"/>
  <c r="Y310" i="1"/>
  <c r="Z310" i="1"/>
  <c r="AA310" i="1"/>
  <c r="AB310" i="1"/>
  <c r="AC310" i="1"/>
  <c r="AD310" i="1"/>
  <c r="AE310" i="1" s="1"/>
  <c r="AF310" i="1" s="1"/>
  <c r="AG310" i="1" s="1"/>
  <c r="AH310" i="1" s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W313" i="1"/>
  <c r="X313" i="1"/>
  <c r="Y313" i="1" s="1"/>
  <c r="Z313" i="1" s="1"/>
  <c r="AA313" i="1" s="1"/>
  <c r="AB313" i="1" s="1"/>
  <c r="AC313" i="1" s="1"/>
  <c r="AD313" i="1" s="1"/>
  <c r="AE313" i="1" s="1"/>
  <c r="AF313" i="1" s="1"/>
  <c r="AG313" i="1" s="1"/>
  <c r="AH313" i="1" s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W315" i="1"/>
  <c r="X315" i="1"/>
  <c r="Y315" i="1"/>
  <c r="Z315" i="1"/>
  <c r="AA315" i="1"/>
  <c r="AB315" i="1"/>
  <c r="AC315" i="1"/>
  <c r="AD315" i="1"/>
  <c r="AE315" i="1"/>
  <c r="AF315" i="1" s="1"/>
  <c r="AG315" i="1" s="1"/>
  <c r="AH315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W319" i="1"/>
  <c r="X319" i="1" s="1"/>
  <c r="Y319" i="1" s="1"/>
  <c r="Z319" i="1"/>
  <c r="AA319" i="1" s="1"/>
  <c r="AB319" i="1" s="1"/>
  <c r="AC319" i="1" s="1"/>
  <c r="AD319" i="1" s="1"/>
  <c r="AE319" i="1" s="1"/>
  <c r="AF319" i="1" s="1"/>
  <c r="AG319" i="1" s="1"/>
  <c r="AH319" i="1" s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W321" i="1"/>
  <c r="X321" i="1" s="1"/>
  <c r="Y321" i="1" s="1"/>
  <c r="Z321" i="1"/>
  <c r="AA321" i="1" s="1"/>
  <c r="AB321" i="1" s="1"/>
  <c r="AC321" i="1" s="1"/>
  <c r="AD321" i="1" s="1"/>
  <c r="AE321" i="1" s="1"/>
  <c r="AF321" i="1" s="1"/>
  <c r="AG321" i="1" s="1"/>
  <c r="AH321" i="1"/>
  <c r="W322" i="1"/>
  <c r="X322" i="1" s="1"/>
  <c r="Y322" i="1" s="1"/>
  <c r="Z322" i="1" s="1"/>
  <c r="AA322" i="1" s="1"/>
  <c r="AB322" i="1" s="1"/>
  <c r="AC322" i="1" s="1"/>
  <c r="AD322" i="1"/>
  <c r="AE322" i="1" s="1"/>
  <c r="AF322" i="1" s="1"/>
  <c r="AG322" i="1" s="1"/>
  <c r="AH322" i="1" s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W324" i="1"/>
  <c r="X324" i="1"/>
  <c r="Y324" i="1"/>
  <c r="Z324" i="1"/>
  <c r="AA324" i="1"/>
  <c r="AB324" i="1" s="1"/>
  <c r="AC324" i="1" s="1"/>
  <c r="AD324" i="1"/>
  <c r="AE324" i="1" s="1"/>
  <c r="AF324" i="1" s="1"/>
  <c r="AG324" i="1" s="1"/>
  <c r="AH324" i="1" s="1"/>
  <c r="W325" i="1"/>
  <c r="X325" i="1"/>
  <c r="Y325" i="1"/>
  <c r="Z325" i="1"/>
  <c r="AA325" i="1"/>
  <c r="AB325" i="1"/>
  <c r="AC325" i="1"/>
  <c r="AD325" i="1" s="1"/>
  <c r="AE325" i="1" s="1"/>
  <c r="AF325" i="1" s="1"/>
  <c r="AG325" i="1" s="1"/>
  <c r="AH325" i="1"/>
  <c r="W326" i="1"/>
  <c r="X326" i="1"/>
  <c r="Y326" i="1"/>
  <c r="Z326" i="1"/>
  <c r="AA326" i="1"/>
  <c r="AB326" i="1" s="1"/>
  <c r="AC326" i="1" s="1"/>
  <c r="AD326" i="1"/>
  <c r="AE326" i="1" s="1"/>
  <c r="AF326" i="1" s="1"/>
  <c r="AG326" i="1" s="1"/>
  <c r="AH326" i="1" s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W331" i="1"/>
  <c r="X331" i="1" s="1"/>
  <c r="Y331" i="1" s="1"/>
  <c r="Z331" i="1"/>
  <c r="AA331" i="1" s="1"/>
  <c r="AB331" i="1" s="1"/>
  <c r="AC331" i="1" s="1"/>
  <c r="AD331" i="1" s="1"/>
  <c r="AE331" i="1" s="1"/>
  <c r="AF331" i="1" s="1"/>
  <c r="AG331" i="1" s="1"/>
  <c r="AH331" i="1" s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W334" i="1"/>
  <c r="X334" i="1"/>
  <c r="Y334" i="1"/>
  <c r="Z334" i="1"/>
  <c r="AA334" i="1"/>
  <c r="AB334" i="1" s="1"/>
  <c r="AC334" i="1" s="1"/>
  <c r="AD334" i="1" s="1"/>
  <c r="AE334" i="1" s="1"/>
  <c r="AF334" i="1" s="1"/>
  <c r="AG334" i="1" s="1"/>
  <c r="AH334" i="1" s="1"/>
  <c r="W335" i="1"/>
  <c r="X335" i="1" s="1"/>
  <c r="Y335" i="1" s="1"/>
  <c r="Z335" i="1" s="1"/>
  <c r="AA335" i="1" s="1"/>
  <c r="AB335" i="1" s="1"/>
  <c r="AC335" i="1" s="1"/>
  <c r="AD335" i="1" s="1"/>
  <c r="AE335" i="1" s="1"/>
  <c r="AF335" i="1" s="1"/>
  <c r="AG335" i="1" s="1"/>
  <c r="AH335" i="1" s="1"/>
  <c r="W336" i="1"/>
  <c r="X336" i="1"/>
  <c r="Y336" i="1"/>
  <c r="Z336" i="1"/>
  <c r="AA336" i="1"/>
  <c r="AB336" i="1"/>
  <c r="AC336" i="1"/>
  <c r="AD336" i="1"/>
  <c r="AE336" i="1" s="1"/>
  <c r="AF336" i="1" s="1"/>
  <c r="AG336" i="1" s="1"/>
  <c r="AH336" i="1" s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W340" i="1"/>
  <c r="X340" i="1" s="1"/>
  <c r="Y340" i="1" s="1"/>
  <c r="Z340" i="1" s="1"/>
  <c r="AA340" i="1" s="1"/>
  <c r="AB340" i="1" s="1"/>
  <c r="AC340" i="1" s="1"/>
  <c r="AD340" i="1"/>
  <c r="AE340" i="1" s="1"/>
  <c r="AF340" i="1" s="1"/>
  <c r="AG340" i="1" s="1"/>
  <c r="AH340" i="1" s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W342" i="1"/>
  <c r="X342" i="1"/>
  <c r="Y342" i="1"/>
  <c r="Z342" i="1"/>
  <c r="AA342" i="1"/>
  <c r="AB342" i="1"/>
  <c r="AC342" i="1"/>
  <c r="AD342" i="1"/>
  <c r="AE342" i="1" s="1"/>
  <c r="AF342" i="1" s="1"/>
  <c r="AG342" i="1" s="1"/>
  <c r="AH342" i="1" s="1"/>
  <c r="W343" i="1"/>
  <c r="X343" i="1"/>
  <c r="Y343" i="1"/>
  <c r="Z343" i="1"/>
  <c r="AA343" i="1" s="1"/>
  <c r="AB343" i="1" s="1"/>
  <c r="AC343" i="1" s="1"/>
  <c r="AD343" i="1" s="1"/>
  <c r="AE343" i="1" s="1"/>
  <c r="AF343" i="1" s="1"/>
  <c r="AG343" i="1" s="1"/>
  <c r="AH343" i="1" s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W346" i="1"/>
  <c r="X346" i="1"/>
  <c r="Y346" i="1"/>
  <c r="Z346" i="1"/>
  <c r="AA346" i="1"/>
  <c r="AB346" i="1"/>
  <c r="AC346" i="1"/>
  <c r="AD346" i="1"/>
  <c r="AE346" i="1"/>
  <c r="AF346" i="1"/>
  <c r="AG346" i="1"/>
  <c r="AH346" i="1" s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W350" i="1"/>
  <c r="X350" i="1"/>
  <c r="Y350" i="1"/>
  <c r="Z350" i="1"/>
  <c r="AA350" i="1"/>
  <c r="AB350" i="1"/>
  <c r="AC350" i="1"/>
  <c r="AD350" i="1"/>
  <c r="AE350" i="1"/>
  <c r="AF350" i="1" s="1"/>
  <c r="AG350" i="1" s="1"/>
  <c r="AH350" i="1" s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W352" i="1"/>
  <c r="X352" i="1" s="1"/>
  <c r="Y352" i="1" s="1"/>
  <c r="Z352" i="1" s="1"/>
  <c r="AA352" i="1" s="1"/>
  <c r="AB352" i="1" s="1"/>
  <c r="AC352" i="1" s="1"/>
  <c r="AD352" i="1" s="1"/>
  <c r="AE352" i="1" s="1"/>
  <c r="AF352" i="1" s="1"/>
  <c r="AG352" i="1" s="1"/>
  <c r="AH352" i="1" s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W358" i="1"/>
  <c r="X358" i="1"/>
  <c r="Y358" i="1"/>
  <c r="Z358" i="1"/>
  <c r="AA358" i="1"/>
  <c r="AB358" i="1"/>
  <c r="AC358" i="1"/>
  <c r="AD358" i="1"/>
  <c r="AE358" i="1" s="1"/>
  <c r="AF358" i="1" s="1"/>
  <c r="AG358" i="1" s="1"/>
  <c r="AH358" i="1" s="1"/>
  <c r="W359" i="1"/>
  <c r="X359" i="1"/>
  <c r="Y359" i="1"/>
  <c r="Z359" i="1"/>
  <c r="AA359" i="1" s="1"/>
  <c r="AB359" i="1" s="1"/>
  <c r="AC359" i="1" s="1"/>
  <c r="AD359" i="1" s="1"/>
  <c r="AE359" i="1" s="1"/>
  <c r="AF359" i="1" s="1"/>
  <c r="AG359" i="1" s="1"/>
  <c r="AH359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W361" i="1"/>
  <c r="X361" i="1"/>
  <c r="Y361" i="1"/>
  <c r="Z361" i="1"/>
  <c r="AA361" i="1" s="1"/>
  <c r="AB361" i="1" s="1"/>
  <c r="AC361" i="1" s="1"/>
  <c r="AD361" i="1" s="1"/>
  <c r="AE361" i="1" s="1"/>
  <c r="AF361" i="1" s="1"/>
  <c r="AG361" i="1" s="1"/>
  <c r="AH361" i="1" s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W364" i="1"/>
  <c r="X364" i="1"/>
  <c r="Y364" i="1"/>
  <c r="Z364" i="1"/>
  <c r="AA364" i="1"/>
  <c r="AB364" i="1"/>
  <c r="AC364" i="1"/>
  <c r="AD364" i="1"/>
  <c r="AE364" i="1" s="1"/>
  <c r="AF364" i="1" s="1"/>
  <c r="AG364" i="1" s="1"/>
  <c r="AH364" i="1" s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W370" i="1"/>
  <c r="X370" i="1" s="1"/>
  <c r="Y370" i="1" s="1"/>
  <c r="Z370" i="1" s="1"/>
  <c r="AA370" i="1" s="1"/>
  <c r="AB370" i="1" s="1"/>
  <c r="AC370" i="1" s="1"/>
  <c r="AD370" i="1" s="1"/>
  <c r="AE370" i="1" s="1"/>
  <c r="AF370" i="1" s="1"/>
  <c r="AG370" i="1" s="1"/>
  <c r="AH370" i="1" s="1"/>
  <c r="W371" i="1"/>
  <c r="X371" i="1" s="1"/>
  <c r="Y371" i="1" s="1"/>
  <c r="Z371" i="1" s="1"/>
  <c r="AA371" i="1" s="1"/>
  <c r="AB371" i="1" s="1"/>
  <c r="AC371" i="1" s="1"/>
  <c r="AD371" i="1" s="1"/>
  <c r="AE371" i="1" s="1"/>
  <c r="AF371" i="1" s="1"/>
  <c r="AG371" i="1" s="1"/>
  <c r="AH371" i="1" s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W374" i="1"/>
  <c r="X374" i="1"/>
  <c r="Y374" i="1"/>
  <c r="Z374" i="1"/>
  <c r="AA374" i="1"/>
  <c r="AB374" i="1"/>
  <c r="AC374" i="1"/>
  <c r="AD374" i="1"/>
  <c r="AE374" i="1" s="1"/>
  <c r="AF374" i="1" s="1"/>
  <c r="AG374" i="1" s="1"/>
  <c r="AH374" i="1" s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W376" i="1"/>
  <c r="X376" i="1" s="1"/>
  <c r="Y376" i="1" s="1"/>
  <c r="Z376" i="1" s="1"/>
  <c r="AA376" i="1" s="1"/>
  <c r="AB376" i="1" s="1"/>
  <c r="AC376" i="1" s="1"/>
  <c r="AD376" i="1"/>
  <c r="AE376" i="1" s="1"/>
  <c r="AF376" i="1" s="1"/>
  <c r="AG376" i="1" s="1"/>
  <c r="AH376" i="1" s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W378" i="1"/>
  <c r="X378" i="1"/>
  <c r="Y378" i="1"/>
  <c r="Z378" i="1"/>
  <c r="AA378" i="1"/>
  <c r="AB378" i="1"/>
  <c r="AC378" i="1"/>
  <c r="AD378" i="1"/>
  <c r="AE378" i="1" s="1"/>
  <c r="AF378" i="1" s="1"/>
  <c r="AG378" i="1" s="1"/>
  <c r="AH378" i="1" s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W380" i="1"/>
  <c r="X380" i="1"/>
  <c r="Y380" i="1"/>
  <c r="Z380" i="1"/>
  <c r="AA380" i="1"/>
  <c r="AB380" i="1" s="1"/>
  <c r="AC380" i="1" s="1"/>
  <c r="AD380" i="1"/>
  <c r="AE380" i="1" s="1"/>
  <c r="AF380" i="1" s="1"/>
  <c r="AG380" i="1" s="1"/>
  <c r="AH380" i="1" s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W384" i="1"/>
  <c r="X384" i="1" s="1"/>
  <c r="Y384" i="1" s="1"/>
  <c r="Z384" i="1" s="1"/>
  <c r="AA384" i="1" s="1"/>
  <c r="AB384" i="1"/>
  <c r="AC384" i="1" s="1"/>
  <c r="AD384" i="1" s="1"/>
  <c r="AE384" i="1" s="1"/>
  <c r="AF384" i="1" s="1"/>
  <c r="AG384" i="1" s="1"/>
  <c r="AH384" i="1" s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W388" i="1"/>
  <c r="X388" i="1" s="1"/>
  <c r="Y388" i="1" s="1"/>
  <c r="Z388" i="1" s="1"/>
  <c r="AA388" i="1" s="1"/>
  <c r="AB388" i="1"/>
  <c r="AC388" i="1" s="1"/>
  <c r="AD388" i="1"/>
  <c r="AE388" i="1" s="1"/>
  <c r="AF388" i="1" s="1"/>
  <c r="AG388" i="1" s="1"/>
  <c r="AH388" i="1" s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W392" i="1"/>
  <c r="X392" i="1"/>
  <c r="Y392" i="1"/>
  <c r="Z392" i="1"/>
  <c r="AA392" i="1"/>
  <c r="AB392" i="1"/>
  <c r="AC392" i="1" s="1"/>
  <c r="AD392" i="1" s="1"/>
  <c r="AE392" i="1" s="1"/>
  <c r="AF392" i="1" s="1"/>
  <c r="AG392" i="1" s="1"/>
  <c r="AH392" i="1" s="1"/>
  <c r="W393" i="1"/>
  <c r="X393" i="1"/>
  <c r="Y393" i="1"/>
  <c r="Z393" i="1"/>
  <c r="AA393" i="1" s="1"/>
  <c r="AB393" i="1" s="1"/>
  <c r="AC393" i="1" s="1"/>
  <c r="AD393" i="1" s="1"/>
  <c r="AE393" i="1" s="1"/>
  <c r="AF393" i="1"/>
  <c r="AG393" i="1" s="1"/>
  <c r="AH393" i="1" s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W395" i="1"/>
  <c r="X395" i="1"/>
  <c r="Y395" i="1"/>
  <c r="Z395" i="1"/>
  <c r="AA395" i="1"/>
  <c r="AB395" i="1"/>
  <c r="AC395" i="1"/>
  <c r="AD395" i="1" s="1"/>
  <c r="AE395" i="1" s="1"/>
  <c r="AF395" i="1" s="1"/>
  <c r="AG395" i="1" s="1"/>
  <c r="AH395" i="1" s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W398" i="1"/>
  <c r="X398" i="1"/>
  <c r="Y398" i="1"/>
  <c r="Z398" i="1"/>
  <c r="AA398" i="1"/>
  <c r="AB398" i="1"/>
  <c r="AC398" i="1" s="1"/>
  <c r="AD398" i="1" s="1"/>
  <c r="AE398" i="1" s="1"/>
  <c r="AF398" i="1" s="1"/>
  <c r="AG398" i="1" s="1"/>
  <c r="AH398" i="1" s="1"/>
  <c r="W399" i="1"/>
  <c r="X399" i="1"/>
  <c r="Y399" i="1"/>
  <c r="Z399" i="1"/>
  <c r="AA399" i="1"/>
  <c r="AB399" i="1"/>
  <c r="AC399" i="1"/>
  <c r="AD399" i="1" s="1"/>
  <c r="AE399" i="1" s="1"/>
  <c r="AF399" i="1" s="1"/>
  <c r="AG399" i="1" s="1"/>
  <c r="AH399" i="1" s="1"/>
  <c r="W400" i="1"/>
  <c r="X400" i="1"/>
  <c r="Y400" i="1"/>
  <c r="Z400" i="1"/>
  <c r="AA400" i="1"/>
  <c r="AB400" i="1"/>
  <c r="AC400" i="1"/>
  <c r="AD400" i="1"/>
  <c r="AE400" i="1" s="1"/>
  <c r="AF400" i="1" s="1"/>
  <c r="AG400" i="1" s="1"/>
  <c r="AH400" i="1" s="1"/>
  <c r="W401" i="1"/>
  <c r="X401" i="1"/>
  <c r="Y401" i="1"/>
  <c r="Z401" i="1"/>
  <c r="AA401" i="1"/>
  <c r="AB401" i="1"/>
  <c r="AC401" i="1"/>
  <c r="AD401" i="1" s="1"/>
  <c r="AE401" i="1" s="1"/>
  <c r="AF401" i="1"/>
  <c r="AG401" i="1" s="1"/>
  <c r="AH401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W403" i="1"/>
  <c r="X403" i="1"/>
  <c r="Y403" i="1"/>
  <c r="Z403" i="1"/>
  <c r="AA403" i="1"/>
  <c r="AB403" i="1" s="1"/>
  <c r="AC403" i="1" s="1"/>
  <c r="AD403" i="1" s="1"/>
  <c r="AE403" i="1" s="1"/>
  <c r="AF403" i="1" s="1"/>
  <c r="AG403" i="1" s="1"/>
  <c r="AH403" i="1" s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W406" i="1"/>
  <c r="X406" i="1"/>
  <c r="Y406" i="1"/>
  <c r="Z406" i="1"/>
  <c r="AA406" i="1"/>
  <c r="AB406" i="1"/>
  <c r="AC406" i="1"/>
  <c r="AD406" i="1"/>
  <c r="AE406" i="1" s="1"/>
  <c r="AF406" i="1" s="1"/>
  <c r="AG406" i="1" s="1"/>
  <c r="AH406" i="1" s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W408" i="1"/>
  <c r="X408" i="1"/>
  <c r="Y408" i="1"/>
  <c r="Z408" i="1" s="1"/>
  <c r="AA408" i="1" s="1"/>
  <c r="AB408" i="1" s="1"/>
  <c r="AC408" i="1" s="1"/>
  <c r="AD408" i="1" s="1"/>
  <c r="AE408" i="1" s="1"/>
  <c r="AF408" i="1" s="1"/>
  <c r="AG408" i="1" s="1"/>
  <c r="AH408" i="1" s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W410" i="1"/>
  <c r="X410" i="1" s="1"/>
  <c r="Y410" i="1" s="1"/>
  <c r="Z410" i="1" s="1"/>
  <c r="AA410" i="1" s="1"/>
  <c r="AB410" i="1" s="1"/>
  <c r="AC410" i="1" s="1"/>
  <c r="AD410" i="1" s="1"/>
  <c r="AE410" i="1" s="1"/>
  <c r="AF410" i="1" s="1"/>
  <c r="AG410" i="1" s="1"/>
  <c r="AH410" i="1" s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W414" i="1"/>
  <c r="X414" i="1"/>
  <c r="Y414" i="1"/>
  <c r="Z414" i="1"/>
  <c r="AA414" i="1"/>
  <c r="AB414" i="1"/>
  <c r="AC414" i="1" s="1"/>
  <c r="AD414" i="1" s="1"/>
  <c r="AE414" i="1" s="1"/>
  <c r="AF414" i="1" s="1"/>
  <c r="AG414" i="1" s="1"/>
  <c r="AH414" i="1" s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W416" i="1"/>
  <c r="X416" i="1"/>
  <c r="Y416" i="1"/>
  <c r="Z416" i="1"/>
  <c r="AA416" i="1"/>
  <c r="AB416" i="1"/>
  <c r="AC416" i="1" s="1"/>
  <c r="AD416" i="1" s="1"/>
  <c r="AE416" i="1" s="1"/>
  <c r="AF416" i="1" s="1"/>
  <c r="AG416" i="1" s="1"/>
  <c r="AH416" i="1" s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W418" i="1"/>
  <c r="X418" i="1" s="1"/>
  <c r="Y418" i="1"/>
  <c r="Z418" i="1" s="1"/>
  <c r="AA418" i="1" s="1"/>
  <c r="AB418" i="1" s="1"/>
  <c r="AC418" i="1" s="1"/>
  <c r="AD418" i="1" s="1"/>
  <c r="AE418" i="1" s="1"/>
  <c r="AF418" i="1" s="1"/>
  <c r="AG418" i="1" s="1"/>
  <c r="AH418" i="1" s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W423" i="1"/>
  <c r="X423" i="1"/>
  <c r="Y423" i="1"/>
  <c r="Z423" i="1"/>
  <c r="AA423" i="1"/>
  <c r="AB423" i="1"/>
  <c r="AC423" i="1"/>
  <c r="AD423" i="1" s="1"/>
  <c r="AE423" i="1" s="1"/>
  <c r="AF423" i="1"/>
  <c r="AG423" i="1" s="1"/>
  <c r="AH423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W429" i="1"/>
  <c r="X429" i="1"/>
  <c r="Y429" i="1" s="1"/>
  <c r="Z429" i="1"/>
  <c r="AA429" i="1" s="1"/>
  <c r="AB429" i="1" s="1"/>
  <c r="AC429" i="1"/>
  <c r="AD429" i="1" s="1"/>
  <c r="AE429" i="1" s="1"/>
  <c r="AF429" i="1" s="1"/>
  <c r="AG429" i="1" s="1"/>
  <c r="AH429" i="1" s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W432" i="1"/>
  <c r="X432" i="1" s="1"/>
  <c r="Y432" i="1"/>
  <c r="Z432" i="1" s="1"/>
  <c r="AA432" i="1" s="1"/>
  <c r="AB432" i="1" s="1"/>
  <c r="AC432" i="1" s="1"/>
  <c r="AD432" i="1" s="1"/>
  <c r="AE432" i="1" s="1"/>
  <c r="AF432" i="1" s="1"/>
  <c r="AG432" i="1" s="1"/>
  <c r="AH432" i="1" s="1"/>
  <c r="W433" i="1"/>
  <c r="X433" i="1"/>
  <c r="Y433" i="1"/>
  <c r="Z433" i="1"/>
  <c r="AA433" i="1"/>
  <c r="AB433" i="1"/>
  <c r="AC433" i="1"/>
  <c r="AD433" i="1"/>
  <c r="AE433" i="1"/>
  <c r="AF433" i="1"/>
  <c r="AG433" i="1" s="1"/>
  <c r="AH433" i="1" s="1"/>
  <c r="W434" i="1"/>
  <c r="X434" i="1" s="1"/>
  <c r="Y434" i="1" s="1"/>
  <c r="Z434" i="1" s="1"/>
  <c r="AA434" i="1" s="1"/>
  <c r="AB434" i="1" s="1"/>
  <c r="AC434" i="1" s="1"/>
  <c r="AD434" i="1" s="1"/>
  <c r="AE434" i="1"/>
  <c r="AF434" i="1" s="1"/>
  <c r="AG434" i="1" s="1"/>
  <c r="AH434" i="1" s="1"/>
  <c r="W435" i="1"/>
  <c r="X435" i="1"/>
  <c r="Y435" i="1"/>
  <c r="Z435" i="1"/>
  <c r="AA435" i="1"/>
  <c r="AB435" i="1" s="1"/>
  <c r="AC435" i="1"/>
  <c r="AD435" i="1" s="1"/>
  <c r="AE435" i="1" s="1"/>
  <c r="AF435" i="1"/>
  <c r="AG435" i="1" s="1"/>
  <c r="AH435" i="1" s="1"/>
  <c r="W436" i="1"/>
  <c r="X436" i="1" s="1"/>
  <c r="Y436" i="1" s="1"/>
  <c r="Z436" i="1" s="1"/>
  <c r="AA436" i="1" s="1"/>
  <c r="AB436" i="1" s="1"/>
  <c r="AC436" i="1" s="1"/>
  <c r="AD436" i="1" s="1"/>
  <c r="AE436" i="1" s="1"/>
  <c r="AF436" i="1" s="1"/>
  <c r="AG436" i="1" s="1"/>
  <c r="AH436" i="1" s="1"/>
  <c r="W437" i="1"/>
  <c r="X437" i="1"/>
  <c r="Y437" i="1"/>
  <c r="Z437" i="1"/>
  <c r="AA437" i="1"/>
  <c r="AB437" i="1" s="1"/>
  <c r="AC437" i="1" s="1"/>
  <c r="AD437" i="1" s="1"/>
  <c r="AE437" i="1" s="1"/>
  <c r="AF437" i="1" s="1"/>
  <c r="AG437" i="1" s="1"/>
  <c r="AH437" i="1" s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W440" i="1"/>
  <c r="X440" i="1"/>
  <c r="Y440" i="1"/>
  <c r="Z440" i="1" s="1"/>
  <c r="AA440" i="1" s="1"/>
  <c r="AB440" i="1" s="1"/>
  <c r="AC440" i="1" s="1"/>
  <c r="AD440" i="1" s="1"/>
  <c r="AE440" i="1" s="1"/>
  <c r="AF440" i="1" s="1"/>
  <c r="AG440" i="1" s="1"/>
  <c r="AH440" i="1" s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W442" i="1"/>
  <c r="X442" i="1"/>
  <c r="Y442" i="1"/>
  <c r="Z442" i="1"/>
  <c r="AA442" i="1"/>
  <c r="AB442" i="1"/>
  <c r="AC442" i="1"/>
  <c r="AD442" i="1"/>
  <c r="AE442" i="1" s="1"/>
  <c r="AF442" i="1" s="1"/>
  <c r="AG442" i="1" s="1"/>
  <c r="AH442" i="1" s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W445" i="1"/>
  <c r="X445" i="1"/>
  <c r="Y445" i="1"/>
  <c r="Z445" i="1"/>
  <c r="AA445" i="1"/>
  <c r="AB445" i="1"/>
  <c r="AC445" i="1"/>
  <c r="AD445" i="1"/>
  <c r="AE445" i="1"/>
  <c r="AF445" i="1"/>
  <c r="AG445" i="1"/>
  <c r="AH445" i="1" s="1"/>
  <c r="W446" i="1"/>
  <c r="X446" i="1"/>
  <c r="Y446" i="1"/>
  <c r="Z446" i="1"/>
  <c r="AA446" i="1"/>
  <c r="AB446" i="1"/>
  <c r="AC446" i="1"/>
  <c r="AD446" i="1" s="1"/>
  <c r="AE446" i="1" s="1"/>
  <c r="AF446" i="1" s="1"/>
  <c r="AG446" i="1" s="1"/>
  <c r="AH446" i="1" s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W448" i="1"/>
  <c r="X448" i="1" s="1"/>
  <c r="Y448" i="1" s="1"/>
  <c r="Z448" i="1" s="1"/>
  <c r="AA448" i="1" s="1"/>
  <c r="AB448" i="1" s="1"/>
  <c r="AC448" i="1" s="1"/>
  <c r="AD448" i="1" s="1"/>
  <c r="AE448" i="1" s="1"/>
  <c r="AF448" i="1" s="1"/>
  <c r="AG448" i="1" s="1"/>
  <c r="AH448" i="1" s="1"/>
  <c r="W449" i="1"/>
  <c r="X449" i="1"/>
  <c r="Y449" i="1"/>
  <c r="Z449" i="1" s="1"/>
  <c r="AA449" i="1" s="1"/>
  <c r="AB449" i="1" s="1"/>
  <c r="AC449" i="1" s="1"/>
  <c r="AD449" i="1" s="1"/>
  <c r="AE449" i="1" s="1"/>
  <c r="AF449" i="1" s="1"/>
  <c r="AG449" i="1"/>
  <c r="AH449" i="1" s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W452" i="1"/>
  <c r="X452" i="1"/>
  <c r="Y452" i="1"/>
  <c r="Z452" i="1"/>
  <c r="AA452" i="1"/>
  <c r="AB452" i="1"/>
  <c r="AC452" i="1"/>
  <c r="AD452" i="1"/>
  <c r="AE452" i="1"/>
  <c r="AF452" i="1" s="1"/>
  <c r="AG452" i="1" s="1"/>
  <c r="AH452" i="1" s="1"/>
  <c r="W453" i="1"/>
  <c r="X453" i="1"/>
  <c r="Y453" i="1"/>
  <c r="Z453" i="1" s="1"/>
  <c r="AA453" i="1" s="1"/>
  <c r="AB453" i="1" s="1"/>
  <c r="AC453" i="1" s="1"/>
  <c r="AD453" i="1" s="1"/>
  <c r="AE453" i="1" s="1"/>
  <c r="AF453" i="1" s="1"/>
  <c r="AG453" i="1"/>
  <c r="AH453" i="1" s="1"/>
  <c r="W454" i="1"/>
  <c r="X454" i="1"/>
  <c r="Y454" i="1"/>
  <c r="Z454" i="1"/>
  <c r="AA454" i="1"/>
  <c r="AB454" i="1"/>
  <c r="AC454" i="1"/>
  <c r="AD454" i="1"/>
  <c r="AE454" i="1"/>
  <c r="AF454" i="1"/>
  <c r="AG454" i="1"/>
  <c r="AH454" i="1" s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W460" i="1"/>
  <c r="X460" i="1" s="1"/>
  <c r="Y460" i="1" s="1"/>
  <c r="Z460" i="1" s="1"/>
  <c r="AA460" i="1" s="1"/>
  <c r="AB460" i="1" s="1"/>
  <c r="AC460" i="1" s="1"/>
  <c r="AD460" i="1" s="1"/>
  <c r="AE460" i="1" s="1"/>
  <c r="AF460" i="1" s="1"/>
  <c r="AG460" i="1" s="1"/>
  <c r="AH460" i="1" s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W462" i="1"/>
  <c r="X462" i="1"/>
  <c r="Y462" i="1"/>
  <c r="Z462" i="1"/>
  <c r="AA462" i="1"/>
  <c r="AB462" i="1"/>
  <c r="AC462" i="1"/>
  <c r="AD462" i="1" s="1"/>
  <c r="AE462" i="1" s="1"/>
  <c r="AF462" i="1" s="1"/>
  <c r="AG462" i="1" s="1"/>
  <c r="AH462" i="1" s="1"/>
  <c r="W463" i="1"/>
  <c r="X463" i="1"/>
  <c r="Y463" i="1"/>
  <c r="Z463" i="1"/>
  <c r="AA463" i="1"/>
  <c r="AB463" i="1" s="1"/>
  <c r="AC463" i="1" s="1"/>
  <c r="AD463" i="1" s="1"/>
  <c r="AE463" i="1" s="1"/>
  <c r="AF463" i="1" s="1"/>
  <c r="AG463" i="1"/>
  <c r="AH463" i="1" s="1"/>
  <c r="W464" i="1"/>
  <c r="X464" i="1" s="1"/>
  <c r="Y464" i="1" s="1"/>
  <c r="Z464" i="1" s="1"/>
  <c r="AA464" i="1" s="1"/>
  <c r="AB464" i="1" s="1"/>
  <c r="AC464" i="1"/>
  <c r="AD464" i="1" s="1"/>
  <c r="AE464" i="1" s="1"/>
  <c r="AF464" i="1" s="1"/>
  <c r="AG464" i="1" s="1"/>
  <c r="AH464" i="1" s="1"/>
  <c r="W465" i="1"/>
  <c r="X465" i="1"/>
  <c r="Y465" i="1"/>
  <c r="Z465" i="1"/>
  <c r="AA465" i="1"/>
  <c r="AB465" i="1" s="1"/>
  <c r="AC465" i="1" s="1"/>
  <c r="AD465" i="1" s="1"/>
  <c r="AE465" i="1" s="1"/>
  <c r="AF465" i="1" s="1"/>
  <c r="AG465" i="1"/>
  <c r="AH465" i="1" s="1"/>
  <c r="W466" i="1"/>
  <c r="X466" i="1"/>
  <c r="Y466" i="1"/>
  <c r="Z466" i="1"/>
  <c r="AA466" i="1"/>
  <c r="AB466" i="1"/>
  <c r="AC466" i="1"/>
  <c r="AD466" i="1" s="1"/>
  <c r="AE466" i="1" s="1"/>
  <c r="AF466" i="1" s="1"/>
  <c r="AG466" i="1" s="1"/>
  <c r="AH466" i="1" s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W469" i="1"/>
  <c r="X469" i="1"/>
  <c r="Y469" i="1"/>
  <c r="Z469" i="1"/>
  <c r="AA469" i="1"/>
  <c r="AB469" i="1"/>
  <c r="AC469" i="1"/>
  <c r="AD469" i="1"/>
  <c r="AE469" i="1" s="1"/>
  <c r="AF469" i="1" s="1"/>
  <c r="AG469" i="1"/>
  <c r="AH469" i="1" s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W473" i="1"/>
  <c r="X473" i="1"/>
  <c r="Y473" i="1"/>
  <c r="Z473" i="1" s="1"/>
  <c r="AA473" i="1" s="1"/>
  <c r="AB473" i="1" s="1"/>
  <c r="AC473" i="1" s="1"/>
  <c r="AD473" i="1" s="1"/>
  <c r="AE473" i="1" s="1"/>
  <c r="AF473" i="1" s="1"/>
  <c r="AG473" i="1"/>
  <c r="AH473" i="1" s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W478" i="1"/>
  <c r="X478" i="1"/>
  <c r="Y478" i="1"/>
  <c r="Z478" i="1"/>
  <c r="AA478" i="1"/>
  <c r="AB478" i="1"/>
  <c r="AC478" i="1"/>
  <c r="AD478" i="1" s="1"/>
  <c r="AE478" i="1" s="1"/>
  <c r="AF478" i="1" s="1"/>
  <c r="AG478" i="1" s="1"/>
  <c r="AH478" i="1" s="1"/>
  <c r="W479" i="1"/>
  <c r="X479" i="1"/>
  <c r="Y479" i="1"/>
  <c r="Z479" i="1" s="1"/>
  <c r="AA479" i="1" s="1"/>
  <c r="AB479" i="1" s="1"/>
  <c r="AC479" i="1" s="1"/>
  <c r="AD479" i="1" s="1"/>
  <c r="AE479" i="1" s="1"/>
  <c r="AF479" i="1" s="1"/>
  <c r="AG479" i="1" s="1"/>
  <c r="AH479" i="1" s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W481" i="1"/>
  <c r="X481" i="1"/>
  <c r="Y481" i="1"/>
  <c r="Z481" i="1" s="1"/>
  <c r="AA481" i="1" s="1"/>
  <c r="AB481" i="1" s="1"/>
  <c r="AC481" i="1" s="1"/>
  <c r="AD481" i="1" s="1"/>
  <c r="AE481" i="1" s="1"/>
  <c r="AF481" i="1" s="1"/>
  <c r="AG481" i="1" s="1"/>
  <c r="AH481" i="1" s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W484" i="1"/>
  <c r="X484" i="1"/>
  <c r="Y484" i="1"/>
  <c r="Z484" i="1"/>
  <c r="AA484" i="1"/>
  <c r="AB484" i="1"/>
  <c r="AC484" i="1"/>
  <c r="AD484" i="1"/>
  <c r="AE484" i="1"/>
  <c r="AF484" i="1" s="1"/>
  <c r="AG484" i="1" s="1"/>
  <c r="AH484" i="1" s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W488" i="1"/>
  <c r="X488" i="1" s="1"/>
  <c r="Y488" i="1" s="1"/>
  <c r="Z488" i="1" s="1"/>
  <c r="AA488" i="1" s="1"/>
  <c r="AB488" i="1" s="1"/>
  <c r="AC488" i="1"/>
  <c r="AD488" i="1" s="1"/>
  <c r="AE488" i="1" s="1"/>
  <c r="AF488" i="1" s="1"/>
  <c r="AG488" i="1" s="1"/>
  <c r="AH488" i="1" s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W493" i="1"/>
  <c r="X493" i="1"/>
  <c r="Y493" i="1"/>
  <c r="Z493" i="1"/>
  <c r="AA493" i="1"/>
  <c r="AB493" i="1"/>
  <c r="AC493" i="1"/>
  <c r="AD493" i="1"/>
  <c r="AE493" i="1"/>
  <c r="AF493" i="1"/>
  <c r="AG493" i="1"/>
  <c r="AH493" i="1" s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W495" i="1"/>
  <c r="X495" i="1"/>
  <c r="Y495" i="1"/>
  <c r="Z495" i="1" s="1"/>
  <c r="AA495" i="1" s="1"/>
  <c r="AB495" i="1" s="1"/>
  <c r="AC495" i="1" s="1"/>
  <c r="AD495" i="1" s="1"/>
  <c r="AE495" i="1" s="1"/>
  <c r="AF495" i="1" s="1"/>
  <c r="AG495" i="1" s="1"/>
  <c r="AH495" i="1" s="1"/>
  <c r="W496" i="1"/>
  <c r="X496" i="1"/>
  <c r="Y496" i="1"/>
  <c r="Z496" i="1"/>
  <c r="AA496" i="1" s="1"/>
  <c r="AB496" i="1" s="1"/>
  <c r="AC496" i="1"/>
  <c r="AD496" i="1" s="1"/>
  <c r="AE496" i="1" s="1"/>
  <c r="AF496" i="1" s="1"/>
  <c r="AG496" i="1" s="1"/>
  <c r="AH496" i="1" s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W498" i="1"/>
  <c r="X498" i="1"/>
  <c r="Y498" i="1"/>
  <c r="Z498" i="1"/>
  <c r="AA498" i="1" s="1"/>
  <c r="AB498" i="1" s="1"/>
  <c r="AC498" i="1" s="1"/>
  <c r="AD498" i="1" s="1"/>
  <c r="AE498" i="1" s="1"/>
  <c r="AF498" i="1" s="1"/>
  <c r="AG498" i="1" s="1"/>
  <c r="AH498" i="1" s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W500" i="1"/>
  <c r="X500" i="1"/>
  <c r="Y500" i="1"/>
  <c r="Z500" i="1"/>
  <c r="AA500" i="1"/>
  <c r="AB500" i="1"/>
  <c r="AC500" i="1"/>
  <c r="AD500" i="1" s="1"/>
  <c r="AE500" i="1" s="1"/>
  <c r="AF500" i="1" s="1"/>
  <c r="AG500" i="1" s="1"/>
  <c r="AH500" i="1" s="1"/>
  <c r="W501" i="1"/>
  <c r="X501" i="1"/>
  <c r="Y501" i="1"/>
  <c r="Z501" i="1" s="1"/>
  <c r="AA501" i="1" s="1"/>
  <c r="AB501" i="1" s="1"/>
  <c r="AC501" i="1" s="1"/>
  <c r="AD501" i="1" s="1"/>
  <c r="AE501" i="1" s="1"/>
  <c r="AF501" i="1" s="1"/>
  <c r="AG501" i="1"/>
  <c r="AH501" i="1" s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W504" i="1"/>
  <c r="X504" i="1"/>
  <c r="Y504" i="1"/>
  <c r="Z504" i="1"/>
  <c r="AA504" i="1"/>
  <c r="AB504" i="1"/>
  <c r="AC504" i="1"/>
  <c r="AD504" i="1"/>
  <c r="AE504" i="1"/>
  <c r="AF504" i="1" s="1"/>
  <c r="AG504" i="1" s="1"/>
  <c r="AH504" i="1" s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W506" i="1"/>
  <c r="X506" i="1" s="1"/>
  <c r="Y506" i="1" s="1"/>
  <c r="Z506" i="1" s="1"/>
  <c r="AA506" i="1" s="1"/>
  <c r="AB506" i="1" s="1"/>
  <c r="AC506" i="1"/>
  <c r="AD506" i="1" s="1"/>
  <c r="AE506" i="1" s="1"/>
  <c r="AF506" i="1" s="1"/>
  <c r="AG506" i="1" s="1"/>
  <c r="AH506" i="1" s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W508" i="1"/>
  <c r="X508" i="1"/>
  <c r="Y508" i="1"/>
  <c r="Z508" i="1"/>
  <c r="AA508" i="1" s="1"/>
  <c r="AB508" i="1" s="1"/>
  <c r="AC508" i="1"/>
  <c r="AD508" i="1" s="1"/>
  <c r="AE508" i="1" s="1"/>
  <c r="AF508" i="1" s="1"/>
  <c r="AG508" i="1" s="1"/>
  <c r="AH508" i="1" s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W510" i="1"/>
  <c r="X510" i="1"/>
  <c r="Y510" i="1"/>
  <c r="Z510" i="1" s="1"/>
  <c r="AA510" i="1" s="1"/>
  <c r="AB510" i="1" s="1"/>
  <c r="AC510" i="1"/>
  <c r="AD510" i="1" s="1"/>
  <c r="AE510" i="1" s="1"/>
  <c r="AF510" i="1" s="1"/>
  <c r="AG510" i="1" s="1"/>
  <c r="AH510" i="1" s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W512" i="1"/>
  <c r="X512" i="1" s="1"/>
  <c r="Y512" i="1" s="1"/>
  <c r="Z512" i="1" s="1"/>
  <c r="AA512" i="1" s="1"/>
  <c r="AB512" i="1" s="1"/>
  <c r="AC512" i="1" s="1"/>
  <c r="AD512" i="1" s="1"/>
  <c r="AE512" i="1" s="1"/>
  <c r="AF512" i="1" s="1"/>
  <c r="AG512" i="1" s="1"/>
  <c r="AH512" i="1" s="1"/>
  <c r="W513" i="1"/>
  <c r="X513" i="1"/>
  <c r="Y513" i="1"/>
  <c r="Z513" i="1" s="1"/>
  <c r="AA513" i="1" s="1"/>
  <c r="AB513" i="1" s="1"/>
  <c r="AC513" i="1" s="1"/>
  <c r="AD513" i="1" s="1"/>
  <c r="AE513" i="1" s="1"/>
  <c r="AF513" i="1" s="1"/>
  <c r="AG513" i="1"/>
  <c r="AH513" i="1" s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W515" i="1"/>
  <c r="X515" i="1" s="1"/>
  <c r="Y515" i="1"/>
  <c r="Z515" i="1" s="1"/>
  <c r="AA515" i="1" s="1"/>
  <c r="AB515" i="1" s="1"/>
  <c r="AC515" i="1" s="1"/>
  <c r="AD515" i="1" s="1"/>
  <c r="AE515" i="1" s="1"/>
  <c r="AF515" i="1" s="1"/>
  <c r="AG515" i="1" s="1"/>
  <c r="AH515" i="1" s="1"/>
  <c r="W516" i="1"/>
  <c r="X516" i="1"/>
  <c r="Y516" i="1"/>
  <c r="Z516" i="1"/>
  <c r="AA516" i="1"/>
  <c r="AB516" i="1"/>
  <c r="AC516" i="1"/>
  <c r="AD516" i="1"/>
  <c r="AE516" i="1"/>
  <c r="AF516" i="1" s="1"/>
  <c r="AG516" i="1" s="1"/>
  <c r="AH516" i="1" s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W521" i="1"/>
  <c r="X521" i="1"/>
  <c r="Y521" i="1"/>
  <c r="Z521" i="1" s="1"/>
  <c r="AA521" i="1" s="1"/>
  <c r="AB521" i="1" s="1"/>
  <c r="AC521" i="1" s="1"/>
  <c r="AD521" i="1" s="1"/>
  <c r="AE521" i="1" s="1"/>
  <c r="AF521" i="1" s="1"/>
  <c r="AG521" i="1" s="1"/>
  <c r="AH521" i="1" s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W523" i="1"/>
  <c r="X523" i="1"/>
  <c r="Y523" i="1"/>
  <c r="Z523" i="1"/>
  <c r="AA523" i="1"/>
  <c r="AB523" i="1"/>
  <c r="AC523" i="1"/>
  <c r="AD523" i="1"/>
  <c r="AE523" i="1"/>
  <c r="AF523" i="1" s="1"/>
  <c r="AG523" i="1" s="1"/>
  <c r="AH523" i="1" s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W525" i="1"/>
  <c r="X525" i="1"/>
  <c r="Y525" i="1"/>
  <c r="Z525" i="1"/>
  <c r="AA525" i="1"/>
  <c r="AB525" i="1"/>
  <c r="AC525" i="1"/>
  <c r="AD525" i="1"/>
  <c r="AE525" i="1"/>
  <c r="AF525" i="1" s="1"/>
  <c r="AG525" i="1"/>
  <c r="AH525" i="1" s="1"/>
  <c r="W526" i="1"/>
  <c r="X526" i="1" s="1"/>
  <c r="Y526" i="1" s="1"/>
  <c r="Z526" i="1" s="1"/>
  <c r="AA526" i="1" s="1"/>
  <c r="AB526" i="1" s="1"/>
  <c r="AC526" i="1" s="1"/>
  <c r="AD526" i="1" s="1"/>
  <c r="AE526" i="1" s="1"/>
  <c r="AF526" i="1" s="1"/>
  <c r="AG526" i="1" s="1"/>
  <c r="AH526" i="1" s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W528" i="1"/>
  <c r="X528" i="1"/>
  <c r="Y528" i="1"/>
  <c r="Z528" i="1"/>
  <c r="AA528" i="1"/>
  <c r="AB528" i="1"/>
  <c r="AC528" i="1"/>
  <c r="AD528" i="1"/>
  <c r="AE528" i="1"/>
  <c r="AF528" i="1"/>
  <c r="AG528" i="1"/>
  <c r="AH528" i="1" s="1"/>
  <c r="W529" i="1"/>
  <c r="X529" i="1" s="1"/>
  <c r="Y529" i="1"/>
  <c r="Z529" i="1" s="1"/>
  <c r="AA529" i="1" s="1"/>
  <c r="AB529" i="1" s="1"/>
  <c r="AC529" i="1" s="1"/>
  <c r="AD529" i="1" s="1"/>
  <c r="AE529" i="1" s="1"/>
  <c r="AF529" i="1" s="1"/>
  <c r="AG529" i="1" s="1"/>
  <c r="AH529" i="1" s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W532" i="1"/>
  <c r="X532" i="1"/>
  <c r="Y532" i="1"/>
  <c r="Z532" i="1"/>
  <c r="AA532" i="1"/>
  <c r="AB532" i="1"/>
  <c r="AC532" i="1"/>
  <c r="AD532" i="1"/>
  <c r="AE532" i="1"/>
  <c r="AF532" i="1"/>
  <c r="AG532" i="1"/>
  <c r="AH532" i="1" s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W535" i="1"/>
  <c r="X535" i="1" s="1"/>
  <c r="Y535" i="1" s="1"/>
  <c r="Z535" i="1" s="1"/>
  <c r="AA535" i="1" s="1"/>
  <c r="AB535" i="1" s="1"/>
  <c r="AC535" i="1" s="1"/>
  <c r="AD535" i="1" s="1"/>
  <c r="AE535" i="1" s="1"/>
  <c r="AF535" i="1" s="1"/>
  <c r="AG535" i="1" s="1"/>
  <c r="AH535" i="1" s="1"/>
  <c r="W536" i="1"/>
  <c r="X536" i="1"/>
  <c r="Y536" i="1"/>
  <c r="Z536" i="1" s="1"/>
  <c r="AA536" i="1" s="1"/>
  <c r="AB536" i="1" s="1"/>
  <c r="AC536" i="1"/>
  <c r="AD536" i="1" s="1"/>
  <c r="AE536" i="1" s="1"/>
  <c r="AF536" i="1" s="1"/>
  <c r="AG536" i="1" s="1"/>
  <c r="AH536" i="1" s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W539" i="1"/>
  <c r="X539" i="1" s="1"/>
  <c r="Y539" i="1"/>
  <c r="Z539" i="1" s="1"/>
  <c r="AA539" i="1" s="1"/>
  <c r="AB539" i="1" s="1"/>
  <c r="AC539" i="1" s="1"/>
  <c r="AD539" i="1" s="1"/>
  <c r="AE539" i="1" s="1"/>
  <c r="AF539" i="1" s="1"/>
  <c r="AG539" i="1" s="1"/>
  <c r="AH539" i="1" s="1"/>
  <c r="W540" i="1"/>
  <c r="X540" i="1"/>
  <c r="Y540" i="1"/>
  <c r="Z540" i="1"/>
  <c r="AA540" i="1"/>
  <c r="AB540" i="1"/>
  <c r="AC540" i="1"/>
  <c r="AD540" i="1" s="1"/>
  <c r="AE540" i="1" s="1"/>
  <c r="AF540" i="1" s="1"/>
  <c r="AG540" i="1" s="1"/>
  <c r="AH540" i="1" s="1"/>
  <c r="W541" i="1"/>
  <c r="X541" i="1" s="1"/>
  <c r="Y541" i="1" s="1"/>
  <c r="Z541" i="1" s="1"/>
  <c r="AA541" i="1" s="1"/>
  <c r="AB541" i="1" s="1"/>
  <c r="AC541" i="1" s="1"/>
  <c r="AD541" i="1" s="1"/>
  <c r="AE541" i="1" s="1"/>
  <c r="AF541" i="1" s="1"/>
  <c r="AG541" i="1" s="1"/>
  <c r="AH541" i="1" s="1"/>
  <c r="W542" i="1"/>
  <c r="X542" i="1"/>
  <c r="Y542" i="1"/>
  <c r="Z542" i="1" s="1"/>
  <c r="AA542" i="1" s="1"/>
  <c r="AB542" i="1" s="1"/>
  <c r="AC542" i="1" s="1"/>
  <c r="AD542" i="1" s="1"/>
  <c r="AE542" i="1" s="1"/>
  <c r="AF542" i="1" s="1"/>
  <c r="AG542" i="1" s="1"/>
  <c r="AH542" i="1" s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W544" i="1"/>
  <c r="X544" i="1"/>
  <c r="Y544" i="1"/>
  <c r="Z544" i="1"/>
  <c r="AA544" i="1"/>
  <c r="AB544" i="1"/>
  <c r="AC544" i="1"/>
  <c r="AD544" i="1" s="1"/>
  <c r="AE544" i="1" s="1"/>
  <c r="AF544" i="1" s="1"/>
  <c r="AG544" i="1"/>
  <c r="AH544" i="1" s="1"/>
  <c r="W545" i="1"/>
  <c r="X545" i="1"/>
  <c r="Y545" i="1"/>
  <c r="Z545" i="1" s="1"/>
  <c r="AA545" i="1" s="1"/>
  <c r="AB545" i="1" s="1"/>
  <c r="AC545" i="1" s="1"/>
  <c r="AD545" i="1" s="1"/>
  <c r="AE545" i="1" s="1"/>
  <c r="AF545" i="1" s="1"/>
  <c r="AG545" i="1" s="1"/>
  <c r="AH545" i="1" s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W547" i="1"/>
  <c r="X547" i="1"/>
  <c r="Y547" i="1"/>
  <c r="Z547" i="1"/>
  <c r="AA547" i="1"/>
  <c r="AB547" i="1"/>
  <c r="AC547" i="1"/>
  <c r="AD547" i="1"/>
  <c r="AE547" i="1"/>
  <c r="AF547" i="1" s="1"/>
  <c r="AG547" i="1"/>
  <c r="AH547" i="1" s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W551" i="1"/>
  <c r="X551" i="1"/>
  <c r="Y551" i="1"/>
  <c r="Z551" i="1"/>
  <c r="AA551" i="1"/>
  <c r="AB551" i="1" s="1"/>
  <c r="AC551" i="1"/>
  <c r="AD551" i="1" s="1"/>
  <c r="AE551" i="1" s="1"/>
  <c r="AF551" i="1" s="1"/>
  <c r="AG551" i="1" s="1"/>
  <c r="AH551" i="1" s="1"/>
  <c r="W552" i="1"/>
  <c r="X552" i="1"/>
  <c r="Y552" i="1"/>
  <c r="Z552" i="1"/>
  <c r="AA552" i="1"/>
  <c r="AB552" i="1" s="1"/>
  <c r="AC552" i="1" s="1"/>
  <c r="AD552" i="1" s="1"/>
  <c r="AE552" i="1" s="1"/>
  <c r="AF552" i="1" s="1"/>
  <c r="AG552" i="1" s="1"/>
  <c r="AH552" i="1" s="1"/>
  <c r="W553" i="1"/>
  <c r="X553" i="1" s="1"/>
  <c r="Y553" i="1"/>
  <c r="Z553" i="1" s="1"/>
  <c r="AA553" i="1" s="1"/>
  <c r="AB553" i="1" s="1"/>
  <c r="AC553" i="1" s="1"/>
  <c r="AD553" i="1" s="1"/>
  <c r="AE553" i="1" s="1"/>
  <c r="AF553" i="1" s="1"/>
  <c r="AG553" i="1" s="1"/>
  <c r="AH553" i="1" s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W555" i="1"/>
  <c r="X555" i="1"/>
  <c r="Y555" i="1"/>
  <c r="Z555" i="1"/>
  <c r="AA555" i="1"/>
  <c r="AB555" i="1" s="1"/>
  <c r="AC555" i="1"/>
  <c r="AD555" i="1" s="1"/>
  <c r="AE555" i="1" s="1"/>
  <c r="AF555" i="1" s="1"/>
  <c r="AG555" i="1" s="1"/>
  <c r="AH555" i="1" s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W557" i="1"/>
  <c r="X557" i="1"/>
  <c r="Y557" i="1"/>
  <c r="Z557" i="1"/>
  <c r="AA557" i="1"/>
  <c r="AB557" i="1" s="1"/>
  <c r="AC557" i="1"/>
  <c r="AD557" i="1" s="1"/>
  <c r="AE557" i="1" s="1"/>
  <c r="AF557" i="1" s="1"/>
  <c r="AG557" i="1" s="1"/>
  <c r="AH557" i="1" s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W559" i="1"/>
  <c r="X559" i="1"/>
  <c r="Y559" i="1"/>
  <c r="Z559" i="1" s="1"/>
  <c r="AA559" i="1" s="1"/>
  <c r="AB559" i="1" s="1"/>
  <c r="AC559" i="1" s="1"/>
  <c r="AD559" i="1" s="1"/>
  <c r="AE559" i="1" s="1"/>
  <c r="AF559" i="1" s="1"/>
  <c r="AG559" i="1" s="1"/>
  <c r="AH559" i="1" s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W564" i="1"/>
  <c r="X564" i="1"/>
  <c r="Y564" i="1"/>
  <c r="Z564" i="1"/>
  <c r="AA564" i="1"/>
  <c r="AB564" i="1"/>
  <c r="AC564" i="1"/>
  <c r="AD564" i="1"/>
  <c r="AE564" i="1"/>
  <c r="AF564" i="1" s="1"/>
  <c r="AG564" i="1"/>
  <c r="AH564" i="1" s="1"/>
  <c r="W565" i="1"/>
  <c r="X565" i="1"/>
  <c r="Y565" i="1"/>
  <c r="Z565" i="1"/>
  <c r="AA565" i="1"/>
  <c r="AB565" i="1" s="1"/>
  <c r="AC565" i="1"/>
  <c r="AD565" i="1" s="1"/>
  <c r="AE565" i="1" s="1"/>
  <c r="AF565" i="1" s="1"/>
  <c r="AG565" i="1"/>
  <c r="AH565" i="1" s="1"/>
  <c r="W566" i="1"/>
  <c r="X566" i="1" s="1"/>
  <c r="Y566" i="1" s="1"/>
  <c r="Z566" i="1" s="1"/>
  <c r="AA566" i="1" s="1"/>
  <c r="AB566" i="1" s="1"/>
  <c r="AC566" i="1" s="1"/>
  <c r="AD566" i="1" s="1"/>
  <c r="AE566" i="1" s="1"/>
  <c r="AF566" i="1" s="1"/>
  <c r="AG566" i="1" s="1"/>
  <c r="AH566" i="1" s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W570" i="1"/>
  <c r="X570" i="1" s="1"/>
  <c r="Y570" i="1"/>
  <c r="Z570" i="1" s="1"/>
  <c r="AA570" i="1" s="1"/>
  <c r="AB570" i="1" s="1"/>
  <c r="AC570" i="1" s="1"/>
  <c r="AD570" i="1" s="1"/>
  <c r="AE570" i="1" s="1"/>
  <c r="AF570" i="1" s="1"/>
  <c r="AG570" i="1" s="1"/>
  <c r="AH570" i="1" s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W572" i="1"/>
  <c r="X572" i="1"/>
  <c r="Y572" i="1"/>
  <c r="Z572" i="1"/>
  <c r="AA572" i="1"/>
  <c r="AB572" i="1"/>
  <c r="AC572" i="1"/>
  <c r="AD572" i="1"/>
  <c r="AE572" i="1"/>
  <c r="AF572" i="1"/>
  <c r="AG572" i="1"/>
  <c r="AH572" i="1" s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W574" i="1"/>
  <c r="X574" i="1" s="1"/>
  <c r="Y574" i="1" s="1"/>
  <c r="Z574" i="1" s="1"/>
  <c r="AA574" i="1" s="1"/>
  <c r="AB574" i="1" s="1"/>
  <c r="AC574" i="1" s="1"/>
  <c r="AD574" i="1" s="1"/>
  <c r="AE574" i="1" s="1"/>
  <c r="AF574" i="1" s="1"/>
  <c r="AG574" i="1" s="1"/>
  <c r="AH574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W579" i="1"/>
  <c r="X579" i="1"/>
  <c r="Y579" i="1"/>
  <c r="Z579" i="1"/>
  <c r="AA579" i="1"/>
  <c r="AB579" i="1"/>
  <c r="AC579" i="1" s="1"/>
  <c r="AD579" i="1"/>
  <c r="AE579" i="1" s="1"/>
  <c r="AF579" i="1" s="1"/>
  <c r="AG579" i="1" s="1"/>
  <c r="AH579" i="1" s="1"/>
  <c r="W580" i="1"/>
  <c r="X580" i="1"/>
  <c r="Y580" i="1"/>
  <c r="Z580" i="1"/>
  <c r="AA580" i="1"/>
  <c r="AB580" i="1" s="1"/>
  <c r="AC580" i="1"/>
  <c r="AD580" i="1" s="1"/>
  <c r="AE580" i="1" s="1"/>
  <c r="AF580" i="1" s="1"/>
  <c r="AG580" i="1" s="1"/>
  <c r="AH580" i="1" s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W582" i="1"/>
  <c r="X582" i="1"/>
  <c r="Y582" i="1"/>
  <c r="Z582" i="1" s="1"/>
  <c r="AA582" i="1" s="1"/>
  <c r="AB582" i="1" s="1"/>
  <c r="AC582" i="1" s="1"/>
  <c r="AD582" i="1"/>
  <c r="AE582" i="1" s="1"/>
  <c r="AF582" i="1" s="1"/>
  <c r="AG582" i="1" s="1"/>
  <c r="AH582" i="1" s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W586" i="1"/>
  <c r="X586" i="1"/>
  <c r="Y586" i="1"/>
  <c r="Z586" i="1"/>
  <c r="AA586" i="1"/>
  <c r="AB586" i="1"/>
  <c r="AC586" i="1"/>
  <c r="AD586" i="1"/>
  <c r="AE586" i="1" s="1"/>
  <c r="AF586" i="1" s="1"/>
  <c r="AG586" i="1" s="1"/>
  <c r="AH586" i="1" s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W592" i="1"/>
  <c r="X592" i="1"/>
  <c r="Y592" i="1"/>
  <c r="Z592" i="1"/>
  <c r="AA592" i="1"/>
  <c r="AB592" i="1"/>
  <c r="AC592" i="1" s="1"/>
  <c r="AD592" i="1" s="1"/>
  <c r="AE592" i="1" s="1"/>
  <c r="AF592" i="1" s="1"/>
  <c r="AG592" i="1" s="1"/>
  <c r="AH592" i="1" s="1"/>
  <c r="W593" i="1"/>
  <c r="X593" i="1"/>
  <c r="Y593" i="1"/>
  <c r="Z593" i="1"/>
  <c r="AA593" i="1"/>
  <c r="AB593" i="1"/>
  <c r="AC593" i="1"/>
  <c r="AD593" i="1" s="1"/>
  <c r="AE593" i="1" s="1"/>
  <c r="AF593" i="1" s="1"/>
  <c r="AG593" i="1" s="1"/>
  <c r="AH593" i="1" s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W598" i="1"/>
  <c r="X598" i="1"/>
  <c r="Y598" i="1"/>
  <c r="Z598" i="1" s="1"/>
  <c r="AA598" i="1" s="1"/>
  <c r="AB598" i="1" s="1"/>
  <c r="AC598" i="1" s="1"/>
  <c r="AD598" i="1"/>
  <c r="AE598" i="1" s="1"/>
  <c r="AF598" i="1" s="1"/>
  <c r="AG598" i="1" s="1"/>
  <c r="AH598" i="1" s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W602" i="1"/>
  <c r="X602" i="1"/>
  <c r="Y602" i="1"/>
  <c r="Z602" i="1" s="1"/>
  <c r="AA602" i="1" s="1"/>
  <c r="AB602" i="1" s="1"/>
  <c r="AC602" i="1" s="1"/>
  <c r="AD602" i="1"/>
  <c r="AE602" i="1" s="1"/>
  <c r="AF602" i="1" s="1"/>
  <c r="AG602" i="1" s="1"/>
  <c r="AH602" i="1" s="1"/>
  <c r="W603" i="1"/>
  <c r="X603" i="1"/>
  <c r="Y603" i="1"/>
  <c r="Z603" i="1"/>
  <c r="AA603" i="1" s="1"/>
  <c r="AB603" i="1" s="1"/>
  <c r="AC603" i="1" s="1"/>
  <c r="AD603" i="1" s="1"/>
  <c r="AE603" i="1" s="1"/>
  <c r="AF603" i="1" s="1"/>
  <c r="AG603" i="1" s="1"/>
  <c r="AH603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W607" i="1"/>
  <c r="X607" i="1"/>
  <c r="Y607" i="1"/>
  <c r="Z607" i="1"/>
  <c r="AA607" i="1"/>
  <c r="AB607" i="1"/>
  <c r="AC607" i="1"/>
  <c r="AD607" i="1" s="1"/>
  <c r="AE607" i="1" s="1"/>
  <c r="AF607" i="1" s="1"/>
  <c r="AG607" i="1" s="1"/>
  <c r="AH607" i="1" s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W612" i="1"/>
  <c r="X612" i="1"/>
  <c r="Y612" i="1"/>
  <c r="Z612" i="1"/>
  <c r="AA612" i="1"/>
  <c r="AB612" i="1"/>
  <c r="AC612" i="1"/>
  <c r="AD612" i="1"/>
  <c r="AE612" i="1"/>
  <c r="AF612" i="1"/>
  <c r="AG612" i="1"/>
  <c r="AH612" i="1" s="1"/>
  <c r="W613" i="1"/>
  <c r="X613" i="1"/>
  <c r="Y613" i="1"/>
  <c r="Z613" i="1"/>
  <c r="AA613" i="1"/>
  <c r="AB613" i="1"/>
  <c r="AC613" i="1"/>
  <c r="AD613" i="1"/>
  <c r="AE613" i="1"/>
  <c r="AF613" i="1"/>
  <c r="AG613" i="1" s="1"/>
  <c r="AH613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W620" i="1"/>
  <c r="X620" i="1" s="1"/>
  <c r="Y620" i="1" s="1"/>
  <c r="Z620" i="1" s="1"/>
  <c r="AA620" i="1" s="1"/>
  <c r="AB620" i="1" s="1"/>
  <c r="AC620" i="1" s="1"/>
  <c r="AD620" i="1" s="1"/>
  <c r="AE620" i="1" s="1"/>
  <c r="AF620" i="1" s="1"/>
  <c r="AG620" i="1" s="1"/>
  <c r="AH620" i="1" s="1"/>
  <c r="W621" i="1"/>
  <c r="X621" i="1"/>
  <c r="Y621" i="1"/>
  <c r="Z621" i="1"/>
  <c r="AA621" i="1"/>
  <c r="AB621" i="1" s="1"/>
  <c r="AC621" i="1" s="1"/>
  <c r="AD621" i="1" s="1"/>
  <c r="AE621" i="1" s="1"/>
  <c r="AF621" i="1" s="1"/>
  <c r="AG621" i="1" s="1"/>
  <c r="AH621" i="1"/>
  <c r="W622" i="1"/>
  <c r="X622" i="1"/>
  <c r="Y622" i="1"/>
  <c r="Z622" i="1" s="1"/>
  <c r="AA622" i="1" s="1"/>
  <c r="AB622" i="1" s="1"/>
  <c r="AC622" i="1" s="1"/>
  <c r="AD622" i="1" s="1"/>
  <c r="AE622" i="1" s="1"/>
  <c r="AF622" i="1" s="1"/>
  <c r="AG622" i="1" s="1"/>
  <c r="AH622" i="1" s="1"/>
  <c r="W623" i="1"/>
  <c r="X623" i="1"/>
  <c r="Y623" i="1"/>
  <c r="Z623" i="1"/>
  <c r="AA623" i="1" s="1"/>
  <c r="AB623" i="1" s="1"/>
  <c r="AC623" i="1" s="1"/>
  <c r="AD623" i="1" s="1"/>
  <c r="AE623" i="1" s="1"/>
  <c r="AF623" i="1" s="1"/>
  <c r="AG623" i="1" s="1"/>
  <c r="AH623" i="1"/>
  <c r="W624" i="1"/>
  <c r="X624" i="1"/>
  <c r="Y624" i="1"/>
  <c r="Z624" i="1"/>
  <c r="AA624" i="1"/>
  <c r="AB624" i="1"/>
  <c r="AC624" i="1"/>
  <c r="AD624" i="1"/>
  <c r="AE624" i="1"/>
  <c r="AF624" i="1"/>
  <c r="AG624" i="1"/>
  <c r="AH624" i="1" s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W626" i="1"/>
  <c r="X626" i="1"/>
  <c r="Y626" i="1"/>
  <c r="Z626" i="1" s="1"/>
  <c r="AA626" i="1" s="1"/>
  <c r="AB626" i="1" s="1"/>
  <c r="AC626" i="1" s="1"/>
  <c r="AD626" i="1" s="1"/>
  <c r="AE626" i="1" s="1"/>
  <c r="AF626" i="1" s="1"/>
  <c r="AG626" i="1" s="1"/>
  <c r="AH626" i="1" s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W629" i="1"/>
  <c r="X629" i="1"/>
  <c r="Y629" i="1" s="1"/>
  <c r="Z629" i="1" s="1"/>
  <c r="AA629" i="1" s="1"/>
  <c r="AB629" i="1" s="1"/>
  <c r="AC629" i="1" s="1"/>
  <c r="AD629" i="1" s="1"/>
  <c r="AE629" i="1" s="1"/>
  <c r="AF629" i="1" s="1"/>
  <c r="AG629" i="1" s="1"/>
  <c r="AH629" i="1" s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W631" i="1"/>
  <c r="X631" i="1"/>
  <c r="Y631" i="1"/>
  <c r="Z631" i="1"/>
  <c r="AA631" i="1" s="1"/>
  <c r="AB631" i="1" s="1"/>
  <c r="AC631" i="1" s="1"/>
  <c r="AD631" i="1" s="1"/>
  <c r="AE631" i="1" s="1"/>
  <c r="AF631" i="1" s="1"/>
  <c r="AG631" i="1" s="1"/>
  <c r="AH631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W638" i="1"/>
  <c r="X638" i="1"/>
  <c r="Y638" i="1"/>
  <c r="Z638" i="1"/>
  <c r="AA638" i="1"/>
  <c r="AB638" i="1"/>
  <c r="AC638" i="1"/>
  <c r="AD638" i="1"/>
  <c r="AE638" i="1" s="1"/>
  <c r="AF638" i="1" s="1"/>
  <c r="AG638" i="1" s="1"/>
  <c r="AH638" i="1" s="1"/>
  <c r="W639" i="1"/>
  <c r="X639" i="1"/>
  <c r="Y639" i="1" s="1"/>
  <c r="Z639" i="1" s="1"/>
  <c r="AA639" i="1" s="1"/>
  <c r="AB639" i="1" s="1"/>
  <c r="AC639" i="1" s="1"/>
  <c r="AD639" i="1" s="1"/>
  <c r="AE639" i="1" s="1"/>
  <c r="AF639" i="1" s="1"/>
  <c r="AG639" i="1" s="1"/>
  <c r="AH639" i="1" s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W642" i="1"/>
  <c r="X642" i="1"/>
  <c r="Y642" i="1"/>
  <c r="Z642" i="1"/>
  <c r="AA642" i="1"/>
  <c r="AB642" i="1"/>
  <c r="AC642" i="1" s="1"/>
  <c r="AD642" i="1" s="1"/>
  <c r="AE642" i="1" s="1"/>
  <c r="AF642" i="1" s="1"/>
  <c r="AG642" i="1" s="1"/>
  <c r="AH642" i="1" s="1"/>
  <c r="W643" i="1"/>
  <c r="X643" i="1"/>
  <c r="Y643" i="1" s="1"/>
  <c r="Z643" i="1" s="1"/>
  <c r="AA643" i="1" s="1"/>
  <c r="AB643" i="1" s="1"/>
  <c r="AC643" i="1" s="1"/>
  <c r="AD643" i="1" s="1"/>
  <c r="AE643" i="1" s="1"/>
  <c r="AF643" i="1" s="1"/>
  <c r="AG643" i="1" s="1"/>
  <c r="AH643" i="1" s="1"/>
  <c r="W644" i="1"/>
  <c r="X644" i="1"/>
  <c r="Y644" i="1"/>
  <c r="Z644" i="1"/>
  <c r="AA644" i="1"/>
  <c r="AB644" i="1"/>
  <c r="AC644" i="1"/>
  <c r="AD644" i="1"/>
  <c r="AE644" i="1"/>
  <c r="AF644" i="1" s="1"/>
  <c r="AG644" i="1" s="1"/>
  <c r="AH644" i="1" s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W647" i="1"/>
  <c r="X647" i="1"/>
  <c r="Y647" i="1"/>
  <c r="Z647" i="1"/>
  <c r="AA647" i="1" s="1"/>
  <c r="AB647" i="1" s="1"/>
  <c r="AC647" i="1" s="1"/>
  <c r="AD647" i="1" s="1"/>
  <c r="AE647" i="1" s="1"/>
  <c r="AF647" i="1" s="1"/>
  <c r="AG647" i="1" s="1"/>
  <c r="AH647" i="1" s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W649" i="1"/>
  <c r="X649" i="1"/>
  <c r="Y649" i="1"/>
  <c r="Z649" i="1"/>
  <c r="AA649" i="1"/>
  <c r="AB649" i="1"/>
  <c r="AC649" i="1"/>
  <c r="AD649" i="1" s="1"/>
  <c r="AE649" i="1" s="1"/>
  <c r="AF649" i="1" s="1"/>
  <c r="AG649" i="1" s="1"/>
  <c r="AH649" i="1" s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W652" i="1"/>
  <c r="X652" i="1"/>
  <c r="Y652" i="1"/>
  <c r="Z652" i="1"/>
  <c r="AA652" i="1"/>
  <c r="AB652" i="1"/>
  <c r="AC652" i="1" s="1"/>
  <c r="AD652" i="1"/>
  <c r="AE652" i="1" s="1"/>
  <c r="AF652" i="1" s="1"/>
  <c r="AG652" i="1" s="1"/>
  <c r="AH652" i="1" s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W656" i="1"/>
  <c r="X656" i="1"/>
  <c r="Y656" i="1"/>
  <c r="Z656" i="1"/>
  <c r="AA656" i="1"/>
  <c r="AB656" i="1"/>
  <c r="AC656" i="1"/>
  <c r="AD656" i="1"/>
  <c r="AE656" i="1" s="1"/>
  <c r="AF656" i="1" s="1"/>
  <c r="AG656" i="1" s="1"/>
  <c r="AH656" i="1" s="1"/>
  <c r="W657" i="1"/>
  <c r="X657" i="1"/>
  <c r="Y657" i="1"/>
  <c r="Z657" i="1"/>
  <c r="AA657" i="1"/>
  <c r="AB657" i="1" s="1"/>
  <c r="AC657" i="1" s="1"/>
  <c r="AD657" i="1" s="1"/>
  <c r="AE657" i="1" s="1"/>
  <c r="AF657" i="1" s="1"/>
  <c r="AG657" i="1" s="1"/>
  <c r="AH657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W660" i="1"/>
  <c r="X660" i="1" s="1"/>
  <c r="Y660" i="1" s="1"/>
  <c r="Z660" i="1" s="1"/>
  <c r="AA660" i="1" s="1"/>
  <c r="AB660" i="1" s="1"/>
  <c r="AC660" i="1" s="1"/>
  <c r="AD660" i="1"/>
  <c r="AE660" i="1" s="1"/>
  <c r="AF660" i="1" s="1"/>
  <c r="AG660" i="1" s="1"/>
  <c r="AH660" i="1" s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W662" i="1"/>
  <c r="X662" i="1" s="1"/>
  <c r="Y662" i="1" s="1"/>
  <c r="Z662" i="1" s="1"/>
  <c r="AA662" i="1" s="1"/>
  <c r="AB662" i="1" s="1"/>
  <c r="AC662" i="1" s="1"/>
  <c r="AD662" i="1"/>
  <c r="AE662" i="1" s="1"/>
  <c r="AF662" i="1" s="1"/>
  <c r="AG662" i="1" s="1"/>
  <c r="AH662" i="1" s="1"/>
  <c r="W663" i="1"/>
  <c r="X663" i="1"/>
  <c r="Y663" i="1"/>
  <c r="Z663" i="1"/>
  <c r="AA663" i="1"/>
  <c r="AB663" i="1"/>
  <c r="AC663" i="1"/>
  <c r="AD663" i="1" s="1"/>
  <c r="AE663" i="1" s="1"/>
  <c r="AF663" i="1" s="1"/>
  <c r="AG663" i="1" s="1"/>
  <c r="AH663" i="1"/>
  <c r="W664" i="1"/>
  <c r="X664" i="1"/>
  <c r="Y664" i="1"/>
  <c r="Z664" i="1"/>
  <c r="AA664" i="1"/>
  <c r="AB664" i="1"/>
  <c r="AC664" i="1" s="1"/>
  <c r="AD664" i="1" s="1"/>
  <c r="AE664" i="1" s="1"/>
  <c r="AF664" i="1" s="1"/>
  <c r="AG664" i="1" s="1"/>
  <c r="AH664" i="1" s="1"/>
  <c r="W665" i="1"/>
  <c r="X665" i="1"/>
  <c r="Y665" i="1"/>
  <c r="Z665" i="1"/>
  <c r="AA665" i="1"/>
  <c r="AB665" i="1"/>
  <c r="AC665" i="1"/>
  <c r="AD665" i="1"/>
  <c r="AE665" i="1"/>
  <c r="AF665" i="1"/>
  <c r="AG665" i="1" s="1"/>
  <c r="AH665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W668" i="1"/>
  <c r="X668" i="1"/>
  <c r="Y668" i="1"/>
  <c r="Z668" i="1"/>
  <c r="AA668" i="1"/>
  <c r="AB668" i="1"/>
  <c r="AC668" i="1"/>
  <c r="AD668" i="1"/>
  <c r="AE668" i="1"/>
  <c r="AF668" i="1" s="1"/>
  <c r="AG668" i="1" s="1"/>
  <c r="AH668" i="1" s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W670" i="1"/>
  <c r="X670" i="1"/>
  <c r="Y670" i="1"/>
  <c r="Z670" i="1"/>
  <c r="AA670" i="1"/>
  <c r="AB670" i="1"/>
  <c r="AC670" i="1"/>
  <c r="AD670" i="1"/>
  <c r="AE670" i="1"/>
  <c r="AF670" i="1"/>
  <c r="AG670" i="1"/>
  <c r="AH670" i="1" s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W672" i="1"/>
  <c r="X672" i="1"/>
  <c r="Y672" i="1"/>
  <c r="Z672" i="1"/>
  <c r="AA672" i="1"/>
  <c r="AB672" i="1"/>
  <c r="AC672" i="1"/>
  <c r="AD672" i="1"/>
  <c r="AE672" i="1" s="1"/>
  <c r="AF672" i="1" s="1"/>
  <c r="AG672" i="1" s="1"/>
  <c r="AH672" i="1" s="1"/>
  <c r="W673" i="1"/>
  <c r="X673" i="1"/>
  <c r="Y673" i="1" s="1"/>
  <c r="Z673" i="1" s="1"/>
  <c r="AA673" i="1" s="1"/>
  <c r="AB673" i="1" s="1"/>
  <c r="AC673" i="1" s="1"/>
  <c r="AD673" i="1" s="1"/>
  <c r="AE673" i="1" s="1"/>
  <c r="AF673" i="1" s="1"/>
  <c r="AG673" i="1" s="1"/>
  <c r="AH673" i="1" s="1"/>
  <c r="W674" i="1"/>
  <c r="X674" i="1"/>
  <c r="Y674" i="1"/>
  <c r="Z674" i="1"/>
  <c r="AA674" i="1"/>
  <c r="AB674" i="1"/>
  <c r="AC674" i="1"/>
  <c r="AD674" i="1"/>
  <c r="AE674" i="1" s="1"/>
  <c r="AF674" i="1" s="1"/>
  <c r="AG674" i="1" s="1"/>
  <c r="AH674" i="1" s="1"/>
  <c r="W675" i="1"/>
  <c r="X675" i="1"/>
  <c r="Y675" i="1" s="1"/>
  <c r="Z675" i="1"/>
  <c r="AA675" i="1" s="1"/>
  <c r="AB675" i="1" s="1"/>
  <c r="AC675" i="1" s="1"/>
  <c r="AD675" i="1" s="1"/>
  <c r="AE675" i="1" s="1"/>
  <c r="AF675" i="1" s="1"/>
  <c r="AG675" i="1" s="1"/>
  <c r="AH675" i="1"/>
  <c r="W676" i="1"/>
  <c r="X676" i="1"/>
  <c r="Y676" i="1"/>
  <c r="Z676" i="1" s="1"/>
  <c r="AA676" i="1" s="1"/>
  <c r="AB676" i="1" s="1"/>
  <c r="AC676" i="1" s="1"/>
  <c r="AD676" i="1"/>
  <c r="AE676" i="1" s="1"/>
  <c r="AF676" i="1" s="1"/>
  <c r="AG676" i="1" s="1"/>
  <c r="AH676" i="1" s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W679" i="1"/>
  <c r="X679" i="1"/>
  <c r="Y679" i="1"/>
  <c r="Z679" i="1"/>
  <c r="AA679" i="1" s="1"/>
  <c r="AB679" i="1" s="1"/>
  <c r="AC679" i="1" s="1"/>
  <c r="AD679" i="1" s="1"/>
  <c r="AE679" i="1" s="1"/>
  <c r="AF679" i="1" s="1"/>
  <c r="AG679" i="1" s="1"/>
  <c r="AH679" i="1" s="1"/>
  <c r="W680" i="1"/>
  <c r="X680" i="1"/>
  <c r="Y680" i="1"/>
  <c r="Z680" i="1"/>
  <c r="AA680" i="1"/>
  <c r="AB680" i="1"/>
  <c r="AC680" i="1"/>
  <c r="AD680" i="1"/>
  <c r="AE680" i="1" s="1"/>
  <c r="AF680" i="1" s="1"/>
  <c r="AG680" i="1" s="1"/>
  <c r="AH680" i="1" s="1"/>
  <c r="W681" i="1"/>
  <c r="X681" i="1"/>
  <c r="Y681" i="1"/>
  <c r="Z681" i="1"/>
  <c r="AA681" i="1" s="1"/>
  <c r="AB681" i="1" s="1"/>
  <c r="AC681" i="1" s="1"/>
  <c r="AD681" i="1" s="1"/>
  <c r="AE681" i="1" s="1"/>
  <c r="AF681" i="1" s="1"/>
  <c r="AG681" i="1" s="1"/>
  <c r="AH681" i="1" s="1"/>
  <c r="W682" i="1"/>
  <c r="X682" i="1"/>
  <c r="Y682" i="1"/>
  <c r="Z682" i="1" s="1"/>
  <c r="AA682" i="1" s="1"/>
  <c r="AB682" i="1" s="1"/>
  <c r="AC682" i="1" s="1"/>
  <c r="AD682" i="1"/>
  <c r="AE682" i="1" s="1"/>
  <c r="AF682" i="1" s="1"/>
  <c r="AG682" i="1" s="1"/>
  <c r="AH682" i="1" s="1"/>
  <c r="W683" i="1"/>
  <c r="X683" i="1"/>
  <c r="Y683" i="1"/>
  <c r="Z683" i="1"/>
  <c r="AA683" i="1"/>
  <c r="AB683" i="1"/>
  <c r="AC683" i="1"/>
  <c r="AD683" i="1" s="1"/>
  <c r="AE683" i="1" s="1"/>
  <c r="AF683" i="1" s="1"/>
  <c r="AG683" i="1" s="1"/>
  <c r="AH683" i="1"/>
  <c r="W684" i="1"/>
  <c r="X684" i="1" s="1"/>
  <c r="Y684" i="1" s="1"/>
  <c r="Z684" i="1" s="1"/>
  <c r="AA684" i="1" s="1"/>
  <c r="AB684" i="1" s="1"/>
  <c r="AC684" i="1" s="1"/>
  <c r="AD684" i="1"/>
  <c r="AE684" i="1" s="1"/>
  <c r="AF684" i="1" s="1"/>
  <c r="AG684" i="1" s="1"/>
  <c r="AH684" i="1" s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W687" i="1"/>
  <c r="X687" i="1"/>
  <c r="Y687" i="1"/>
  <c r="Z687" i="1"/>
  <c r="AA687" i="1"/>
  <c r="AB687" i="1"/>
  <c r="AC687" i="1"/>
  <c r="AD687" i="1"/>
  <c r="AE687" i="1"/>
  <c r="AF687" i="1"/>
  <c r="AG687" i="1" s="1"/>
  <c r="AH687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W689" i="1"/>
  <c r="X689" i="1"/>
  <c r="Y689" i="1" s="1"/>
  <c r="Z689" i="1" s="1"/>
  <c r="AA689" i="1" s="1"/>
  <c r="AB689" i="1" s="1"/>
  <c r="AC689" i="1" s="1"/>
  <c r="AD689" i="1" s="1"/>
  <c r="AE689" i="1" s="1"/>
  <c r="AF689" i="1" s="1"/>
  <c r="AG689" i="1" s="1"/>
  <c r="AH689" i="1" s="1"/>
  <c r="W690" i="1"/>
  <c r="X690" i="1"/>
  <c r="Y690" i="1"/>
  <c r="Z690" i="1"/>
  <c r="AA690" i="1"/>
  <c r="AB690" i="1"/>
  <c r="AC690" i="1" s="1"/>
  <c r="AD690" i="1" s="1"/>
  <c r="AE690" i="1" s="1"/>
  <c r="AF690" i="1" s="1"/>
  <c r="AG690" i="1" s="1"/>
  <c r="AH690" i="1" s="1"/>
  <c r="W691" i="1"/>
  <c r="X691" i="1"/>
  <c r="Y691" i="1"/>
  <c r="Z691" i="1"/>
  <c r="AA691" i="1" s="1"/>
  <c r="AB691" i="1" s="1"/>
  <c r="AC691" i="1" s="1"/>
  <c r="AD691" i="1" s="1"/>
  <c r="AE691" i="1" s="1"/>
  <c r="AF691" i="1" s="1"/>
  <c r="AG691" i="1" s="1"/>
  <c r="AH691" i="1" s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W693" i="1"/>
  <c r="X693" i="1"/>
  <c r="Y693" i="1"/>
  <c r="Z693" i="1"/>
  <c r="AA693" i="1" s="1"/>
  <c r="AB693" i="1" s="1"/>
  <c r="AC693" i="1" s="1"/>
  <c r="AD693" i="1" s="1"/>
  <c r="AE693" i="1" s="1"/>
  <c r="AF693" i="1" s="1"/>
  <c r="AG693" i="1" s="1"/>
  <c r="AH693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W695" i="1"/>
  <c r="X695" i="1"/>
  <c r="Y695" i="1"/>
  <c r="Z695" i="1"/>
  <c r="AA695" i="1" s="1"/>
  <c r="AB695" i="1" s="1"/>
  <c r="AC695" i="1" s="1"/>
  <c r="AD695" i="1" s="1"/>
  <c r="AE695" i="1" s="1"/>
  <c r="AF695" i="1" s="1"/>
  <c r="AG695" i="1" s="1"/>
  <c r="AH695" i="1" s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W697" i="1"/>
  <c r="X697" i="1"/>
  <c r="Y697" i="1"/>
  <c r="Z697" i="1"/>
  <c r="AA697" i="1" s="1"/>
  <c r="AB697" i="1" s="1"/>
  <c r="AC697" i="1" s="1"/>
  <c r="AD697" i="1" s="1"/>
  <c r="AE697" i="1" s="1"/>
  <c r="AF697" i="1" s="1"/>
  <c r="AG697" i="1" s="1"/>
  <c r="AH697" i="1" s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W699" i="1"/>
  <c r="X699" i="1"/>
  <c r="Y699" i="1"/>
  <c r="Z699" i="1"/>
  <c r="AA699" i="1" s="1"/>
  <c r="AB699" i="1" s="1"/>
  <c r="AC699" i="1" s="1"/>
  <c r="AD699" i="1" s="1"/>
  <c r="AE699" i="1" s="1"/>
  <c r="AF699" i="1" s="1"/>
  <c r="AG699" i="1" s="1"/>
  <c r="AH699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W704" i="1"/>
  <c r="X704" i="1" s="1"/>
  <c r="Y704" i="1" s="1"/>
  <c r="Z704" i="1" s="1"/>
  <c r="AA704" i="1" s="1"/>
  <c r="AB704" i="1" s="1"/>
  <c r="AC704" i="1" s="1"/>
  <c r="AD704" i="1" s="1"/>
  <c r="AE704" i="1" s="1"/>
  <c r="AF704" i="1" s="1"/>
  <c r="AG704" i="1" s="1"/>
  <c r="AH704" i="1" s="1"/>
  <c r="W705" i="1"/>
  <c r="X705" i="1"/>
  <c r="Y705" i="1"/>
  <c r="Z705" i="1"/>
  <c r="AA705" i="1"/>
  <c r="AB705" i="1"/>
  <c r="AC705" i="1"/>
  <c r="AD705" i="1"/>
  <c r="AE705" i="1"/>
  <c r="AF705" i="1"/>
  <c r="AG705" i="1" s="1"/>
  <c r="AH705" i="1"/>
  <c r="W706" i="1"/>
  <c r="X706" i="1"/>
  <c r="Y706" i="1"/>
  <c r="Z706" i="1"/>
  <c r="AA706" i="1"/>
  <c r="AB706" i="1"/>
  <c r="AC706" i="1" s="1"/>
  <c r="AD706" i="1" s="1"/>
  <c r="AE706" i="1" s="1"/>
  <c r="AF706" i="1" s="1"/>
  <c r="AG706" i="1" s="1"/>
  <c r="AH706" i="1" s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W712" i="1"/>
  <c r="X712" i="1"/>
  <c r="Y712" i="1"/>
  <c r="Z712" i="1" s="1"/>
  <c r="AA712" i="1" s="1"/>
  <c r="AB712" i="1" s="1"/>
  <c r="AC712" i="1" s="1"/>
  <c r="AD712" i="1" s="1"/>
  <c r="AE712" i="1" s="1"/>
  <c r="AF712" i="1" s="1"/>
  <c r="AG712" i="1" s="1"/>
  <c r="AH712" i="1" s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W716" i="1"/>
  <c r="X716" i="1"/>
  <c r="Y716" i="1"/>
  <c r="Z716" i="1"/>
  <c r="AA716" i="1"/>
  <c r="AB716" i="1"/>
  <c r="AC716" i="1"/>
  <c r="AD716" i="1"/>
  <c r="AE716" i="1"/>
  <c r="AF716" i="1"/>
  <c r="AG716" i="1"/>
  <c r="AH716" i="1" s="1"/>
  <c r="W717" i="1"/>
  <c r="X717" i="1"/>
  <c r="Y717" i="1"/>
  <c r="Z717" i="1"/>
  <c r="AA717" i="1"/>
  <c r="AB717" i="1"/>
  <c r="AC717" i="1"/>
  <c r="AD717" i="1" s="1"/>
  <c r="AE717" i="1" s="1"/>
  <c r="AF717" i="1" s="1"/>
  <c r="AG717" i="1" s="1"/>
  <c r="AH717" i="1"/>
  <c r="W718" i="1"/>
  <c r="X718" i="1"/>
  <c r="Y718" i="1"/>
  <c r="Z718" i="1"/>
  <c r="AA718" i="1"/>
  <c r="AB718" i="1"/>
  <c r="AC718" i="1" s="1"/>
  <c r="AD718" i="1" s="1"/>
  <c r="AE718" i="1" s="1"/>
  <c r="AF718" i="1" s="1"/>
  <c r="AG718" i="1" s="1"/>
  <c r="AH718" i="1" s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W720" i="1"/>
  <c r="X720" i="1"/>
  <c r="Y720" i="1"/>
  <c r="Z720" i="1"/>
  <c r="AA720" i="1"/>
  <c r="AB720" i="1"/>
  <c r="AC720" i="1"/>
  <c r="AD720" i="1"/>
  <c r="AE720" i="1"/>
  <c r="AF720" i="1" s="1"/>
  <c r="AG720" i="1" s="1"/>
  <c r="AH720" i="1" s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W722" i="1"/>
  <c r="X722" i="1"/>
  <c r="Y722" i="1"/>
  <c r="Z722" i="1"/>
  <c r="AA722" i="1"/>
  <c r="AB722" i="1"/>
  <c r="AC722" i="1" s="1"/>
  <c r="AD722" i="1" s="1"/>
  <c r="AE722" i="1" s="1"/>
  <c r="AF722" i="1" s="1"/>
  <c r="AG722" i="1" s="1"/>
  <c r="AH722" i="1" s="1"/>
  <c r="W723" i="1"/>
  <c r="X723" i="1"/>
  <c r="Y723" i="1"/>
  <c r="Z723" i="1"/>
  <c r="AA723" i="1"/>
  <c r="AB723" i="1"/>
  <c r="AC723" i="1"/>
  <c r="AD723" i="1"/>
  <c r="AE723" i="1"/>
  <c r="AF723" i="1"/>
  <c r="AG723" i="1" s="1"/>
  <c r="AH723" i="1"/>
  <c r="W724" i="1"/>
  <c r="X724" i="1"/>
  <c r="Y724" i="1"/>
  <c r="Z724" i="1"/>
  <c r="AA724" i="1"/>
  <c r="AB724" i="1"/>
  <c r="AC724" i="1"/>
  <c r="AD724" i="1"/>
  <c r="AE724" i="1" s="1"/>
  <c r="AF724" i="1" s="1"/>
  <c r="AG724" i="1" s="1"/>
  <c r="AH724" i="1" s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W726" i="1"/>
  <c r="X726" i="1" s="1"/>
  <c r="Y726" i="1" s="1"/>
  <c r="Z726" i="1" s="1"/>
  <c r="AA726" i="1" s="1"/>
  <c r="AB726" i="1" s="1"/>
  <c r="AC726" i="1" s="1"/>
  <c r="AD726" i="1"/>
  <c r="AE726" i="1" s="1"/>
  <c r="AF726" i="1" s="1"/>
  <c r="AG726" i="1" s="1"/>
  <c r="AH726" i="1" s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W731" i="1"/>
  <c r="X731" i="1"/>
  <c r="Y731" i="1"/>
  <c r="Z731" i="1"/>
  <c r="AA731" i="1"/>
  <c r="AB731" i="1" s="1"/>
  <c r="AC731" i="1" s="1"/>
  <c r="AD731" i="1" s="1"/>
  <c r="AE731" i="1"/>
  <c r="AF731" i="1" s="1"/>
  <c r="AG731" i="1" s="1"/>
  <c r="AH731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W734" i="1"/>
  <c r="X734" i="1"/>
  <c r="Y734" i="1"/>
  <c r="Z734" i="1"/>
  <c r="AA734" i="1"/>
  <c r="AB734" i="1"/>
  <c r="AC734" i="1" s="1"/>
  <c r="AD734" i="1" s="1"/>
  <c r="AE734" i="1" s="1"/>
  <c r="AF734" i="1" s="1"/>
  <c r="AG734" i="1" s="1"/>
  <c r="AH734" i="1" s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W740" i="1"/>
  <c r="X740" i="1"/>
  <c r="Y740" i="1"/>
  <c r="Z740" i="1"/>
  <c r="AA740" i="1"/>
  <c r="AB740" i="1"/>
  <c r="AC740" i="1"/>
  <c r="AD740" i="1"/>
  <c r="AE740" i="1" s="1"/>
  <c r="AF740" i="1" s="1"/>
  <c r="AG740" i="1" s="1"/>
  <c r="AH740" i="1" s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W745" i="1"/>
  <c r="X745" i="1"/>
  <c r="Y745" i="1"/>
  <c r="Z745" i="1"/>
  <c r="AA745" i="1"/>
  <c r="AB745" i="1"/>
  <c r="AC745" i="1"/>
  <c r="AD745" i="1" s="1"/>
  <c r="AE745" i="1" s="1"/>
  <c r="AF745" i="1" s="1"/>
  <c r="AG745" i="1" s="1"/>
  <c r="AH745" i="1" s="1"/>
  <c r="W746" i="1"/>
  <c r="X746" i="1"/>
  <c r="Y746" i="1"/>
  <c r="Z746" i="1"/>
  <c r="AA746" i="1"/>
  <c r="AB746" i="1" s="1"/>
  <c r="AC746" i="1" s="1"/>
  <c r="AD746" i="1" s="1"/>
  <c r="AE746" i="1" s="1"/>
  <c r="AF746" i="1" s="1"/>
  <c r="AG746" i="1" s="1"/>
  <c r="AH746" i="1" s="1"/>
  <c r="W747" i="1"/>
  <c r="X747" i="1"/>
  <c r="Y747" i="1" s="1"/>
  <c r="Z747" i="1" s="1"/>
  <c r="AA747" i="1" s="1"/>
  <c r="AB747" i="1" s="1"/>
  <c r="AC747" i="1" s="1"/>
  <c r="AD747" i="1" s="1"/>
  <c r="AE747" i="1"/>
  <c r="AF747" i="1" s="1"/>
  <c r="AG747" i="1" s="1"/>
  <c r="AH747" i="1" s="1"/>
  <c r="W748" i="1"/>
  <c r="X748" i="1"/>
  <c r="Y748" i="1"/>
  <c r="Z748" i="1" s="1"/>
  <c r="AA748" i="1"/>
  <c r="AB748" i="1" s="1"/>
  <c r="AC748" i="1" s="1"/>
  <c r="AD748" i="1"/>
  <c r="AE748" i="1" s="1"/>
  <c r="AF748" i="1" s="1"/>
  <c r="AG748" i="1" s="1"/>
  <c r="AH748" i="1" s="1"/>
  <c r="W749" i="1"/>
  <c r="X749" i="1"/>
  <c r="Y749" i="1" s="1"/>
  <c r="Z749" i="1" s="1"/>
  <c r="AA749" i="1" s="1"/>
  <c r="AB749" i="1" s="1"/>
  <c r="AC749" i="1" s="1"/>
  <c r="AD749" i="1" s="1"/>
  <c r="AE749" i="1" s="1"/>
  <c r="AF749" i="1" s="1"/>
  <c r="AG749" i="1" s="1"/>
  <c r="AH749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W753" i="1"/>
  <c r="X753" i="1"/>
  <c r="Y753" i="1"/>
  <c r="Z753" i="1"/>
  <c r="AA753" i="1"/>
  <c r="AB753" i="1"/>
  <c r="AC753" i="1"/>
  <c r="AD753" i="1" s="1"/>
  <c r="AE753" i="1"/>
  <c r="AF753" i="1" s="1"/>
  <c r="AG753" i="1" s="1"/>
  <c r="AH753" i="1" s="1"/>
  <c r="W754" i="1"/>
  <c r="X754" i="1"/>
  <c r="Y754" i="1"/>
  <c r="Z754" i="1"/>
  <c r="AA754" i="1"/>
  <c r="AB754" i="1"/>
  <c r="AC754" i="1" s="1"/>
  <c r="AD754" i="1" s="1"/>
  <c r="AE754" i="1" s="1"/>
  <c r="AF754" i="1" s="1"/>
  <c r="AG754" i="1" s="1"/>
  <c r="AH754" i="1" s="1"/>
  <c r="W755" i="1"/>
  <c r="X755" i="1"/>
  <c r="Y755" i="1"/>
  <c r="Z755" i="1"/>
  <c r="AA755" i="1"/>
  <c r="AB755" i="1"/>
  <c r="AC755" i="1"/>
  <c r="AD755" i="1" s="1"/>
  <c r="AE755" i="1" s="1"/>
  <c r="AF755" i="1" s="1"/>
  <c r="AG755" i="1" s="1"/>
  <c r="AH755" i="1" s="1"/>
  <c r="W756" i="1"/>
  <c r="X756" i="1"/>
  <c r="Y756" i="1"/>
  <c r="Z756" i="1"/>
  <c r="AA756" i="1"/>
  <c r="AB756" i="1"/>
  <c r="AC756" i="1"/>
  <c r="AD756" i="1"/>
  <c r="AE756" i="1"/>
  <c r="AF756" i="1"/>
  <c r="AG756" i="1"/>
  <c r="AH756" i="1" s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W758" i="1"/>
  <c r="X758" i="1" s="1"/>
  <c r="Y758" i="1" s="1"/>
  <c r="Z758" i="1" s="1"/>
  <c r="AA758" i="1"/>
  <c r="AB758" i="1" s="1"/>
  <c r="AC758" i="1" s="1"/>
  <c r="AD758" i="1"/>
  <c r="AE758" i="1" s="1"/>
  <c r="AF758" i="1" s="1"/>
  <c r="AG758" i="1" s="1"/>
  <c r="AH758" i="1" s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W769" i="1"/>
  <c r="X769" i="1"/>
  <c r="Y769" i="1"/>
  <c r="Z769" i="1"/>
  <c r="AA769" i="1"/>
  <c r="AB769" i="1"/>
  <c r="AC769" i="1" s="1"/>
  <c r="AD769" i="1" s="1"/>
  <c r="AE769" i="1" s="1"/>
  <c r="AF769" i="1"/>
  <c r="AG769" i="1" s="1"/>
  <c r="AH769" i="1" s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W772" i="1"/>
  <c r="X772" i="1"/>
  <c r="Y772" i="1"/>
  <c r="Z772" i="1"/>
  <c r="AA772" i="1"/>
  <c r="AB772" i="1"/>
  <c r="AC772" i="1" s="1"/>
  <c r="AD772" i="1" s="1"/>
  <c r="AE772" i="1" s="1"/>
  <c r="AF772" i="1" s="1"/>
  <c r="AG772" i="1" s="1"/>
  <c r="AH772" i="1" s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W777" i="1"/>
  <c r="X777" i="1"/>
  <c r="Y777" i="1"/>
  <c r="Z777" i="1"/>
  <c r="AA777" i="1"/>
  <c r="AB777" i="1" s="1"/>
  <c r="AC777" i="1" s="1"/>
  <c r="AD777" i="1" s="1"/>
  <c r="AE777" i="1" s="1"/>
  <c r="AF777" i="1" s="1"/>
  <c r="AG777" i="1" s="1"/>
  <c r="AH777" i="1" s="1"/>
  <c r="W778" i="1"/>
  <c r="X778" i="1"/>
  <c r="Y778" i="1"/>
  <c r="Z778" i="1"/>
  <c r="AA778" i="1"/>
  <c r="AB778" i="1"/>
  <c r="AC778" i="1"/>
  <c r="AD778" i="1"/>
  <c r="AE778" i="1"/>
  <c r="AF778" i="1" s="1"/>
  <c r="AG778" i="1" s="1"/>
  <c r="AH778" i="1" s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W780" i="1"/>
  <c r="X780" i="1"/>
  <c r="Y780" i="1"/>
  <c r="Z780" i="1"/>
  <c r="AA780" i="1"/>
  <c r="AB780" i="1"/>
  <c r="AC780" i="1"/>
  <c r="AD780" i="1" s="1"/>
  <c r="AE780" i="1" s="1"/>
  <c r="AF780" i="1" s="1"/>
  <c r="AG780" i="1" s="1"/>
  <c r="AH780" i="1" s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W782" i="1"/>
  <c r="X782" i="1"/>
  <c r="Y782" i="1"/>
  <c r="Z782" i="1"/>
  <c r="AA782" i="1"/>
  <c r="AB782" i="1"/>
  <c r="AC782" i="1"/>
  <c r="AD782" i="1"/>
  <c r="AE782" i="1" s="1"/>
  <c r="AF782" i="1" s="1"/>
  <c r="AG782" i="1" s="1"/>
  <c r="AH782" i="1" s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W784" i="1"/>
  <c r="X784" i="1"/>
  <c r="Y784" i="1" s="1"/>
  <c r="Z784" i="1" s="1"/>
  <c r="AA784" i="1"/>
  <c r="AB784" i="1" s="1"/>
  <c r="AC784" i="1"/>
  <c r="AD784" i="1" s="1"/>
  <c r="AE784" i="1" s="1"/>
  <c r="AF784" i="1" s="1"/>
  <c r="AG784" i="1" s="1"/>
  <c r="AH784" i="1" s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W786" i="1"/>
  <c r="X786" i="1"/>
  <c r="Y786" i="1"/>
  <c r="Z786" i="1"/>
  <c r="AA786" i="1"/>
  <c r="AB786" i="1"/>
  <c r="AC786" i="1"/>
  <c r="AD786" i="1"/>
  <c r="AE786" i="1" s="1"/>
  <c r="AF786" i="1"/>
  <c r="AG786" i="1" s="1"/>
  <c r="AH786" i="1" s="1"/>
  <c r="W787" i="1"/>
  <c r="X787" i="1"/>
  <c r="Y787" i="1"/>
  <c r="Z787" i="1"/>
  <c r="AA787" i="1"/>
  <c r="AB787" i="1"/>
  <c r="AC787" i="1" s="1"/>
  <c r="AD787" i="1" s="1"/>
  <c r="AE787" i="1" s="1"/>
  <c r="AF787" i="1" s="1"/>
  <c r="AG787" i="1" s="1"/>
  <c r="AH787" i="1" s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W791" i="1"/>
  <c r="X791" i="1"/>
  <c r="Y791" i="1"/>
  <c r="Z791" i="1"/>
  <c r="AA791" i="1"/>
  <c r="AB791" i="1"/>
  <c r="AC791" i="1"/>
  <c r="AD791" i="1"/>
  <c r="AE791" i="1"/>
  <c r="AF791" i="1"/>
  <c r="AG791" i="1" s="1"/>
  <c r="AH791" i="1" s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W794" i="1"/>
  <c r="X794" i="1"/>
  <c r="Y794" i="1" s="1"/>
  <c r="Z794" i="1"/>
  <c r="AA794" i="1"/>
  <c r="AB794" i="1" s="1"/>
  <c r="AC794" i="1" s="1"/>
  <c r="AD794" i="1" s="1"/>
  <c r="AE794" i="1" s="1"/>
  <c r="AF794" i="1" s="1"/>
  <c r="AG794" i="1" s="1"/>
  <c r="AH794" i="1" s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W800" i="1"/>
  <c r="X800" i="1" s="1"/>
  <c r="Y800" i="1" s="1"/>
  <c r="Z800" i="1" s="1"/>
  <c r="AA800" i="1" s="1"/>
  <c r="AB800" i="1"/>
  <c r="AC800" i="1" s="1"/>
  <c r="AD800" i="1"/>
  <c r="AE800" i="1" s="1"/>
  <c r="AF800" i="1" s="1"/>
  <c r="AG800" i="1" s="1"/>
  <c r="AH800" i="1" s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W804" i="1"/>
  <c r="X804" i="1"/>
  <c r="Y804" i="1" s="1"/>
  <c r="Z804" i="1" s="1"/>
  <c r="AA804" i="1" s="1"/>
  <c r="AB804" i="1"/>
  <c r="AC804" i="1" s="1"/>
  <c r="AD804" i="1"/>
  <c r="AE804" i="1" s="1"/>
  <c r="AF804" i="1" s="1"/>
  <c r="AG804" i="1" s="1"/>
  <c r="AH804" i="1" s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W807" i="1"/>
  <c r="X807" i="1"/>
  <c r="Y807" i="1"/>
  <c r="Z807" i="1"/>
  <c r="AA807" i="1"/>
  <c r="AB807" i="1" s="1"/>
  <c r="AC807" i="1" s="1"/>
  <c r="AD807" i="1" s="1"/>
  <c r="AE807" i="1" s="1"/>
  <c r="AF807" i="1" s="1"/>
  <c r="AG807" i="1" s="1"/>
  <c r="AH807" i="1" s="1"/>
  <c r="W808" i="1"/>
  <c r="X808" i="1" s="1"/>
  <c r="Y808" i="1" s="1"/>
  <c r="Z808" i="1" s="1"/>
  <c r="AA808" i="1" s="1"/>
  <c r="AB808" i="1" s="1"/>
  <c r="AC808" i="1" s="1"/>
  <c r="AD808" i="1" s="1"/>
  <c r="AE808" i="1" s="1"/>
  <c r="AF808" i="1" s="1"/>
  <c r="AG808" i="1" s="1"/>
  <c r="AH808" i="1" s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W812" i="1"/>
  <c r="X812" i="1"/>
  <c r="Y812" i="1"/>
  <c r="Z812" i="1"/>
  <c r="AA812" i="1"/>
  <c r="AB812" i="1"/>
  <c r="AC812" i="1" s="1"/>
  <c r="AD812" i="1"/>
  <c r="AE812" i="1" s="1"/>
  <c r="AF812" i="1" s="1"/>
  <c r="AG812" i="1" s="1"/>
  <c r="AH812" i="1" s="1"/>
  <c r="W813" i="1"/>
  <c r="X813" i="1"/>
  <c r="Y813" i="1"/>
  <c r="Z813" i="1"/>
  <c r="AA813" i="1"/>
  <c r="AB813" i="1"/>
  <c r="AC813" i="1" s="1"/>
  <c r="AD813" i="1" s="1"/>
  <c r="AE813" i="1" s="1"/>
  <c r="AF813" i="1"/>
  <c r="AG813" i="1" s="1"/>
  <c r="AH813" i="1"/>
  <c r="W814" i="1"/>
  <c r="X814" i="1"/>
  <c r="Y814" i="1"/>
  <c r="Z814" i="1"/>
  <c r="AA814" i="1"/>
  <c r="AB814" i="1"/>
  <c r="AC814" i="1"/>
  <c r="AD814" i="1"/>
  <c r="AE814" i="1"/>
  <c r="AF814" i="1"/>
  <c r="AG814" i="1" s="1"/>
  <c r="AH814" i="1" s="1"/>
  <c r="W815" i="1"/>
  <c r="X815" i="1"/>
  <c r="Y815" i="1"/>
  <c r="Z815" i="1"/>
  <c r="AA815" i="1"/>
  <c r="AB815" i="1"/>
  <c r="AC815" i="1" s="1"/>
  <c r="AD815" i="1" s="1"/>
  <c r="AE815" i="1" s="1"/>
  <c r="AF815" i="1" s="1"/>
  <c r="AG815" i="1" s="1"/>
  <c r="AH815" i="1" s="1"/>
  <c r="W816" i="1"/>
  <c r="X816" i="1"/>
  <c r="Y816" i="1"/>
  <c r="Z816" i="1"/>
  <c r="AA816" i="1"/>
  <c r="AB816" i="1"/>
  <c r="AC816" i="1" s="1"/>
  <c r="AD816" i="1" s="1"/>
  <c r="AE816" i="1" s="1"/>
  <c r="AF816" i="1" s="1"/>
  <c r="AG816" i="1" s="1"/>
  <c r="AH816" i="1" s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W818" i="1"/>
  <c r="X818" i="1"/>
  <c r="Y818" i="1" s="1"/>
  <c r="Z818" i="1" s="1"/>
  <c r="AA818" i="1" s="1"/>
  <c r="AB818" i="1"/>
  <c r="AC818" i="1" s="1"/>
  <c r="AD818" i="1" s="1"/>
  <c r="AE818" i="1" s="1"/>
  <c r="AF818" i="1" s="1"/>
  <c r="AG818" i="1" s="1"/>
  <c r="AH818" i="1" s="1"/>
  <c r="W819" i="1"/>
  <c r="X819" i="1"/>
  <c r="Y819" i="1"/>
  <c r="Z819" i="1"/>
  <c r="AA819" i="1"/>
  <c r="AB819" i="1"/>
  <c r="AC819" i="1" s="1"/>
  <c r="AD819" i="1" s="1"/>
  <c r="AE819" i="1" s="1"/>
  <c r="AF819" i="1"/>
  <c r="AG819" i="1" s="1"/>
  <c r="AH819" i="1" s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W822" i="1"/>
  <c r="X822" i="1"/>
  <c r="Y822" i="1"/>
  <c r="Z822" i="1"/>
  <c r="AA822" i="1"/>
  <c r="AB822" i="1"/>
  <c r="AC822" i="1" s="1"/>
  <c r="AD822" i="1"/>
  <c r="AE822" i="1" s="1"/>
  <c r="AF822" i="1" s="1"/>
  <c r="AG822" i="1" s="1"/>
  <c r="AH822" i="1" s="1"/>
  <c r="W823" i="1"/>
  <c r="X823" i="1"/>
  <c r="Y823" i="1"/>
  <c r="Z823" i="1"/>
  <c r="AA823" i="1"/>
  <c r="AB823" i="1"/>
  <c r="AC823" i="1" s="1"/>
  <c r="AD823" i="1" s="1"/>
  <c r="AE823" i="1" s="1"/>
  <c r="AF823" i="1"/>
  <c r="AG823" i="1" s="1"/>
  <c r="AH823" i="1"/>
  <c r="W824" i="1"/>
  <c r="X824" i="1"/>
  <c r="Y824" i="1"/>
  <c r="Z824" i="1"/>
  <c r="AA824" i="1"/>
  <c r="AB824" i="1"/>
  <c r="AC824" i="1"/>
  <c r="AD824" i="1"/>
  <c r="AE824" i="1"/>
  <c r="AF824" i="1"/>
  <c r="AG824" i="1" s="1"/>
  <c r="AH824" i="1" s="1"/>
  <c r="W825" i="1"/>
  <c r="X825" i="1"/>
  <c r="Y825" i="1" s="1"/>
  <c r="Z825" i="1"/>
  <c r="AA825" i="1" s="1"/>
  <c r="AB825" i="1" s="1"/>
  <c r="AC825" i="1" s="1"/>
  <c r="AD825" i="1" s="1"/>
  <c r="AE825" i="1" s="1"/>
  <c r="AF825" i="1" s="1"/>
  <c r="AG825" i="1" s="1"/>
  <c r="AH825" i="1" s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W828" i="1"/>
  <c r="X828" i="1"/>
  <c r="Y828" i="1"/>
  <c r="Z828" i="1"/>
  <c r="AA828" i="1"/>
  <c r="AB828" i="1"/>
  <c r="AC828" i="1" s="1"/>
  <c r="AD828" i="1" s="1"/>
  <c r="AE828" i="1" s="1"/>
  <c r="AF828" i="1" s="1"/>
  <c r="AG828" i="1" s="1"/>
  <c r="AH828" i="1" s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W830" i="1"/>
  <c r="X830" i="1"/>
  <c r="Y830" i="1"/>
  <c r="Z830" i="1"/>
  <c r="AA830" i="1"/>
  <c r="AB830" i="1"/>
  <c r="AC830" i="1" s="1"/>
  <c r="AD830" i="1" s="1"/>
  <c r="AE830" i="1" s="1"/>
  <c r="AF830" i="1" s="1"/>
  <c r="AG830" i="1" s="1"/>
  <c r="AH830" i="1" s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W832" i="1"/>
  <c r="X832" i="1"/>
  <c r="Y832" i="1"/>
  <c r="Z832" i="1"/>
  <c r="AA832" i="1"/>
  <c r="AB832" i="1"/>
  <c r="AC832" i="1"/>
  <c r="AD832" i="1"/>
  <c r="AE832" i="1"/>
  <c r="AF832" i="1" s="1"/>
  <c r="AG832" i="1" s="1"/>
  <c r="AH832" i="1" s="1"/>
  <c r="W833" i="1"/>
  <c r="X833" i="1"/>
  <c r="Y833" i="1" s="1"/>
  <c r="Z833" i="1" s="1"/>
  <c r="AA833" i="1" s="1"/>
  <c r="AB833" i="1" s="1"/>
  <c r="AC833" i="1" s="1"/>
  <c r="AD833" i="1" s="1"/>
  <c r="AE833" i="1" s="1"/>
  <c r="AF833" i="1" s="1"/>
  <c r="AG833" i="1" s="1"/>
  <c r="AH833" i="1" s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W836" i="1"/>
  <c r="X836" i="1"/>
  <c r="Y836" i="1" s="1"/>
  <c r="Z836" i="1" s="1"/>
  <c r="AA836" i="1" s="1"/>
  <c r="AB836" i="1" s="1"/>
  <c r="AC836" i="1" s="1"/>
  <c r="AD836" i="1" s="1"/>
  <c r="AE836" i="1" s="1"/>
  <c r="AF836" i="1" s="1"/>
  <c r="AG836" i="1" s="1"/>
  <c r="AH836" i="1" s="1"/>
  <c r="W837" i="1"/>
  <c r="X837" i="1"/>
  <c r="Y837" i="1" s="1"/>
  <c r="Z837" i="1"/>
  <c r="AA837" i="1" s="1"/>
  <c r="AB837" i="1" s="1"/>
  <c r="AC837" i="1" s="1"/>
  <c r="AD837" i="1" s="1"/>
  <c r="AE837" i="1" s="1"/>
  <c r="AF837" i="1"/>
  <c r="AG837" i="1" s="1"/>
  <c r="AH837" i="1" s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W839" i="1"/>
  <c r="X839" i="1"/>
  <c r="Y839" i="1"/>
  <c r="Z839" i="1"/>
  <c r="AA839" i="1" s="1"/>
  <c r="AB839" i="1" s="1"/>
  <c r="AC839" i="1" s="1"/>
  <c r="AD839" i="1" s="1"/>
  <c r="AE839" i="1" s="1"/>
  <c r="AF839" i="1"/>
  <c r="AG839" i="1" s="1"/>
  <c r="AH839" i="1" s="1"/>
  <c r="W840" i="1"/>
  <c r="X840" i="1"/>
  <c r="Y840" i="1"/>
  <c r="Z840" i="1"/>
  <c r="AA840" i="1"/>
  <c r="AB840" i="1"/>
  <c r="AC840" i="1" s="1"/>
  <c r="AD840" i="1"/>
  <c r="AE840" i="1" s="1"/>
  <c r="AF840" i="1" s="1"/>
  <c r="AG840" i="1" s="1"/>
  <c r="AH840" i="1" s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W843" i="1"/>
  <c r="X843" i="1"/>
  <c r="Y843" i="1" s="1"/>
  <c r="Z843" i="1"/>
  <c r="AA843" i="1" s="1"/>
  <c r="AB843" i="1" s="1"/>
  <c r="AC843" i="1" s="1"/>
  <c r="AD843" i="1" s="1"/>
  <c r="AE843" i="1" s="1"/>
  <c r="AF843" i="1" s="1"/>
  <c r="AG843" i="1" s="1"/>
  <c r="AH843" i="1" s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W849" i="1"/>
  <c r="X849" i="1"/>
  <c r="Y849" i="1"/>
  <c r="Z849" i="1"/>
  <c r="AA849" i="1"/>
  <c r="AB849" i="1" s="1"/>
  <c r="AC849" i="1" s="1"/>
  <c r="AD849" i="1" s="1"/>
  <c r="AE849" i="1" s="1"/>
  <c r="AF849" i="1" s="1"/>
  <c r="AG849" i="1" s="1"/>
  <c r="AH849" i="1" s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W851" i="1"/>
  <c r="X851" i="1"/>
  <c r="Y851" i="1"/>
  <c r="Z851" i="1"/>
  <c r="AA851" i="1" s="1"/>
  <c r="AB851" i="1" s="1"/>
  <c r="AC851" i="1" s="1"/>
  <c r="AD851" i="1" s="1"/>
  <c r="AE851" i="1" s="1"/>
  <c r="AF851" i="1" s="1"/>
  <c r="AG851" i="1" s="1"/>
  <c r="AH851" i="1" s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W853" i="1"/>
  <c r="X853" i="1"/>
  <c r="Y853" i="1"/>
  <c r="Z853" i="1"/>
  <c r="AA853" i="1"/>
  <c r="AB853" i="1"/>
  <c r="AC853" i="1"/>
  <c r="AD853" i="1"/>
  <c r="AE853" i="1"/>
  <c r="AF853" i="1"/>
  <c r="AG853" i="1" s="1"/>
  <c r="AH853" i="1" s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W855" i="1"/>
  <c r="X855" i="1"/>
  <c r="Y855" i="1" s="1"/>
  <c r="Z855" i="1"/>
  <c r="AA855" i="1" s="1"/>
  <c r="AB855" i="1" s="1"/>
  <c r="AC855" i="1" s="1"/>
  <c r="AD855" i="1" s="1"/>
  <c r="AE855" i="1" s="1"/>
  <c r="AF855" i="1" s="1"/>
  <c r="AG855" i="1" s="1"/>
  <c r="AH855" i="1" s="1"/>
  <c r="W856" i="1"/>
  <c r="X856" i="1"/>
  <c r="Y856" i="1"/>
  <c r="Z856" i="1"/>
  <c r="AA856" i="1"/>
  <c r="AB856" i="1"/>
  <c r="AC856" i="1"/>
  <c r="AD856" i="1"/>
  <c r="AE856" i="1"/>
  <c r="AF856" i="1" s="1"/>
  <c r="AG856" i="1" s="1"/>
  <c r="AH856" i="1" s="1"/>
  <c r="W857" i="1"/>
  <c r="X857" i="1"/>
  <c r="Y857" i="1" s="1"/>
  <c r="Z857" i="1" s="1"/>
  <c r="AA857" i="1" s="1"/>
  <c r="AB857" i="1" s="1"/>
  <c r="AC857" i="1" s="1"/>
  <c r="AD857" i="1" s="1"/>
  <c r="AE857" i="1" s="1"/>
  <c r="AF857" i="1" s="1"/>
  <c r="AG857" i="1" s="1"/>
  <c r="AH857" i="1" s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W859" i="1"/>
  <c r="X859" i="1"/>
  <c r="Y859" i="1"/>
  <c r="Z859" i="1"/>
  <c r="AA859" i="1"/>
  <c r="AB859" i="1"/>
  <c r="AC859" i="1"/>
  <c r="AD859" i="1"/>
  <c r="AE859" i="1"/>
  <c r="AF859" i="1"/>
  <c r="AG859" i="1" s="1"/>
  <c r="AH859" i="1" s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W862" i="1"/>
  <c r="X862" i="1"/>
  <c r="Y862" i="1"/>
  <c r="Z862" i="1"/>
  <c r="AA862" i="1"/>
  <c r="AB862" i="1"/>
  <c r="AC862" i="1"/>
  <c r="AD862" i="1"/>
  <c r="AE862" i="1" s="1"/>
  <c r="AF862" i="1" s="1"/>
  <c r="AG862" i="1" s="1"/>
  <c r="AH862" i="1" s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W867" i="1"/>
  <c r="X867" i="1"/>
  <c r="Y867" i="1" s="1"/>
  <c r="Z867" i="1"/>
  <c r="AA867" i="1" s="1"/>
  <c r="AB867" i="1" s="1"/>
  <c r="AC867" i="1" s="1"/>
  <c r="AD867" i="1" s="1"/>
  <c r="AE867" i="1" s="1"/>
  <c r="AF867" i="1"/>
  <c r="AG867" i="1" s="1"/>
  <c r="AH867" i="1" s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W870" i="1"/>
  <c r="X870" i="1" s="1"/>
  <c r="Y870" i="1" s="1"/>
  <c r="Z870" i="1" s="1"/>
  <c r="AA870" i="1" s="1"/>
  <c r="AB870" i="1" s="1"/>
  <c r="AC870" i="1" s="1"/>
  <c r="AD870" i="1" s="1"/>
  <c r="AE870" i="1" s="1"/>
  <c r="AF870" i="1" s="1"/>
  <c r="AG870" i="1" s="1"/>
  <c r="AH870" i="1" s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W879" i="1"/>
  <c r="X879" i="1"/>
  <c r="Y879" i="1"/>
  <c r="Z879" i="1"/>
  <c r="AA879" i="1"/>
  <c r="AB879" i="1"/>
  <c r="AC879" i="1"/>
  <c r="AD879" i="1"/>
  <c r="AE879" i="1"/>
  <c r="AF879" i="1"/>
  <c r="AG879" i="1" s="1"/>
  <c r="AH879" i="1" s="1"/>
  <c r="W880" i="1"/>
  <c r="X880" i="1"/>
  <c r="Y880" i="1"/>
  <c r="Z880" i="1"/>
  <c r="AA880" i="1"/>
  <c r="AB880" i="1"/>
  <c r="AC880" i="1" s="1"/>
  <c r="AD880" i="1" s="1"/>
  <c r="AE880" i="1" s="1"/>
  <c r="AF880" i="1" s="1"/>
  <c r="AG880" i="1" s="1"/>
  <c r="AH880" i="1" s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W883" i="1"/>
  <c r="X883" i="1"/>
  <c r="Y883" i="1"/>
  <c r="Z883" i="1"/>
  <c r="AA883" i="1"/>
  <c r="AB883" i="1"/>
  <c r="AC883" i="1"/>
  <c r="AD883" i="1"/>
  <c r="AE883" i="1"/>
  <c r="AF883" i="1"/>
  <c r="AG883" i="1" s="1"/>
  <c r="AH883" i="1" s="1"/>
  <c r="W884" i="1"/>
  <c r="X884" i="1"/>
  <c r="Y884" i="1"/>
  <c r="Z884" i="1"/>
  <c r="AA884" i="1"/>
  <c r="AB884" i="1"/>
  <c r="AC884" i="1" s="1"/>
  <c r="AD884" i="1"/>
  <c r="AE884" i="1" s="1"/>
  <c r="AF884" i="1" s="1"/>
  <c r="AG884" i="1" s="1"/>
  <c r="AH884" i="1" s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W886" i="1"/>
  <c r="X886" i="1"/>
  <c r="Y886" i="1"/>
  <c r="Z886" i="1"/>
  <c r="AA886" i="1"/>
  <c r="AB886" i="1"/>
  <c r="AC886" i="1" s="1"/>
  <c r="AD886" i="1" s="1"/>
  <c r="AE886" i="1" s="1"/>
  <c r="AF886" i="1" s="1"/>
  <c r="AG886" i="1" s="1"/>
  <c r="AH886" i="1" s="1"/>
  <c r="W887" i="1"/>
  <c r="X887" i="1"/>
  <c r="Y887" i="1"/>
  <c r="Z887" i="1"/>
  <c r="AA887" i="1"/>
  <c r="AB887" i="1"/>
  <c r="AC887" i="1"/>
  <c r="AD887" i="1"/>
  <c r="AE887" i="1"/>
  <c r="AF887" i="1"/>
  <c r="AG887" i="1" s="1"/>
  <c r="AH887" i="1" s="1"/>
  <c r="W888" i="1"/>
  <c r="X888" i="1"/>
  <c r="Y888" i="1"/>
  <c r="Z888" i="1"/>
  <c r="AA888" i="1"/>
  <c r="AB888" i="1"/>
  <c r="AC888" i="1"/>
  <c r="AD888" i="1"/>
  <c r="AE888" i="1" s="1"/>
  <c r="AF888" i="1" s="1"/>
  <c r="AG888" i="1" s="1"/>
  <c r="AH888" i="1" s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W890" i="1"/>
  <c r="X890" i="1"/>
  <c r="Y890" i="1"/>
  <c r="Z890" i="1"/>
  <c r="AA890" i="1"/>
  <c r="AB890" i="1"/>
  <c r="AC890" i="1"/>
  <c r="AD890" i="1"/>
  <c r="AE890" i="1"/>
  <c r="AF890" i="1" s="1"/>
  <c r="AG890" i="1" s="1"/>
  <c r="AH890" i="1" s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W892" i="1"/>
  <c r="X892" i="1"/>
  <c r="Y892" i="1" s="1"/>
  <c r="Z892" i="1" s="1"/>
  <c r="AA892" i="1" s="1"/>
  <c r="AB892" i="1"/>
  <c r="AC892" i="1" s="1"/>
  <c r="AD892" i="1"/>
  <c r="AE892" i="1" s="1"/>
  <c r="AF892" i="1" s="1"/>
  <c r="AG892" i="1" s="1"/>
  <c r="AH892" i="1" s="1"/>
  <c r="W893" i="1"/>
  <c r="X893" i="1"/>
  <c r="Y893" i="1" s="1"/>
  <c r="Z893" i="1" s="1"/>
  <c r="AA893" i="1" s="1"/>
  <c r="AB893" i="1" s="1"/>
  <c r="AC893" i="1" s="1"/>
  <c r="AD893" i="1" s="1"/>
  <c r="AE893" i="1" s="1"/>
  <c r="AF893" i="1" s="1"/>
  <c r="AG893" i="1" s="1"/>
  <c r="AH893" i="1" s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W897" i="1"/>
  <c r="X897" i="1"/>
  <c r="Y897" i="1"/>
  <c r="Z897" i="1"/>
  <c r="AA897" i="1"/>
  <c r="AB897" i="1"/>
  <c r="AC897" i="1" s="1"/>
  <c r="AD897" i="1" s="1"/>
  <c r="AE897" i="1" s="1"/>
  <c r="AF897" i="1" s="1"/>
  <c r="AG897" i="1" s="1"/>
  <c r="AH897" i="1" s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W900" i="1"/>
  <c r="X900" i="1"/>
  <c r="Y900" i="1"/>
  <c r="Z900" i="1"/>
  <c r="AA900" i="1"/>
  <c r="AB900" i="1"/>
  <c r="AC900" i="1" s="1"/>
  <c r="AD900" i="1" s="1"/>
  <c r="AE900" i="1" s="1"/>
  <c r="AF900" i="1" s="1"/>
  <c r="AG900" i="1" s="1"/>
  <c r="AH900" i="1" s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W903" i="1"/>
  <c r="X903" i="1"/>
  <c r="Y903" i="1" s="1"/>
  <c r="Z903" i="1" s="1"/>
  <c r="AA903" i="1" s="1"/>
  <c r="AB903" i="1" s="1"/>
  <c r="AC903" i="1" s="1"/>
  <c r="AD903" i="1" s="1"/>
  <c r="AE903" i="1" s="1"/>
  <c r="AF903" i="1" s="1"/>
  <c r="AG903" i="1" s="1"/>
  <c r="AH903" i="1" s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W906" i="1"/>
  <c r="X906" i="1"/>
  <c r="Y906" i="1"/>
  <c r="Z906" i="1"/>
  <c r="AA906" i="1"/>
  <c r="AB906" i="1"/>
  <c r="AC906" i="1"/>
  <c r="AD906" i="1"/>
  <c r="AE906" i="1" s="1"/>
  <c r="AF906" i="1" s="1"/>
  <c r="AG906" i="1" s="1"/>
  <c r="AH906" i="1" s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W911" i="1"/>
  <c r="X911" i="1"/>
  <c r="Y911" i="1" s="1"/>
  <c r="Z911" i="1" s="1"/>
  <c r="AA911" i="1" s="1"/>
  <c r="AB911" i="1" s="1"/>
  <c r="AC911" i="1" s="1"/>
  <c r="AD911" i="1" s="1"/>
  <c r="AE911" i="1" s="1"/>
  <c r="AF911" i="1" s="1"/>
  <c r="AG911" i="1" s="1"/>
  <c r="AH911" i="1" s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W914" i="1"/>
  <c r="X914" i="1"/>
  <c r="Y914" i="1"/>
  <c r="Z914" i="1"/>
  <c r="AA914" i="1"/>
  <c r="AB914" i="1"/>
  <c r="AC914" i="1" s="1"/>
  <c r="AD914" i="1" s="1"/>
  <c r="AE914" i="1" s="1"/>
  <c r="AF914" i="1" s="1"/>
  <c r="AG914" i="1" s="1"/>
  <c r="AH914" i="1" s="1"/>
  <c r="W915" i="1"/>
  <c r="X915" i="1"/>
  <c r="Y915" i="1"/>
  <c r="Z915" i="1"/>
  <c r="AA915" i="1" s="1"/>
  <c r="AB915" i="1" s="1"/>
  <c r="AC915" i="1" s="1"/>
  <c r="AD915" i="1" s="1"/>
  <c r="AE915" i="1" s="1"/>
  <c r="AF915" i="1" s="1"/>
  <c r="AG915" i="1" s="1"/>
  <c r="AH915" i="1" s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W918" i="1"/>
  <c r="X918" i="1" s="1"/>
  <c r="Y918" i="1" s="1"/>
  <c r="Z918" i="1" s="1"/>
  <c r="AA918" i="1" s="1"/>
  <c r="AB918" i="1" s="1"/>
  <c r="AC918" i="1" s="1"/>
  <c r="AD918" i="1" s="1"/>
  <c r="AE918" i="1" s="1"/>
  <c r="AF918" i="1" s="1"/>
  <c r="AG918" i="1" s="1"/>
  <c r="AH918" i="1" s="1"/>
  <c r="W919" i="1"/>
  <c r="X919" i="1"/>
  <c r="Y919" i="1" s="1"/>
  <c r="Z919" i="1"/>
  <c r="AA919" i="1" s="1"/>
  <c r="AB919" i="1" s="1"/>
  <c r="AC919" i="1" s="1"/>
  <c r="AD919" i="1" s="1"/>
  <c r="AE919" i="1" s="1"/>
  <c r="AF919" i="1" s="1"/>
  <c r="AG919" i="1" s="1"/>
  <c r="AH919" i="1" s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W925" i="1"/>
  <c r="X925" i="1"/>
  <c r="Y925" i="1"/>
  <c r="Z925" i="1"/>
  <c r="AA925" i="1" s="1"/>
  <c r="AB925" i="1" s="1"/>
  <c r="AC925" i="1" s="1"/>
  <c r="AD925" i="1" s="1"/>
  <c r="AE925" i="1" s="1"/>
  <c r="AF925" i="1"/>
  <c r="AG925" i="1" s="1"/>
  <c r="AH925" i="1" s="1"/>
  <c r="W926" i="1"/>
  <c r="X926" i="1"/>
  <c r="Y926" i="1" s="1"/>
  <c r="Z926" i="1" s="1"/>
  <c r="AA926" i="1" s="1"/>
  <c r="AB926" i="1" s="1"/>
  <c r="AC926" i="1" s="1"/>
  <c r="AD926" i="1" s="1"/>
  <c r="AE926" i="1" s="1"/>
  <c r="AF926" i="1" s="1"/>
  <c r="AG926" i="1" s="1"/>
  <c r="AH926" i="1" s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W929" i="1"/>
  <c r="X929" i="1"/>
  <c r="Y929" i="1" s="1"/>
  <c r="Z929" i="1"/>
  <c r="AA929" i="1" s="1"/>
  <c r="AB929" i="1" s="1"/>
  <c r="AC929" i="1" s="1"/>
  <c r="AD929" i="1" s="1"/>
  <c r="AE929" i="1" s="1"/>
  <c r="AF929" i="1" s="1"/>
  <c r="AG929" i="1" s="1"/>
  <c r="AH929" i="1" s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W931" i="1"/>
  <c r="X931" i="1"/>
  <c r="Y931" i="1"/>
  <c r="Z931" i="1"/>
  <c r="AA931" i="1" s="1"/>
  <c r="AB931" i="1" s="1"/>
  <c r="AC931" i="1" s="1"/>
  <c r="AD931" i="1" s="1"/>
  <c r="AE931" i="1" s="1"/>
  <c r="AF931" i="1" s="1"/>
  <c r="AG931" i="1" s="1"/>
  <c r="AH931" i="1" s="1"/>
  <c r="W932" i="1"/>
  <c r="X932" i="1" s="1"/>
  <c r="Y932" i="1" s="1"/>
  <c r="Z932" i="1" s="1"/>
  <c r="AA932" i="1" s="1"/>
  <c r="AB932" i="1" s="1"/>
  <c r="AC932" i="1" s="1"/>
  <c r="AD932" i="1" s="1"/>
  <c r="AE932" i="1" s="1"/>
  <c r="AF932" i="1" s="1"/>
  <c r="AG932" i="1" s="1"/>
  <c r="AH932" i="1" s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W934" i="1"/>
  <c r="X934" i="1"/>
  <c r="Y934" i="1"/>
  <c r="Z934" i="1"/>
  <c r="AA934" i="1"/>
  <c r="AB934" i="1"/>
  <c r="AC934" i="1"/>
  <c r="AD934" i="1"/>
  <c r="AE934" i="1"/>
  <c r="AF934" i="1" s="1"/>
  <c r="AG934" i="1" s="1"/>
  <c r="AH934" i="1" s="1"/>
  <c r="W935" i="1"/>
  <c r="X935" i="1"/>
  <c r="Y935" i="1"/>
  <c r="Z935" i="1"/>
  <c r="AA935" i="1"/>
  <c r="AB935" i="1"/>
  <c r="AC935" i="1"/>
  <c r="AD935" i="1"/>
  <c r="AE935" i="1"/>
  <c r="AF935" i="1"/>
  <c r="AG935" i="1" s="1"/>
  <c r="AH935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W940" i="1"/>
  <c r="X940" i="1"/>
  <c r="Y940" i="1"/>
  <c r="Z940" i="1"/>
  <c r="AA940" i="1"/>
  <c r="AB940" i="1"/>
  <c r="AC940" i="1"/>
  <c r="AD940" i="1"/>
  <c r="AE940" i="1"/>
  <c r="AF940" i="1"/>
  <c r="AG940" i="1" s="1"/>
  <c r="AH940" i="1" s="1"/>
  <c r="W941" i="1"/>
  <c r="X941" i="1"/>
  <c r="Y941" i="1" s="1"/>
  <c r="Z941" i="1" s="1"/>
  <c r="AA941" i="1" s="1"/>
  <c r="AB941" i="1" s="1"/>
  <c r="AC941" i="1" s="1"/>
  <c r="AD941" i="1" s="1"/>
  <c r="AE941" i="1" s="1"/>
  <c r="AF941" i="1" s="1"/>
  <c r="AG941" i="1" s="1"/>
  <c r="AH941" i="1" s="1"/>
  <c r="W942" i="1"/>
  <c r="X942" i="1"/>
  <c r="Y942" i="1"/>
  <c r="Z942" i="1"/>
  <c r="AA942" i="1"/>
  <c r="AB942" i="1"/>
  <c r="AC942" i="1"/>
  <c r="AD942" i="1"/>
  <c r="AE942" i="1" s="1"/>
  <c r="AF942" i="1" s="1"/>
  <c r="AG942" i="1" s="1"/>
  <c r="AH942" i="1" s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W944" i="1"/>
  <c r="X944" i="1" s="1"/>
  <c r="Y944" i="1" s="1"/>
  <c r="Z944" i="1" s="1"/>
  <c r="AA944" i="1" s="1"/>
  <c r="AB944" i="1" s="1"/>
  <c r="AC944" i="1" s="1"/>
  <c r="AD944" i="1" s="1"/>
  <c r="AE944" i="1" s="1"/>
  <c r="AF944" i="1" s="1"/>
  <c r="AG944" i="1" s="1"/>
  <c r="AH944" i="1" s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W947" i="1"/>
  <c r="X947" i="1"/>
  <c r="Y947" i="1"/>
  <c r="Z947" i="1"/>
  <c r="AA947" i="1"/>
  <c r="AB947" i="1"/>
  <c r="AC947" i="1"/>
  <c r="AD947" i="1"/>
  <c r="AE947" i="1"/>
  <c r="AF947" i="1"/>
  <c r="AG947" i="1" s="1"/>
  <c r="AH947" i="1" s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W952" i="1"/>
  <c r="X952" i="1"/>
  <c r="Y952" i="1"/>
  <c r="Z952" i="1"/>
  <c r="AA952" i="1"/>
  <c r="AB952" i="1"/>
  <c r="AC952" i="1"/>
  <c r="AD952" i="1"/>
  <c r="AE952" i="1" s="1"/>
  <c r="AF952" i="1" s="1"/>
  <c r="AG952" i="1" s="1"/>
  <c r="AH952" i="1" s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W957" i="1"/>
  <c r="X957" i="1"/>
  <c r="Y957" i="1"/>
  <c r="Z957" i="1"/>
  <c r="AA957" i="1"/>
  <c r="AB957" i="1"/>
  <c r="AC957" i="1"/>
  <c r="AD957" i="1"/>
  <c r="AE957" i="1"/>
  <c r="AF957" i="1"/>
  <c r="AG957" i="1" s="1"/>
  <c r="AH957" i="1" s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W961" i="1"/>
  <c r="X961" i="1"/>
  <c r="Y961" i="1" s="1"/>
  <c r="Z961" i="1"/>
  <c r="AA961" i="1" s="1"/>
  <c r="AB961" i="1" s="1"/>
  <c r="AC961" i="1" s="1"/>
  <c r="AD961" i="1" s="1"/>
  <c r="AE961" i="1" s="1"/>
  <c r="AF961" i="1" s="1"/>
  <c r="AG961" i="1" s="1"/>
  <c r="AH961" i="1" s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W966" i="1"/>
  <c r="X966" i="1"/>
  <c r="Y966" i="1"/>
  <c r="Z966" i="1"/>
  <c r="AA966" i="1"/>
  <c r="AB966" i="1"/>
  <c r="AC966" i="1" s="1"/>
  <c r="AD966" i="1" s="1"/>
  <c r="AE966" i="1" s="1"/>
  <c r="AF966" i="1" s="1"/>
  <c r="AG966" i="1" s="1"/>
  <c r="AH966" i="1" s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W970" i="1"/>
  <c r="X970" i="1"/>
  <c r="Y970" i="1"/>
  <c r="Z970" i="1"/>
  <c r="AA970" i="1"/>
  <c r="AB970" i="1"/>
  <c r="AC970" i="1" s="1"/>
  <c r="AD970" i="1" s="1"/>
  <c r="AE970" i="1" s="1"/>
  <c r="AF970" i="1" s="1"/>
  <c r="AG970" i="1" s="1"/>
  <c r="AH970" i="1" s="1"/>
  <c r="W971" i="1"/>
  <c r="X971" i="1"/>
  <c r="Y971" i="1"/>
  <c r="Z971" i="1"/>
  <c r="AA971" i="1" s="1"/>
  <c r="AB971" i="1" s="1"/>
  <c r="AC971" i="1" s="1"/>
  <c r="AD971" i="1" s="1"/>
  <c r="AE971" i="1" s="1"/>
  <c r="AF971" i="1" s="1"/>
  <c r="AG971" i="1" s="1"/>
  <c r="AH971" i="1" s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W973" i="1"/>
  <c r="X973" i="1"/>
  <c r="Y973" i="1" s="1"/>
  <c r="Z973" i="1" s="1"/>
  <c r="AA973" i="1" s="1"/>
  <c r="AB973" i="1" s="1"/>
  <c r="AC973" i="1" s="1"/>
  <c r="AD973" i="1" s="1"/>
  <c r="AE973" i="1" s="1"/>
  <c r="AF973" i="1" s="1"/>
  <c r="AG973" i="1" s="1"/>
  <c r="AH973" i="1" s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W976" i="1"/>
  <c r="X976" i="1"/>
  <c r="Y976" i="1"/>
  <c r="Z976" i="1"/>
  <c r="AA976" i="1"/>
  <c r="AB976" i="1"/>
  <c r="AC976" i="1" s="1"/>
  <c r="AD976" i="1" s="1"/>
  <c r="AE976" i="1" s="1"/>
  <c r="AF976" i="1" s="1"/>
  <c r="AG976" i="1" s="1"/>
  <c r="AH976" i="1" s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W979" i="1"/>
  <c r="X979" i="1"/>
  <c r="Y979" i="1"/>
  <c r="Z979" i="1"/>
  <c r="AA979" i="1"/>
  <c r="AB979" i="1"/>
  <c r="AC979" i="1"/>
  <c r="AD979" i="1"/>
  <c r="AE979" i="1"/>
  <c r="AF979" i="1"/>
  <c r="AG979" i="1" s="1"/>
  <c r="AH979" i="1"/>
  <c r="W980" i="1"/>
  <c r="X980" i="1"/>
  <c r="Y980" i="1"/>
  <c r="Z980" i="1"/>
  <c r="AA980" i="1"/>
  <c r="AB980" i="1"/>
  <c r="AC980" i="1" s="1"/>
  <c r="AD980" i="1" s="1"/>
  <c r="AE980" i="1" s="1"/>
  <c r="AF980" i="1" s="1"/>
  <c r="AG980" i="1" s="1"/>
  <c r="AH980" i="1" s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W982" i="1"/>
  <c r="X982" i="1" s="1"/>
  <c r="Y982" i="1" s="1"/>
  <c r="Z982" i="1" s="1"/>
  <c r="AA982" i="1" s="1"/>
  <c r="AB982" i="1" s="1"/>
  <c r="AC982" i="1" s="1"/>
  <c r="AD982" i="1" s="1"/>
  <c r="AE982" i="1" s="1"/>
  <c r="AF982" i="1" s="1"/>
  <c r="AG982" i="1" s="1"/>
  <c r="AH982" i="1" s="1"/>
  <c r="W983" i="1"/>
  <c r="X983" i="1"/>
  <c r="Y983" i="1"/>
  <c r="Z983" i="1"/>
  <c r="AA983" i="1"/>
  <c r="AB983" i="1"/>
  <c r="AC983" i="1"/>
  <c r="AD983" i="1"/>
  <c r="AE983" i="1"/>
  <c r="AF983" i="1"/>
  <c r="AG983" i="1" s="1"/>
  <c r="AH983" i="1"/>
  <c r="W984" i="1"/>
  <c r="X984" i="1"/>
  <c r="Y984" i="1"/>
  <c r="Z984" i="1"/>
  <c r="AA984" i="1"/>
  <c r="AB984" i="1"/>
  <c r="AC984" i="1" s="1"/>
  <c r="AD984" i="1"/>
  <c r="AE984" i="1" s="1"/>
  <c r="AF984" i="1" s="1"/>
  <c r="AG984" i="1" s="1"/>
  <c r="AH984" i="1" s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W990" i="1"/>
  <c r="X990" i="1"/>
  <c r="Y990" i="1"/>
  <c r="Z990" i="1"/>
  <c r="AA990" i="1"/>
  <c r="AB990" i="1"/>
  <c r="AC990" i="1" s="1"/>
  <c r="AD990" i="1"/>
  <c r="AE990" i="1" s="1"/>
  <c r="AF990" i="1" s="1"/>
  <c r="AG990" i="1" s="1"/>
  <c r="AH990" i="1" s="1"/>
  <c r="W991" i="1"/>
  <c r="X991" i="1"/>
  <c r="Y991" i="1"/>
  <c r="Z991" i="1"/>
  <c r="AA991" i="1"/>
  <c r="AB991" i="1"/>
  <c r="AC991" i="1"/>
  <c r="AD991" i="1"/>
  <c r="AE991" i="1"/>
  <c r="AF991" i="1"/>
  <c r="AG991" i="1" s="1"/>
  <c r="AH991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W993" i="1"/>
  <c r="X993" i="1"/>
  <c r="Y993" i="1" s="1"/>
  <c r="Z993" i="1" s="1"/>
  <c r="AA993" i="1" s="1"/>
  <c r="AB993" i="1" s="1"/>
  <c r="AC993" i="1" s="1"/>
  <c r="AD993" i="1" s="1"/>
  <c r="AE993" i="1" s="1"/>
  <c r="AF993" i="1" s="1"/>
  <c r="AG993" i="1" s="1"/>
  <c r="AH993" i="1" s="1"/>
  <c r="W994" i="1"/>
  <c r="X994" i="1" s="1"/>
  <c r="Y994" i="1" s="1"/>
  <c r="Z994" i="1" s="1"/>
  <c r="AA994" i="1" s="1"/>
  <c r="AB994" i="1" s="1"/>
  <c r="AC994" i="1" s="1"/>
  <c r="AD994" i="1" s="1"/>
  <c r="AE994" i="1" s="1"/>
  <c r="AF994" i="1" s="1"/>
  <c r="AG994" i="1" s="1"/>
  <c r="AH994" i="1" s="1"/>
  <c r="W995" i="1"/>
  <c r="X995" i="1"/>
  <c r="Y995" i="1"/>
  <c r="Z995" i="1"/>
  <c r="AA995" i="1"/>
  <c r="AB995" i="1"/>
  <c r="AC995" i="1"/>
  <c r="AD995" i="1"/>
  <c r="AE995" i="1"/>
  <c r="AF995" i="1"/>
  <c r="AG995" i="1" s="1"/>
  <c r="AH995" i="1" s="1"/>
  <c r="W996" i="1"/>
  <c r="X996" i="1"/>
  <c r="Y996" i="1"/>
  <c r="Z996" i="1"/>
  <c r="AA996" i="1"/>
  <c r="AB996" i="1"/>
  <c r="AC996" i="1"/>
  <c r="AD996" i="1"/>
  <c r="AE996" i="1" s="1"/>
  <c r="AF996" i="1" s="1"/>
  <c r="AG996" i="1" s="1"/>
  <c r="AH996" i="1" s="1"/>
  <c r="W997" i="1"/>
  <c r="X997" i="1"/>
  <c r="Y997" i="1"/>
  <c r="Z997" i="1"/>
  <c r="AA997" i="1" s="1"/>
  <c r="AB997" i="1" s="1"/>
  <c r="AC997" i="1" s="1"/>
  <c r="AD997" i="1" s="1"/>
  <c r="AE997" i="1" s="1"/>
  <c r="AF997" i="1" s="1"/>
  <c r="AG997" i="1" s="1"/>
  <c r="AH997" i="1" s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W999" i="1"/>
  <c r="X999" i="1"/>
  <c r="Y999" i="1"/>
  <c r="Z999" i="1"/>
  <c r="AA999" i="1"/>
  <c r="AB999" i="1"/>
  <c r="AC999" i="1" s="1"/>
  <c r="AD999" i="1" s="1"/>
  <c r="AE999" i="1" s="1"/>
  <c r="AF999" i="1"/>
  <c r="AG999" i="1" s="1"/>
  <c r="AH999" i="1" s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W1001" i="1"/>
  <c r="X1001" i="1"/>
  <c r="Y1001" i="1"/>
  <c r="Z1001" i="1"/>
  <c r="AA1001" i="1" s="1"/>
  <c r="AB1001" i="1" s="1"/>
  <c r="AC1001" i="1" s="1"/>
  <c r="AD1001" i="1" s="1"/>
  <c r="AE1001" i="1"/>
  <c r="AF1001" i="1"/>
  <c r="AG1001" i="1" s="1"/>
  <c r="AH1001" i="1" s="1"/>
  <c r="W1002" i="1"/>
  <c r="X1002" i="1" s="1"/>
  <c r="Y1002" i="1" s="1"/>
  <c r="Z1002" i="1" s="1"/>
  <c r="AA1002" i="1" s="1"/>
  <c r="AB1002" i="1" s="1"/>
  <c r="AC1002" i="1" s="1"/>
  <c r="AD1002" i="1" s="1"/>
  <c r="AE1002" i="1" s="1"/>
  <c r="AF1002" i="1" s="1"/>
  <c r="AG1002" i="1" s="1"/>
  <c r="AH1002" i="1" s="1"/>
  <c r="W1003" i="1"/>
  <c r="X1003" i="1"/>
  <c r="Y1003" i="1"/>
  <c r="Z1003" i="1"/>
  <c r="AA1003" i="1"/>
  <c r="AB1003" i="1"/>
  <c r="AC1003" i="1" s="1"/>
  <c r="AD1003" i="1" s="1"/>
  <c r="AE1003" i="1" s="1"/>
  <c r="AF1003" i="1" s="1"/>
  <c r="AG1003" i="1" s="1"/>
  <c r="AH1003" i="1" s="1"/>
  <c r="W1004" i="1"/>
  <c r="X1004" i="1"/>
  <c r="Y1004" i="1" s="1"/>
  <c r="Z1004" i="1" s="1"/>
  <c r="AA1004" i="1" s="1"/>
  <c r="AB1004" i="1" s="1"/>
  <c r="AC1004" i="1" s="1"/>
  <c r="AD1004" i="1" s="1"/>
  <c r="AE1004" i="1" s="1"/>
  <c r="AF1004" i="1" s="1"/>
  <c r="AG1004" i="1" s="1"/>
  <c r="AH1004" i="1" s="1"/>
  <c r="W1005" i="1"/>
  <c r="X1005" i="1"/>
  <c r="Y1005" i="1"/>
  <c r="Z1005" i="1"/>
  <c r="AA1005" i="1"/>
  <c r="AB1005" i="1"/>
  <c r="AC1005" i="1" s="1"/>
  <c r="AD1005" i="1" s="1"/>
  <c r="AE1005" i="1"/>
  <c r="AF1005" i="1" s="1"/>
  <c r="AG1005" i="1" s="1"/>
  <c r="AH1005" i="1" s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W1008" i="1"/>
  <c r="X1008" i="1"/>
  <c r="Y1008" i="1"/>
  <c r="Z1008" i="1"/>
  <c r="AA1008" i="1"/>
  <c r="AB1008" i="1"/>
  <c r="AC1008" i="1" s="1"/>
  <c r="AD1008" i="1" s="1"/>
  <c r="AE1008" i="1" s="1"/>
  <c r="AF1008" i="1" s="1"/>
  <c r="AG1008" i="1" s="1"/>
  <c r="AH1008" i="1" s="1"/>
  <c r="W1009" i="1"/>
  <c r="X1009" i="1"/>
  <c r="Y1009" i="1" s="1"/>
  <c r="Z1009" i="1" s="1"/>
  <c r="AA1009" i="1" s="1"/>
  <c r="AB1009" i="1" s="1"/>
  <c r="AC1009" i="1" s="1"/>
  <c r="AD1009" i="1" s="1"/>
  <c r="AE1009" i="1"/>
  <c r="AF1009" i="1" s="1"/>
  <c r="AG1009" i="1" s="1"/>
  <c r="AH1009" i="1" s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W1013" i="1"/>
  <c r="X1013" i="1"/>
  <c r="Y1013" i="1" s="1"/>
  <c r="Z1013" i="1"/>
  <c r="AA1013" i="1" s="1"/>
  <c r="AB1013" i="1" s="1"/>
  <c r="AC1013" i="1" s="1"/>
  <c r="AD1013" i="1" s="1"/>
  <c r="AE1013" i="1" s="1"/>
  <c r="AF1013" i="1" s="1"/>
  <c r="AG1013" i="1" s="1"/>
  <c r="AH1013" i="1" s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W1015" i="1"/>
  <c r="X1015" i="1"/>
  <c r="Y1015" i="1"/>
  <c r="Z1015" i="1"/>
  <c r="AA1015" i="1"/>
  <c r="AB1015" i="1"/>
  <c r="AC1015" i="1"/>
  <c r="AD1015" i="1"/>
  <c r="AE1015" i="1"/>
  <c r="AF1015" i="1" s="1"/>
  <c r="AG1015" i="1" s="1"/>
  <c r="AH1015" i="1" s="1"/>
  <c r="W1016" i="1"/>
  <c r="X1016" i="1" s="1"/>
  <c r="Y1016" i="1" s="1"/>
  <c r="Z1016" i="1" s="1"/>
  <c r="AA1016" i="1"/>
  <c r="AB1016" i="1" s="1"/>
  <c r="AC1016" i="1"/>
  <c r="AD1016" i="1" s="1"/>
  <c r="AE1016" i="1" s="1"/>
  <c r="AF1016" i="1" s="1"/>
  <c r="AG1016" i="1" s="1"/>
  <c r="AH1016" i="1" s="1"/>
  <c r="W1017" i="1"/>
  <c r="X1017" i="1"/>
  <c r="Y1017" i="1" s="1"/>
  <c r="Z1017" i="1" s="1"/>
  <c r="AA1017" i="1" s="1"/>
  <c r="AB1017" i="1" s="1"/>
  <c r="AC1017" i="1" s="1"/>
  <c r="AD1017" i="1" s="1"/>
  <c r="AE1017" i="1" s="1"/>
  <c r="AF1017" i="1" s="1"/>
  <c r="AG1017" i="1" s="1"/>
  <c r="AH1017" i="1" s="1"/>
  <c r="W1018" i="1"/>
  <c r="X1018" i="1"/>
  <c r="Y1018" i="1" s="1"/>
  <c r="Z1018" i="1" s="1"/>
  <c r="AA1018" i="1" s="1"/>
  <c r="AB1018" i="1" s="1"/>
  <c r="AC1018" i="1" s="1"/>
  <c r="AD1018" i="1" s="1"/>
  <c r="AE1018" i="1" s="1"/>
  <c r="AF1018" i="1" s="1"/>
  <c r="AG1018" i="1" s="1"/>
  <c r="AH1018" i="1" s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W1020" i="1"/>
  <c r="X1020" i="1" s="1"/>
  <c r="Y1020" i="1" s="1"/>
  <c r="Z1020" i="1" s="1"/>
  <c r="AA1020" i="1" s="1"/>
  <c r="AB1020" i="1" s="1"/>
  <c r="AC1020" i="1" s="1"/>
  <c r="AD1020" i="1"/>
  <c r="AE1020" i="1" s="1"/>
  <c r="AF1020" i="1" s="1"/>
  <c r="AG1020" i="1" s="1"/>
  <c r="AH1020" i="1" s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W1026" i="1"/>
  <c r="X1026" i="1" s="1"/>
  <c r="Y1026" i="1" s="1"/>
  <c r="Z1026" i="1"/>
  <c r="AA1026" i="1" s="1"/>
  <c r="AB1026" i="1" s="1"/>
  <c r="AC1026" i="1" s="1"/>
  <c r="AD1026" i="1" s="1"/>
  <c r="AE1026" i="1" s="1"/>
  <c r="AF1026" i="1" s="1"/>
  <c r="AG1026" i="1" s="1"/>
  <c r="AH1026" i="1" s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W1030" i="1"/>
  <c r="X1030" i="1" s="1"/>
  <c r="Y1030" i="1" s="1"/>
  <c r="Z1030" i="1" s="1"/>
  <c r="AA1030" i="1" s="1"/>
  <c r="AB1030" i="1" s="1"/>
  <c r="AC1030" i="1" s="1"/>
  <c r="AD1030" i="1" s="1"/>
  <c r="AE1030" i="1" s="1"/>
  <c r="AF1030" i="1" s="1"/>
  <c r="AG1030" i="1" s="1"/>
  <c r="AH1030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 s="1"/>
  <c r="W1032" i="1"/>
  <c r="X1032" i="1"/>
  <c r="Y1032" i="1"/>
  <c r="Z1032" i="1"/>
  <c r="AA1032" i="1"/>
  <c r="AB1032" i="1"/>
  <c r="AC1032" i="1"/>
  <c r="AD1032" i="1"/>
  <c r="AE1032" i="1" s="1"/>
  <c r="AF1032" i="1" s="1"/>
  <c r="AG1032" i="1" s="1"/>
  <c r="AH1032" i="1" s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W1035" i="1"/>
  <c r="X1035" i="1"/>
  <c r="Y1035" i="1" s="1"/>
  <c r="W1036" i="1"/>
  <c r="X1036" i="1"/>
  <c r="Y1036" i="1" s="1"/>
  <c r="Z1036" i="1"/>
  <c r="AA1036" i="1" s="1"/>
  <c r="AB1036" i="1" s="1"/>
  <c r="AC1036" i="1" s="1"/>
  <c r="AD1036" i="1" s="1"/>
  <c r="AE1036" i="1" s="1"/>
  <c r="AF1036" i="1" s="1"/>
  <c r="AG1036" i="1" s="1"/>
  <c r="AH1036" i="1" s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W1038" i="1"/>
  <c r="X1038" i="1"/>
  <c r="Y1038" i="1"/>
  <c r="Z1038" i="1"/>
  <c r="AA1038" i="1"/>
  <c r="AB1038" i="1"/>
  <c r="AC1038" i="1"/>
  <c r="AD1038" i="1"/>
  <c r="AE1038" i="1"/>
  <c r="AF1038" i="1" s="1"/>
  <c r="AG1038" i="1" s="1"/>
  <c r="AH1038" i="1" s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W1042" i="1"/>
  <c r="X1042" i="1"/>
  <c r="Y1042" i="1"/>
  <c r="Z1042" i="1"/>
  <c r="AA1042" i="1"/>
  <c r="AB1042" i="1"/>
  <c r="AC1042" i="1"/>
  <c r="AD1042" i="1"/>
  <c r="AE1042" i="1" s="1"/>
  <c r="AF1042" i="1" s="1"/>
  <c r="AG1042" i="1" s="1"/>
  <c r="AH1042" i="1" s="1"/>
  <c r="W1043" i="1"/>
  <c r="X1043" i="1"/>
  <c r="Y1043" i="1"/>
  <c r="Z1043" i="1"/>
  <c r="AA1043" i="1" s="1"/>
  <c r="AB1043" i="1" s="1"/>
  <c r="AC1043" i="1" s="1"/>
  <c r="AD1043" i="1" s="1"/>
  <c r="AE1043" i="1" s="1"/>
  <c r="AF1043" i="1" s="1"/>
  <c r="AG1043" i="1" s="1"/>
  <c r="AH1043" i="1" s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W1046" i="1"/>
  <c r="X1046" i="1" s="1"/>
  <c r="Y1046" i="1" s="1"/>
  <c r="Z1046" i="1" s="1"/>
  <c r="AA1046" i="1" s="1"/>
  <c r="AB1046" i="1" s="1"/>
  <c r="AC1046" i="1" s="1"/>
  <c r="AD1046" i="1" s="1"/>
  <c r="AE1046" i="1" s="1"/>
  <c r="AF1046" i="1" s="1"/>
  <c r="AG1046" i="1" s="1"/>
  <c r="AH1046" i="1" s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W1049" i="1"/>
  <c r="X1049" i="1"/>
  <c r="Y1049" i="1"/>
  <c r="Z1049" i="1"/>
  <c r="AA1049" i="1"/>
  <c r="AB1049" i="1"/>
  <c r="AC1049" i="1"/>
  <c r="AD1049" i="1"/>
  <c r="AE1049" i="1"/>
  <c r="AF1049" i="1"/>
  <c r="AG1049" i="1" s="1"/>
  <c r="AH1049" i="1" s="1"/>
  <c r="W1050" i="1"/>
  <c r="X1050" i="1" s="1"/>
  <c r="Y1050" i="1" s="1"/>
  <c r="Z1050" i="1" s="1"/>
  <c r="AA1050" i="1" s="1"/>
  <c r="AB1050" i="1" s="1"/>
  <c r="AC1050" i="1"/>
  <c r="AD1050" i="1"/>
  <c r="AE1050" i="1" s="1"/>
  <c r="AF1050" i="1" s="1"/>
  <c r="AG1050" i="1" s="1"/>
  <c r="AH1050" i="1" s="1"/>
  <c r="W1051" i="1"/>
  <c r="X1051" i="1" s="1"/>
  <c r="Y1051" i="1" s="1"/>
  <c r="Z1051" i="1" s="1"/>
  <c r="AA1051" i="1"/>
  <c r="AB1051" i="1" s="1"/>
  <c r="AC1051" i="1" s="1"/>
  <c r="AD1051" i="1" s="1"/>
  <c r="AE1051" i="1" s="1"/>
  <c r="AF1051" i="1" s="1"/>
  <c r="AG1051" i="1" s="1"/>
  <c r="AH1051" i="1" s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W1054" i="1"/>
  <c r="X1054" i="1" s="1"/>
  <c r="Y1054" i="1" s="1"/>
  <c r="Z1054" i="1" s="1"/>
  <c r="AA1054" i="1"/>
  <c r="AB1054" i="1" s="1"/>
  <c r="AC1054" i="1" s="1"/>
  <c r="AD1054" i="1" s="1"/>
  <c r="AE1054" i="1" s="1"/>
  <c r="AF1054" i="1" s="1"/>
  <c r="AG1054" i="1" s="1"/>
  <c r="AH1054" i="1" s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W1057" i="1"/>
  <c r="X1057" i="1"/>
  <c r="Y1057" i="1"/>
  <c r="Z1057" i="1"/>
  <c r="AA1057" i="1"/>
  <c r="AB1057" i="1"/>
  <c r="AC1057" i="1"/>
  <c r="AD1057" i="1"/>
  <c r="AE1057" i="1"/>
  <c r="AF1057" i="1" s="1"/>
  <c r="AG1057" i="1"/>
  <c r="AH1057" i="1" s="1"/>
  <c r="W1058" i="1"/>
  <c r="X1058" i="1" s="1"/>
  <c r="Y1058" i="1" s="1"/>
  <c r="Z1058" i="1"/>
  <c r="AA1058" i="1" s="1"/>
  <c r="AB1058" i="1" s="1"/>
  <c r="AC1058" i="1" s="1"/>
  <c r="AD1058" i="1" s="1"/>
  <c r="AE1058" i="1"/>
  <c r="AF1058" i="1" s="1"/>
  <c r="AG1058" i="1" s="1"/>
  <c r="AH1058" i="1"/>
  <c r="W1059" i="1"/>
  <c r="X1059" i="1"/>
  <c r="Y1059" i="1"/>
  <c r="Z1059" i="1" s="1"/>
  <c r="AA1059" i="1" s="1"/>
  <c r="AB1059" i="1" s="1"/>
  <c r="AC1059" i="1" s="1"/>
  <c r="AD1059" i="1" s="1"/>
  <c r="AE1059" i="1" s="1"/>
  <c r="AF1059" i="1" s="1"/>
  <c r="AG1059" i="1" s="1"/>
  <c r="AH1059" i="1" s="1"/>
  <c r="W1060" i="1"/>
  <c r="X1060" i="1"/>
  <c r="Y1060" i="1"/>
  <c r="Z1060" i="1"/>
  <c r="AA1060" i="1"/>
  <c r="AB1060" i="1"/>
  <c r="AC1060" i="1"/>
  <c r="AD1060" i="1"/>
  <c r="AE1060" i="1"/>
  <c r="AF1060" i="1"/>
  <c r="AG1060" i="1" s="1"/>
  <c r="AH1060" i="1"/>
  <c r="W1061" i="1"/>
  <c r="X1061" i="1"/>
  <c r="Y1061" i="1"/>
  <c r="Z1061" i="1"/>
  <c r="AA1061" i="1"/>
  <c r="AB1061" i="1" s="1"/>
  <c r="AC1061" i="1" s="1"/>
  <c r="AD1061" i="1" s="1"/>
  <c r="AE1061" i="1" s="1"/>
  <c r="AF1061" i="1" s="1"/>
  <c r="AG1061" i="1" s="1"/>
  <c r="AH1061" i="1" s="1"/>
  <c r="W1062" i="1"/>
  <c r="X1062" i="1"/>
  <c r="Y1062" i="1"/>
  <c r="Z1062" i="1"/>
  <c r="AA1062" i="1"/>
  <c r="AB1062" i="1"/>
  <c r="AC1062" i="1"/>
  <c r="AD1062" i="1"/>
  <c r="AE1062" i="1"/>
  <c r="AF1062" i="1" s="1"/>
  <c r="AG1062" i="1" s="1"/>
  <c r="AH1062" i="1" s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W1064" i="1"/>
  <c r="X1064" i="1"/>
  <c r="Y1064" i="1"/>
  <c r="Z1064" i="1"/>
  <c r="AA1064" i="1"/>
  <c r="AB1064" i="1"/>
  <c r="AC1064" i="1" s="1"/>
  <c r="AD1064" i="1" s="1"/>
  <c r="AE1064" i="1" s="1"/>
  <c r="AF1064" i="1" s="1"/>
  <c r="AG1064" i="1" s="1"/>
  <c r="AH1064" i="1"/>
  <c r="W1065" i="1"/>
  <c r="X1065" i="1" s="1"/>
  <c r="Y1065" i="1" s="1"/>
  <c r="Z1065" i="1" s="1"/>
  <c r="AA1065" i="1" s="1"/>
  <c r="AB1065" i="1" s="1"/>
  <c r="AC1065" i="1" s="1"/>
  <c r="AD1065" i="1" s="1"/>
  <c r="AE1065" i="1" s="1"/>
  <c r="AF1065" i="1" s="1"/>
  <c r="AG1065" i="1" s="1"/>
  <c r="AH1065" i="1" s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W1067" i="1"/>
  <c r="X1067" i="1"/>
  <c r="Y1067" i="1"/>
  <c r="Z1067" i="1"/>
  <c r="AA1067" i="1"/>
  <c r="AB1067" i="1"/>
  <c r="AC1067" i="1"/>
  <c r="AD1067" i="1"/>
  <c r="AE1067" i="1"/>
  <c r="AF1067" i="1"/>
  <c r="AG1067" i="1" s="1"/>
  <c r="AH1067" i="1" s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W1073" i="1"/>
  <c r="X1073" i="1"/>
  <c r="Y1073" i="1"/>
  <c r="Z1073" i="1" s="1"/>
  <c r="AA1073" i="1" s="1"/>
  <c r="AB1073" i="1" s="1"/>
  <c r="AC1073" i="1" s="1"/>
  <c r="AD1073" i="1" s="1"/>
  <c r="AE1073" i="1" s="1"/>
  <c r="AF1073" i="1" s="1"/>
  <c r="AG1073" i="1" s="1"/>
  <c r="AH1073" i="1" s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W1075" i="1"/>
  <c r="X1075" i="1"/>
  <c r="Y1075" i="1"/>
  <c r="Z1075" i="1"/>
  <c r="AA1075" i="1"/>
  <c r="AB1075" i="1" s="1"/>
  <c r="AC1075" i="1" s="1"/>
  <c r="AD1075" i="1" s="1"/>
  <c r="AE1075" i="1" s="1"/>
  <c r="AF1075" i="1" s="1"/>
  <c r="AG1075" i="1" s="1"/>
  <c r="AH1075" i="1" s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W1077" i="1"/>
  <c r="X1077" i="1" s="1"/>
  <c r="Y1077" i="1" s="1"/>
  <c r="Z1077" i="1" s="1"/>
  <c r="AA1077" i="1" s="1"/>
  <c r="AB1077" i="1" s="1"/>
  <c r="AC1077" i="1" s="1"/>
  <c r="AD1077" i="1"/>
  <c r="AE1077" i="1" s="1"/>
  <c r="AF1077" i="1" s="1"/>
  <c r="AG1077" i="1" s="1"/>
  <c r="AH1077" i="1" s="1"/>
  <c r="W1078" i="1"/>
  <c r="X1078" i="1"/>
  <c r="Y1078" i="1"/>
  <c r="Z1078" i="1"/>
  <c r="AA1078" i="1" s="1"/>
  <c r="AB1078" i="1" s="1"/>
  <c r="AC1078" i="1" s="1"/>
  <c r="AD1078" i="1" s="1"/>
  <c r="AE1078" i="1" s="1"/>
  <c r="AF1078" i="1" s="1"/>
  <c r="AG1078" i="1" s="1"/>
  <c r="AH1078" i="1" s="1"/>
  <c r="W1079" i="1"/>
  <c r="X1079" i="1"/>
  <c r="Y1079" i="1" s="1"/>
  <c r="Z1079" i="1" s="1"/>
  <c r="AA1079" i="1" s="1"/>
  <c r="AB1079" i="1" s="1"/>
  <c r="AC1079" i="1" s="1"/>
  <c r="AD1079" i="1" s="1"/>
  <c r="AE1079" i="1" s="1"/>
  <c r="AF1079" i="1" s="1"/>
  <c r="AG1079" i="1" s="1"/>
  <c r="AH1079" i="1" s="1"/>
  <c r="W1080" i="1"/>
  <c r="X1080" i="1" s="1"/>
  <c r="Y1080" i="1" s="1"/>
  <c r="Z1080" i="1" s="1"/>
  <c r="AA1080" i="1" s="1"/>
  <c r="AB1080" i="1" s="1"/>
  <c r="AC1080" i="1" s="1"/>
  <c r="AD1080" i="1" s="1"/>
  <c r="AE1080" i="1" s="1"/>
  <c r="AF1080" i="1" s="1"/>
  <c r="AG1080" i="1" s="1"/>
  <c r="AH1080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W1082" i="1"/>
  <c r="X1082" i="1" s="1"/>
  <c r="Y1082" i="1" s="1"/>
  <c r="Z1082" i="1"/>
  <c r="AA1082" i="1" s="1"/>
  <c r="AB1082" i="1" s="1"/>
  <c r="AC1082" i="1" s="1"/>
  <c r="AD1082" i="1" s="1"/>
  <c r="AE1082" i="1" s="1"/>
  <c r="AF1082" i="1" s="1"/>
  <c r="AG1082" i="1" s="1"/>
  <c r="AH1082" i="1" s="1"/>
  <c r="W1083" i="1"/>
  <c r="X1083" i="1"/>
  <c r="Y1083" i="1"/>
  <c r="Z1083" i="1"/>
  <c r="AA1083" i="1" s="1"/>
  <c r="AB1083" i="1" s="1"/>
  <c r="AC1083" i="1" s="1"/>
  <c r="AD1083" i="1" s="1"/>
  <c r="AE1083" i="1" s="1"/>
  <c r="AF1083" i="1" s="1"/>
  <c r="AG1083" i="1" s="1"/>
  <c r="AH1083" i="1" s="1"/>
  <c r="W1084" i="1"/>
  <c r="X1084" i="1"/>
  <c r="Y1084" i="1"/>
  <c r="Z1084" i="1"/>
  <c r="AA1084" i="1"/>
  <c r="AB1084" i="1"/>
  <c r="AC1084" i="1"/>
  <c r="AD1084" i="1"/>
  <c r="AE1084" i="1" s="1"/>
  <c r="AF1084" i="1" s="1"/>
  <c r="AG1084" i="1" s="1"/>
  <c r="AH1084" i="1"/>
  <c r="W1085" i="1"/>
  <c r="X1085" i="1"/>
  <c r="Y1085" i="1"/>
  <c r="Z1085" i="1"/>
  <c r="AA1085" i="1"/>
  <c r="AB1085" i="1"/>
  <c r="AC1085" i="1"/>
  <c r="AD1085" i="1"/>
  <c r="AE1085" i="1" s="1"/>
  <c r="AF1085" i="1" s="1"/>
  <c r="AG1085" i="1" s="1"/>
  <c r="AH1085" i="1" s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W1087" i="1"/>
  <c r="X1087" i="1"/>
  <c r="Y1087" i="1"/>
  <c r="Z1087" i="1"/>
  <c r="AA1087" i="1"/>
  <c r="AB1087" i="1"/>
  <c r="AC1087" i="1"/>
  <c r="AD1087" i="1"/>
  <c r="AE1087" i="1"/>
  <c r="AF1087" i="1" s="1"/>
  <c r="AG1087" i="1" s="1"/>
  <c r="AH1087" i="1" s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W1089" i="1"/>
  <c r="X1089" i="1"/>
  <c r="Y1089" i="1"/>
  <c r="Z1089" i="1"/>
  <c r="AA1089" i="1"/>
  <c r="AB1089" i="1"/>
  <c r="AC1089" i="1"/>
  <c r="AD1089" i="1"/>
  <c r="AE1089" i="1"/>
  <c r="AF1089" i="1" s="1"/>
  <c r="AG1089" i="1" s="1"/>
  <c r="AH1089" i="1" s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W1093" i="1"/>
  <c r="X1093" i="1" s="1"/>
  <c r="Y1093" i="1" s="1"/>
  <c r="Z1093" i="1" s="1"/>
  <c r="AA1093" i="1" s="1"/>
  <c r="AB1093" i="1" s="1"/>
  <c r="AC1093" i="1" s="1"/>
  <c r="AD1093" i="1" s="1"/>
  <c r="AE1093" i="1" s="1"/>
  <c r="AF1093" i="1" s="1"/>
  <c r="AG1093" i="1" s="1"/>
  <c r="AH1093" i="1" s="1"/>
  <c r="W1094" i="1"/>
  <c r="X1094" i="1"/>
  <c r="Y1094" i="1"/>
  <c r="Z1094" i="1"/>
  <c r="AA1094" i="1"/>
  <c r="AB1094" i="1"/>
  <c r="AC1094" i="1"/>
  <c r="AD1094" i="1" s="1"/>
  <c r="AE1094" i="1"/>
  <c r="AF1094" i="1" s="1"/>
  <c r="AG1094" i="1" s="1"/>
  <c r="AH1094" i="1" s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W1096" i="1"/>
  <c r="X1096" i="1"/>
  <c r="Y1096" i="1"/>
  <c r="Z1096" i="1"/>
  <c r="AA1096" i="1"/>
  <c r="AB1096" i="1"/>
  <c r="AC1096" i="1" s="1"/>
  <c r="AD1096" i="1"/>
  <c r="AE1096" i="1" s="1"/>
  <c r="AF1096" i="1" s="1"/>
  <c r="AG1096" i="1" s="1"/>
  <c r="AH1096" i="1" s="1"/>
  <c r="W1097" i="1"/>
  <c r="X1097" i="1" s="1"/>
  <c r="Y1097" i="1" s="1"/>
  <c r="Z1097" i="1" s="1"/>
  <c r="AA1097" i="1" s="1"/>
  <c r="AB1097" i="1" s="1"/>
  <c r="AC1097" i="1" s="1"/>
  <c r="AD1097" i="1" s="1"/>
  <c r="AE1097" i="1" s="1"/>
  <c r="AF1097" i="1" s="1"/>
  <c r="AG1097" i="1" s="1"/>
  <c r="AH1097" i="1" s="1"/>
  <c r="W1098" i="1"/>
  <c r="X1098" i="1"/>
  <c r="Y1098" i="1"/>
  <c r="Z1098" i="1"/>
  <c r="AA1098" i="1"/>
  <c r="AB1098" i="1"/>
  <c r="AC1098" i="1"/>
  <c r="AD1098" i="1" s="1"/>
  <c r="AE1098" i="1" s="1"/>
  <c r="AF1098" i="1" s="1"/>
  <c r="AG1098" i="1" s="1"/>
  <c r="AH1098" i="1" s="1"/>
  <c r="W1099" i="1"/>
  <c r="X1099" i="1"/>
  <c r="Y1099" i="1"/>
  <c r="Z1099" i="1"/>
  <c r="AA1099" i="1"/>
  <c r="AB1099" i="1"/>
  <c r="AC1099" i="1"/>
  <c r="AD1099" i="1"/>
  <c r="AE1099" i="1" s="1"/>
  <c r="AF1099" i="1"/>
  <c r="AG1099" i="1" s="1"/>
  <c r="AH1099" i="1" s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W1101" i="1"/>
  <c r="X1101" i="1"/>
  <c r="Y1101" i="1"/>
  <c r="Z1101" i="1"/>
  <c r="AA1101" i="1"/>
  <c r="AB1101" i="1"/>
  <c r="AC1101" i="1"/>
  <c r="AD1101" i="1"/>
  <c r="AE1101" i="1" s="1"/>
  <c r="AF1101" i="1" s="1"/>
  <c r="AG1101" i="1" s="1"/>
  <c r="AH1101" i="1" s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W1103" i="1"/>
  <c r="X1103" i="1"/>
  <c r="Y1103" i="1"/>
  <c r="Z1103" i="1"/>
  <c r="AA1103" i="1"/>
  <c r="AB1103" i="1"/>
  <c r="AC1103" i="1" s="1"/>
  <c r="AD1103" i="1" s="1"/>
  <c r="AE1103" i="1"/>
  <c r="AF1103" i="1" s="1"/>
  <c r="AG1103" i="1"/>
  <c r="AH1103" i="1" s="1"/>
  <c r="W1104" i="1"/>
  <c r="X1104" i="1"/>
  <c r="Y1104" i="1" s="1"/>
  <c r="Z1104" i="1" s="1"/>
  <c r="AA1104" i="1" s="1"/>
  <c r="AB1104" i="1"/>
  <c r="AC1104" i="1" s="1"/>
  <c r="AD1104" i="1"/>
  <c r="AE1104" i="1" s="1"/>
  <c r="AF1104" i="1" s="1"/>
  <c r="AG1104" i="1" s="1"/>
  <c r="AH1104" i="1" s="1"/>
  <c r="W1105" i="1"/>
  <c r="X1105" i="1" s="1"/>
  <c r="Y1105" i="1" s="1"/>
  <c r="Z1105" i="1"/>
  <c r="AA1105" i="1" s="1"/>
  <c r="AB1105" i="1" s="1"/>
  <c r="AC1105" i="1" s="1"/>
  <c r="AD1105" i="1" s="1"/>
  <c r="AE1105" i="1" s="1"/>
  <c r="AF1105" i="1" s="1"/>
  <c r="AG1105" i="1" s="1"/>
  <c r="AH1105" i="1" s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W1107" i="1"/>
  <c r="X1107" i="1"/>
  <c r="Y1107" i="1"/>
  <c r="Z1107" i="1"/>
  <c r="AA1107" i="1" s="1"/>
  <c r="AB1107" i="1" s="1"/>
  <c r="AC1107" i="1" s="1"/>
  <c r="AD1107" i="1"/>
  <c r="AE1107" i="1" s="1"/>
  <c r="AF1107" i="1"/>
  <c r="AG1107" i="1" s="1"/>
  <c r="AH1107" i="1" s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W1110" i="1"/>
  <c r="X1110" i="1"/>
  <c r="Y1110" i="1"/>
  <c r="Z1110" i="1"/>
  <c r="AA1110" i="1" s="1"/>
  <c r="AB1110" i="1" s="1"/>
  <c r="AC1110" i="1" s="1"/>
  <c r="AD1110" i="1" s="1"/>
  <c r="AE1110" i="1" s="1"/>
  <c r="AF1110" i="1" s="1"/>
  <c r="AG1110" i="1" s="1"/>
  <c r="AH1110" i="1" s="1"/>
  <c r="W1111" i="1"/>
  <c r="X1111" i="1"/>
  <c r="Y1111" i="1"/>
  <c r="Z1111" i="1"/>
  <c r="AA1111" i="1"/>
  <c r="AB1111" i="1"/>
  <c r="AC1111" i="1" s="1"/>
  <c r="AD1111" i="1"/>
  <c r="AE1111" i="1" s="1"/>
  <c r="AF1111" i="1" s="1"/>
  <c r="AG1111" i="1"/>
  <c r="AH1111" i="1" s="1"/>
  <c r="W1112" i="1"/>
  <c r="X1112" i="1"/>
  <c r="Y1112" i="1"/>
  <c r="Z1112" i="1"/>
  <c r="AA1112" i="1"/>
  <c r="AB1112" i="1"/>
  <c r="AC1112" i="1"/>
  <c r="AD1112" i="1" s="1"/>
  <c r="AE1112" i="1"/>
  <c r="AF1112" i="1" s="1"/>
  <c r="AG1112" i="1" s="1"/>
  <c r="AH1112" i="1" s="1"/>
  <c r="W1113" i="1"/>
  <c r="X1113" i="1"/>
  <c r="Y1113" i="1" s="1"/>
  <c r="Z1113" i="1" s="1"/>
  <c r="AA1113" i="1" s="1"/>
  <c r="AB1113" i="1" s="1"/>
  <c r="AC1113" i="1" s="1"/>
  <c r="AD1113" i="1" s="1"/>
  <c r="AE1113" i="1" s="1"/>
  <c r="AF1113" i="1" s="1"/>
  <c r="AG1113" i="1" s="1"/>
  <c r="AH1113" i="1" s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W1115" i="1"/>
  <c r="X1115" i="1"/>
  <c r="Y1115" i="1"/>
  <c r="Z1115" i="1"/>
  <c r="AA1115" i="1" s="1"/>
  <c r="AB1115" i="1" s="1"/>
  <c r="AC1115" i="1" s="1"/>
  <c r="AD1115" i="1" s="1"/>
  <c r="AE1115" i="1"/>
  <c r="AF1115" i="1" s="1"/>
  <c r="AG1115" i="1" s="1"/>
  <c r="AH1115" i="1" s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W1117" i="1"/>
  <c r="X1117" i="1"/>
  <c r="Y1117" i="1"/>
  <c r="Z1117" i="1"/>
  <c r="AA1117" i="1" s="1"/>
  <c r="AB1117" i="1" s="1"/>
  <c r="AC1117" i="1" s="1"/>
  <c r="AD1117" i="1"/>
  <c r="AE1117" i="1" s="1"/>
  <c r="AF1117" i="1" s="1"/>
  <c r="AG1117" i="1" s="1"/>
  <c r="AH1117" i="1" s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W1121" i="1"/>
  <c r="X1121" i="1"/>
  <c r="Y1121" i="1"/>
  <c r="Z1121" i="1" s="1"/>
  <c r="AA1121" i="1" s="1"/>
  <c r="AB1121" i="1" s="1"/>
  <c r="AC1121" i="1" s="1"/>
  <c r="AD1121" i="1" s="1"/>
  <c r="AE1121" i="1" s="1"/>
  <c r="AF1121" i="1" s="1"/>
  <c r="AG1121" i="1" s="1"/>
  <c r="AH1121" i="1" s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W1123" i="1"/>
  <c r="X1123" i="1"/>
  <c r="Y1123" i="1"/>
  <c r="Z1123" i="1"/>
  <c r="AA1123" i="1" s="1"/>
  <c r="AB1123" i="1"/>
  <c r="AC1123" i="1" s="1"/>
  <c r="AD1123" i="1" s="1"/>
  <c r="AE1123" i="1" s="1"/>
  <c r="AF1123" i="1" s="1"/>
  <c r="AG1123" i="1" s="1"/>
  <c r="AH1123" i="1" s="1"/>
  <c r="W1124" i="1"/>
  <c r="X1124" i="1"/>
  <c r="Y1124" i="1"/>
  <c r="Z1124" i="1" s="1"/>
  <c r="AA1124" i="1" s="1"/>
  <c r="AB1124" i="1" s="1"/>
  <c r="AC1124" i="1" s="1"/>
  <c r="AD1124" i="1" s="1"/>
  <c r="AE1124" i="1" s="1"/>
  <c r="AF1124" i="1" s="1"/>
  <c r="AG1124" i="1" s="1"/>
  <c r="AH1124" i="1" s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W1127" i="1"/>
  <c r="X1127" i="1"/>
  <c r="Y1127" i="1"/>
  <c r="Z1127" i="1"/>
  <c r="AA1127" i="1"/>
  <c r="AB1127" i="1" s="1"/>
  <c r="AC1127" i="1"/>
  <c r="AD1127" i="1" s="1"/>
  <c r="AE1127" i="1" s="1"/>
  <c r="AF1127" i="1" s="1"/>
  <c r="AG1127" i="1" s="1"/>
  <c r="AH1127" i="1" s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W1130" i="1"/>
  <c r="X1130" i="1" s="1"/>
  <c r="Y1130" i="1" s="1"/>
  <c r="Z1130" i="1" s="1"/>
  <c r="AA1130" i="1" s="1"/>
  <c r="AB1130" i="1" s="1"/>
  <c r="AC1130" i="1" s="1"/>
  <c r="AD1130" i="1" s="1"/>
  <c r="AE1130" i="1" s="1"/>
  <c r="AF1130" i="1" s="1"/>
  <c r="AG1130" i="1" s="1"/>
  <c r="AH1130" i="1" s="1"/>
  <c r="W1131" i="1"/>
  <c r="X1131" i="1"/>
  <c r="Y1131" i="1"/>
  <c r="Z1131" i="1"/>
  <c r="AA1131" i="1"/>
  <c r="AB1131" i="1"/>
  <c r="AC1131" i="1"/>
  <c r="AD1131" i="1" s="1"/>
  <c r="AE1131" i="1" s="1"/>
  <c r="AF1131" i="1" s="1"/>
  <c r="AG1131" i="1" s="1"/>
  <c r="AH1131" i="1" s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 s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W1137" i="1"/>
  <c r="X1137" i="1"/>
  <c r="Y1137" i="1"/>
  <c r="Z1137" i="1"/>
  <c r="AA1137" i="1"/>
  <c r="AB1137" i="1"/>
  <c r="AC1137" i="1"/>
  <c r="AD1137" i="1"/>
  <c r="AE1137" i="1" s="1"/>
  <c r="AF1137" i="1" s="1"/>
  <c r="AG1137" i="1" s="1"/>
  <c r="AH1137" i="1" s="1"/>
  <c r="W1138" i="1"/>
  <c r="X1138" i="1"/>
  <c r="Y1138" i="1"/>
  <c r="Z1138" i="1"/>
  <c r="AA1138" i="1"/>
  <c r="AB1138" i="1"/>
  <c r="AC1138" i="1" s="1"/>
  <c r="AD1138" i="1" s="1"/>
  <c r="AE1138" i="1"/>
  <c r="AF1138" i="1" s="1"/>
  <c r="AG1138" i="1" s="1"/>
  <c r="AH1138" i="1" s="1"/>
  <c r="W1139" i="1"/>
  <c r="X1139" i="1"/>
  <c r="Y1139" i="1"/>
  <c r="Z1139" i="1"/>
  <c r="AA1139" i="1"/>
  <c r="AB1139" i="1" s="1"/>
  <c r="AC1139" i="1"/>
  <c r="AD1139" i="1" s="1"/>
  <c r="AE1139" i="1" s="1"/>
  <c r="AF1139" i="1" s="1"/>
  <c r="AG1139" i="1" s="1"/>
  <c r="AH1139" i="1" s="1"/>
  <c r="W1140" i="1"/>
  <c r="X1140" i="1"/>
  <c r="Y1140" i="1"/>
  <c r="Z1140" i="1"/>
  <c r="AA1140" i="1" s="1"/>
  <c r="AB1140" i="1" s="1"/>
  <c r="AC1140" i="1" s="1"/>
  <c r="AD1140" i="1" s="1"/>
  <c r="AE1140" i="1" s="1"/>
  <c r="AF1140" i="1" s="1"/>
  <c r="AG1140" i="1" s="1"/>
  <c r="AH1140" i="1" s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W1144" i="1"/>
  <c r="X1144" i="1"/>
  <c r="Y1144" i="1"/>
  <c r="Z1144" i="1"/>
  <c r="AA1144" i="1" s="1"/>
  <c r="AB1144" i="1"/>
  <c r="AC1144" i="1" s="1"/>
  <c r="AD1144" i="1" s="1"/>
  <c r="AE1144" i="1" s="1"/>
  <c r="AF1144" i="1" s="1"/>
  <c r="AG1144" i="1" s="1"/>
  <c r="AH1144" i="1" s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 s="1"/>
  <c r="W1147" i="1"/>
  <c r="X1147" i="1"/>
  <c r="Y1147" i="1"/>
  <c r="Z1147" i="1" s="1"/>
  <c r="AA1147" i="1"/>
  <c r="AB1147" i="1" s="1"/>
  <c r="AC1147" i="1" s="1"/>
  <c r="AD1147" i="1" s="1"/>
  <c r="AE1147" i="1" s="1"/>
  <c r="AF1147" i="1" s="1"/>
  <c r="AG1147" i="1" s="1"/>
  <c r="AH1147" i="1" s="1"/>
  <c r="W1148" i="1"/>
  <c r="X1148" i="1"/>
  <c r="Y1148" i="1"/>
  <c r="Z1148" i="1"/>
  <c r="AA1148" i="1"/>
  <c r="AB1148" i="1"/>
  <c r="AC1148" i="1"/>
  <c r="AD1148" i="1" s="1"/>
  <c r="AE1148" i="1" s="1"/>
  <c r="AF1148" i="1" s="1"/>
  <c r="AG1148" i="1" s="1"/>
  <c r="AH1148" i="1" s="1"/>
  <c r="W1149" i="1"/>
  <c r="X1149" i="1"/>
  <c r="Y1149" i="1"/>
  <c r="Z1149" i="1"/>
  <c r="AA1149" i="1"/>
  <c r="AB1149" i="1" s="1"/>
  <c r="AC1149" i="1" s="1"/>
  <c r="AD1149" i="1" s="1"/>
  <c r="AE1149" i="1" s="1"/>
  <c r="AF1149" i="1" s="1"/>
  <c r="AG1149" i="1" s="1"/>
  <c r="AH1149" i="1" s="1"/>
  <c r="W1150" i="1"/>
  <c r="X1150" i="1"/>
  <c r="Y1150" i="1"/>
  <c r="Z1150" i="1"/>
  <c r="AA1150" i="1" s="1"/>
  <c r="AB1150" i="1" s="1"/>
  <c r="AC1150" i="1" s="1"/>
  <c r="AD1150" i="1" s="1"/>
  <c r="AE1150" i="1" s="1"/>
  <c r="AF1150" i="1" s="1"/>
  <c r="AG1150" i="1" s="1"/>
  <c r="AH1150" i="1" s="1"/>
  <c r="W1151" i="1"/>
  <c r="X1151" i="1"/>
  <c r="Y1151" i="1"/>
  <c r="Z1151" i="1" s="1"/>
  <c r="AA1151" i="1" s="1"/>
  <c r="AB1151" i="1" s="1"/>
  <c r="AC1151" i="1" s="1"/>
  <c r="AD1151" i="1" s="1"/>
  <c r="AE1151" i="1" s="1"/>
  <c r="AF1151" i="1" s="1"/>
  <c r="AG1151" i="1" s="1"/>
  <c r="AH1151" i="1" s="1"/>
  <c r="W1152" i="1"/>
  <c r="X1152" i="1"/>
  <c r="Y1152" i="1"/>
  <c r="Z1152" i="1"/>
  <c r="AA1152" i="1"/>
  <c r="AB1152" i="1"/>
  <c r="AC1152" i="1"/>
  <c r="AD1152" i="1" s="1"/>
  <c r="AE1152" i="1"/>
  <c r="AF1152" i="1" s="1"/>
  <c r="AG1152" i="1" s="1"/>
  <c r="AH1152" i="1" s="1"/>
  <c r="W1153" i="1"/>
  <c r="X1153" i="1"/>
  <c r="Y1153" i="1"/>
  <c r="Z1153" i="1" s="1"/>
  <c r="AA1153" i="1" s="1"/>
  <c r="AB1153" i="1" s="1"/>
  <c r="AC1153" i="1" s="1"/>
  <c r="AD1153" i="1" s="1"/>
  <c r="AE1153" i="1" s="1"/>
  <c r="AF1153" i="1" s="1"/>
  <c r="AG1153" i="1" s="1"/>
  <c r="AH1153" i="1" s="1"/>
  <c r="W1154" i="1"/>
  <c r="X1154" i="1"/>
  <c r="Y1154" i="1"/>
  <c r="Z1154" i="1"/>
  <c r="AA1154" i="1"/>
  <c r="AB1154" i="1"/>
  <c r="AC1154" i="1"/>
  <c r="AD1154" i="1"/>
  <c r="AE1154" i="1"/>
  <c r="AF1154" i="1" s="1"/>
  <c r="AG1154" i="1" s="1"/>
  <c r="AH1154" i="1" s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 s="1"/>
  <c r="W1156" i="1"/>
  <c r="X1156" i="1"/>
  <c r="Y1156" i="1"/>
  <c r="Z1156" i="1" s="1"/>
  <c r="AA1156" i="1" s="1"/>
  <c r="AB1156" i="1" s="1"/>
  <c r="AC1156" i="1" s="1"/>
  <c r="AD1156" i="1" s="1"/>
  <c r="AE1156" i="1" s="1"/>
  <c r="AF1156" i="1" s="1"/>
  <c r="AG1156" i="1" s="1"/>
  <c r="AH1156" i="1" s="1"/>
  <c r="W1157" i="1"/>
  <c r="X1157" i="1"/>
  <c r="Y1157" i="1"/>
  <c r="Z1157" i="1"/>
  <c r="AA1157" i="1"/>
  <c r="AB1157" i="1"/>
  <c r="AC1157" i="1"/>
  <c r="AD1157" i="1" s="1"/>
  <c r="AE1157" i="1" s="1"/>
  <c r="AF1157" i="1" s="1"/>
  <c r="AG1157" i="1" s="1"/>
  <c r="AH1157" i="1" s="1"/>
  <c r="W1158" i="1"/>
  <c r="X1158" i="1"/>
  <c r="Y1158" i="1"/>
  <c r="Z1158" i="1"/>
  <c r="AA1158" i="1" s="1"/>
  <c r="AB1158" i="1"/>
  <c r="AC1158" i="1" s="1"/>
  <c r="AD1158" i="1" s="1"/>
  <c r="AE1158" i="1" s="1"/>
  <c r="AF1158" i="1" s="1"/>
  <c r="AG1158" i="1" s="1"/>
  <c r="AH1158" i="1" s="1"/>
  <c r="W1159" i="1"/>
  <c r="X1159" i="1"/>
  <c r="Y1159" i="1"/>
  <c r="Z1159" i="1"/>
  <c r="AA1159" i="1"/>
  <c r="AB1159" i="1" s="1"/>
  <c r="AC1159" i="1"/>
  <c r="AD1159" i="1"/>
  <c r="AE1159" i="1" s="1"/>
  <c r="AF1159" i="1" s="1"/>
  <c r="AG1159" i="1" s="1"/>
  <c r="AH1159" i="1" s="1"/>
  <c r="W1160" i="1"/>
  <c r="X1160" i="1"/>
  <c r="Y1160" i="1"/>
  <c r="Z1160" i="1" s="1"/>
  <c r="AA1160" i="1" s="1"/>
  <c r="AB1160" i="1" s="1"/>
  <c r="AC1160" i="1" s="1"/>
  <c r="AD1160" i="1" s="1"/>
  <c r="AE1160" i="1" s="1"/>
  <c r="AF1160" i="1" s="1"/>
  <c r="AG1160" i="1" s="1"/>
  <c r="AH1160" i="1" s="1"/>
  <c r="W1161" i="1"/>
  <c r="X1161" i="1"/>
  <c r="Y1161" i="1" s="1"/>
  <c r="Z1161" i="1" s="1"/>
  <c r="AA1161" i="1" s="1"/>
  <c r="AB1161" i="1" s="1"/>
  <c r="AC1161" i="1" s="1"/>
  <c r="AD1161" i="1" s="1"/>
  <c r="AE1161" i="1" s="1"/>
  <c r="AF1161" i="1" s="1"/>
  <c r="AG1161" i="1" s="1"/>
  <c r="AH1161" i="1" s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 s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X4" i="1"/>
  <c r="Y4" i="1"/>
  <c r="Z4" i="1"/>
  <c r="AA4" i="1"/>
  <c r="AB4" i="1"/>
  <c r="AC4" i="1"/>
  <c r="AD4" i="1"/>
  <c r="AE4" i="1"/>
  <c r="AF4" i="1"/>
  <c r="AG4" i="1"/>
  <c r="AH4" i="1"/>
  <c r="W4" i="1"/>
  <c r="E19" i="2"/>
  <c r="B20" i="2"/>
  <c r="D4" i="2"/>
  <c r="D5" i="2"/>
  <c r="D6" i="2"/>
  <c r="D7" i="2"/>
  <c r="D8" i="2"/>
  <c r="I3" i="3"/>
  <c r="I4" i="3"/>
  <c r="I5" i="3"/>
  <c r="I6" i="3"/>
  <c r="I7" i="3"/>
  <c r="I8" i="3"/>
  <c r="I9" i="3"/>
  <c r="I10" i="3"/>
  <c r="I11" i="3"/>
  <c r="I12" i="3"/>
  <c r="I13" i="3"/>
  <c r="I2" i="3"/>
  <c r="H3" i="3"/>
  <c r="H4" i="3"/>
  <c r="H5" i="3"/>
  <c r="H6" i="3"/>
  <c r="H7" i="3"/>
  <c r="H8" i="3"/>
  <c r="H9" i="3"/>
  <c r="H10" i="3"/>
  <c r="H11" i="3"/>
  <c r="H12" i="3"/>
  <c r="H13" i="3"/>
  <c r="H2" i="3"/>
  <c r="M8" i="3" l="1"/>
  <c r="L9" i="3" s="1"/>
  <c r="AH2" i="1"/>
  <c r="Z1035" i="1"/>
  <c r="AA1035" i="1" s="1"/>
  <c r="AB1035" i="1" s="1"/>
  <c r="AC1035" i="1" s="1"/>
  <c r="AD1035" i="1" s="1"/>
  <c r="AE1035" i="1" s="1"/>
  <c r="AF1035" i="1" s="1"/>
  <c r="AG1035" i="1" s="1"/>
  <c r="AH1035" i="1" s="1"/>
  <c r="Y2" i="1"/>
  <c r="AG2" i="1"/>
  <c r="X2" i="1"/>
  <c r="W2" i="1"/>
  <c r="AC2" i="1"/>
  <c r="AB2" i="1"/>
  <c r="AF2" i="1"/>
  <c r="AA2" i="1"/>
  <c r="AE2" i="1"/>
  <c r="Z2" i="1"/>
  <c r="AD2" i="1"/>
  <c r="G3" i="3"/>
  <c r="G4" i="3"/>
  <c r="G5" i="3"/>
  <c r="G6" i="3"/>
  <c r="G7" i="3"/>
  <c r="G8" i="3"/>
  <c r="G9" i="3"/>
  <c r="G10" i="3"/>
  <c r="G11" i="3"/>
  <c r="G12" i="3"/>
  <c r="G13" i="3"/>
  <c r="G2" i="3"/>
  <c r="B21" i="2"/>
  <c r="E22" i="2" s="1"/>
  <c r="B23" i="2" s="1"/>
  <c r="E13" i="2"/>
  <c r="E14" i="2"/>
  <c r="E15" i="2"/>
  <c r="E16" i="2"/>
  <c r="E17" i="2"/>
  <c r="E18" i="2"/>
  <c r="E20" i="2"/>
  <c r="E21" i="2"/>
  <c r="B22" i="2" s="1"/>
  <c r="E12" i="2"/>
  <c r="G26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G27" i="2" s="1"/>
  <c r="F28" i="2"/>
  <c r="G28" i="2" s="1"/>
  <c r="F29" i="2"/>
  <c r="G29" i="2" s="1"/>
  <c r="F30" i="2"/>
  <c r="G30" i="2" s="1"/>
  <c r="F31" i="2"/>
  <c r="G31" i="2" s="1"/>
  <c r="F14" i="2"/>
  <c r="K4" i="2"/>
  <c r="K2" i="2"/>
  <c r="H4" i="2" s="1"/>
  <c r="I4" i="2" s="1"/>
  <c r="K1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4" i="1"/>
  <c r="H2" i="1"/>
  <c r="O2" i="1"/>
  <c r="V2" i="1"/>
  <c r="U2" i="1"/>
  <c r="R2" i="1"/>
  <c r="Q2" i="1"/>
  <c r="N2" i="1"/>
  <c r="M2" i="1"/>
  <c r="J2" i="1"/>
  <c r="I2" i="1"/>
  <c r="F2" i="1"/>
  <c r="E2" i="1"/>
  <c r="T2" i="1"/>
  <c r="S2" i="1"/>
  <c r="P2" i="1"/>
  <c r="L2" i="1"/>
  <c r="K2" i="1"/>
  <c r="F27" i="3" l="1"/>
  <c r="F28" i="3"/>
  <c r="F29" i="3"/>
  <c r="F30" i="3"/>
  <c r="F31" i="3"/>
  <c r="F32" i="3"/>
  <c r="F33" i="3"/>
  <c r="F34" i="3"/>
  <c r="F35" i="3"/>
  <c r="F36" i="3"/>
  <c r="F37" i="3"/>
  <c r="F26" i="3"/>
  <c r="E23" i="2"/>
  <c r="B24" i="2" s="1"/>
  <c r="E25" i="2" s="1"/>
  <c r="E24" i="2"/>
  <c r="B25" i="2" s="1"/>
  <c r="D19" i="2"/>
  <c r="H19" i="2" s="1"/>
  <c r="I19" i="2" s="1"/>
  <c r="D11" i="2"/>
  <c r="H11" i="2" s="1"/>
  <c r="I11" i="2" s="1"/>
  <c r="D3" i="2"/>
  <c r="H3" i="2" s="1"/>
  <c r="I3" i="2" s="1"/>
  <c r="D18" i="2"/>
  <c r="H18" i="2" s="1"/>
  <c r="I18" i="2" s="1"/>
  <c r="D10" i="2"/>
  <c r="H10" i="2" s="1"/>
  <c r="I10" i="2" s="1"/>
  <c r="D25" i="2"/>
  <c r="G25" i="2" s="1"/>
  <c r="D17" i="2"/>
  <c r="H17" i="2" s="1"/>
  <c r="I17" i="2" s="1"/>
  <c r="D24" i="2"/>
  <c r="G24" i="2" s="1"/>
  <c r="D16" i="2"/>
  <c r="H16" i="2" s="1"/>
  <c r="I16" i="2" s="1"/>
  <c r="H8" i="2"/>
  <c r="I8" i="2" s="1"/>
  <c r="D23" i="2"/>
  <c r="G23" i="2" s="1"/>
  <c r="D15" i="2"/>
  <c r="H15" i="2" s="1"/>
  <c r="I15" i="2" s="1"/>
  <c r="H7" i="2"/>
  <c r="I7" i="2" s="1"/>
  <c r="D22" i="2"/>
  <c r="G22" i="2" s="1"/>
  <c r="D9" i="2"/>
  <c r="H9" i="2" s="1"/>
  <c r="I9" i="2" s="1"/>
  <c r="D14" i="2"/>
  <c r="H14" i="2" s="1"/>
  <c r="I14" i="2" s="1"/>
  <c r="H6" i="2"/>
  <c r="I6" i="2" s="1"/>
  <c r="D21" i="2"/>
  <c r="G21" i="2" s="1"/>
  <c r="D13" i="2"/>
  <c r="H13" i="2" s="1"/>
  <c r="I13" i="2" s="1"/>
  <c r="H5" i="2"/>
  <c r="I5" i="2" s="1"/>
  <c r="D20" i="2"/>
  <c r="G20" i="2" s="1"/>
  <c r="D2" i="2"/>
  <c r="H2" i="2" s="1"/>
  <c r="I2" i="2" s="1"/>
  <c r="D12" i="2"/>
  <c r="H12" i="2" s="1"/>
  <c r="I12" i="2" s="1"/>
  <c r="G2" i="1"/>
  <c r="K3" i="2" l="1"/>
  <c r="L3" i="2" s="1"/>
  <c r="D2" i="1"/>
</calcChain>
</file>

<file path=xl/sharedStrings.xml><?xml version="1.0" encoding="utf-8"?>
<sst xmlns="http://schemas.openxmlformats.org/spreadsheetml/2006/main" count="3838" uniqueCount="1306">
  <si>
    <t>2024-06</t>
  </si>
  <si>
    <t>2023-01 - 2024-06</t>
  </si>
  <si>
    <t>SKU</t>
  </si>
  <si>
    <t>ABC</t>
  </si>
  <si>
    <t>XYZ</t>
  </si>
  <si>
    <t>SUM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</si>
  <si>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</si>
  <si>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</si>
  <si>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</si>
  <si>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</si>
  <si>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</si>
  <si>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</si>
  <si>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</si>
  <si>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</si>
  <si>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</si>
  <si>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</si>
  <si>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</si>
  <si>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</si>
  <si>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</si>
  <si>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</si>
  <si>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</si>
  <si>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</si>
  <si>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</si>
  <si>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2024-07</t>
  </si>
  <si>
    <t>7d79b78a-f935-4623-ae5f-f0172817e000</t>
  </si>
  <si>
    <t>c1d3635d-6bcf-4bca-bc64-cc0fd0dd19db</t>
  </si>
  <si>
    <t>5c231ade-36f0-4a57-9be8-3bdf5332380d</t>
  </si>
  <si>
    <t>a4856cb9-df37-41c7-ab31-e903b2428127</t>
  </si>
  <si>
    <t>eec80c86-2c89-4419-91d3-508572925f65</t>
  </si>
  <si>
    <t>6495774b-2e66-467d-b6c7-d99a4a622712</t>
  </si>
  <si>
    <t>fb224ec3-69d2-4d2f-9702-2546842500d6</t>
  </si>
  <si>
    <t>3de28e8a-1be8-4f57-9d40-9d1f03ee422b</t>
  </si>
  <si>
    <t>8c3c1c5e-04e7-4563-9019-6fb302e72926</t>
  </si>
  <si>
    <t>95ae0cbd-9790-46da-82ba-43e81a840149</t>
  </si>
  <si>
    <t>d3f67250-8d28-47e7-859f-b50698eeae7a</t>
  </si>
  <si>
    <t>3b7988b0-5e3f-4b47-8d17-313a27875ae7</t>
  </si>
  <si>
    <t>637ddf6a-8757-40eb-a709-822ab5c40b43</t>
  </si>
  <si>
    <t>4a0c4f02-a553-419d-9ccf-c7e5f72da7c7</t>
  </si>
  <si>
    <t>13955989-ea15-4471-b7c2-b5dc500f98a1</t>
  </si>
  <si>
    <t>96e7bfdc-7063-4ab8-b0c8-7e7b2184361c</t>
  </si>
  <si>
    <t>ee487a6c-d440-4b10-853c-a347178dc74d</t>
  </si>
  <si>
    <t>c944edbe-b367-4aec-aeaf-ff59aa23d765</t>
  </si>
  <si>
    <t>c605729c-c4a5-4a37-bd35-4a577e7ccfbe</t>
  </si>
  <si>
    <t>f88f1e6f-4cff-426e-b488-9e257e11c2ae</t>
  </si>
  <si>
    <t>ce588b38-1b0b-4ce3-bf87-30ce771ba9ed</t>
  </si>
  <si>
    <t>fa13b857-5f48-4edd-85a0-85df5d093ac1</t>
  </si>
  <si>
    <t>19aae0d0-ef06-46cc-b619-32ffd76f5313</t>
  </si>
  <si>
    <t>fc3fbc89-12a9-421a-84c4-2df4c89dc081</t>
  </si>
  <si>
    <t>a12cff01-e951-4eb6-9aa5-eefa0631c33f</t>
  </si>
  <si>
    <t>fce5e86d-5aa2-4daa-b0e9-5247393202bd</t>
  </si>
  <si>
    <t>51e336b7-ae48-4148-8cef-a3952a6a9dd5</t>
  </si>
  <si>
    <t>ece0f93b-bb64-42b9-9265-2a6fe2729524</t>
  </si>
  <si>
    <t>824441f6-fc29-44ed-8e0b-86b80826628b</t>
  </si>
  <si>
    <t>8f5c8db1-9a6c-433b-b866-dc7156a990d3</t>
  </si>
  <si>
    <t>3c5e9b09-5143-4688-a310-179d7700f8ca</t>
  </si>
  <si>
    <t>d03619a5-922c-4600-aac4-ffe4ea1a2a82</t>
  </si>
  <si>
    <t>835b023b-579f-4a66-af57-197297ff9edc</t>
  </si>
  <si>
    <t>e9b071a4-058a-4182-b56e-bfce9f49cf6c</t>
  </si>
  <si>
    <t>27f6d282-8d0d-481b-bcb4-0167312ca5fb</t>
  </si>
  <si>
    <t>ac16e1ca-7a1a-4ab0-82e3-3de8d03a68ae</t>
  </si>
  <si>
    <t>36f9aff2-d952-4745-8391-08e5a64196f8</t>
  </si>
  <si>
    <t>2dc65628-02c6-4778-9651-99469ee6597e</t>
  </si>
  <si>
    <t>6994b99b-f1b1-4fd2-8339-250e9d8c3a57</t>
  </si>
  <si>
    <t>59e4150f-bc39-4d5d-a5b1-481f8ef4f9fa</t>
  </si>
  <si>
    <t>06d1a3a8-bbfe-42b7-a24e-966756c6920a</t>
  </si>
  <si>
    <t>6b6f288e-2c37-4b98-97d2-92dd348ce6d8</t>
  </si>
  <si>
    <t>cff0579d-2e50-4fa3-890b-b0ab84d1f40c</t>
  </si>
  <si>
    <t>1dca8337-6fc4-4192-b7a9-4405d02d77bb</t>
  </si>
  <si>
    <t>2ec87c33-55db-4f9d-b18f-9110099502ef</t>
  </si>
  <si>
    <t>e42fbc61-3cd3-4467-a931-a042cb22d8e3</t>
  </si>
  <si>
    <t>f9b0f539-234e-402f-9056-4ce39f5ffb35</t>
  </si>
  <si>
    <t>c02651b3-4ac7-451a-b9a2-e45534d045f6</t>
  </si>
  <si>
    <t>97c9c738-5637-438e-a028-f96b24361bc1</t>
  </si>
  <si>
    <t>7ff8ffc1-3836-4d3a-aed5-1fdffa0e3264</t>
  </si>
  <si>
    <t>075ef422-58e3-434a-ac69-8f809b09581f</t>
  </si>
  <si>
    <t>2aa85736-0ed1-4701-8bc6-074bfaac2094</t>
  </si>
  <si>
    <t>4a459295-a991-4cb9-b93f-1f208339e9a5</t>
  </si>
  <si>
    <t>e37d3f52-45de-401d-ae20-9131c8c99758</t>
  </si>
  <si>
    <t>31cf012d-ca64-46de-8774-ec06f59d0f4c</t>
  </si>
  <si>
    <t>780b2f23-1e9e-4d26-b324-d2e8e6fc0be8</t>
  </si>
  <si>
    <t>0777ab5b-9131-4df3-8d77-0c526871e518</t>
  </si>
  <si>
    <t>f76a00b4-cd74-4a08-bb28-fcb6202ef95c</t>
  </si>
  <si>
    <t>0f996e0c-7b0d-4ba2-bcf8-5efd92071a81</t>
  </si>
  <si>
    <t>ec7bffb6-3ca7-47aa-9c98-b5fb25c594e0</t>
  </si>
  <si>
    <t>b182281b-e70f-41e7-8dca-5dc9672c9b76</t>
  </si>
  <si>
    <t>d28497be-de4f-4662-b087-954dd61e344a</t>
  </si>
  <si>
    <t>0a9b58a4-e7c2-4faf-b272-24e0551e11da</t>
  </si>
  <si>
    <t>9d6c265b-e7d1-4456-a5e2-18197c69a97d</t>
  </si>
  <si>
    <t>e2681bcd-8288-4cda-92d2-1ecc50cfb932</t>
  </si>
  <si>
    <t>dc4532ce-c61e-4f63-ba43-801bb42c5747</t>
  </si>
  <si>
    <t>27db1ea1-cb34-45d7-81bd-9fdab2b4fd01</t>
  </si>
  <si>
    <t>8eef8d78-8edf-42b3-ba08-f98cc37c2e2a</t>
  </si>
  <si>
    <t>ae9213c5-1f99-4f02-a036-53db68b55873</t>
  </si>
  <si>
    <t>3dc61157-d999-4a5b-a293-dd6745b60aac</t>
  </si>
  <si>
    <t>ad68f3a7-3d49-4251-8657-85d84194a35a</t>
  </si>
  <si>
    <t>00b82d84-8100-4031-ba60-5291c8618488</t>
  </si>
  <si>
    <t>d1877996-6d6b-48c5-bdd2-01726c3d572c</t>
  </si>
  <si>
    <t>828a017c-7fd1-4774-8d89-6b5e4b9f1a02</t>
  </si>
  <si>
    <t>55e33054-ea3a-46b8-ad8e-c3dee71e2bc9</t>
  </si>
  <si>
    <t>f10de6a3-6e6b-44ba-8a21-d8194ba2311b</t>
  </si>
  <si>
    <t>58154ce4-235d-40e3-8ee2-cde533d8ce15</t>
  </si>
  <si>
    <t>4af1d979-e6f7-40e0-91e2-a7d435f71351</t>
  </si>
  <si>
    <t>9cb78219-c5d8-4ed7-8ca8-c2e0d6c1bf68</t>
  </si>
  <si>
    <t>3da3d741-ecd5-48c8-be1b-a085ddc125aa</t>
  </si>
  <si>
    <t>714dd8b0-b47a-433f-91bb-c68d209cbca4</t>
  </si>
  <si>
    <t>107efffc-0a54-4ad5-ac70-062beb3cbb10</t>
  </si>
  <si>
    <t>f4bba589-3b03-419c-b86d-f7a10a53def7</t>
  </si>
  <si>
    <t>1ffc3f3f-8965-49b1-b17f-431bccb6648a</t>
  </si>
  <si>
    <t>11cd4b6e-fe79-402b-a97f-08cf23cf8158</t>
  </si>
  <si>
    <t>d1b4c36a-ffde-4038-9a93-6d890e9c616f</t>
  </si>
  <si>
    <t>729d4685-2f26-4cc1-a38f-02d167d16108</t>
  </si>
  <si>
    <t>43f2073a-4023-4d90-81fe-fe2746cd91c7</t>
  </si>
  <si>
    <t>b5775ad1-c50f-4b72-ab1d-5159949e5a31</t>
  </si>
  <si>
    <t>3495122c-11d9-4539-839a-f688d7c59f6d</t>
  </si>
  <si>
    <t>3f7c211a-a6b4-487b-af2e-6569d479e199</t>
  </si>
  <si>
    <t>7b029acb-2693-4da9-ad39-c3846505b25e</t>
  </si>
  <si>
    <t>90efde3b-c411-46f2-84ee-66a98e55a8ac</t>
  </si>
  <si>
    <t>0624dc98-377e-46b9-9aa8-c7c24259dd7e</t>
  </si>
  <si>
    <t>5dba4d3a-c9b5-467c-9491-f5749625728c</t>
  </si>
  <si>
    <t>3f277cdb-774a-4ff8-950b-4428e3336250</t>
  </si>
  <si>
    <t>716fe8c4-0ca8-4158-a9cf-7879c7509ae8</t>
  </si>
  <si>
    <t>414981b1-435e-46d6-9a59-9bda466a6587</t>
  </si>
  <si>
    <t>27e51282-5fae-422f-8829-8be27efcda88</t>
  </si>
  <si>
    <t>5323c6be-3113-4d4a-ba5c-5541b214b2bf</t>
  </si>
  <si>
    <t>37cfc201-f1c8-4dfb-b20e-76f7b9cfd45a</t>
  </si>
  <si>
    <t>faeb09fe-e235-4107-a77d-9d6986e8965d</t>
  </si>
  <si>
    <t>4cf93465-0da5-454b-bd70-f5f71f6cc96e</t>
  </si>
  <si>
    <t>f900a150-dd59-4c8f-ac3d-d104ad101400</t>
  </si>
  <si>
    <t>0bffeb60-50b3-44b3-aec4-c8d5b553cfc4</t>
  </si>
  <si>
    <t>afe605c1-cbbc-4846-af87-e45fca85ed04</t>
  </si>
  <si>
    <t>29067d07-7f24-4c38-85ea-39249101a920</t>
  </si>
  <si>
    <t>99cc8863-aa14-4deb-8da4-dc018c0a74f8</t>
  </si>
  <si>
    <t>65e03626-5093-43df-adee-e513d93da44b</t>
  </si>
  <si>
    <t>f0e5cc73-fc0a-47de-a6a9-6cc68df57280</t>
  </si>
  <si>
    <t>5a1b18c8-3d4c-4d8d-9b65-8760e8a96195</t>
  </si>
  <si>
    <t>bc4dbe14-c278-4d97-ac3e-207a00cacb5c</t>
  </si>
  <si>
    <t>13d11e63-00c5-4cba-a0aa-0642ee267685</t>
  </si>
  <si>
    <t>1ea4b84e-16c9-42ea-8379-29a6dd2d878c</t>
  </si>
  <si>
    <t>263d27f6-2ef6-427f-98c7-1ae0692980a1</t>
  </si>
  <si>
    <t>72a8cd54-97c0-487e-a1b3-1bfa60f880d3</t>
  </si>
  <si>
    <t>def26d9a-bbbf-4359-bf8c-5893b2e49c7c</t>
  </si>
  <si>
    <t>02a42dae-4b46-42d2-a767-bbf051442964</t>
  </si>
  <si>
    <t>98578305-cbf4-4e27-810b-124ea5b3afd6</t>
  </si>
  <si>
    <t>dfb0fbe7-df85-4105-8cc2-10d61c12e0e8</t>
  </si>
  <si>
    <t>3e64781a-32a6-4614-b8a8-938ca3464a28</t>
  </si>
  <si>
    <t>fb579d7e-b3f3-4d6e-87df-95cfb5a859b0</t>
  </si>
  <si>
    <t>88e24bea-fd6f-44d9-bcb1-0d8081275dec</t>
  </si>
  <si>
    <t>41923eb1-c351-4d52-891c-ba0f28bf8b17</t>
  </si>
  <si>
    <t>954d8c89-ff3c-4a63-ab56-a979c04b472d</t>
  </si>
  <si>
    <t>1613a22f-99e4-4ea4-8691-ff35ca02ce19</t>
  </si>
  <si>
    <t>646c389b-4d7e-4d0f-8de4-f5a1ebbd480b</t>
  </si>
  <si>
    <t>52a35f35-82c7-4781-b1f8-9144e1e3c769</t>
  </si>
  <si>
    <t>8b3368c0-5f30-4b7b-8a6b-e3f5a85cb90c</t>
  </si>
  <si>
    <t>962fc7d5-63b0-4d56-a853-9ffc078e2da2</t>
  </si>
  <si>
    <t>53bef5db-8d2c-4521-8910-721bdad2cb11</t>
  </si>
  <si>
    <t>26d4d989-d3c1-4403-9e5c-15abd11adbc7</t>
  </si>
  <si>
    <t>7e7a37f1-2bf5-49e6-9e87-52da9cfbe887</t>
  </si>
  <si>
    <t>03c67fc6-01a4-493e-8baf-24a457fa8624</t>
  </si>
  <si>
    <t>168fc4ed-d6f3-43f8-95d3-a91ec368fa70</t>
  </si>
  <si>
    <t>63aea407-7a99-4bd1-bb15-344bde13eb34</t>
  </si>
  <si>
    <t>05a2187d-542d-492d-847d-9374238145da</t>
  </si>
  <si>
    <t>4e98dfb5-6a6c-4760-bfc7-503a5a108286</t>
  </si>
  <si>
    <t>94d9be80-7443-482e-820f-9eb519cd465c</t>
  </si>
  <si>
    <t>87f72790-e3d4-4a6c-ae74-15038c2fd4e3</t>
  </si>
  <si>
    <t>dbacffb4-c6cc-448f-87ae-7116ef8962d9</t>
  </si>
  <si>
    <t>08fe57f6-3876-42b7-96ab-4ff11b9bf7fa</t>
  </si>
  <si>
    <t>c00934ff-d159-4c7c-9019-e4ab535ab017</t>
  </si>
  <si>
    <t>2d928f4b-64ea-4ea0-bfc8-02eaf3aedd05</t>
  </si>
  <si>
    <t>39bc726f-d43c-4748-97a7-14aa2a6bdc4e</t>
  </si>
  <si>
    <t>55356553-52de-4413-8c9b-f03d07339903</t>
  </si>
  <si>
    <t>1fa9591a-ec80-4cda-aa00-670327cc2483</t>
  </si>
  <si>
    <t>76560190-fa38-42be-bba0-ad66405a3798</t>
  </si>
  <si>
    <t>d2e0483d-ca6a-4db3-9bfd-ab82d6e0e53e</t>
  </si>
  <si>
    <t>6276f6bf-7842-4ad3-8af8-c704279b5631</t>
  </si>
  <si>
    <t>88e09589-acad-41c3-be66-222d3e99b870</t>
  </si>
  <si>
    <t>31d54628-c186-4d66-9c3c-885e21833178</t>
  </si>
  <si>
    <t>75b91637-d7fd-4896-93eb-ee39f9b660c4</t>
  </si>
  <si>
    <t>9a191882-6e33-47fd-ab36-2f29d26463a6</t>
  </si>
  <si>
    <t>3057ac84-18ca-49af-8cf9-763c0241ecf2</t>
  </si>
  <si>
    <t>b4526702-7b5d-4ed5-b521-3e8589b65864</t>
  </si>
  <si>
    <t>345f1245-98e2-454c-b128-e0045a648c5f</t>
  </si>
  <si>
    <t>5668cfb8-a39c-4038-bbd6-82da2a59c066</t>
  </si>
  <si>
    <t>5becb78c-6802-4f49-a0a3-2091e5a582bc</t>
  </si>
  <si>
    <t>fb35653e-4480-480c-abb3-3ef44eb79b5c</t>
  </si>
  <si>
    <t>b8f87ac2-4ebd-4ee6-a14c-8a2d4d900f06</t>
  </si>
  <si>
    <t>776b0ade-2866-477e-9d17-e396f1e1624d</t>
  </si>
  <si>
    <t>018d5591-eec7-4d4e-900c-352e8acc0664</t>
  </si>
  <si>
    <t>ffb5d13a-0042-471a-98cc-43de9aa6a1be</t>
  </si>
  <si>
    <t>7d789e7b-6afe-42e8-95b7-07328e3ee9ec</t>
  </si>
  <si>
    <t>5380bdc6-e860-4764-8d3b-adfd9f668b0f</t>
  </si>
  <si>
    <t>b944673e-45f8-4773-a825-9df0e31c3228</t>
  </si>
  <si>
    <t>05f822cc-508a-4c60-adca-25e358222727</t>
  </si>
  <si>
    <t>9f229ead-1e87-4416-ac77-0beec8e6c2cc</t>
  </si>
  <si>
    <t>b892d78c-c0e5-4605-8dc9-211d9128d6a0</t>
  </si>
  <si>
    <t>a0ed9eeb-36fd-4366-8d7b-28705432725f</t>
  </si>
  <si>
    <t>edab920d-9da3-4504-8430-4c8591ff1b6e</t>
  </si>
  <si>
    <t>90e210df-0fe2-42e6-9b3d-c1d9306f8068</t>
  </si>
  <si>
    <t>8177385e-e732-46c3-8550-04ec7c2f7412</t>
  </si>
  <si>
    <t>475e4ace-7495-4eee-8fae-28c12ee93803</t>
  </si>
  <si>
    <t>d661e4ba-0355-4d45-99cc-c7e6f5cf5699</t>
  </si>
  <si>
    <t>3841682f-2d32-46ef-bc35-6c512d2e3702</t>
  </si>
  <si>
    <t>0195b176-bb1d-40ce-ad62-6019210574f2</t>
  </si>
  <si>
    <t>6e1d2829-82c5-411a-bb34-4b9395b22cd8</t>
  </si>
  <si>
    <t>31aae9f0-0020-405f-88a1-e9a26826627c</t>
  </si>
  <si>
    <t>49333f6e-3148-403e-b00d-6342455c6efc</t>
  </si>
  <si>
    <t>7f8830f1-67d2-4e00-9bd7-753524479498</t>
  </si>
  <si>
    <t>7f5cba65-ebb6-4ff5-a27c-d6c047e9efd6</t>
  </si>
  <si>
    <t>86695f12-84d9-42ab-9516-a5737b00891a</t>
  </si>
  <si>
    <t>0018d4b9-2e31-489b-b900-5d6259a8a80f</t>
  </si>
  <si>
    <t>2bbe4665-15a4-4324-a777-0ff653a357a2</t>
  </si>
  <si>
    <t>0380c408-e7a4-4eeb-922f-f8bfd0a328d7</t>
  </si>
  <si>
    <t>5f0f394f-0cb2-499b-9171-146ad2cabf93</t>
  </si>
  <si>
    <t>52229a6e-88e7-4519-a2bf-4b0a95eebc3e</t>
  </si>
  <si>
    <t>970802cb-bf82-4d54-bced-5fd53cd9faf2</t>
  </si>
  <si>
    <t>6547564f-77b7-4bb2-958f-9f8b0f2c6431</t>
  </si>
  <si>
    <t>9bc0f716-5fd2-4c6c-8696-21ecfe15fd94</t>
  </si>
  <si>
    <t>2ce33659-475e-4963-af53-929ba660e893</t>
  </si>
  <si>
    <t>eef1f73a-234a-4158-8637-a024585d7738</t>
  </si>
  <si>
    <t>0f8b84e5-42f7-4946-8e65-cf9ead4ec56c</t>
  </si>
  <si>
    <t>c54c15dc-6b19-4c82-87f2-7fa9c843a2ef</t>
  </si>
  <si>
    <t>9c9659cc-fdf8-41e8-a016-a91f9a951091</t>
  </si>
  <si>
    <t>d5902b54-f209-4e1e-8543-e47bf99c5092</t>
  </si>
  <si>
    <t>9c3aefe6-f061-43cf-a35e-9b2af401d34f</t>
  </si>
  <si>
    <t>0e896bb1-115d-4894-844c-825fb17dc004</t>
  </si>
  <si>
    <t>e9a8f62e-76a7-46ed-8dda-c9422ee5b8de</t>
  </si>
  <si>
    <t>f073958e-b753-4c0c-860d-16dd4e2a715b</t>
  </si>
  <si>
    <t>b44be102-52fb-4fc7-a097-2006c2a9895d</t>
  </si>
  <si>
    <t>fad2b5a6-30d3-487a-90b2-aa9d2d219983</t>
  </si>
  <si>
    <t>094c23b2-101d-431a-a8ef-cc70741e8ec3</t>
  </si>
  <si>
    <t>17a5a4eb-085d-441f-a315-52cae7e33a4a</t>
  </si>
  <si>
    <t>95dcf1d0-1bd4-45be-8f00-5ea86c22a5ba</t>
  </si>
  <si>
    <t>468684c9-1198-4929-b71c-e19ae2376bc2</t>
  </si>
  <si>
    <t>f4ea27f5-e9e6-4d03-9d43-4f24decc7c81</t>
  </si>
  <si>
    <t>6c088270-e9eb-4019-b7c8-fe3549e38e83</t>
  </si>
  <si>
    <t>1bb42939-4751-4d2a-827b-81082e37364b</t>
  </si>
  <si>
    <t>e9ea3234-3000-4549-a34b-7f75b0927c73</t>
  </si>
  <si>
    <t>5e8db808-a8a2-4019-8bb4-0073936b7584</t>
  </si>
  <si>
    <t>f1dd1aaf-7fec-4f37-8a76-da8648cd406c</t>
  </si>
  <si>
    <t>73b44672-1323-4768-bd70-501285596b2f</t>
  </si>
  <si>
    <t>ecb45d2e-8965-4b9a-803f-6dbfbb438bc0</t>
  </si>
  <si>
    <t>fb42d2fa-d3c9-420e-9142-b0e2e0b0216f</t>
  </si>
  <si>
    <t>b3a0f642-5582-4305-996c-f68b59d90ea4</t>
  </si>
  <si>
    <t>51a2820b-0e98-4e98-9506-54f0029bb72c</t>
  </si>
  <si>
    <t>bf52c6c3-2eef-49ac-9b7d-96376a56fff7</t>
  </si>
  <si>
    <t>259d1350-876e-4160-81b3-1324f0a71b44</t>
  </si>
  <si>
    <t>994c0edb-a7b1-47ac-a2c4-4b42809d9274</t>
  </si>
  <si>
    <t>919edee3-ff2f-48ac-9310-0e71aaab2b2a</t>
  </si>
  <si>
    <t>8e8de3d1-f0cd-4da2-a072-6e3b23544027</t>
  </si>
  <si>
    <t>6027515e-1ed1-4572-9e4b-6fe028bb05c7</t>
  </si>
  <si>
    <t>fd0be11b-f341-4fbc-b1b0-e18fc75e9d31</t>
  </si>
  <si>
    <t>881d314c-54eb-4047-ab28-e42760c648db</t>
  </si>
  <si>
    <t>8e514e5f-622b-4cc5-b4ad-90922149db06</t>
  </si>
  <si>
    <t>d2da7b17-88bd-4eb8-b1ad-3cc3f8764098</t>
  </si>
  <si>
    <t>ea3cb846-4d65-49f0-b5cf-6c01880c5899</t>
  </si>
  <si>
    <t>3037e3ef-9566-4112-a52f-32cc30ab7ed4</t>
  </si>
  <si>
    <t>2766494c-677a-48c3-9a19-93829a59a314</t>
  </si>
  <si>
    <t>3640fed5-cc5e-4dda-9877-ebcb61a8ba3b</t>
  </si>
  <si>
    <t>8cf8af15-e2eb-4287-8a33-e346f9bcc883</t>
  </si>
  <si>
    <t>418a89bd-40d8-4ca5-9063-6d89917841b0</t>
  </si>
  <si>
    <t>5ce81370-3405-4303-b733-d49b4bb6e65e</t>
  </si>
  <si>
    <t>9f029ac1-faa1-4b3a-a493-2a2cd7e9bae7</t>
  </si>
  <si>
    <t>8600da72-2622-4f3f-9d67-c2bc9e56bc77</t>
  </si>
  <si>
    <t>541c373c-addb-47ef-bdb0-d353781ab846</t>
  </si>
  <si>
    <t>f457c46f-da6a-4b4b-974e-3a6696899e1c</t>
  </si>
  <si>
    <t>61db1ef4-5679-436a-8d6c-be2e43c9d251</t>
  </si>
  <si>
    <t>f490f784-b5de-4ef6-9c92-8a6fd5f5c0a1</t>
  </si>
  <si>
    <t>5e059f29-e4a0-4677-a310-ade60d84e701</t>
  </si>
  <si>
    <t>d42d06a7-8666-4d81-96bb-783d20621334</t>
  </si>
  <si>
    <t>023238cd-d3c0-4b7f-9031-6162f2713a85</t>
  </si>
  <si>
    <t>db6508b7-6acf-45c8-9858-867279336c13</t>
  </si>
  <si>
    <t>eff8cc9a-1abb-48ae-bd91-d58a55ccf7f9</t>
  </si>
  <si>
    <t>ed1a53c4-7a76-4533-a4ea-f153af0265d6</t>
  </si>
  <si>
    <t>bcce7b95-eafe-4434-8bf1-f78299f1ff3b</t>
  </si>
  <si>
    <t>2d4085df-2cdd-4f12-b7d0-4548fb677d03</t>
  </si>
  <si>
    <t>76d21bea-904b-4b53-b0e4-376e6e6cd099</t>
  </si>
  <si>
    <t>922f56a7-41e1-4cb9-a3c4-7b449b40506e</t>
  </si>
  <si>
    <t>25a64548-43ec-419f-92c6-5ef019341040</t>
  </si>
  <si>
    <t>a6ebb48b-4441-4dac-a758-3237b53ce9f9</t>
  </si>
  <si>
    <t>ab93a56d-8daa-4baa-acac-35238f3e7ec4</t>
  </si>
  <si>
    <t>4a75dcf1-f34c-445e-bcc8-df1b39a585e4</t>
  </si>
  <si>
    <t>3d09c7b8-6e50-4ce1-9c9d-6e760cb2cfae</t>
  </si>
  <si>
    <t>06f4a03c-c96b-477b-aa57-281b3faab3fa</t>
  </si>
  <si>
    <t>c0f88fa1-2d84-4d9d-a9fc-af3c44785c26</t>
  </si>
  <si>
    <t>5d3c7a96-f210-48c6-adef-d0b2f7f2f4b4</t>
  </si>
  <si>
    <t>423f5cd2-be31-4c92-bd0b-231c1b0cd278</t>
  </si>
  <si>
    <t>9bef9407-fd54-42ef-9616-12efc2ea6ad1</t>
  </si>
  <si>
    <t>c53b0e78-0063-4101-bc2b-69f66c368f9b</t>
  </si>
  <si>
    <t>6d5d457a-77c2-4430-81f1-210217a2fac0</t>
  </si>
  <si>
    <t>ec57509b-239c-4a50-a1dd-1fd8605100e8</t>
  </si>
  <si>
    <t>274da6d5-762f-460e-b291-edb3568668d2</t>
  </si>
  <si>
    <t>478ca7da-2d36-480d-8035-22ee91433f20</t>
  </si>
  <si>
    <t>2f8b08ba-88ea-4a20-9c3e-bdab009b800f</t>
  </si>
  <si>
    <t>0d460e5b-6818-4a5f-8792-65e5dfa7679b</t>
  </si>
  <si>
    <t>322a7dd2-d70e-4f5e-abb2-7cba468f3b97</t>
  </si>
  <si>
    <t>20e809bd-a0b3-4230-8a01-3e1f8d767f57</t>
  </si>
  <si>
    <t>75ec0457-f950-476c-8c08-0ed56a9fbf3a</t>
  </si>
  <si>
    <t>d1212444-9d57-4f44-8e8e-ffaaaa0d2133</t>
  </si>
  <si>
    <t>75543932-a118-4c0b-aa78-765028da925d</t>
  </si>
  <si>
    <t>dd9f9758-3109-4c25-8864-fdaf31978d9f</t>
  </si>
  <si>
    <t>b7c2706c-4054-4bb6-bbf2-540bfaebca67</t>
  </si>
  <si>
    <t>f722243d-43c5-441f-bba9-78c6d57b585c</t>
  </si>
  <si>
    <t>9e50a17c-bdd7-4f90-bbb2-735e1af7edf2</t>
  </si>
  <si>
    <t>b000042c-f763-4cd1-8eb7-ae0bd8dfa32d</t>
  </si>
  <si>
    <t>5c9e219a-68d3-4de8-9075-4936fdace250</t>
  </si>
  <si>
    <t>92a13741-bcf0-4712-9ac3-8611b0408c6a</t>
  </si>
  <si>
    <t>4c4187ce-e65a-4e10-b68a-b68c2950c1f5</t>
  </si>
  <si>
    <t>32bf8cc1-5392-42de-8b18-1819104c5aee</t>
  </si>
  <si>
    <t>e1cd0b88-7f4c-4409-a739-88f70877030f</t>
  </si>
  <si>
    <t>161f820b-773a-4d7a-84a9-fcb30823f7ba</t>
  </si>
  <si>
    <t>493b02f9-6596-4245-b198-d3a93237f365</t>
  </si>
  <si>
    <t>559d1c53-465f-4168-99be-4dfdd3231295</t>
  </si>
  <si>
    <t>c0885283-8e85-43cb-b427-3fcf8779fa76</t>
  </si>
  <si>
    <t>860a830e-36fe-4e1f-8160-ec8a3f63ee6e</t>
  </si>
  <si>
    <t>df0627ee-02c3-40a1-b223-b38a3c9d34b3</t>
  </si>
  <si>
    <t>68ed7d0a-f2a4-4c8e-b441-e60b0b151ec9</t>
  </si>
  <si>
    <t>e03493ae-b08f-4344-a23f-898e6c43cf96</t>
  </si>
  <si>
    <t>03df4b22-f0bf-47fa-93cf-715052bdda8f</t>
  </si>
  <si>
    <t>149beaba-4804-478b-8224-9c575e37dc78</t>
  </si>
  <si>
    <t>3af4fc37-dc24-4c65-8622-b89dc40670be</t>
  </si>
  <si>
    <t>8f8bddd8-5085-4153-b0dc-b30de70199a3</t>
  </si>
  <si>
    <t>50111a9e-3293-47d9-ab88-8a4551dc7090</t>
  </si>
  <si>
    <t>2d363dab-dc5b-4b88-af50-06f4fd6e04a4</t>
  </si>
  <si>
    <t>08b0ce91-0958-4ed9-8292-a9bcd8bf6447</t>
  </si>
  <si>
    <t>99095d16-f2ff-4a3a-a59d-e2348db4efb2</t>
  </si>
  <si>
    <t>8b9b4e42-4720-4431-b050-f99edc285ec0</t>
  </si>
  <si>
    <t>8564cc75-36ff-40ef-b64a-88c2982710db</t>
  </si>
  <si>
    <t>3775c097-5f29-4614-9a24-63f59ee59c35</t>
  </si>
  <si>
    <t>34810f3d-ada3-450d-afb5-d3f4048bf707</t>
  </si>
  <si>
    <t>4b83e4aa-87aa-402d-9ef4-c11079d6d2a1</t>
  </si>
  <si>
    <t>236805b1-4ea3-4209-a003-447af1b2b284</t>
  </si>
  <si>
    <t>31d62112-e42d-4be6-a205-4531f185167f</t>
  </si>
  <si>
    <t>1280e7a7-d06a-4f6b-8bc3-c61439319d01</t>
  </si>
  <si>
    <t>8a354bc7-0191-46d0-becc-b86a20434a5e</t>
  </si>
  <si>
    <t>633b586a-7d80-4883-8116-11073ffb768d</t>
  </si>
  <si>
    <t>ed3d2042-3653-4138-890f-10a2a37b77f8</t>
  </si>
  <si>
    <t>f4b57eb5-ebd6-49fb-ac39-9962f9ace466</t>
  </si>
  <si>
    <t>c0580da3-b4e6-4d2b-91b3-bf0b655cd185</t>
  </si>
  <si>
    <t>458ee4a5-5eaa-432e-b96b-63104d5c9fab</t>
  </si>
  <si>
    <t>47af3e1b-fedd-4569-82bd-7d3425ed160e</t>
  </si>
  <si>
    <t>e7ca1cf5-ed0a-4466-9b14-b084ea1adbd5</t>
  </si>
  <si>
    <t>5b89e7e3-500b-44e3-90c1-838042b06ab8</t>
  </si>
  <si>
    <t>44f4f1cf-c018-45b1-9073-50ade73e1e55</t>
  </si>
  <si>
    <t>218d6a1b-5958-44df-92e7-cb749f4cf64d</t>
  </si>
  <si>
    <t>7987cb8e-e4fb-45d5-85cf-4cc057cc8152</t>
  </si>
  <si>
    <t>73ca148c-be18-43c8-a1f1-76e85960844b</t>
  </si>
  <si>
    <t>03d57149-0cca-48a0-8eae-2a6d2ef59a6b</t>
  </si>
  <si>
    <t>52849d15-5676-4058-86dd-fa20f3d53fd7</t>
  </si>
  <si>
    <t>0898655f-ad5a-4529-a9b3-838d0aa51142</t>
  </si>
  <si>
    <t>8895dc0d-2ccd-4ea8-a576-1d79601b4cfd</t>
  </si>
  <si>
    <t>d3cdad84-7125-44b6-b48f-e00bf50561a8</t>
  </si>
  <si>
    <t>b4a44bd1-e1fd-4b82-aa75-4d376515c5d4</t>
  </si>
  <si>
    <t>0e88357d-8139-457a-a14f-757825a0e856</t>
  </si>
  <si>
    <t>6fcb5917-3c7a-47e1-8cf6-09b73f0078bb</t>
  </si>
  <si>
    <t>fc571112-637d-46f8-9f38-eeb5246bfa29</t>
  </si>
  <si>
    <t>b071ab4b-35fd-415b-a9b1-fd0e0941f6ba</t>
  </si>
  <si>
    <t>8959de30-c0bf-4524-b2be-bd637f162916</t>
  </si>
  <si>
    <t>790a0526-31d3-414e-8519-2e9e6adbf9d6</t>
  </si>
  <si>
    <t>88cd8d8b-2e53-43cf-a7aa-59c7a769ed4d</t>
  </si>
  <si>
    <t>d40715d4-d744-4b56-bc43-98c3dcf79ac8</t>
  </si>
  <si>
    <t>84353a9e-1ac7-4c95-ab95-880d9deb6440</t>
  </si>
  <si>
    <t>8c0ff002-20c1-4066-8977-cd709383e6ee</t>
  </si>
  <si>
    <t>a0891d94-f294-4039-bcbb-96cc30eb3b45</t>
  </si>
  <si>
    <t>7a077ce1-9cd0-4f11-88c7-5b08049e49e3</t>
  </si>
  <si>
    <t>322d1d67-9fb9-4518-985f-49b9ef097b73</t>
  </si>
  <si>
    <t>2cd8d2c9-1f9e-4c9a-be35-83b8828bb34a</t>
  </si>
  <si>
    <t>058cf0c0-bbc9-4f55-b075-6152a74e8982</t>
  </si>
  <si>
    <t>3a7f524c-6da3-4277-8fcd-e88f470e1534</t>
  </si>
  <si>
    <t>cf8a7184-0119-4873-8e1f-ea1e6a6fd665</t>
  </si>
  <si>
    <t>92ca6535-70af-421f-a736-59ebb178c7fa</t>
  </si>
  <si>
    <t>dce3353d-5948-4e19-b8e0-cdaf886c7ad8</t>
  </si>
  <si>
    <t>d0fbfda4-e8ff-4875-90f8-c4c96084dbfc</t>
  </si>
  <si>
    <t>b11868d5-b0b4-4e66-9385-549ebc0627d6</t>
  </si>
  <si>
    <t>ecff0af4-6212-4e1e-84cd-f0057df27964</t>
  </si>
  <si>
    <t>7b3d5c0d-197b-42c3-9479-783627818daa</t>
  </si>
  <si>
    <t>e8ada84b-b1f4-405c-b134-992b0af5537c</t>
  </si>
  <si>
    <t>83154c44-b102-4626-b584-9962ea69fbda</t>
  </si>
  <si>
    <t>f0c90f64-d799-496d-a0d0-7e61f46e9467</t>
  </si>
  <si>
    <t>3feed202-e630-4cb5-9220-5bb9cc8ac452</t>
  </si>
  <si>
    <t>ddf20fac-aaf6-43a6-9ae9-f100eb0b4cfa</t>
  </si>
  <si>
    <t>882fded7-aabb-4170-90ef-a96bccfa0e61</t>
  </si>
  <si>
    <t>9dc40a5f-a465-4b04-867f-4ca612e9dce0</t>
  </si>
  <si>
    <t>179e4f5c-2ee8-494f-b5c1-1e7cdd214f29</t>
  </si>
  <si>
    <t>85451094-e35a-49cc-b0a8-673da9933425</t>
  </si>
  <si>
    <t>99bedc5a-340a-498a-8f58-876ee5f3b93e</t>
  </si>
  <si>
    <t>74bab818-be65-4665-91fa-eee7636ac1c2</t>
  </si>
  <si>
    <t>4e65d152-e914-4861-bf66-1022da0e9d6a</t>
  </si>
  <si>
    <t>bdf75d90-386a-49d8-8e03-3e64d3517bb8</t>
  </si>
  <si>
    <t>eb798e7f-bd15-4ad1-a044-69e5ffad569d</t>
  </si>
  <si>
    <t>c3b54755-8c88-4512-9bda-dc6d3f103211</t>
  </si>
  <si>
    <t>bc1a7185-4083-484d-b7f8-903daf077a8c</t>
  </si>
  <si>
    <t>23150b8d-23ee-4947-bb0d-a7a5bc687e4b</t>
  </si>
  <si>
    <t>152b2540-0461-4007-b94c-25791743e75e</t>
  </si>
  <si>
    <t>259ed61a-457b-4ee1-b288-976f0f48c25e</t>
  </si>
  <si>
    <t>535ebb2d-6344-45ad-abf9-4cc263b877f0</t>
  </si>
  <si>
    <t>3d2cf853-b35f-4b4b-af8c-d746eba7c377</t>
  </si>
  <si>
    <t>1bfe5252-f4e7-4b90-8b2b-4fe86ce79674</t>
  </si>
  <si>
    <t>cdc6e777-7979-4461-aabd-675ef7dc5d86</t>
  </si>
  <si>
    <t>219243ed-27b9-4763-8bc8-eccbe0b32132</t>
  </si>
  <si>
    <t>345eb8a6-f542-4fa0-af38-94b1fbcc06fa</t>
  </si>
  <si>
    <t>425c0f59-858e-4c51-8b0b-0d139ee49b10</t>
  </si>
  <si>
    <t>1fed619f-420c-43c0-b49d-e061228b07bf</t>
  </si>
  <si>
    <t>0982cb5b-85c3-4ed4-935f-1416688e2d96</t>
  </si>
  <si>
    <t>d94d294e-c341-467f-99b0-30908db27193</t>
  </si>
  <si>
    <t>41176bc7-ba73-40fc-8490-75b8dd836c0f</t>
  </si>
  <si>
    <t>b49a26b3-857e-4947-a619-089a74d06919</t>
  </si>
  <si>
    <t>171e4625-539f-4c74-a787-4d8f17437d71</t>
  </si>
  <si>
    <t>0bd4483d-59f8-44a5-b453-fc257267869e</t>
  </si>
  <si>
    <t>4162213a-8a9a-4dd7-9943-545bd6123606</t>
  </si>
  <si>
    <t>d671bf1c-f00d-40df-b1e4-02e78f2e22ae</t>
  </si>
  <si>
    <t>bebeac5f-5050-4308-adf1-d1d10dd35e7d</t>
  </si>
  <si>
    <t>d850ab8e-5806-4e06-b24b-217ebbf481d1</t>
  </si>
  <si>
    <t>062dd291-c4ec-4bd2-aa6f-51431e3a9c79</t>
  </si>
  <si>
    <t>40847e7a-f8e2-4777-b5ac-12551fa8fc93</t>
  </si>
  <si>
    <t>3a7f4cd7-0205-4580-b8b2-6b5db4492b55</t>
  </si>
  <si>
    <t>5b36266c-34b0-40fc-8694-e16427d9e337</t>
  </si>
  <si>
    <t>7bbb45fd-f82c-4401-a491-9144fb0ad24d</t>
  </si>
  <si>
    <t>f2646ae7-d655-4095-bc72-89d251184c91</t>
  </si>
  <si>
    <t>9a48bf55-7c43-4380-b330-41f6a7617e04</t>
  </si>
  <si>
    <t>2d894816-e010-4d3b-bb0d-16aee0b14270</t>
  </si>
  <si>
    <t>2ecda926-a844-4886-bb5f-3bcd77f3cb0b</t>
  </si>
  <si>
    <t>62d1b2a4-b42b-47bc-8f35-ed97c48551e5</t>
  </si>
  <si>
    <t>4e2494dc-9f13-4710-a835-80409e7f73bc</t>
  </si>
  <si>
    <t>69ffb96f-543b-4485-b448-3f55335843b2</t>
  </si>
  <si>
    <t>f0002aa8-beed-4756-b6df-6c5bb2d61286</t>
  </si>
  <si>
    <t>b01408b6-dd2f-447a-b048-3ae9d1d7beaa</t>
  </si>
  <si>
    <t>a0192797-9e88-4909-93e4-c1ea78f8c4a1</t>
  </si>
  <si>
    <t>ecaf54cc-151a-41c6-8cec-b44419b2c290</t>
  </si>
  <si>
    <t>f94467d8-ee8c-4719-ae5b-01b80e678931</t>
  </si>
  <si>
    <t>4de5a9e6-4d00-4a94-adf3-17db9d966efd</t>
  </si>
  <si>
    <t>77c6fa10-5676-4413-911f-4769c9738c61</t>
  </si>
  <si>
    <t>8bdd0207-4760-46ae-a411-070fe0c1289e</t>
  </si>
  <si>
    <t>12334ad5-5ebb-49b1-b1b1-4e8959b568f3</t>
  </si>
  <si>
    <t>34627b76-33f9-4b84-ac26-ee11794ac0db</t>
  </si>
  <si>
    <t>292150fe-f63f-4951-b9cc-5a23ef2c2875</t>
  </si>
  <si>
    <t>39fb1793-a296-4eee-bb4b-ca183b547cbc</t>
  </si>
  <si>
    <t>02c5b542-a286-4fda-be29-517baad04953</t>
  </si>
  <si>
    <t>6d946d71-3031-42c9-b2f7-330c66eb0f99</t>
  </si>
  <si>
    <t>478de009-ca89-4e66-9c32-7a33f65e9095</t>
  </si>
  <si>
    <t>8817d0dc-09b3-4e13-8d29-8122d6955e2f</t>
  </si>
  <si>
    <t>480f3831-5270-4db9-87e2-bb4098e03033</t>
  </si>
  <si>
    <t>9fdd93d2-d24c-49d6-ab2e-2bbb3c860605</t>
  </si>
  <si>
    <t>a79fae6a-3e18-4438-a5f5-4672339d3b1b</t>
  </si>
  <si>
    <t>edbb71c1-f9d9-4483-82c2-45cc110fbd6f</t>
  </si>
  <si>
    <t>14871f8b-1260-4c3f-9925-e98fc74ddac0</t>
  </si>
  <si>
    <t>4d0eb7d5-365e-4818-bf61-13a4d1e03522</t>
  </si>
  <si>
    <t>cb1d607e-ea63-4268-a795-005270c1dfc9</t>
  </si>
  <si>
    <t>38d8c6ff-2ce2-4a23-b20d-0d50de400348</t>
  </si>
  <si>
    <t>520332a8-e359-43ca-a298-ffcf4a466622</t>
  </si>
  <si>
    <t>3148bd15-dd33-469d-aafc-85fb24ee7fd6</t>
  </si>
  <si>
    <t>2c18ee0f-00b9-4686-ad68-8f5bdf3f9756</t>
  </si>
  <si>
    <t>fc76cca9-d5d5-44c6-ad2c-29c9e13f352e</t>
  </si>
  <si>
    <t>5dcd6621-8f3f-4b77-a974-7652eff9d9d6</t>
  </si>
  <si>
    <t>b7666722-8098-48ad-9139-954330029434</t>
  </si>
  <si>
    <t>5a227c3f-842a-4e28-be40-a783132de715</t>
  </si>
  <si>
    <t>7366ae00-3483-44f9-a4f8-0f979ca859d2</t>
  </si>
  <si>
    <t>f7a935e6-3d8d-47dc-b16c-efed3f109c5b</t>
  </si>
  <si>
    <t>1c2e8e1d-6ffd-4ff7-9720-58b9f243438d</t>
  </si>
  <si>
    <t>0106c43c-82ec-4d76-9c61-ad0ed54d6792</t>
  </si>
  <si>
    <t>992da4da-2d2c-46a4-94e6-9f1b892bc6fb</t>
  </si>
  <si>
    <t>b44a9f71-5499-401c-a6d6-0c3e7d10134e</t>
  </si>
  <si>
    <t>05ec91a9-1ec5-4ac7-a53f-6620b4df062e</t>
  </si>
  <si>
    <t>b031a4dc-406d-435e-89a1-ee66c544ab37</t>
  </si>
  <si>
    <t>12a85682-6ec2-4878-a54a-36212f78deab</t>
  </si>
  <si>
    <t>ce6af71a-636c-4164-8f5a-b9372d66c8a0</t>
  </si>
  <si>
    <t>72a95e9a-5417-41e6-aa90-cb8d14afe08c</t>
  </si>
  <si>
    <t>d7ba5645-4f4c-4b81-b9f2-3e7a1f4d9ba4</t>
  </si>
  <si>
    <t>6be00015-65b6-496b-994c-55a0e67b67c0</t>
  </si>
  <si>
    <t>3de1236d-c5e0-4cf5-b8fa-6781a12ab4b8</t>
  </si>
  <si>
    <t>76f7c5aa-1da1-4bbd-a1bf-ce27023c7b2e</t>
  </si>
  <si>
    <t>078020fb-334f-48c0-b55b-1221192462b1</t>
  </si>
  <si>
    <t>064d98c4-4675-4a9c-8d99-a5313bdd53fe</t>
  </si>
  <si>
    <t>8cf0648f-1135-4413-8022-f1042b1c5d2b</t>
  </si>
  <si>
    <t>50710867-683d-46ea-a187-3f657a251551</t>
  </si>
  <si>
    <t>588bb524-7a5c-4f5e-9d4f-0f88db4ae6f5</t>
  </si>
  <si>
    <t>65f7bd29-b1fc-4289-a93b-f29bf9aa1eb1</t>
  </si>
  <si>
    <t>0d87b687-ee68-46b8-bb4e-60f2064f396a</t>
  </si>
  <si>
    <t>3d0ba75a-622d-480c-b893-88dba6245435</t>
  </si>
  <si>
    <t>59a21ec6-c002-4484-b582-d1d0363229f2</t>
  </si>
  <si>
    <t>ff12d7bc-19c1-4627-b7b9-b8030678170e</t>
  </si>
  <si>
    <t>dd1d8507-cf95-4bab-b7e8-d05cd01a7569</t>
  </si>
  <si>
    <t>c2e517b0-73c8-4692-9327-4b12bd79fa03</t>
  </si>
  <si>
    <t>f50805c8-c22a-40ec-add8-ffc035d544a0</t>
  </si>
  <si>
    <t>a91925fe-4b8a-4826-b52b-cdea3125abdd</t>
  </si>
  <si>
    <t>24549e1a-7ac9-47c8-bff9-7aa407061bcf</t>
  </si>
  <si>
    <t>5f186b3f-67b5-4c66-9266-184f45c63f6e</t>
  </si>
  <si>
    <t>abe3ff62-c178-4dc5-849c-894a4d4b5056</t>
  </si>
  <si>
    <t>721bb3df-cba7-41c3-8a66-df6c43ea85d7</t>
  </si>
  <si>
    <t>c7217865-4b0d-4b96-8bb6-7d845202c1fe</t>
  </si>
  <si>
    <t>049eb098-8838-4e82-a78b-ff0809a94c53</t>
  </si>
  <si>
    <t>f556061a-4245-4dba-9709-603489900032</t>
  </si>
  <si>
    <t>eea2a060-419e-4649-b844-e385b450fdc0</t>
  </si>
  <si>
    <t>d742400b-4e88-4bff-b196-ce26de2a1c88</t>
  </si>
  <si>
    <t>3657a60d-878d-49f0-a61d-3fe00cf567a1</t>
  </si>
  <si>
    <t>e516fa6a-3367-453d-a1aa-8b6063d7c627</t>
  </si>
  <si>
    <t>d915b4a4-bc66-4872-baaa-54de3415df00</t>
  </si>
  <si>
    <t>7d597be4-63cd-422d-b957-1ea98038cd7f</t>
  </si>
  <si>
    <t>b909c5f4-75b0-4b2f-8810-595d1880ad5f</t>
  </si>
  <si>
    <t>f2487c32-2faa-4c93-9c05-8efe88245803</t>
  </si>
  <si>
    <t>568968a6-2266-4dc5-9880-751379de6ed2</t>
  </si>
  <si>
    <t>80d58101-02d7-49e6-a8fc-d278224988c6</t>
  </si>
  <si>
    <t>c2141fad-20e4-4e27-a939-99b4f25ec16e</t>
  </si>
  <si>
    <t>c2b87e68-e79d-4674-be80-d726ea250bea</t>
  </si>
  <si>
    <t>8d3041b9-15be-4f93-a476-c4a8d7cc7609</t>
  </si>
  <si>
    <t>f23dc3ea-bf0b-4bd5-8519-5eec97756e97</t>
  </si>
  <si>
    <t>6eeb09de-d752-403f-8b45-0a1553df474c</t>
  </si>
  <si>
    <t>eed3f91d-e860-454a-8bb3-bcb3eb03ed30</t>
  </si>
  <si>
    <t>641a3833-f34e-4978-9a2e-08a71efad79c</t>
  </si>
  <si>
    <t>c51f5e96-1f6e-4186-9ea3-e9f2a7e603c4</t>
  </si>
  <si>
    <t>da57b4f1-279c-41cd-8283-4de756b2620d</t>
  </si>
  <si>
    <t>6f97b52b-222e-4df2-a43f-bf61180db464</t>
  </si>
  <si>
    <t>825f4404-466c-4219-ad6c-ea0d9396e174</t>
  </si>
  <si>
    <t>1793358e-760b-4232-8410-10e9f61d4b5b</t>
  </si>
  <si>
    <t>b3ee92cb-7c6b-49cc-8d16-d3b64cc5efc9</t>
  </si>
  <si>
    <t>ed2f52d3-70f8-43cd-b757-b2d4a2abcb78</t>
  </si>
  <si>
    <t>0f1d02b4-3e6a-4c2d-a314-58f60277f536</t>
  </si>
  <si>
    <t>b7f64b76-270e-4836-8c8c-2b30c5068bc1</t>
  </si>
  <si>
    <t>2e9b25b1-1bc2-4012-b90f-2689eab958b6</t>
  </si>
  <si>
    <t>7c57f8c7-4af1-4da9-bb54-65b280ecb94f</t>
  </si>
  <si>
    <t>b18f2681-3ce2-4f26-aeb2-4daadcf876d9</t>
  </si>
  <si>
    <t>e15e3f8e-f3a3-40ab-b783-b3d091ce2f60</t>
  </si>
  <si>
    <t>034e4134-26a2-4b81-9063-0e0435259b9c</t>
  </si>
  <si>
    <t>20ab8215-cb72-41d5-90c9-179798953354</t>
  </si>
  <si>
    <t>28704d93-2028-4483-8f35-93b7977cb1b2</t>
  </si>
  <si>
    <t>62ebe034-388f-4d0f-aeba-b1329b28f78d</t>
  </si>
  <si>
    <t>3d1a0d31-0d74-4cd6-a521-0b02943d4400</t>
  </si>
  <si>
    <t>d7c63346-8fd5-4da4-a8de-9e891c5de2df</t>
  </si>
  <si>
    <t>1b893aae-eca4-43ca-9add-f5200d048e8b</t>
  </si>
  <si>
    <t>2453caeb-55ae-473b-a218-2ff98fb62312</t>
  </si>
  <si>
    <t>3ea704be-02ff-4c36-b0af-e4aa036308e9</t>
  </si>
  <si>
    <t>149eef48-df3b-46a8-b2eb-697ff2fa90ce</t>
  </si>
  <si>
    <t>91ca14d3-f706-4e0f-82e3-f7ccf778ff60</t>
  </si>
  <si>
    <t>adc1cf47-ca1a-4c68-b8cb-e32b8ebe6f2e</t>
  </si>
  <si>
    <t>02a1e040-76ca-4655-9819-22814c703fb9</t>
  </si>
  <si>
    <t>39854355-48cd-4e4b-a665-cf961829ae92</t>
  </si>
  <si>
    <t>9bfeb00a-c4bb-4d89-acaf-6d7f2a02fb44</t>
  </si>
  <si>
    <t>44cea3fa-8f28-4da2-ac75-265a2e796e3e</t>
  </si>
  <si>
    <t>4e2fa7d4-ab35-4ad4-92f8-9a0667212ce3</t>
  </si>
  <si>
    <t>9061e92a-6bad-46df-baff-d7deeb76decd</t>
  </si>
  <si>
    <t>60cce9f8-6780-4a15-8f91-e7260ccbc71f</t>
  </si>
  <si>
    <t>5010aa07-eb18-44d3-a5c4-70f113249642</t>
  </si>
  <si>
    <t>5c2a76aa-c7f7-4aa7-b1bc-711f0430e59c</t>
  </si>
  <si>
    <t>edd014a5-4a20-434d-8614-5407b370aab7</t>
  </si>
  <si>
    <t>a7539f06-e851-46d8-93bb-b9812d84aa2b</t>
  </si>
  <si>
    <t>15d10c64-732a-4293-87e6-1901179fb7d5</t>
  </si>
  <si>
    <t>3191aaad-a6af-432d-b653-371b8d99b9b6</t>
  </si>
  <si>
    <t>273b3b94-5e05-4df4-a711-0ce3c3539006</t>
  </si>
  <si>
    <t>e25e73a7-7748-4daf-8072-637352287ed4</t>
  </si>
  <si>
    <t>9f242247-5641-418e-acbb-670089e723f0</t>
  </si>
  <si>
    <t>d35f48ba-6024-4fe8-8fec-185db79d4d79</t>
  </si>
  <si>
    <t>43fcf1d2-3c0f-4f3a-ab58-75b6ce29e211</t>
  </si>
  <si>
    <t>23967d49-a5df-424b-81a2-e0348c492a1e</t>
  </si>
  <si>
    <t>cc437a8f-3c06-4d0f-a197-a483cd7d7563</t>
  </si>
  <si>
    <t>e965a2df-2326-45b9-a9b2-dcca5dd70acb</t>
  </si>
  <si>
    <t>02c002e0-d8c8-45ca-ab25-6e8b8fbe7c29</t>
  </si>
  <si>
    <t>e49dfde1-ffda-450f-84cb-574489889d22</t>
  </si>
  <si>
    <t>d3164543-32fb-4e11-8c1e-9cc67ef01753</t>
  </si>
  <si>
    <t>0b66a644-c1dd-4103-bb21-9896c2e70fd2</t>
  </si>
  <si>
    <t>60d4ad47-3e2f-4f21-9905-3b5ae0d8f420</t>
  </si>
  <si>
    <t>8d32f458-5ee5-4dd1-b3a1-6f6669cc5b45</t>
  </si>
  <si>
    <t>c8cf1335-8b9a-45dd-b581-fbe46d561005</t>
  </si>
  <si>
    <t>2048a908-3fff-406c-918c-9306b8a0954a</t>
  </si>
  <si>
    <t>6a481298-2ad0-4a16-ad7c-72927cf86c57</t>
  </si>
  <si>
    <t>bc33dfa7-3fb4-4572-b8b6-709d00982a7a</t>
  </si>
  <si>
    <t>33f6c7fc-9976-4530-ae64-2e213a4b80cb</t>
  </si>
  <si>
    <t>e147cbc3-c876-4a1f-85a9-c0be2511a121</t>
  </si>
  <si>
    <t>d204fbd1-e047-4845-8b61-e4d7340be407</t>
  </si>
  <si>
    <t>8b7f8d10-f864-465b-8da5-1b57a9aa5e25</t>
  </si>
  <si>
    <t>aa9cd0b5-b0af-4071-abca-2e371cef8937</t>
  </si>
  <si>
    <t>98e0a7ad-af2f-43f5-8c62-6f5b4b900abb</t>
  </si>
  <si>
    <t>9a92d291-a775-4e6a-94fd-765e884ba392</t>
  </si>
  <si>
    <t>f88a44f3-08c8-4f3e-bfb0-c5db0bce2070</t>
  </si>
  <si>
    <t>074de745-73a7-4745-a097-6dbf688df976</t>
  </si>
  <si>
    <t>88c2901d-3716-4b20-8ff1-e42808f6204b</t>
  </si>
  <si>
    <t>0a97778f-bdcf-4349-b1fd-4195c5545746</t>
  </si>
  <si>
    <t>bb405917-f867-46ba-bc23-97131422561c</t>
  </si>
  <si>
    <t>21e28c31-ef5e-4382-a528-7a3ab9fe52d0</t>
  </si>
  <si>
    <t>74a50ca8-5d30-41c0-8455-68b99a60e80e</t>
  </si>
  <si>
    <t>5618de61-43cf-4db1-b703-70b6d766e9be</t>
  </si>
  <si>
    <t>14756391-566f-4101-8a4a-4b4c198a9630</t>
  </si>
  <si>
    <t>b62afba6-0d1c-419a-8971-5dfb2935392a</t>
  </si>
  <si>
    <t>d4412dc5-cd13-46a0-aab3-29231abe6849</t>
  </si>
  <si>
    <t>35403ad7-74be-45ef-95fc-1ed9340d8521</t>
  </si>
  <si>
    <t>949b8ca6-5963-4b2f-868c-9d6d6f503af4</t>
  </si>
  <si>
    <t>91050fb7-e293-4d44-9235-55c7e1c4a881</t>
  </si>
  <si>
    <t>86ee3a55-00d0-4414-9692-a70b08f57f9f</t>
  </si>
  <si>
    <t>65d4b4f2-0ea5-4f62-8a9c-21448502f7f3</t>
  </si>
  <si>
    <t>ddc1591b-2a05-4904-ad0f-881704cdc1f6</t>
  </si>
  <si>
    <t>13e79357-3f61-4c7d-9f73-9df6dc2d0f16</t>
  </si>
  <si>
    <t>5d3479db-b214-493c-8f2b-0daa7c75bf57</t>
  </si>
  <si>
    <t>ae661473-4b88-486d-a91b-80dbb47ccdf3</t>
  </si>
  <si>
    <t>4ea40519-9f35-4d9b-8237-4fb3d6036cf7</t>
  </si>
  <si>
    <t>bf9911e4-fcf9-4b7c-a769-6344f9911448</t>
  </si>
  <si>
    <t>7b6034e0-c1db-43bb-92ef-4a1027d26690</t>
  </si>
  <si>
    <t>462834f2-609f-4403-b412-f1dce25922a1</t>
  </si>
  <si>
    <t>80485e32-a4aa-4fe1-a26f-3a97a86773fc</t>
  </si>
  <si>
    <t>c2562cc0-4943-4796-9c85-af37cc09fbe8</t>
  </si>
  <si>
    <t>65c9e24b-fea0-4189-953f-7ac61e45897c</t>
  </si>
  <si>
    <t>0b4242a7-29a0-4047-96d3-956927694e81</t>
  </si>
  <si>
    <t>14a64e1e-a738-41a0-b069-1218c8081609</t>
  </si>
  <si>
    <t>2351c8c7-e3a5-47bd-8369-91b0a3e46846</t>
  </si>
  <si>
    <t>39edd523-c254-4cdf-9815-b5201693950f</t>
  </si>
  <si>
    <t>2469ecba-28f1-47c5-b680-1e58f763b83b</t>
  </si>
  <si>
    <t>af683476-6bb5-4cf4-bf56-593da9efdd16</t>
  </si>
  <si>
    <t>c4d78323-6fa0-411d-a705-4a02b5d1e719</t>
  </si>
  <si>
    <t>160107bb-d110-4ae6-83f7-81854beaacd1</t>
  </si>
  <si>
    <t>3fc00b26-de12-422c-bf26-c856fe232ae3</t>
  </si>
  <si>
    <t>34e11ee5-2fd3-4e96-bb48-277ea76ebd19</t>
  </si>
  <si>
    <t>19051c23-1d3c-4cc2-9d47-e4b908c0733b</t>
  </si>
  <si>
    <t>3301b83a-a731-4f75-a7b6-4fc00c47e55f</t>
  </si>
  <si>
    <t>57d7609c-d04e-4431-b7c6-c5536cc1f73f</t>
  </si>
  <si>
    <t>20e8c23f-2fed-45f5-bdb3-1cdd7a42b01e</t>
  </si>
  <si>
    <t>293c1e18-2d63-41ee-8e56-062e807fe11d</t>
  </si>
  <si>
    <t>4bb2c8ac-b1f1-4759-845c-0a656a2da50f</t>
  </si>
  <si>
    <t>f19e3a3b-e87a-4eae-b67b-093eea6d4279</t>
  </si>
  <si>
    <t>d43bf2d9-4ecc-4d50-9444-bd8bc7f0461a</t>
  </si>
  <si>
    <t>50a9359b-09f8-4ff7-9dce-2b2409fe4ef2</t>
  </si>
  <si>
    <t>83eacca6-f07a-463f-839a-5588f23cb46e</t>
  </si>
  <si>
    <t>dfeaaac1-725e-41e5-8530-1eda21249753</t>
  </si>
  <si>
    <t>a033b05e-d39f-4f93-866c-f491ee589c22</t>
  </si>
  <si>
    <t>9b437911-cbcd-47e5-91c2-e65b09a5a53a</t>
  </si>
  <si>
    <t>43a91254-35a4-4f63-947d-5ddef45bf0f1</t>
  </si>
  <si>
    <t>8b32677e-1758-43cf-9345-93d9cf2fb707</t>
  </si>
  <si>
    <t>4142ec2a-10d7-437c-b5b6-a6fd5b941fa1</t>
  </si>
  <si>
    <t>77fcb349-a806-4e16-b4ec-767b2147da5a</t>
  </si>
  <si>
    <t>3903ee17-7982-4f9b-896b-4ebcd8122f63</t>
  </si>
  <si>
    <t>f1e91012-145e-48d0-9f44-0eece3550148</t>
  </si>
  <si>
    <t>813e16fe-6ab1-4e3e-9634-26cbfa3f549a</t>
  </si>
  <si>
    <t>04b2d062-8d4a-4f7b-b20e-969cf84e3966</t>
  </si>
  <si>
    <t>c85571fa-79fd-49f4-b800-5f559eac005d</t>
  </si>
  <si>
    <t>b802dca7-9077-4835-819a-e3a45f5f2b12</t>
  </si>
  <si>
    <t>faa9b1ec-2680-40d7-86b7-39c967b35318</t>
  </si>
  <si>
    <t>8076fb59-2ca7-44d5-af95-ea50b3d4eec6</t>
  </si>
  <si>
    <t>15ff2d57-5f3e-4b67-8aeb-41705bbc2599</t>
  </si>
  <si>
    <t>974e6434-6c4d-4a5a-a72c-be8a2ae0c767</t>
  </si>
  <si>
    <t>b175bb88-b571-4ade-9059-b6a65d274ef6</t>
  </si>
  <si>
    <t>d67ea818-ba8f-4385-abd6-4df5d5b2434d</t>
  </si>
  <si>
    <t>bfc2b461-02dd-4a89-8952-4776ebd47fc1</t>
  </si>
  <si>
    <t>a300be75-2f59-4baf-ae01-a72a5eb54822</t>
  </si>
  <si>
    <t>7aeda2fe-8e83-4589-9e31-ca870bf9d0a5</t>
  </si>
  <si>
    <t>e1c86af3-5e14-44e6-8d14-1cc0a276850b</t>
  </si>
  <si>
    <t>ab2d1b88-fe0a-4cbf-808c-4a2084bba5b0</t>
  </si>
  <si>
    <t>99b34be1-c873-4c4b-9a71-a04427797219</t>
  </si>
  <si>
    <t>ae2375ca-9351-4d66-b11d-093180c39a73</t>
  </si>
  <si>
    <t>c32ad704-d90c-4b83-8896-96e67ea8b2e8</t>
  </si>
  <si>
    <t>3056e019-dce6-4534-afdd-f03807ec3ef9</t>
  </si>
  <si>
    <t>83af24b4-a21c-40b4-b648-4efc7b061ef1</t>
  </si>
  <si>
    <t>f31f4bc8-b06a-4f84-a6e1-0e1b79ac2844</t>
  </si>
  <si>
    <t>47cd76c4-65dc-4c11-acd6-b69083864ff0</t>
  </si>
  <si>
    <t>5dc3e908-5585-4bff-ab91-913c803fda27</t>
  </si>
  <si>
    <t>0c4ae3dc-40c4-4cd7-8aba-89bc6a096523</t>
  </si>
  <si>
    <t>1259a1ff-0de0-4afd-8353-79dff0fb7ea4</t>
  </si>
  <si>
    <t>fdce0fea-5cf7-4783-8340-18367180c6ed</t>
  </si>
  <si>
    <t>75d7bc8f-7376-4401-a3ee-c070962b049e</t>
  </si>
  <si>
    <t>af1a5c6f-d7ef-410f-8b13-0d2c7582c256</t>
  </si>
  <si>
    <t>46e11f59-d7e1-4d72-94d9-8c323f1decfb</t>
  </si>
  <si>
    <t>cc1d30bc-b4f4-44b4-b15d-11de1f218f06</t>
  </si>
  <si>
    <t>7d652028-a97d-47b8-9bf8-749bf9a1d436</t>
  </si>
  <si>
    <t>7a0d163d-51c5-4af0-aead-b33c542f67c7</t>
  </si>
  <si>
    <t>67064f5d-6b03-414d-a4b6-20f4601db1fc</t>
  </si>
  <si>
    <t>977624d0-8ff9-4148-9782-6a36364c4f47</t>
  </si>
  <si>
    <t>ae814e9c-8368-4c43-a8c8-afc49ceaf480</t>
  </si>
  <si>
    <t>0913d014-b72e-4181-b247-fc7ef4cece58</t>
  </si>
  <si>
    <t>b919aedc-1e90-4f8d-a190-6610a75a80e7</t>
  </si>
  <si>
    <t>55fb1ea4-8c7c-4311-99bf-bf1d615d9cee</t>
  </si>
  <si>
    <t>d7562de6-f6f2-4571-9181-eb535f03bb9f</t>
  </si>
  <si>
    <t>df09f94d-7337-43bf-8f1b-7f8a0fcc4947</t>
  </si>
  <si>
    <t>8c4f63ca-dd86-438c-bc79-9a5423046852</t>
  </si>
  <si>
    <t>47659525-2345-4a7b-a1d8-51cd780552f5</t>
  </si>
  <si>
    <t>a5d3d970-b4fc-4b5e-a4bc-40366d7dd5b4</t>
  </si>
  <si>
    <t>7880e75d-5460-47d6-b7f0-2da66872b61d</t>
  </si>
  <si>
    <t>f0f3bf30-1917-46ff-855b-5e461737206d</t>
  </si>
  <si>
    <t>638fc372-f209-46de-8a49-74194dfda2d6</t>
  </si>
  <si>
    <t>1488624d-6a4e-4c2e-a862-a47af55d8ecf</t>
  </si>
  <si>
    <t>cb6bc7e0-be90-4882-b05c-a8bccf2b9068</t>
  </si>
  <si>
    <t>699be8ed-2dec-4f37-971d-d7138c47de5c</t>
  </si>
  <si>
    <t>1580afd5-14fa-4705-a71b-2668dd12b0cb</t>
  </si>
  <si>
    <t>b172ff22-c033-4d8f-af4d-4fbc704f8839</t>
  </si>
  <si>
    <t>65ff5cac-dacc-4e22-8977-b26e8c96791d</t>
  </si>
  <si>
    <t>1ab39ed3-1483-42b8-a0e9-0656af30d10a</t>
  </si>
  <si>
    <t>4c0a190a-6e90-4be1-a75b-2a136c777f35</t>
  </si>
  <si>
    <t>8425ea1b-9c46-4db9-b370-f0c44d3f2b5d</t>
  </si>
  <si>
    <t>5dfd0ed6-8311-4a2d-89fa-a3683f6e6362</t>
  </si>
  <si>
    <t>0c2bdbd6-1268-4d19-8195-2b300e0b2ec9</t>
  </si>
  <si>
    <t>f88d7a7c-c975-46f7-93a5-ba3c85f1fb27</t>
  </si>
  <si>
    <t>b4753efd-d3d0-4a4c-96c9-fc68f99864ba</t>
  </si>
  <si>
    <t>6ad5e368-a2a2-40f8-871f-49c8654900bb</t>
  </si>
  <si>
    <t>a8c8cb86-a2ef-4744-aa68-61b354a85c94</t>
  </si>
  <si>
    <t>0c9b791c-5d6f-4bb7-a30f-087a166834a4</t>
  </si>
  <si>
    <t>d2690528-efa1-4248-b6dd-0ec46a1eab29</t>
  </si>
  <si>
    <t>29166a72-2df3-495b-90f5-8f4706df4d25</t>
  </si>
  <si>
    <t>08da989d-8214-4954-acd4-3a1e32177ce2</t>
  </si>
  <si>
    <t>558d184f-1c12-4e87-bcaf-5ffe57811760</t>
  </si>
  <si>
    <t>5327aa34-ffff-4048-a894-89cded1ebbf2</t>
  </si>
  <si>
    <t>5d6b1989-332d-4c4b-b01e-2322460ccb9a</t>
  </si>
  <si>
    <t>65e7ce23-9ab8-46e1-a901-4398e7bcd602</t>
  </si>
  <si>
    <t>db0d059d-f721-4258-bdc4-e58fbbf02b39</t>
  </si>
  <si>
    <t>ee66b779-f43e-418f-8d46-a18158b30e5c</t>
  </si>
  <si>
    <t>d9c9b44e-8d18-4ecb-8c35-28df9b562440</t>
  </si>
  <si>
    <t>8635e2fd-ad8a-4740-bde1-93f433e2c033</t>
  </si>
  <si>
    <t>6d4b7d5d-7703-4817-922b-2c36723e5443</t>
  </si>
  <si>
    <t>69b15dc5-f6be-463d-82be-0b40e1a11ef7</t>
  </si>
  <si>
    <t>17ecfbdb-6915-4bae-ae96-cfa49cd77f77</t>
  </si>
  <si>
    <t>3abcb28e-df32-4cb9-a391-a1d47f4b6c72</t>
  </si>
  <si>
    <t>b302f45a-1a1c-4ae3-b057-67a4e7186d82</t>
  </si>
  <si>
    <t>e1519399-8d70-4a73-8906-3455745428d4</t>
  </si>
  <si>
    <t>ce9f0365-9c1b-4244-8e5c-2dbfcf24d992</t>
  </si>
  <si>
    <t>e7ef92db-97f1-47a3-aefb-165309c355d3</t>
  </si>
  <si>
    <t>16158af3-00bd-4d43-ba29-f9191a7f7af7</t>
  </si>
  <si>
    <t>b092f5ee-d89f-4d29-9d80-b1e3b0ef5a3a</t>
  </si>
  <si>
    <t>4aeecff0-befd-4909-ba05-de0a25861676</t>
  </si>
  <si>
    <t>46d120aa-bb7f-41ae-b192-af1a3b44f080</t>
  </si>
  <si>
    <t>32b3dfef-d000-448a-bf88-2f5acc8a5da9</t>
  </si>
  <si>
    <t>008bdc8d-7851-4584-8d94-c94776091a2f</t>
  </si>
  <si>
    <t>b8a8fde1-c3e4-4f0e-84cf-da056e525c81</t>
  </si>
  <si>
    <t>e3ae1307-1c4a-4e61-81fe-c66b490b9bb3</t>
  </si>
  <si>
    <t>f4d9f4f6-4833-42ea-b8c8-7e85246f0d6a</t>
  </si>
  <si>
    <t>9cc0adba-3101-4dcd-98fe-ddf3ed3dd569</t>
  </si>
  <si>
    <t>76ecc3a3-b1fb-4f35-a785-11635d20b55d</t>
  </si>
  <si>
    <t>74de5124-8833-445d-84d4-33f3e542b405</t>
  </si>
  <si>
    <t>564dce90-62f3-4c68-83f2-3d20f802005d</t>
  </si>
  <si>
    <t>21838def-10ff-4b73-aca0-61b193ff5307</t>
  </si>
  <si>
    <t>76724815-8621-4b37-ade6-47511e3f88f4</t>
  </si>
  <si>
    <t>d4331739-d2c8-4e85-826f-69f8b89a8ab9</t>
  </si>
  <si>
    <t>fd1d5134-7856-4174-b59e-2245d6641e65</t>
  </si>
  <si>
    <t>5c1bc375-cd63-4837-9df5-9c43e806ef63</t>
  </si>
  <si>
    <t>6d2eaf19-f243-4deb-b7d1-c8eab62e9df3</t>
  </si>
  <si>
    <t>027097ce-126a-4cd5-b402-096584db70c1</t>
  </si>
  <si>
    <t>086fab99-6202-4466-9a97-9ecd57b5ae96</t>
  </si>
  <si>
    <t>b0cfa288-c0a1-418b-8ff3-773cbef3aac1</t>
  </si>
  <si>
    <t>85ff665f-f46a-4899-b5a3-c7ed305b6b9b</t>
  </si>
  <si>
    <t>2777dcd0-d662-4c6e-9e78-e619218c5771</t>
  </si>
  <si>
    <t>88f9b2f8-56a3-4990-b8e7-73f312ad13ac</t>
  </si>
  <si>
    <t>1189bfa1-ad57-4701-8764-ac739c150d63</t>
  </si>
  <si>
    <t>b59b615a-90ad-4d15-b6ca-a1f9a3d71172</t>
  </si>
  <si>
    <t>d7ea291a-a7b0-41c2-93d0-e1962b39c548</t>
  </si>
  <si>
    <t>a8cbec11-12d4-4a9b-9ca1-43b99ab5fa7e</t>
  </si>
  <si>
    <t>5da79577-c8b2-4e6b-b605-e4ce7084c1a1</t>
  </si>
  <si>
    <t>bbb731e5-351b-4877-a300-eba9ef95351c</t>
  </si>
  <si>
    <t>a7feb0c7-5a80-4e2b-b41d-e0d08ab117dd</t>
  </si>
  <si>
    <t>6f4f9d92-3c43-4771-ba5d-c2c482a91c2c</t>
  </si>
  <si>
    <t>9e8bbf69-ad00-4a3d-aea7-cc7b041468b2</t>
  </si>
  <si>
    <t>4ece588f-0c37-4cb8-a477-b47876183cf4</t>
  </si>
  <si>
    <t>8aab02d6-9bbc-44ac-8601-cd741577435a</t>
  </si>
  <si>
    <t>feeda1e1-e8f5-4707-8920-602ad21d48fb</t>
  </si>
  <si>
    <t>67b2cd49-5dc3-4df3-91d5-d2cf8062324c</t>
  </si>
  <si>
    <t>39e00683-2b5e-4841-8f2b-3f768283fe0c</t>
  </si>
  <si>
    <t>85c290d9-b4e6-46e8-8959-93e574445ed0</t>
  </si>
  <si>
    <t>3898934c-6033-4486-a151-812fc35831eb</t>
  </si>
  <si>
    <t>9652afb2-3ad3-4344-a059-72a1e465dd4f</t>
  </si>
  <si>
    <t>79b80c5f-749d-4011-8918-4ae47b41760a</t>
  </si>
  <si>
    <t>980c4fed-85c9-48f9-aefb-cb2d7c6bd8eb</t>
  </si>
  <si>
    <t>881b0d7f-3ea3-401b-9647-90d1fbe5075b</t>
  </si>
  <si>
    <t>f3dae331-d95f-4d96-828b-f585868e19c0</t>
  </si>
  <si>
    <t>a8607edd-f062-49f4-8c38-8e44185f22cd</t>
  </si>
  <si>
    <t>d4367d3f-ad9a-4759-a340-2a955e8e88e3</t>
  </si>
  <si>
    <t>b798a82b-5312-4fe5-9361-4aecc19a1a5e</t>
  </si>
  <si>
    <t>7f4f8338-1f81-4747-83b4-8f06cc71c212</t>
  </si>
  <si>
    <t>16184494-4718-46ae-8a3d-04bc665244b9</t>
  </si>
  <si>
    <t>3b7b3c24-dfd4-4617-bb95-8a79d1dba08e</t>
  </si>
  <si>
    <t>30baa925-6572-426d-8660-199d594bb9d7</t>
  </si>
  <si>
    <t>06f12a66-d96a-4d8d-80db-9a4dcc6a6055</t>
  </si>
  <si>
    <t>f5a59a2e-8bc5-4a5b-ae30-e24125e65a53</t>
  </si>
  <si>
    <t>28ca4ad1-5fde-474b-867f-9543631f42d8</t>
  </si>
  <si>
    <t>bf0ca328-9a27-4291-9e1b-ca5a3433773b</t>
  </si>
  <si>
    <t>75ce214f-0703-4457-89f9-911ed9126728</t>
  </si>
  <si>
    <t>3025e63e-f262-4ada-be8c-edbd13846192</t>
  </si>
  <si>
    <t>95c5aa4d-fb16-42f0-b789-448af92d2860</t>
  </si>
  <si>
    <t>08b1b2e8-48a0-48f7-9b52-67132c7581fa</t>
  </si>
  <si>
    <t>a403c8df-2a50-4b75-a569-6504ab2cf8b6</t>
  </si>
  <si>
    <t>2ce0e554-f088-4f44-8f15-2923540090c7</t>
  </si>
  <si>
    <t>605398d1-d293-492f-8332-69a6f74f7116</t>
  </si>
  <si>
    <t>ee5de332-f695-4cff-9974-adffa890a280</t>
  </si>
  <si>
    <t>b8a0ed5e-0297-4dfb-8d1f-5d15550b5e37</t>
  </si>
  <si>
    <t>cad6c56f-cae4-43e4-a924-dc7cc1cb4389</t>
  </si>
  <si>
    <t>e2748a25-ad13-4c6c-8a98-a83d03dfa8fa</t>
  </si>
  <si>
    <t>6eb42eb6-eb45-4712-820a-5734bf5d1987</t>
  </si>
  <si>
    <t>7f8f533d-270a-4906-8461-a9f133130e23</t>
  </si>
  <si>
    <t>9250cf86-4e37-42b1-9b5f-2aade931e5a1</t>
  </si>
  <si>
    <t>3513e29b-4cf8-4994-a76d-c1e531a82483</t>
  </si>
  <si>
    <t>dbae576f-6290-4661-9f46-9880fcff7c58</t>
  </si>
  <si>
    <t>98a1cd1c-5415-4118-bfe0-a04290653141</t>
  </si>
  <si>
    <t>f2897dff-aa50-43b4-8f59-9e180ccd8914</t>
  </si>
  <si>
    <t>0c8843aa-6f20-4456-a056-cda48fe17b79</t>
  </si>
  <si>
    <t>17ef9723-7467-4588-9155-1be7671a0cf6</t>
  </si>
  <si>
    <t>03de0be7-061f-495f-b358-10edfa876017</t>
  </si>
  <si>
    <t>fe17e7ca-09d1-4e14-8bd4-bc32560de38c</t>
  </si>
  <si>
    <t>610760c5-3d5e-468a-92bc-be2f6bdc808e</t>
  </si>
  <si>
    <t>168cd6a6-b2db-418f-a732-46951103ba14</t>
  </si>
  <si>
    <t>42583665-e675-4e09-b356-8ac8a70919c7</t>
  </si>
  <si>
    <t>4f31b1a3-516a-473c-a85d-0eb188c11364</t>
  </si>
  <si>
    <t>00d0ac89-6c8b-4b5f-be84-a100b883908f</t>
  </si>
  <si>
    <t>939489f1-6d30-4e1b-b7f7-59b8e91a72f5</t>
  </si>
  <si>
    <t>44ca32ba-9ffb-4b84-b05f-e0083646b65b</t>
  </si>
  <si>
    <t>56ba2e9c-f297-46e8-bf90-75e87b5d545c</t>
  </si>
  <si>
    <t>6e2bdce7-2621-4e2a-a82e-b680aec0ef77</t>
  </si>
  <si>
    <t>7ca221ee-bb61-4362-9346-49f8e2b2ce53</t>
  </si>
  <si>
    <t>9b38f600-971a-4593-8af3-d84bbcc89872</t>
  </si>
  <si>
    <t>5c8daf31-d157-436c-ba1f-49586d5dc7a0</t>
  </si>
  <si>
    <t>4a5aac66-0d24-4422-9167-5f2681277730</t>
  </si>
  <si>
    <t>49961bf8-131e-4429-8a20-c162a9b0131b</t>
  </si>
  <si>
    <t>b4031522-30fe-4556-a835-31199379c685</t>
  </si>
  <si>
    <t>39faa472-8d56-498c-ae7c-5b8649ea723d</t>
  </si>
  <si>
    <t>739911a3-4ebd-4179-a2de-5bbe0468a77d</t>
  </si>
  <si>
    <t>0c7a6500-d3c3-45b8-a0c0-86d47a742aeb</t>
  </si>
  <si>
    <t>2626bf87-f9d8-497b-b585-8ca4a225a307</t>
  </si>
  <si>
    <t>5ea38f62-a1d1-4807-b10f-5aba1597d74b</t>
  </si>
  <si>
    <t>746acece-ad23-4be2-94ea-1323a67118e6</t>
  </si>
  <si>
    <t>0096493f-2e50-4c1d-a466-045729b361f8</t>
  </si>
  <si>
    <t>3598760f-c1ad-4045-93e4-65fd228b7ec2</t>
  </si>
  <si>
    <t>2dfe3a0c-3837-45c4-bf6b-b5a510474670</t>
  </si>
  <si>
    <t>e91dcee1-0583-4cbf-9597-4077434b5294</t>
  </si>
  <si>
    <t>8ace0ec1-29ec-42dd-b8f9-da8a5c296181</t>
  </si>
  <si>
    <t>df5b92f3-cc39-4510-8f0a-70d6f613dcf1</t>
  </si>
  <si>
    <t>c640265f-5b8f-4257-ab78-c3c13c3d0567</t>
  </si>
  <si>
    <t>703b2a7b-d9ce-4e18-a811-38eed832cdc2</t>
  </si>
  <si>
    <t>404a171f-e631-43d8-bd77-a7f6a237ed69</t>
  </si>
  <si>
    <t>516aa670-aef5-45bf-a829-fb36a73ce17a</t>
  </si>
  <si>
    <t>ebf1053d-c1d3-43fe-ab10-b6bbbc836965</t>
  </si>
  <si>
    <t>1dbbab88-64d7-4743-8325-1c6a5a2db166</t>
  </si>
  <si>
    <t>eaf5aeeb-0b8d-44b2-9638-823ea657046e</t>
  </si>
  <si>
    <t>d6c09866-190e-4991-9e68-3458da487946</t>
  </si>
  <si>
    <t>fb3d4e2f-e88f-43c2-8331-ff151bcbde98</t>
  </si>
  <si>
    <t>c9d2a73d-bec0-4870-b1c5-574af98c3ed0</t>
  </si>
  <si>
    <t>8c90c6d8-cf82-434f-b611-469fc8eabd1d</t>
  </si>
  <si>
    <t>2338d044-5721-4c74-b5a5-0ad908fdae42</t>
  </si>
  <si>
    <t>371d2fcc-9488-489c-83a6-4237b2126a0c</t>
  </si>
  <si>
    <t>428d1631-089b-440c-ae47-e473ea578d2b</t>
  </si>
  <si>
    <t>6bbf8c2a-85cd-4535-bc8f-102dd89fc8f1</t>
  </si>
  <si>
    <t>94fcd8e6-cf0e-4d4f-b617-a7b707d574fb</t>
  </si>
  <si>
    <t>b0603abe-7c1d-4134-bb64-e7e6179fe807</t>
  </si>
  <si>
    <t>e24e4d49-6907-4ae2-9078-afbd4614b575</t>
  </si>
  <si>
    <t>edfd63f3-3cc4-4176-ac1e-24b3d98803bf</t>
  </si>
  <si>
    <t>5ca62562-2f97-45e6-947f-50fd78d3e1da</t>
  </si>
  <si>
    <t>6a6b9c44-ad8c-4e61-b802-872dd1915404</t>
  </si>
  <si>
    <t>204a2c45-ac50-418f-b670-c7e4b2007302</t>
  </si>
  <si>
    <t>6cd70baf-f3d6-4945-bfd7-d22fac63fa88</t>
  </si>
  <si>
    <t>daa05e99-24c1-44f2-9e0a-1f9c4fa906b8</t>
  </si>
  <si>
    <t>2afab9be-3a76-40a6-8307-2f6032ea5ed7</t>
  </si>
  <si>
    <t>8a55a749-41d4-45b6-a9c9-2f2f9c51987b</t>
  </si>
  <si>
    <t>29d4e457-9815-4265-947b-3874ec62d303</t>
  </si>
  <si>
    <t>5b7ac2a7-8630-40c0-ab36-8790bdd5b72d</t>
  </si>
  <si>
    <t>3d6557cf-6313-452e-950c-58954e897821</t>
  </si>
  <si>
    <t>a76d4fb8-c40c-4d2d-9787-d25fd7dd8a62</t>
  </si>
  <si>
    <t>c548dc65-bceb-41a1-a632-4df6231d1598</t>
  </si>
  <si>
    <t>1108349f-c840-4a25-974a-8d0493ad4a17</t>
  </si>
  <si>
    <t>2fd45861-a29a-415e-ac5d-cea5bc630e48</t>
  </si>
  <si>
    <t>d01674a0-7c1d-4f7b-9f8b-37fb6183a5bd</t>
  </si>
  <si>
    <t>a086eed6-b0e3-495f-8e01-2dfcbcacbc1b</t>
  </si>
  <si>
    <t>b642ab9d-9e8a-453d-a197-4459bf6f3fdf</t>
  </si>
  <si>
    <t>b4b3542b-49a7-4388-a441-0b249d407a96</t>
  </si>
  <si>
    <t>83d1517f-5acd-43a1-b7c6-797ffaa6d30d</t>
  </si>
  <si>
    <t>08ee2919-d3d7-4f2e-a38d-e4fbd90135da</t>
  </si>
  <si>
    <t>24852795-6554-47fb-b82c-fb7b9b838b36</t>
  </si>
  <si>
    <t>63d32ce8-5a1c-49df-9a33-acdf7a3c557c</t>
  </si>
  <si>
    <t>d701aebf-e96e-4856-bbe4-d6b89e0199a1</t>
  </si>
  <si>
    <t>648688f8-e8f8-4f9a-89c3-2d4443070ea6</t>
  </si>
  <si>
    <t>23243104-4a01-4b25-b258-4cc078ff2ac3</t>
  </si>
  <si>
    <t>1dd8c378-98b8-4a90-9572-68c7482dca42</t>
  </si>
  <si>
    <t>3d79d16b-da13-453d-a8c3-f7199a6cdfb2</t>
  </si>
  <si>
    <t>678d9564-aa23-4358-a5d7-aaa43837d842</t>
  </si>
  <si>
    <t>434b07df-cc44-44c9-a593-745ce4e4def6</t>
  </si>
  <si>
    <t>a04d9dc0-4e95-45ab-9dbf-be27dcee774f</t>
  </si>
  <si>
    <t>5f3d2ddc-28ef-435a-b254-613e4dc78e82</t>
  </si>
  <si>
    <t>be4e2edc-af09-49c4-90cd-129adf480dd1</t>
  </si>
  <si>
    <t>75671d2a-1bc3-420c-bc53-be0b7b7a459e</t>
  </si>
  <si>
    <t>498d73d9-03f9-4015-838b-87ff7e7c27eb</t>
  </si>
  <si>
    <t>c83dc9a6-f67c-48bd-b765-8057ebf8e8d5</t>
  </si>
  <si>
    <t>574c9191-cf2c-4a3f-a312-2e43983e1b90</t>
  </si>
  <si>
    <t>96ef3816-4077-4060-b7db-c0377cba82fd</t>
  </si>
  <si>
    <t>891e679d-932c-4317-92f6-2175b8844f7b</t>
  </si>
  <si>
    <t>954c3cd8-c29d-43bd-ab26-ab9159368003</t>
  </si>
  <si>
    <t>d8c9d6dd-3fb0-4788-81e1-517a2fa21f64</t>
  </si>
  <si>
    <t>bf2208fc-8e94-4ef7-9c05-b85e024974fe</t>
  </si>
  <si>
    <t>67163235-8361-4ab1-947e-5c498af629be</t>
  </si>
  <si>
    <t>9e1c5c96-0940-4c9c-9f73-88ae04d28614</t>
  </si>
  <si>
    <t>c5324858-c287-492a-89b4-378cfc1166b4</t>
  </si>
  <si>
    <t>e15a6230-4265-4afc-9236-1441739c5788</t>
  </si>
  <si>
    <t>d00501c8-2e7c-4431-bac6-756a30750e87</t>
  </si>
  <si>
    <t>e2d8125a-d94a-445c-8bf3-df0777ac75dc</t>
  </si>
  <si>
    <t>d83602af-8fe8-4c56-b18f-21ea9290dc62</t>
  </si>
  <si>
    <t>0980a437-8bc3-4271-9d57-52862cba1da9</t>
  </si>
  <si>
    <t>6a4a714c-a02b-48cf-ac93-ce599902ea2d</t>
  </si>
  <si>
    <t>b07e75ec-e439-4a09-a3a5-2ec0a200d327</t>
  </si>
  <si>
    <t>1e459411-ff01-48dc-9c80-e7852d8e0297</t>
  </si>
  <si>
    <t>4d8bc75b-a61d-4929-b90d-4c787ac572e8</t>
  </si>
  <si>
    <t>aaceef9c-cfc7-463a-93cc-c65568683f41</t>
  </si>
  <si>
    <t>a80253e1-2e80-4fb2-8c09-638195c29b67</t>
  </si>
  <si>
    <t>a5367f35-855f-4a66-af1f-868077d48aab</t>
  </si>
  <si>
    <t>d576f9b9-d3ac-478a-9902-576e28751233</t>
  </si>
  <si>
    <t>03982d24-e0ee-44f6-a2d2-8e674e6f9472</t>
  </si>
  <si>
    <t>8a134712-1f18-4b61-ab5b-439b1da39f03</t>
  </si>
  <si>
    <t>4a8e010e-be63-458d-88ea-ff1fad0697c6</t>
  </si>
  <si>
    <t>a534a069-2289-4394-a786-ea3b3e8c8299</t>
  </si>
  <si>
    <t>61fadcf7-ac99-415f-ab68-8fff15e31c6c</t>
  </si>
  <si>
    <t>b2b9a110-f871-46ef-80f0-d49873ab9617</t>
  </si>
  <si>
    <t>61262a04-454f-4226-875a-5b0bc9dd7b34</t>
  </si>
  <si>
    <t>e76a6dcc-3a43-42eb-b699-31943d7adfe6</t>
  </si>
  <si>
    <t>e9445ae5-ac4a-4c8a-baa6-d7c34de3a94f</t>
  </si>
  <si>
    <t>b0eeecda-fe55-4e37-ac3e-a2a79b4550f0</t>
  </si>
  <si>
    <t>7bcea058-f6e6-4a44-abcf-dadbe03fa2b6</t>
  </si>
  <si>
    <t>49ed5d9f-4ff3-43f2-a5a7-2692c6001564</t>
  </si>
  <si>
    <t>7f68271e-cf8f-4d9b-a547-8b01d8418eb4</t>
  </si>
  <si>
    <t>5ffeb96d-46d4-414e-837f-94bf0d3535a9</t>
  </si>
  <si>
    <t>e6c2a002-eb4d-493f-b27b-7e988c2f45e5</t>
  </si>
  <si>
    <t>a7a7e2b3-1e7e-4737-b1f2-2ae63e097fee</t>
  </si>
  <si>
    <t>151632c2-448d-4506-b6d3-998a69f913e0</t>
  </si>
  <si>
    <t>bca41c07-4e4a-4098-bcdc-77599d4e9151</t>
  </si>
  <si>
    <t>5ba38c0e-7253-45c2-8c9d-eaf536fba6b2</t>
  </si>
  <si>
    <t>35b6fcd0-5e73-48b1-98d4-759639d105c6</t>
  </si>
  <si>
    <t>194da552-5cd7-4a25-ba51-be355a5f3640</t>
  </si>
  <si>
    <t>8cd99b8f-f700-4f8a-bd90-796820d622b6</t>
  </si>
  <si>
    <t>fd078289-6031-4f18-be1f-6249a2450875</t>
  </si>
  <si>
    <t>c6406c79-cca5-4f28-ab18-f5ec66ef9a56</t>
  </si>
  <si>
    <t>721b6245-94c5-494b-9586-24606e4449dd</t>
  </si>
  <si>
    <t>c540e177-5db5-4af4-93c2-e19f8f315f76</t>
  </si>
  <si>
    <t>8a75a6fe-5b61-45dd-a711-aea632a5905a</t>
  </si>
  <si>
    <t>e433a024-7b22-45f8-87a6-1cb9261a9af0</t>
  </si>
  <si>
    <t>ddf75361-0a10-4814-a121-c84189f280c1</t>
  </si>
  <si>
    <t>38a49378-59c6-4588-9473-90ba40b5fa2c</t>
  </si>
  <si>
    <t>703c3459-cb6d-4327-85b3-6382664eda3c</t>
  </si>
  <si>
    <t>fca8fb87-c75f-48e5-9eb2-75f0488b505b</t>
  </si>
  <si>
    <t>ac9b9125-0209-432e-a5a4-2fcab6a954c1</t>
  </si>
  <si>
    <t>d09cb0b3-7d92-4a4e-98b8-f1c5e3410431</t>
  </si>
  <si>
    <t>9c77dd4e-311c-4cb2-9abb-18e793000fd0</t>
  </si>
  <si>
    <t>15a51552-33c7-4010-8b54-03e9c525f5e7</t>
  </si>
  <si>
    <t>a8deb733-15d0-4f70-97bf-db08e6abf81d</t>
  </si>
  <si>
    <t>8603210c-8ca6-43e0-acee-ff4a177b4518</t>
  </si>
  <si>
    <t>c42b21f0-5dd8-41e9-a07d-b2b43280f699</t>
  </si>
  <si>
    <t>7d0b5318-f23c-4488-a536-be007c42af45</t>
  </si>
  <si>
    <t>ee8c7f4d-eaab-45ab-b045-2216e7f1602f</t>
  </si>
  <si>
    <t>64faa881-a1b0-44e0-87c0-e0488a160d41</t>
  </si>
  <si>
    <t>a28954d9-05d8-4da4-be6a-6e5fbf2ec348</t>
  </si>
  <si>
    <t>e3792c75-a3ea-492a-860b-7ca1cc734642</t>
  </si>
  <si>
    <t>508f027b-d12f-4487-b1ba-4cbc1c4f12ca</t>
  </si>
  <si>
    <t>4b7e0d88-c065-4621-97ac-c44851fec061</t>
  </si>
  <si>
    <t>9f52e7d4-9ec8-4f0f-b870-387d30e65150</t>
  </si>
  <si>
    <t>d058468a-c122-4423-a213-27066c56976c</t>
  </si>
  <si>
    <t>96bf8130-6f00-4e56-bfc8-5772191c6712</t>
  </si>
  <si>
    <t>b6f8faca-2690-4160-a5ae-fe9712efedfc</t>
  </si>
  <si>
    <t>7956f5d8-52dc-4970-bc7e-65a18ae9728f</t>
  </si>
  <si>
    <t>7ecea0ac-f43b-41c0-ae8b-e4732043ec74</t>
  </si>
  <si>
    <t>52f9aab7-a56d-41dd-804a-04dd7d15bf22</t>
  </si>
  <si>
    <t>5e052d5c-a8dd-4f31-a703-918f73fd8c82</t>
  </si>
  <si>
    <t>fbc0b566-b440-4a67-af44-9cae6a440b89</t>
  </si>
  <si>
    <t>e66a0076-9479-485a-a997-9b5d31a4daa7</t>
  </si>
  <si>
    <t>2fde452a-a6e0-4f21-8203-853b667e0899</t>
  </si>
  <si>
    <t>315cf5c5-a702-41fe-86c0-e2b557e9985a</t>
  </si>
  <si>
    <t>e41c91de-100e-4381-a3fc-b000b07e58b2</t>
  </si>
  <si>
    <t>281d65e6-f075-4c62-961d-40cdf8f7d8d9</t>
  </si>
  <si>
    <t>2c09c15a-5175-4be8-b116-4b92db4b1e37</t>
  </si>
  <si>
    <t>c89c8c3e-b26e-4976-8068-8885aca4f289</t>
  </si>
  <si>
    <t>9df79458-3853-4677-a5da-1924ad41cea8</t>
  </si>
  <si>
    <t>1cae9cd9-7437-43d5-a340-0df78d5e2deb</t>
  </si>
  <si>
    <t>caf331bd-e856-4aff-a4c9-113edbc82916</t>
  </si>
  <si>
    <t>6ef68b9a-3285-4d8f-8aba-793919c3f663</t>
  </si>
  <si>
    <t>e5011ef6-7bad-4b5f-9401-c5f1b2270a1f</t>
  </si>
  <si>
    <t>6da21466-265a-45d7-add9-d22a82d2615e</t>
  </si>
  <si>
    <t>4a1594d0-2509-43eb-a3fa-0f2824ef799e</t>
  </si>
  <si>
    <t>8bc31233-be4a-4089-b6dd-1017f72b9d5e</t>
  </si>
  <si>
    <t>93aad060-5952-4263-aa42-3f0fa0b4a40f</t>
  </si>
  <si>
    <t>a1a87686-1683-469a-bf22-7711fa3609df</t>
  </si>
  <si>
    <t>eb5fbc6c-e30a-478d-a7da-a59c0599fcfe</t>
  </si>
  <si>
    <t>739eb0c3-1151-45c3-b9f2-612f09ab79fa</t>
  </si>
  <si>
    <t>c43f248e-5f89-456e-8928-3b7deecc5513</t>
  </si>
  <si>
    <t>cfdfa1b4-2d44-4590-9014-261189fa52a4</t>
  </si>
  <si>
    <t>028b3264-1684-4e80-86e3-73d1a6ff494e</t>
  </si>
  <si>
    <t>f790bf9f-574a-4e4c-af99-6722b44d1b86</t>
  </si>
  <si>
    <t>63a73303-24e9-40ae-bf02-b3ad86826d8d</t>
  </si>
  <si>
    <t>2da971e8-6dd6-4b84-886e-cc7224719c68</t>
  </si>
  <si>
    <t>7283cabb-fec5-4272-afb2-231805380415</t>
  </si>
  <si>
    <t>e34e7c67-c759-44cb-8b4f-dc8528caf798</t>
  </si>
  <si>
    <t>df7b4992-0237-41c9-aad7-c6bc924656ab</t>
  </si>
  <si>
    <t>51b70384-4ba4-4db8-a9bc-9d73bcf5809a</t>
  </si>
  <si>
    <t>7303e0b7-d1b7-4c50-a25f-9412852ccb57</t>
  </si>
  <si>
    <t>ac658685-7121-43d9-8826-26555a1413dc</t>
  </si>
  <si>
    <t>9e5aba73-70c7-4c4b-be2a-cece8911e715</t>
  </si>
  <si>
    <t>4e2358b0-1a71-4a58-9eb7-91e4e8356b15</t>
  </si>
  <si>
    <t>62dd3875-26dd-4ae2-9ce2-39e5c3ac3778</t>
  </si>
  <si>
    <t>ea445310-db09-4437-ad66-604cf933fecb</t>
  </si>
  <si>
    <t>14aa8451-3eb5-452b-82f3-784b0bea8370</t>
  </si>
  <si>
    <t>234aebb2-03db-4643-8cb0-cac4dbc1168a</t>
  </si>
  <si>
    <t>6c7b1c0d-996b-4579-b6bb-b517354fee57</t>
  </si>
  <si>
    <t>5344cf5d-4ed6-46ed-b9f4-cdc3a43fd071</t>
  </si>
  <si>
    <t>7c24ac19-27d7-4ea8-977c-af065d537f8a</t>
  </si>
  <si>
    <t>ea35a7e3-8b46-4729-b065-05c130cb42e7</t>
  </si>
  <si>
    <t>3ff29c25-53f2-44bc-8fd8-ddaaf7a0bdf7</t>
  </si>
  <si>
    <t>367b5c1f-3a09-4ad0-bb5f-84794017b056</t>
  </si>
  <si>
    <t>ab1e0f64-ebdf-45e9-8f67-7318e414bae9</t>
  </si>
  <si>
    <t>717ea639-fe7c-4ee6-a84f-bd1ec46b5a90</t>
  </si>
  <si>
    <t>8e263f30-6678-467f-97b6-314f8469bc40</t>
  </si>
  <si>
    <t>4faa5334-a0e9-4a62-9b93-b56b0c755451</t>
  </si>
  <si>
    <t>0b3e252d-2ecd-4cde-9369-f8ee953168e7</t>
  </si>
  <si>
    <t>e7f65b07-5fa9-4817-910c-aaf57e33d464</t>
  </si>
  <si>
    <t>c6c98fc4-df4a-4a30-a15e-bb89d7ce65fe</t>
  </si>
  <si>
    <t>e9966457-22d6-44e2-9f81-1d33ea404f4d</t>
  </si>
  <si>
    <t>bc060377-071d-49ea-81c4-a77c757ab191</t>
  </si>
  <si>
    <t>eaf278b5-6c76-4cad-9512-63d49cd09014</t>
  </si>
  <si>
    <t>559b4db8-efde-4312-85e2-b69a3dbb5a0a</t>
  </si>
  <si>
    <t>cbe3e93d-0c82-454c-b49b-6a24bf336650</t>
  </si>
  <si>
    <t>60f8e966-f8fe-403d-8a4a-a2fba55305b5</t>
  </si>
  <si>
    <t>379a8e13-d930-4da3-9ae2-f7a171e3048b</t>
  </si>
  <si>
    <t>c8c82748-5f70-4487-988a-8a60df314edd</t>
  </si>
  <si>
    <t>7958c275-9b09-4499-9c2e-7831d067cc37</t>
  </si>
  <si>
    <t>bd73ca0c-fc8b-4fa8-a817-e51c6ed21de6</t>
  </si>
  <si>
    <t>9dc1731a-8478-478c-9579-628d9ad8434d</t>
  </si>
  <si>
    <t>715efa67-4c8b-4781-b930-acb84750e731</t>
  </si>
  <si>
    <t>bdea6f2b-dd5a-4d49-8937-f538812ac149</t>
  </si>
  <si>
    <t>1ab3c1e9-e666-49fb-a8c0-851db2e2cf3e</t>
  </si>
  <si>
    <t>0767e67f-4e28-4f90-952e-ecdf3dbbe644</t>
  </si>
  <si>
    <t>156ce976-336b-4246-8aa7-46d0dd6b512f</t>
  </si>
  <si>
    <t>0793d35b-a8fe-44f0-8715-bbb5698d1e0d</t>
  </si>
  <si>
    <t>13c2c0fa-a217-45a7-a185-ed6cc3ab793a</t>
  </si>
  <si>
    <t>b8b7f86a-6185-4a95-806d-a2ac5d5a3689</t>
  </si>
  <si>
    <t>3f65bea8-be00-4dfe-b1a7-4814c28343a3</t>
  </si>
  <si>
    <t>4443326f-4011-44cd-8430-cb753c929ee7</t>
  </si>
  <si>
    <t>f6f8e133-68da-4ec0-96c5-23aa4d529fa4</t>
  </si>
  <si>
    <t>1e648d4b-0ef1-494f-9d5b-358b13319515</t>
  </si>
  <si>
    <t>134b59a6-1e1e-49f5-8d32-0f5514c29cec</t>
  </si>
  <si>
    <t>0d88654e-580d-41b0-85e3-bbba6cadf4b3</t>
  </si>
  <si>
    <t>693bd619-d44c-4493-8e93-839565c7e22a</t>
  </si>
  <si>
    <t>d8609365-fa2d-40cc-804b-3f6c69b647ea</t>
  </si>
  <si>
    <t>7a7311a0-8c08-4915-bb93-08275db32c6e</t>
  </si>
  <si>
    <t>7411aa71-f4db-4ea0-bbe7-a7ebe1956b5b</t>
  </si>
  <si>
    <t>8a0392e2-f467-4c73-9952-4994cd59c042</t>
  </si>
  <si>
    <t>32a878b4-7ffa-4b94-80e8-dce7045fbe05</t>
  </si>
  <si>
    <t>4a9134c1-df72-412d-bb36-40d310de5efd</t>
  </si>
  <si>
    <t>8693858e-574e-41e3-8513-c0c0a90fd16f</t>
  </si>
  <si>
    <t>cab563f1-0ad9-4421-ad8e-97c327fa1101</t>
  </si>
  <si>
    <t>38c700d7-d01c-4438-a11c-fe02962ce71c</t>
  </si>
  <si>
    <t>55adec96-436e-4e93-8314-72b6ba6cb018</t>
  </si>
  <si>
    <t>b024528f-e767-4e2e-b955-bffca9eb0735</t>
  </si>
  <si>
    <t>2e99f915-2f6f-4677-9341-4b3469cf3354</t>
  </si>
  <si>
    <t>72c8b7cd-5ffa-4322-877c-4f29877d7133</t>
  </si>
  <si>
    <t>18e4b45c-8cc2-4e82-b356-09a34c2d37a3</t>
  </si>
  <si>
    <t>17f59277-c7e2-47e1-a7bd-3c0963f52786</t>
  </si>
  <si>
    <t>4832cf3c-58f4-4e3c-b68b-8ec79e0211b4</t>
  </si>
  <si>
    <t>ccc9e85c-aad5-4b74-9bcf-f76c07ef4053</t>
  </si>
  <si>
    <t>7afcedbd-9718-44ff-8ede-efc0e0185061</t>
  </si>
  <si>
    <t>7488e452-edef-41b6-9495-a9a9e53017ca</t>
  </si>
  <si>
    <t>3618dfa5-29fe-4e1b-8a83-6f1cf9104520</t>
  </si>
  <si>
    <t>36373833-2bfd-4d6a-9492-7d23ccdd5902</t>
  </si>
  <si>
    <t>bee0cb13-d553-4658-bf0a-535253d1a377</t>
  </si>
  <si>
    <t>f22f8109-7481-414e-96e7-28f480a5468f</t>
  </si>
  <si>
    <t>e232ec8c-d6ef-4417-ac24-52e9607d1bc4</t>
  </si>
  <si>
    <t>cd5c784e-fe50-4043-b6cf-c5aed0f98310</t>
  </si>
  <si>
    <t>c46717ef-60ab-48ef-8195-b3df89c2250c</t>
  </si>
  <si>
    <t>75577dc0-33c5-4426-a83a-bfa4a209f1cb</t>
  </si>
  <si>
    <t>bc0566d8-349b-493a-a021-8052bbeaac87</t>
  </si>
  <si>
    <t>933dba9f-70f9-4b33-b077-220b7fd6877c</t>
  </si>
  <si>
    <t>68a51ca7-1dd8-4aaa-8d47-3f590c7ea9d8</t>
  </si>
  <si>
    <t>8e61746f-781d-43bd-bff7-ab01c651129a</t>
  </si>
  <si>
    <t>63ff3a6a-da6d-4bde-a316-ba19e138f934</t>
  </si>
  <si>
    <t>0d88b153-60d1-471f-b13c-a2d6f5a64375</t>
  </si>
  <si>
    <t>cdedc6c5-fbaf-4a5a-8eaf-57077ac3a178</t>
  </si>
  <si>
    <t>dfdbc790-27e3-4f0a-a947-dd5f97ac3d47</t>
  </si>
  <si>
    <t>26c56883-f3b3-4a24-8d61-9f6a67fc69a4</t>
  </si>
  <si>
    <t>6879d62e-8e7d-4f8d-9610-866af70c718a</t>
  </si>
  <si>
    <t>a06ff28a-2003-4966-aad4-317103164c5f</t>
  </si>
  <si>
    <t>b8bc6920-fca2-44ba-98cc-75fc24a75bb9</t>
  </si>
  <si>
    <t>ca7f4185-e760-470a-be00-88647bf42b21</t>
  </si>
  <si>
    <t>bb2ba635-9c80-4c7c-bc8a-18f85cf3412a</t>
  </si>
  <si>
    <t>e61faad6-7c15-4d43-9c74-6f3915a4cba7</t>
  </si>
  <si>
    <t>a184e609-2a47-46b0-930d-128f692a8d88</t>
  </si>
  <si>
    <t>ac8f4618-b0c1-4348-86c5-e77a4f91e013</t>
  </si>
  <si>
    <t>e26f362c-464a-4e68-a3d7-c19330da5d85</t>
  </si>
  <si>
    <t>a99a3e6a-e0e1-4d1a-a917-4227b67ecc46</t>
  </si>
  <si>
    <t>d675d06f-5fbb-4ac6-acd7-59973029813b</t>
  </si>
  <si>
    <t>33ba22d1-d812-4c82-a147-9a2578ee1d7b</t>
  </si>
  <si>
    <t>ee878023-d309-4240-bad1-25139db94e16</t>
  </si>
  <si>
    <t>ee8090ff-a2ee-45a6-ab03-fcd292b6261d</t>
  </si>
  <si>
    <t>0eb8359b-483f-4987-bfdb-1872b26f1d28</t>
  </si>
  <si>
    <t>f33d2bef-5c3c-4855-9b71-6d7a6987ae68</t>
  </si>
  <si>
    <t>9ca93ab3-1679-465b-ad79-56493cb9d139</t>
  </si>
  <si>
    <t>134754ef-e125-4478-9968-6bd84d38600b</t>
  </si>
  <si>
    <t>ba94e9f0-9a94-461b-93dc-155aa78dec25</t>
  </si>
  <si>
    <t>1442e003-551d-49f6-a614-bb491be8e622</t>
  </si>
  <si>
    <t>0f16b8c6-f57f-4afd-8fff-0e23fc15676a</t>
  </si>
  <si>
    <t>e8fcb936-93eb-4882-93f0-333375f2956d</t>
  </si>
  <si>
    <t>ff3f8b64-5316-445f-925b-d632e6450132</t>
  </si>
  <si>
    <t>be11587a-1e52-4121-8692-db7ed87d0b99</t>
  </si>
  <si>
    <t>b3052ab6-d900-4cd5-80ce-9bc43798487b</t>
  </si>
  <si>
    <t>f2500cb9-3118-4194-939a-1c0f411330e9</t>
  </si>
  <si>
    <t>28acc447-ea30-4f6d-ab37-1e49bde5fe1d</t>
  </si>
  <si>
    <t>7813db80-022e-4b91-b9f1-b2bb54843ab8</t>
  </si>
  <si>
    <t>d00ce231-45ab-4d84-a9aa-9cd95ab99fc5</t>
  </si>
  <si>
    <t>4b1d30bd-3972-411f-980a-b4b8cf24ae73</t>
  </si>
  <si>
    <t>48a29b2b-5f5c-47df-a214-289c3b314556</t>
  </si>
  <si>
    <t>3cbcbd70-5cb1-4b78-b757-5098e9cb5a9e</t>
  </si>
  <si>
    <t>ff995a8b-9e6a-4dce-ac30-c024c6b7f1cd</t>
  </si>
  <si>
    <t>1451339e-4d45-4dbe-b30a-c409a19e6f34</t>
  </si>
  <si>
    <t>0959bfa5-0d2a-4f5f-8864-5ee88f2d4bac</t>
  </si>
  <si>
    <t>70bd1ba1-8ced-4ad5-9136-1f9a42033f09</t>
  </si>
  <si>
    <t>84391146-0cc4-463e-8765-6077be33b03a</t>
  </si>
  <si>
    <t>24bf854e-75e6-48b3-90cf-240fcb55f019</t>
  </si>
  <si>
    <t>a30d7f7d-9a94-4d8e-a203-7141e23ac07f</t>
  </si>
  <si>
    <t>007725ce-8b6f-4a83-b5f4-d968a443c76c</t>
  </si>
  <si>
    <t>305512fd-5885-47b7-a176-7a122c4019e1</t>
  </si>
  <si>
    <t>151825a4-9de1-4f7d-8752-8e61fbb07b3b</t>
  </si>
  <si>
    <t>6b34d1e2-886b-4b52-8db8-18d667e6bb85</t>
  </si>
  <si>
    <t>29a0680c-9e07-448d-a396-e47b9ad687cd</t>
  </si>
  <si>
    <t>a612071b-995d-488a-8fea-93b2fb0ba9d9</t>
  </si>
  <si>
    <t>06c2d4ca-697b-4254-95b7-c768884cb5b3</t>
  </si>
  <si>
    <t>3a55c070-a596-452c-9383-7d8f3eac1d4a</t>
  </si>
  <si>
    <t>bad051e3-46fb-4367-8982-c89cb128d7ee</t>
  </si>
  <si>
    <t>d32d376f-edca-4225-884c-f5e565fe1c4d</t>
  </si>
  <si>
    <t>ba5306d2-8391-41fe-81b5-66926e70e7f2</t>
  </si>
  <si>
    <t>cee88dc1-24fa-4f0e-b37c-f85763773a98</t>
  </si>
  <si>
    <t>e2249df0-bb55-4086-9cbb-3a175474d402</t>
  </si>
  <si>
    <t>f0ea2293-f692-449a-b908-e3dce4dc24ad</t>
  </si>
  <si>
    <t>7aecb3ed-2051-47b1-ae2a-3d7aea1b1cdc</t>
  </si>
  <si>
    <t>ac9e54a6-eca3-49af-bf6e-b38ba501d1d3</t>
  </si>
  <si>
    <t>5481a0df-2d07-4447-9909-85018d95299a</t>
  </si>
  <si>
    <t>c7a0c94b-e932-40de-88a8-e5476bc0a242</t>
  </si>
  <si>
    <t>9710513e-7166-4a82-9fb6-b1edecd65528</t>
  </si>
  <si>
    <t>abdf3a99-8aeb-40dd-a52a-a138e56158f5</t>
  </si>
  <si>
    <t>393ed47e-20a6-4254-9f10-c77c00f8e5e1</t>
  </si>
  <si>
    <t>0b27424e-ad33-4473-b01a-cf79f46403a3</t>
  </si>
  <si>
    <t>cdb1717b-1944-4f00-9637-170c4e6e9f9e</t>
  </si>
  <si>
    <t>643cb83e-d254-437e-80ab-73c77cd4c08e</t>
  </si>
  <si>
    <t>dd8be982-3167-4113-b75b-f29158a5e445</t>
  </si>
  <si>
    <t>a36a070b-cac8-41d4-9d01-3f940fcee262</t>
  </si>
  <si>
    <t>15d484d4-7613-4f31-9420-e9500350a05d</t>
  </si>
  <si>
    <t>cd06c26c-0101-473b-96d0-becd564e29ab</t>
  </si>
  <si>
    <t>a1f4b080-5b2b-4f9f-bc47-b9afb29e2133</t>
  </si>
  <si>
    <t>4537fb19-0890-47b4-bee4-bfcf25f828c5</t>
  </si>
  <si>
    <t>88e60bf8-87ae-4605-85a7-62a3b5259dc4</t>
  </si>
  <si>
    <t>2b07aa67-3419-4899-b71d-3aeab67c044e</t>
  </si>
  <si>
    <t>e6659a69-ed21-48a7-bddb-292c337560a1</t>
  </si>
  <si>
    <t>cb18e2c4-c3f5-47d0-8529-4fc431b77250</t>
  </si>
  <si>
    <t>a6945d49-2f81-45b4-a0ea-a76a8abda536</t>
  </si>
  <si>
    <t>16bf7ae4-51c2-4fee-b60b-94614d34f294</t>
  </si>
  <si>
    <t>0cde7344-425c-4ad7-bb28-adf4645ec248</t>
  </si>
  <si>
    <t>ef5e1890-bd98-406f-b4ee-c69d858e1378</t>
  </si>
  <si>
    <t>dc5e00fb-938e-4a06-85c5-c41a3f6ff918</t>
  </si>
  <si>
    <t>f945ee2b-37c8-438d-801f-78d678a7075d</t>
  </si>
  <si>
    <t>0440f4e8-d3e5-418c-9d9d-7c577e7c2bc3</t>
  </si>
  <si>
    <t>8b379239-ce11-47d8-9e60-b7f7160d7776</t>
  </si>
  <si>
    <t>ee8e6276-0dfb-4de1-b0f7-cb50b56f094d</t>
  </si>
  <si>
    <t>b3276cc1-5204-4dff-a4be-b8df4cda8dc2</t>
  </si>
  <si>
    <t>dbd89b69-e9d5-44cb-825e-869fea229732</t>
  </si>
  <si>
    <t>2b3a2290-7d45-4283-9713-c12b365049d7</t>
  </si>
  <si>
    <t>000c4567-9127-4219-8388-5e80b5ca69f9</t>
  </si>
  <si>
    <t>95e2b824-01eb-46b1-a49c-64028eb53a05</t>
  </si>
  <si>
    <t>c93fcf19-50f7-4f58-bbb5-594b256ea027</t>
  </si>
  <si>
    <t>91e75c21-4082-41a3-8308-b730ebe3c6eb</t>
  </si>
  <si>
    <t>4fcc49eb-2ed8-45f1-ac1e-7007fdd3f9df</t>
  </si>
  <si>
    <t>5184537e-3d00-4dca-8908-23fa17da3c49</t>
  </si>
  <si>
    <t>a7d2dc2e-337e-49d8-9cd6-0b7baddb9f72</t>
  </si>
  <si>
    <t>cda5074c-56f0-4dfd-aca1-c74e5bb36c68</t>
  </si>
  <si>
    <t>d307a2c4-1894-4151-8845-17b9f833fb6f</t>
  </si>
  <si>
    <t>c1d406ae-3422-4495-a08e-b924e8a5de7a</t>
  </si>
  <si>
    <t>953d3409-bc33-4a5b-8417-9785ceea598a</t>
  </si>
  <si>
    <t>710b4f46-8146-43ed-aac6-8db0b088a5af</t>
  </si>
  <si>
    <t>7c0ff12e-f1b7-4e50-b6a7-c861c52ca069</t>
  </si>
  <si>
    <t>a3aa4d8f-1b79-4720-899d-14b5d2e5e0b7</t>
  </si>
  <si>
    <t>fd6deb8f-8e68-421e-b953-ff03a73a6955</t>
  </si>
  <si>
    <t>ce748863-275f-4e05-91dc-023d7aa95af0</t>
  </si>
  <si>
    <t>a5651698-558f-4df1-be7f-3ba2e9a77c66</t>
  </si>
  <si>
    <t>409f8bc7-5436-4013-ad6e-8b4ebd89e1ee</t>
  </si>
  <si>
    <t>9216bb2b-d1db-439f-918a-4c027996991e</t>
  </si>
  <si>
    <t>effeb7ca-f637-4c81-9ae7-1472542e3d39</t>
  </si>
  <si>
    <t>7438857d-b0ad-4cbb-8a68-a1abed5a4cf2</t>
  </si>
  <si>
    <t>06d3ca38-e4fe-45ab-a72b-f3693113784c</t>
  </si>
  <si>
    <t>348c7123-a82e-4b87-a78a-26515182a196</t>
  </si>
  <si>
    <t>0771c735-5f52-4ba5-98dd-a33b8d74ad08</t>
  </si>
  <si>
    <t>985d5c0b-ca0e-4763-ac11-f63b54490e06</t>
  </si>
  <si>
    <t>7974678f-ddef-4a46-9c00-09164dba7ef2</t>
  </si>
  <si>
    <t>13a14598-094c-4b01-9e7f-b2e5a3dbd45e</t>
  </si>
  <si>
    <t>7fe18b6f-cfa6-4347-92cc-56db433e2bd7</t>
  </si>
  <si>
    <t>55f3285c-83f5-433d-8ade-edd304e583e2</t>
  </si>
  <si>
    <t>e6b41ae6-e297-4989-8490-6263f487f421</t>
  </si>
  <si>
    <t>62103704-9359-48aa-86a9-6afc0f35812c</t>
  </si>
  <si>
    <t>2af5fde6-dd21-4a88-bf4d-042dcbf9edea</t>
  </si>
  <si>
    <t>ad5f13be-2e03-4273-9b16-3d073e2a7970</t>
  </si>
  <si>
    <t>129084f2-f81f-4fd4-bf2c-4a4364cd3f8d</t>
  </si>
  <si>
    <t>44a71c27-78d4-46ff-b4bf-12536e7b1fc1</t>
  </si>
  <si>
    <t>b975cb88-dd7a-4e77-84b9-bc4def149952</t>
  </si>
  <si>
    <t>2b979ed9-44d7-4ec0-876c-17578519b412</t>
  </si>
  <si>
    <t>5d9b72e7-6001-4e9c-8729-a50c01f3c9ae</t>
  </si>
  <si>
    <t>0e614aeb-baa3-40fb-aec9-46abe8b97e93</t>
  </si>
  <si>
    <t>97ba5cc4-9382-44d7-b0da-c4aa32594c3c</t>
  </si>
  <si>
    <t>f06709c5-da8b-4f1f-b929-b16472c9496d</t>
  </si>
  <si>
    <t>c7b43dec-0b9b-4938-98e5-b3473a055442</t>
  </si>
  <si>
    <t>f01e6518-023b-4aaa-9120-59f7a17efe34</t>
  </si>
  <si>
    <t>26f60e26-cedf-4ae5-b455-38e34e0b406e</t>
  </si>
  <si>
    <t>8cff989c-3ab6-4880-9d69-ee4ec14ef929</t>
  </si>
  <si>
    <t>771becab-9e93-409c-b46b-d9955c8bcb32</t>
  </si>
  <si>
    <t>aea29891-ba12-4c92-bc6d-609ef1dca0b0</t>
  </si>
  <si>
    <t>98a13be8-1d78-4abd-abe5-8666b0b36c9b</t>
  </si>
  <si>
    <t>6a6158bf-00d0-4482-84ec-79044f48d629</t>
  </si>
  <si>
    <t>628d5dff-4a76-4fee-b84f-5fd664f2858e</t>
  </si>
  <si>
    <t>2bbb4028-d8d0-44a9-8d84-3c2b3248e7f7</t>
  </si>
  <si>
    <t>1214a822-3ce1-4aab-b3fc-2d69b27b4b67</t>
  </si>
  <si>
    <t>2d7237e4-c689-4388-9b6b-d9d851de81f2</t>
  </si>
  <si>
    <t>ea33ed4e-2322-415b-bb23-f88127c902bb</t>
  </si>
  <si>
    <t>ac2cd214-d949-457d-866f-f5b25aabf174</t>
  </si>
  <si>
    <t>d74584d8-8ec1-4576-99cc-42f4294932d0</t>
  </si>
  <si>
    <t>b29739e8-9e24-440d-9054-9194878faac8</t>
  </si>
  <si>
    <t>1387fcd0-94d5-4e1a-9a92-4a6633abfaa3</t>
  </si>
  <si>
    <t>4d1c0273-ceb4-425e-b13c-ab63ec629689</t>
  </si>
  <si>
    <t>f6c4cba7-e5cb-4093-9af5-1e876b0bfb39</t>
  </si>
  <si>
    <t>ea53c2ca-ae9d-4427-9580-82311969b2ea</t>
  </si>
  <si>
    <t>db680b4d-98c5-4ec1-94b3-74f4e177dd63</t>
  </si>
  <si>
    <t>df815170-6b6c-472a-8cc6-c3d28830a1bc</t>
  </si>
  <si>
    <t>7e15ac8a-f529-45a9-a693-e5e7df8d1bf4</t>
  </si>
  <si>
    <t>e517b7b1-0fed-4a97-b00a-ada6f121c31f</t>
  </si>
  <si>
    <t>cd19fd00-eb8e-43ba-83bc-63ce571f7a06</t>
  </si>
  <si>
    <t>d6e02d8f-eada-4a9a-b4b7-8bbe52ba002b</t>
  </si>
  <si>
    <t>ce0ca13c-cf5a-41e6-a688-dc8eab890e2f</t>
  </si>
  <si>
    <t>14e6345f-609c-42f5-9201-15048f594ed8</t>
  </si>
  <si>
    <t>d03b40db-32da-4034-9171-995faef6aa79</t>
  </si>
  <si>
    <t>c905547e-5fd4-46c2-9c37-a8300fdd6c35</t>
  </si>
  <si>
    <t>27899713-4605-4fd3-81b7-af753bb3e96a</t>
  </si>
  <si>
    <t>6caf188c-6dfa-4df3-a9d6-a3913ff4ed07</t>
  </si>
  <si>
    <t>4327f19b-e514-461e-888d-df80c009352a</t>
  </si>
  <si>
    <t>0eecd9d5-12ce-431b-bde5-1a2465b30280</t>
  </si>
  <si>
    <t>22cf2fcc-643c-4a5e-bd8f-055b9b925f58</t>
  </si>
  <si>
    <t>80a59620-3446-40b4-a58b-994b19bbe48c</t>
  </si>
  <si>
    <t>1baf74cc-fc38-4a1d-a222-70bebc41996a</t>
  </si>
  <si>
    <t>bf7a440d-04b4-4f3b-bfdd-437526d29b8e</t>
  </si>
  <si>
    <t>5bd12136-a4dc-4455-b629-8e9733ce628b</t>
  </si>
  <si>
    <t>90603862-6577-463d-ac88-0f1b818da8ec</t>
  </si>
  <si>
    <t>3056bb4b-6a6a-43a9-acab-7e35549d30b4</t>
  </si>
  <si>
    <t>a9376e35-1c49-49e3-bfda-3f4986f6afdb</t>
  </si>
  <si>
    <t>886b6cde-a80c-4136-8a07-da110904967d</t>
  </si>
  <si>
    <t>135e408c-bcba-4e0d-ae9b-345a5735410d</t>
  </si>
  <si>
    <t>06702c0d-093c-4205-b709-bff974a4f78d</t>
  </si>
  <si>
    <t>d93fb56a-bb76-4e9b-a6e7-534150b5d38c</t>
  </si>
  <si>
    <t>ff4730bf-ee3b-4f8f-9b50-ac1a76890f15</t>
  </si>
  <si>
    <t>63f0f275-7101-482f-a200-42c818550968</t>
  </si>
  <si>
    <t>42e1d676-c6f8-444f-9d49-5f3744586934</t>
  </si>
  <si>
    <t>3cbb3a93-e1b0-44f3-bb02-c9615a1c3fc3</t>
  </si>
  <si>
    <t>e3580aa2-6fd1-4777-b1d0-0865621175ad</t>
  </si>
  <si>
    <t>2ceb529c-a376-4de2-9c6c-12ffd3d72d93</t>
  </si>
  <si>
    <t>c7866724-abb4-4747-8e70-2c8364c70d79</t>
  </si>
  <si>
    <t>668278af-6d60-4535-8a17-b2ce067a6ba7</t>
  </si>
  <si>
    <t>aad67e86-ed98-4420-a191-69e63db3f541</t>
  </si>
  <si>
    <t>44cf4895-c60e-4dc7-b542-0440390dda56</t>
  </si>
  <si>
    <t>96912918-5f9f-4a9d-9f9b-18ec3464d626</t>
  </si>
  <si>
    <t>87d247ca-8f2d-4ecd-b257-121feccf86c3</t>
  </si>
  <si>
    <t>5a9846ea-d3bb-4736-90c7-0750ca3d9212</t>
  </si>
  <si>
    <t>5891d613-a377-44ef-b87d-f4a4356dd428</t>
  </si>
  <si>
    <t>50baaf9d-0111-40b8-97f9-7fb8fe07500d</t>
  </si>
  <si>
    <t>6652ca5e-7756-406d-be27-4204e144868b</t>
  </si>
  <si>
    <t>6f4332a6-0bd7-4429-9d54-ca5b220115e7</t>
  </si>
  <si>
    <t>9cca9c7c-addc-423e-b5b0-6ef3f928dead</t>
  </si>
  <si>
    <t>48763e7b-5d49-43be-9eff-ab547b78a258</t>
  </si>
  <si>
    <t>33fad906-3be8-48bb-bcd2-9c33a7a25a26</t>
  </si>
  <si>
    <t>67ea8a71-86b9-42f8-a481-2a1f41a72a1f</t>
  </si>
  <si>
    <t>c7f426b3-64ec-45a7-b0a2-18e3c92e3252</t>
  </si>
  <si>
    <t>37650b36-f7e2-42d1-8f47-d43ae0c1bec1</t>
  </si>
  <si>
    <t>65d00208-05e4-4e15-91aa-c5ddcbbacc05</t>
  </si>
  <si>
    <t>453744af-52d1-45e0-b33f-0ee84e895c4e</t>
  </si>
  <si>
    <t>ee601fdc-59e2-40df-ad26-549f506d2807</t>
  </si>
  <si>
    <t>5f52437d-9073-4aba-9997-887689bf40b2</t>
  </si>
  <si>
    <t>1b632f88-2ad7-4edc-a257-feaf6945b666</t>
  </si>
  <si>
    <t>a7cb1ff0-14c8-49bb-9a7b-bb9f52e05df3</t>
  </si>
  <si>
    <t>d08415ef-bc36-4c92-a73a-123c1a72dea6</t>
  </si>
  <si>
    <t>d0559053-3aec-494b-84f6-772722e12061</t>
  </si>
  <si>
    <t>70f1ae0b-ba91-4aaf-84bd-e35720a3c408</t>
  </si>
  <si>
    <t>116ee3fc-780b-40ba-a265-fd05486e7390</t>
  </si>
  <si>
    <t>683a054b-a047-4783-b51b-f9d49a425220</t>
  </si>
  <si>
    <t>A</t>
  </si>
  <si>
    <t>X</t>
  </si>
  <si>
    <t>C</t>
  </si>
  <si>
    <t>B</t>
  </si>
  <si>
    <t/>
  </si>
  <si>
    <t>Z</t>
  </si>
  <si>
    <t>Y</t>
  </si>
  <si>
    <t>No</t>
  </si>
  <si>
    <t>Sales</t>
  </si>
  <si>
    <t>2024-08</t>
  </si>
  <si>
    <t>2024-09</t>
  </si>
  <si>
    <t>2024-10</t>
  </si>
  <si>
    <t>2024-11</t>
  </si>
  <si>
    <t>2024-12</t>
  </si>
  <si>
    <t>Linear</t>
  </si>
  <si>
    <t>Copy history</t>
  </si>
  <si>
    <t>Seasonal naive with trend</t>
  </si>
  <si>
    <t>Moving average</t>
  </si>
  <si>
    <t>Year</t>
  </si>
  <si>
    <t>Month</t>
  </si>
  <si>
    <t>Actuals</t>
  </si>
  <si>
    <t>Correl</t>
  </si>
  <si>
    <t>Prev_year</t>
  </si>
  <si>
    <t>Last_year</t>
  </si>
  <si>
    <t>Correl square</t>
  </si>
  <si>
    <t>s_factor 1</t>
  </si>
  <si>
    <t>s_factor 2</t>
  </si>
  <si>
    <t>s_factor 3</t>
  </si>
  <si>
    <t>Average error:</t>
  </si>
  <si>
    <t>Error of linear forecast</t>
  </si>
  <si>
    <t>Std dev:</t>
  </si>
  <si>
    <t>Intercept:</t>
  </si>
  <si>
    <t>Slope:</t>
  </si>
  <si>
    <t>Absolute value of error:</t>
  </si>
  <si>
    <t>2025-01</t>
  </si>
  <si>
    <t>2025-02</t>
  </si>
  <si>
    <t>2025-03</t>
  </si>
  <si>
    <t>2025-04</t>
  </si>
  <si>
    <t>2025-05</t>
  </si>
  <si>
    <t>2025-06</t>
  </si>
  <si>
    <t>Seasonal Naive</t>
  </si>
  <si>
    <t>Next_year</t>
  </si>
  <si>
    <t>Seasonal forecast</t>
  </si>
  <si>
    <t>YoY Increase in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</si>
</sst>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7030A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3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/>
    <xf numFmtId="3" fontId="2" fillId="0" borderId="0" xfId="0" applyNumberFormat="1" applyFont="1"/>
    <xf numFmtId="0" fontId="5" fillId="0" borderId="0" xfId="0" applyFont="1"/>
    <xf numFmtId="9" fontId="5" fillId="0" borderId="0" xfId="1" applyFont="1"/>
    <xf numFmtId="9" fontId="2" fillId="0" borderId="0" xfId="0" applyNumberFormat="1" applyFont="1"/>
    <xf numFmtId="0" fontId="6" fillId="0" borderId="1" xfId="0" applyFont="1" applyBorder="1"/>
    <xf numFmtId="0" fontId="1" fillId="0" borderId="1" xfId="0" applyFont="1" applyBorder="1"/>
    <xf numFmtId="3" fontId="1" fillId="0" borderId="1" xfId="0" applyNumberFormat="1" applyFont="1" applyBorder="1"/>
    <xf numFmtId="0" fontId="0" fillId="0" borderId="1" xfId="0" applyBorder="1"/>
    <xf numFmtId="0" fontId="2" fillId="0" borderId="1" xfId="0" applyFont="1" applyBorder="1"/>
    <xf numFmtId="3" fontId="0" fillId="0" borderId="1" xfId="0" applyNumberFormat="1" applyBorder="1"/>
    <xf numFmtId="0" fontId="2" fillId="0" borderId="1" xfId="0" applyFont="1" applyFill="1" applyBorder="1"/>
    <xf numFmtId="3" fontId="2" fillId="0" borderId="1" xfId="0" applyNumberFormat="1" applyFont="1" applyBorder="1"/>
    <xf numFmtId="3" fontId="7" fillId="2" borderId="1" xfId="0" applyNumberFormat="1" applyFont="1" applyFill="1" applyBorder="1"/>
    <xf numFmtId="3" fontId="8" fillId="0" borderId="3" xfId="0" applyNumberFormat="1" applyFont="1" applyBorder="1"/>
    <xf numFmtId="3" fontId="0" fillId="0" borderId="3" xfId="0" applyNumberFormat="1" applyBorder="1"/>
    <xf numFmtId="0" fontId="1" fillId="0" borderId="2" xfId="0" applyFont="1" applyBorder="1"/>
    <xf numFmtId="4" fontId="0" fillId="0" borderId="2" xfId="0" applyNumberFormat="1" applyBorder="1"/>
    <xf numFmtId="9" fontId="5" fillId="0" borderId="4" xfId="1" applyFont="1" applyBorder="1"/>
    <xf numFmtId="9" fontId="2" fillId="0" borderId="4" xfId="1" applyFont="1" applyBorder="1"/>
    <xf numFmtId="9" fontId="2" fillId="0" borderId="4" xfId="0" applyNumberFormat="1" applyFont="1" applyBorder="1"/>
    <xf numFmtId="3" fontId="10" fillId="0" borderId="4" xfId="0" applyNumberFormat="1" applyFont="1" applyBorder="1"/>
    <xf numFmtId="3" fontId="11" fillId="2" borderId="4" xfId="0" applyNumberFormat="1" applyFont="1" applyFill="1" applyBorder="1"/>
    <xf numFmtId="9" fontId="9" fillId="0" borderId="4" xfId="0" applyNumberFormat="1" applyFont="1" applyBorder="1" applyAlignment="1">
      <alignment vertical="center"/>
    </xf>
    <xf numFmtId="0" fontId="10" fillId="0" borderId="4" xfId="0" applyFont="1" applyBorder="1"/>
    <xf numFmtId="0" fontId="11" fillId="2" borderId="4" xfId="0" applyFont="1" applyFill="1" applyBorder="1"/>
    <xf numFmtId="3" fontId="12" fillId="0" borderId="4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'Linear regression'!$D$1</c:f>
              <c:strCache>
                <c:ptCount val="1"/>
                <c:pt idx="0">
                  <c:v>Linear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'Linear regression'!$D$2:$D$25</c:f>
              <c:numCache>
                <c:formatCode>#,##0</c:formatCode>
                <c:ptCount val="24"/>
                <c:pt idx="0">
                  <c:v>1098243.8706113819</c:v>
                </c:pt>
                <c:pt idx="1">
                  <c:v>1110804.8372463884</c:v>
                </c:pt>
                <c:pt idx="2">
                  <c:v>1123365.8038813947</c:v>
                </c:pt>
                <c:pt idx="3">
                  <c:v>1135926.7705164009</c:v>
                </c:pt>
                <c:pt idx="4">
                  <c:v>1148487.7371514072</c:v>
                </c:pt>
                <c:pt idx="5">
                  <c:v>1161048.7037864137</c:v>
                </c:pt>
                <c:pt idx="6">
                  <c:v>1173609.6704214199</c:v>
                </c:pt>
                <c:pt idx="7">
                  <c:v>1186170.6370564261</c:v>
                </c:pt>
                <c:pt idx="8">
                  <c:v>1198731.6036914326</c:v>
                </c:pt>
                <c:pt idx="9">
                  <c:v>1211292.5703264389</c:v>
                </c:pt>
                <c:pt idx="10">
                  <c:v>1223853.5369614451</c:v>
                </c:pt>
                <c:pt idx="11">
                  <c:v>1236414.5035964514</c:v>
                </c:pt>
                <c:pt idx="12">
                  <c:v>1248975.4702314578</c:v>
                </c:pt>
                <c:pt idx="13">
                  <c:v>1261536.4368664641</c:v>
                </c:pt>
                <c:pt idx="14">
                  <c:v>1274097.4035014703</c:v>
                </c:pt>
                <c:pt idx="15">
                  <c:v>1286658.3701364766</c:v>
                </c:pt>
                <c:pt idx="16">
                  <c:v>1299219.3367714831</c:v>
                </c:pt>
                <c:pt idx="17">
                  <c:v>1311780.3034064893</c:v>
                </c:pt>
                <c:pt idx="18">
                  <c:v>1324341.2700414956</c:v>
                </c:pt>
                <c:pt idx="19">
                  <c:v>1336902.236676502</c:v>
                </c:pt>
                <c:pt idx="20">
                  <c:v>1349463.2033115083</c:v>
                </c:pt>
                <c:pt idx="21">
                  <c:v>1362024.1699465145</c:v>
                </c:pt>
                <c:pt idx="22">
                  <c:v>1374585.136581521</c:v>
                </c:pt>
                <c:pt idx="23">
                  <c:v>1387146.1032165273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4A-4C5E-AE7D-C70D57E9CECD}"/>
            </c:ext>
          </c:extLst>
        </c:ser>
        <c:ser>
          <c:idx val="1"/>
          <c:order val="2"/>
          <c:tx>
            <c:strRef>
              <c:f>'Linear regression'!$F$1</c:f>
              <c:strCache>
                <c:ptCount val="1"/>
                <c:pt idx="0">
                  <c:v>Copy history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'Linear regression'!$F$2:$F$25</c:f>
              <c:numCache>
                <c:formatCode>#,##0</c:formatCode>
                <c:ptCount val="24"/>
                <c:pt idx="12">
                  <c:v>691108.17869163095</c:v>
                </c:pt>
                <c:pt idx="13">
                  <c:v>1160000.3584567755</c:v>
                </c:pt>
                <c:pt idx="14">
                  <c:v>1460091.353506468</c:v>
                </c:pt>
                <c:pt idx="15">
                  <c:v>1167174.1927278368</c:v>
                </c:pt>
                <c:pt idx="16">
                  <c:v>1269941.5294542434</c:v>
                </c:pt>
                <c:pt idx="17">
                  <c:v>1006627.2390110155</c:v>
                </c:pt>
                <c:pt idx="18">
                  <c:v>1270200.8246688603</c:v>
                </c:pt>
                <c:pt idx="19">
                  <c:v>900229.76927997498</c:v>
                </c:pt>
                <c:pt idx="20">
                  <c:v>1540991.4604668689</c:v>
                </c:pt>
                <c:pt idx="21">
                  <c:v>835492.39736401325</c:v>
                </c:pt>
                <c:pt idx="22">
                  <c:v>1782957.111573325</c:v>
                </c:pt>
                <c:pt idx="23">
                  <c:v>1490169.5984020017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4A-4C5E-AE7D-C70D57E9CECD}"/>
            </c:ext>
          </c:extLst>
        </c:ser>
        <c:ser>
          <c:idx val="3"/>
          <c:order val="3"/>
          <c:tx>
            <c:strRef>
              <c:f>'Linear regression'!$G$1</c:f>
              <c:strCache>
                <c:ptCount val="1"/>
                <c:pt idx="0">
                  <c:v>Seasonal naive with trend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'Linear regression'!$G$2:$G$25</c:f>
              <c:numCache>
                <c:formatCode>#,##0</c:formatCode>
                <c:ptCount val="24"/>
                <c:pt idx="18">
                  <c:v>1297271.0473551778</c:v>
                </c:pt>
                <c:pt idx="19">
                  <c:v>1118566.0029782385</c:v>
                </c:pt>
                <c:pt idx="20">
                  <c:v>1445227.3318891886</c:v>
                </c:pt>
                <c:pt idx="21">
                  <c:v>1098758.2836552639</c:v>
                </c:pt>
                <c:pt idx="22">
                  <c:v>1578771.124077423</c:v>
                </c:pt>
                <c:pt idx="23">
                  <c:v>1438657.8508092645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4A-4C5E-AE7D-C70D57E9C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34"/>
        <c:axId val="1868845423"/>
        <c:axId val="1868834383"/>
      </c:barChart>
      <c:lineChart>
        <c:grouping val="standard"/>
        <c:varyColors val="0"/>
        <c:ser>
          <c:idx val="0"/>
          <c:order val="0"/>
          <c:tx>
            <c:strRef>
              <c:f>'Linear regression'!$B$1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val>
            <c:numRef>
              <c:f>'Linear regression'!$B$2:$B$25</c:f>
              <c:numCache>
                <c:formatCode>#,##0</c:formatCode>
                <c:ptCount val="24"/>
                <c:pt idx="0">
                  <c:v>691108.17869163095</c:v>
                </c:pt>
                <c:pt idx="1">
                  <c:v>1160000.3584567755</c:v>
                </c:pt>
                <c:pt idx="2">
                  <c:v>1460091.353506468</c:v>
                </c:pt>
                <c:pt idx="3">
                  <c:v>1167174.1927278368</c:v>
                </c:pt>
                <c:pt idx="4">
                  <c:v>1269941.5294542434</c:v>
                </c:pt>
                <c:pt idx="5">
                  <c:v>1006627.2390110155</c:v>
                </c:pt>
                <c:pt idx="6">
                  <c:v>1270200.8246688603</c:v>
                </c:pt>
                <c:pt idx="7">
                  <c:v>900229.76927997498</c:v>
                </c:pt>
                <c:pt idx="8">
                  <c:v>1540991.4604668689</c:v>
                </c:pt>
                <c:pt idx="9">
                  <c:v>835492.39736401325</c:v>
                </c:pt>
                <c:pt idx="10">
                  <c:v>1782957.111573325</c:v>
                </c:pt>
                <c:pt idx="11">
                  <c:v>1490169.5984020017</c:v>
                </c:pt>
                <c:pt idx="12">
                  <c:v>539420.47814087896</c:v>
                </c:pt>
                <c:pt idx="13">
                  <c:v>1240986.8971553822</c:v>
                </c:pt>
                <c:pt idx="14">
                  <c:v>1497732.3754949884</c:v>
                </c:pt>
                <c:pt idx="15">
                  <c:v>1347470.798624628</c:v>
                </c:pt>
                <c:pt idx="16">
                  <c:v>1343365.2910598642</c:v>
                </c:pt>
                <c:pt idx="17">
                  <c:v>1146257.7120820922</c:v>
                </c:pt>
                <c:pt idx="18">
                  <c:v>1251881.6177561926</c:v>
                </c:pt>
                <c:pt idx="19">
                  <c:v>1276484.4120364042</c:v>
                </c:pt>
                <c:pt idx="20">
                  <c:v>1247573.4277653366</c:v>
                </c:pt>
                <c:pt idx="21">
                  <c:v>1291672.6292325757</c:v>
                </c:pt>
                <c:pt idx="22">
                  <c:v>1238134.2608517769</c:v>
                </c:pt>
                <c:pt idx="23">
                  <c:v>1218284.5639348342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A-4C5E-AE7D-C70D57E9C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845423"/>
        <c:axId val="1868834383"/>
      </c:lineChart>
      <c:catAx>
        <c:axId val="1868845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34383"/>
        <c:crosses val="autoZero"/>
        <c:auto val="1"/>
        <c:lblAlgn val="ctr"/>
        <c:lblOffset val="100"/>
        <c:noMultiLvlLbl val="0"/>
      </c:catAx>
      <c:valAx>
        <c:axId val="186883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84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Seasonality!$D$1</c:f>
              <c:strCache>
                <c:ptCount val="1"/>
                <c:pt idx="0">
                  <c:v>Actuals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Seasonality!$D$2:$D$37</c:f>
              <c:numCache>
                <c:formatCode>#,##0</c:formatCode>
                <c:ptCount val="36"/>
                <c:pt idx="0">
                  <c:v>315208</c:v>
                </c:pt>
                <c:pt idx="1">
                  <c:v>124695</c:v>
                </c:pt>
                <c:pt idx="2">
                  <c:v>279159</c:v>
                </c:pt>
                <c:pt idx="3">
                  <c:v>292385</c:v>
                </c:pt>
                <c:pt idx="4">
                  <c:v>358999</c:v>
                </c:pt>
                <c:pt idx="5">
                  <c:v>135750</c:v>
                </c:pt>
                <c:pt idx="6">
                  <c:v>275102</c:v>
                </c:pt>
                <c:pt idx="7">
                  <c:v>431817</c:v>
                </c:pt>
                <c:pt idx="8">
                  <c:v>154903</c:v>
                </c:pt>
                <c:pt idx="9">
                  <c:v>252743</c:v>
                </c:pt>
                <c:pt idx="10">
                  <c:v>384925</c:v>
                </c:pt>
                <c:pt idx="11">
                  <c:v>396514</c:v>
                </c:pt>
                <c:pt idx="12">
                  <c:v>433593</c:v>
                </c:pt>
                <c:pt idx="13">
                  <c:v>270488</c:v>
                </c:pt>
                <c:pt idx="14">
                  <c:v>172915</c:v>
                </c:pt>
                <c:pt idx="15">
                  <c:v>259561</c:v>
                </c:pt>
                <c:pt idx="16">
                  <c:v>283065</c:v>
                </c:pt>
                <c:pt idx="17">
                  <c:v>257989</c:v>
                </c:pt>
                <c:pt idx="18">
                  <c:v>291682</c:v>
                </c:pt>
                <c:pt idx="19">
                  <c:v>341289</c:v>
                </c:pt>
                <c:pt idx="20">
                  <c:v>305120</c:v>
                </c:pt>
                <c:pt idx="21">
                  <c:v>334736</c:v>
                </c:pt>
                <c:pt idx="22">
                  <c:v>369755</c:v>
                </c:pt>
                <c:pt idx="23">
                  <c:v>622065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B-4D68-9155-88F4BE05D3C0}"/>
            </c:ext>
          </c:extLst>
        </c:ser>
        <c:ser>
          <c:idx val="1"/>
          <c:order val="1"/>
          <c:tx>
            <c:strRef>
              <c:f>Seasonality!$E$1</c:f>
              <c:strCache>
                <c:ptCount val="1"/>
                <c:pt idx="0">
                  <c:v>Seasonal Naive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Seasonality!$E$2:$E$37</c:f>
              <c:numCache>
                <c:formatCode>#,##0</c:formatCode>
                <c:ptCount val="36"/>
                <c:pt idx="12">
                  <c:v>315208</c:v>
                </c:pt>
                <c:pt idx="13">
                  <c:v>124695</c:v>
                </c:pt>
                <c:pt idx="14">
                  <c:v>279159</c:v>
                </c:pt>
                <c:pt idx="15">
                  <c:v>292385</c:v>
                </c:pt>
                <c:pt idx="16">
                  <c:v>358999</c:v>
                </c:pt>
                <c:pt idx="17">
                  <c:v>135750</c:v>
                </c:pt>
                <c:pt idx="18">
                  <c:v>275102</c:v>
                </c:pt>
                <c:pt idx="19">
                  <c:v>431817</c:v>
                </c:pt>
                <c:pt idx="20">
                  <c:v>154903</c:v>
                </c:pt>
                <c:pt idx="21">
                  <c:v>252743</c:v>
                </c:pt>
                <c:pt idx="22">
                  <c:v>384925</c:v>
                </c:pt>
                <c:pt idx="23">
                  <c:v>396514</c:v>
                </c:pt>
                <c:pt idx="24">
                  <c:v>433593</c:v>
                </c:pt>
                <c:pt idx="25">
                  <c:v>270488</c:v>
                </c:pt>
                <c:pt idx="26">
                  <c:v>172915</c:v>
                </c:pt>
                <c:pt idx="27">
                  <c:v>259561</c:v>
                </c:pt>
                <c:pt idx="28">
                  <c:v>283065</c:v>
                </c:pt>
                <c:pt idx="29">
                  <c:v>257989</c:v>
                </c:pt>
                <c:pt idx="30">
                  <c:v>291682</c:v>
                </c:pt>
                <c:pt idx="31">
                  <c:v>341289</c:v>
                </c:pt>
                <c:pt idx="32">
                  <c:v>305120</c:v>
                </c:pt>
                <c:pt idx="33">
                  <c:v>334736</c:v>
                </c:pt>
                <c:pt idx="34">
                  <c:v>369755</c:v>
                </c:pt>
                <c:pt idx="35">
                  <c:v>622065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B-4D68-9155-88F4BE05D3C0}"/>
            </c:ext>
          </c:extLst>
        </c:ser>
        <c:ser>
          <c:idx val="2"/>
          <c:order val="2"/>
          <c:tx>
            <c:strRef>
              <c:f>Seasonality!$F$1</c:f>
              <c:strCache>
                <c:ptCount val="1"/>
                <c:pt idx="0">
                  <c:v>Seasonal forecast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Seasonality!$F$2:$F$37</c:f>
              <c:numCache>
                <c:formatCode>#,##0</c:formatCode>
                <c:ptCount val="36"/>
                <c:pt idx="24">
                  <c:v>465732.89142972312</c:v>
                </c:pt>
                <c:pt idx="25">
                  <c:v>245792.56869832211</c:v>
                </c:pt>
                <c:pt idx="26">
                  <c:v>281177.15008420218</c:v>
                </c:pt>
                <c:pt idx="27">
                  <c:v>343294.68910040177</c:v>
                </c:pt>
                <c:pt idx="28">
                  <c:v>399345.51797197619</c:v>
                </c:pt>
                <c:pt idx="29">
                  <c:v>244894.44183254</c:v>
                </c:pt>
                <c:pt idx="30">
                  <c:v>352523.50242067548</c:v>
                </c:pt>
                <c:pt idx="31">
                  <c:v>480849.90907019033</c:v>
                </c:pt>
                <c:pt idx="32">
                  <c:v>286121.20164659974</c:v>
                </c:pt>
                <c:pt idx="33">
                  <c:v>365395.20289668726</c:v>
                </c:pt>
                <c:pt idx="34">
                  <c:v>469389.46195876272</c:v>
                </c:pt>
                <c:pt idx="35">
                  <c:v>633527.12245255534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B-4D68-9155-88F4BE05D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8023903"/>
        <c:axId val="1978020063"/>
      </c:lineChart>
      <c:catAx>
        <c:axId val="197802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20063"/>
        <c:crosses val="autoZero"/>
        <c:auto val="1"/>
        <c:lblAlgn val="ctr"/>
        <c:lblOffset val="100"/>
        <c:noMultiLvlLbl val="0"/>
      </c:catAx>
      <c:valAx>
        <c:axId val="19780200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2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Seasonality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Seasonality!$B$2</c:f>
              <c:strCache>
                <c:ptCount val="1"/>
                <c:pt idx="0">
                  <c:v>Prev_year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Seasonality!$D$2:$D$13</c:f>
              <c:numCache>
                <c:formatCode>#,##0</c:formatCode>
                <c:ptCount val="12"/>
                <c:pt idx="0">
                  <c:v>315208</c:v>
                </c:pt>
                <c:pt idx="1">
                  <c:v>124695</c:v>
                </c:pt>
                <c:pt idx="2">
                  <c:v>279159</c:v>
                </c:pt>
                <c:pt idx="3">
                  <c:v>292385</c:v>
                </c:pt>
                <c:pt idx="4">
                  <c:v>358999</c:v>
                </c:pt>
                <c:pt idx="5">
                  <c:v>135750</c:v>
                </c:pt>
                <c:pt idx="6">
                  <c:v>275102</c:v>
                </c:pt>
                <c:pt idx="7">
                  <c:v>431817</c:v>
                </c:pt>
                <c:pt idx="8">
                  <c:v>154903</c:v>
                </c:pt>
                <c:pt idx="9">
                  <c:v>252743</c:v>
                </c:pt>
                <c:pt idx="10">
                  <c:v>384925</c:v>
                </c:pt>
                <c:pt idx="11">
                  <c:v>396514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6-4A0A-BB10-6E152A296805}"/>
            </c:ext>
          </c:extLst>
        </c:ser>
        <c:ser>
          <c:idx val="1"/>
          <c:order val="1"/>
          <c:tx>
            <c:strRef>
              <c:f>Seasonality!$B$14</c:f>
              <c:strCache>
                <c:ptCount val="1"/>
                <c:pt idx="0">
                  <c:v>Last_year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Seasonality!$D$14:$D$25</c:f>
              <c:numCache>
                <c:formatCode>#,##0</c:formatCode>
                <c:ptCount val="12"/>
                <c:pt idx="0">
                  <c:v>433593</c:v>
                </c:pt>
                <c:pt idx="1">
                  <c:v>270488</c:v>
                </c:pt>
                <c:pt idx="2">
                  <c:v>172915</c:v>
                </c:pt>
                <c:pt idx="3">
                  <c:v>259561</c:v>
                </c:pt>
                <c:pt idx="4">
                  <c:v>283065</c:v>
                </c:pt>
                <c:pt idx="5">
                  <c:v>257989</c:v>
                </c:pt>
                <c:pt idx="6">
                  <c:v>291682</c:v>
                </c:pt>
                <c:pt idx="7">
                  <c:v>341289</c:v>
                </c:pt>
                <c:pt idx="8">
                  <c:v>305120</c:v>
                </c:pt>
                <c:pt idx="9">
                  <c:v>334736</c:v>
                </c:pt>
                <c:pt idx="10">
                  <c:v>369755</c:v>
                </c:pt>
                <c:pt idx="11">
                  <c:v>622065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6-4A0A-BB10-6E152A296805}"/>
            </c:ext>
          </c:extLst>
        </c:ser>
        <c:ser>
          <c:idx val="2"/>
          <c:order val="2"/>
          <c:tx>
            <c:strRef>
              <c:f>Seasonality!$E$1</c:f>
              <c:strCache>
                <c:ptCount val="1"/>
                <c:pt idx="0">
                  <c:v>Seasonal Naive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Seasonality!$E$26:$E$37</c:f>
              <c:numCache>
                <c:formatCode>#,##0</c:formatCode>
                <c:ptCount val="12"/>
                <c:pt idx="0">
                  <c:v>433593</c:v>
                </c:pt>
                <c:pt idx="1">
                  <c:v>270488</c:v>
                </c:pt>
                <c:pt idx="2">
                  <c:v>172915</c:v>
                </c:pt>
                <c:pt idx="3">
                  <c:v>259561</c:v>
                </c:pt>
                <c:pt idx="4">
                  <c:v>283065</c:v>
                </c:pt>
                <c:pt idx="5">
                  <c:v>257989</c:v>
                </c:pt>
                <c:pt idx="6">
                  <c:v>291682</c:v>
                </c:pt>
                <c:pt idx="7">
                  <c:v>341289</c:v>
                </c:pt>
                <c:pt idx="8">
                  <c:v>305120</c:v>
                </c:pt>
                <c:pt idx="9">
                  <c:v>334736</c:v>
                </c:pt>
                <c:pt idx="10">
                  <c:v>369755</c:v>
                </c:pt>
                <c:pt idx="11">
                  <c:v>622065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66-4A0A-BB10-6E152A296805}"/>
            </c:ext>
          </c:extLst>
        </c:ser>
        <c:ser>
          <c:idx val="3"/>
          <c:order val="3"/>
          <c:tx>
            <c:strRef>
              <c:f>Seasonality!$F$1</c:f>
              <c:strCache>
                <c:ptCount val="1"/>
                <c:pt idx="0">
                  <c:v>Seasonal forecast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Seasonality!$F$26:$F$37</c:f>
              <c:numCache>
                <c:formatCode>#,##0</c:formatCode>
                <c:ptCount val="12"/>
                <c:pt idx="0">
                  <c:v>465732.89142972312</c:v>
                </c:pt>
                <c:pt idx="1">
                  <c:v>245792.56869832211</c:v>
                </c:pt>
                <c:pt idx="2">
                  <c:v>281177.15008420218</c:v>
                </c:pt>
                <c:pt idx="3">
                  <c:v>343294.68910040177</c:v>
                </c:pt>
                <c:pt idx="4">
                  <c:v>399345.51797197619</c:v>
                </c:pt>
                <c:pt idx="5">
                  <c:v>244894.44183254</c:v>
                </c:pt>
                <c:pt idx="6">
                  <c:v>352523.50242067548</c:v>
                </c:pt>
                <c:pt idx="7">
                  <c:v>480849.90907019033</c:v>
                </c:pt>
                <c:pt idx="8">
                  <c:v>286121.20164659974</c:v>
                </c:pt>
                <c:pt idx="9">
                  <c:v>365395.20289668726</c:v>
                </c:pt>
                <c:pt idx="10">
                  <c:v>469389.46195876272</c:v>
                </c:pt>
                <c:pt idx="11">
                  <c:v>633527.12245255534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66-4A0A-BB10-6E152A296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8925759"/>
        <c:axId val="248926239"/>
      </c:barChart>
      <c:catAx>
        <c:axId val="248925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26239"/>
        <c:crosses val="autoZero"/>
        <c:auto val="1"/>
        <c:lblAlgn val="ctr"/>
        <c:lblOffset val="100"/>
        <c:noMultiLvlLbl val="0"/>
      </c:catAx>
      <c:valAx>
        <c:axId val="24892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2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</xdr:colOff>
      <xdr:row>4</xdr:row>
      <xdr:rowOff>177800</xdr:rowOff>
    </xdr:from>
    <xdr:to>
      <xdr:col>25</xdr:col>
      <xdr:colOff>266699</xdr:colOff>
      <xdr:row>37</xdr:row>
      <xdr:rowOff>55562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822C32B-B257-AF70-A677-875A44D25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14942</xdr:colOff>
      <xdr:row>37</xdr:row>
      <xdr:rowOff>164353</xdr:rowOff>
    </xdr:from>
    <xdr:to>
      <xdr:col>15</xdr:col>
      <xdr:colOff>405388</xdr:colOff>
      <xdr:row>67</xdr:row>
      <xdr:rowOff>12221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EFC63B31-FEC2-44E2-91DA-F793B01C9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2" y="7074647"/>
          <a:ext cx="11491740" cy="5450809"/>
        </a:xfrm>
        <a:prstGeom prst="rect">
          <a:avLst/>
        </a:prstGeom>
      </xdr:spPr>
    </xdr:pic>
    <xdr:clientData/>
  </xdr:twoCellAnchor>
  <xdr:twoCellAnchor>
    <xdr:from>
      <xdr:col>13</xdr:col>
      <xdr:colOff>114170</xdr:colOff>
      <xdr:row>0</xdr:row>
      <xdr:rowOff>103354</xdr:rowOff>
    </xdr:from>
    <xdr:to>
      <xdr:col>35</xdr:col>
      <xdr:colOff>134470</xdr:colOff>
      <xdr:row>33</xdr:row>
      <xdr:rowOff>156883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6061EA-EA0C-398E-3278-96E811931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508001</xdr:colOff>
      <xdr:row>35</xdr:row>
      <xdr:rowOff>32870</xdr:rowOff>
    </xdr:from>
    <xdr:to>
      <xdr:col>35</xdr:col>
      <xdr:colOff>179294</xdr:colOff>
      <xdr:row>53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D12697-7E9D-6C9D-54F3-5545C5779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2497-863C-4D5B-B2C0-ABDAF52F9390}">
  <dimension ref="A1:AI1241"/>
  <sheetViews>
    <sheetView topLeftCell="E1" zoomScaleNormal="100" workbookViewId="0">
      <pane ySplit="3" topLeftCell="A4" activePane="bottomLeft" state="frozen"/>
      <selection pane="bottomLeft" activeCell="X4" sqref="X4"/>
    </sheetView>
  </sheetViews>
  <sheetFormatPr defaultRowHeight="14.5" x14ac:dyDescent="0.35"/>
  <cols>
    <col min="1" max="1" width="36.81640625" bestFit="1" customWidth="1"/>
    <col min="2" max="2" width="7.453125" bestFit="1" customWidth="1"/>
    <col min="3" max="3" width="15.81640625" bestFit="1" customWidth="1"/>
    <col min="4" max="4" width="10.81640625" style="1" bestFit="1" customWidth="1"/>
    <col min="5" max="20" width="9.81640625" bestFit="1" customWidth="1"/>
    <col min="21" max="22" width="10.36328125" bestFit="1" customWidth="1"/>
    <col min="23" max="34" width="9.7265625" bestFit="1" customWidth="1"/>
  </cols>
  <sheetData>
    <row r="1" spans="1:35" x14ac:dyDescent="0.35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 s="8">
        <v>19</v>
      </c>
      <c r="X1" s="8">
        <v>20</v>
      </c>
      <c r="Y1" s="8">
        <v>21</v>
      </c>
      <c r="Z1" s="8">
        <v>22</v>
      </c>
      <c r="AA1" s="8">
        <v>23</v>
      </c>
      <c r="AB1" s="8">
        <v>24</v>
      </c>
      <c r="AC1" s="8">
        <v>25</v>
      </c>
      <c r="AD1" s="8">
        <v>26</v>
      </c>
      <c r="AE1" s="8">
        <v>27</v>
      </c>
      <c r="AF1" s="8">
        <v>28</v>
      </c>
      <c r="AG1" s="8">
        <v>29</v>
      </c>
      <c r="AH1" s="8">
        <v>30</v>
      </c>
      <c r="AI1" s="8"/>
    </row>
    <row r="2" spans="1:35" x14ac:dyDescent="0.35">
      <c r="B2" s="1" t="s">
        <v>0</v>
      </c>
      <c r="C2" s="1" t="s">
        <v>1</v>
      </c>
      <c r="D2" s="2">
        <f>SUBTOTAL(9,D$4:D$5001)</f>
        <v>789495828.36094213</v>
      </c>
      <c r="E2" s="2">
        <f t="shared" ref="E2:AH2" si="0">SUBTOTAL(9,E$4:E$5001)</f>
        <v>25147868.891166858</v>
      </c>
      <c r="F2" s="2">
        <f t="shared" si="0"/>
        <v>37203366.051104844</v>
      </c>
      <c r="G2" s="2">
        <f t="shared" si="0"/>
        <v>47102430.037659906</v>
      </c>
      <c r="H2" s="2">
        <f t="shared" si="0"/>
        <v>41541618.325819701</v>
      </c>
      <c r="I2" s="2">
        <f t="shared" si="0"/>
        <v>40784935.295136243</v>
      </c>
      <c r="J2" s="2">
        <f t="shared" si="0"/>
        <v>41565054.641277894</v>
      </c>
      <c r="K2" s="2">
        <f t="shared" si="0"/>
        <v>37401056.844373569</v>
      </c>
      <c r="L2" s="2">
        <f t="shared" si="0"/>
        <v>34287045.38908425</v>
      </c>
      <c r="M2" s="2">
        <f t="shared" si="0"/>
        <v>51947414.354242355</v>
      </c>
      <c r="N2" s="2">
        <f t="shared" si="0"/>
        <v>39564310.087492481</v>
      </c>
      <c r="O2" s="2">
        <f t="shared" si="0"/>
        <v>50103751.670335859</v>
      </c>
      <c r="P2" s="2">
        <f t="shared" si="0"/>
        <v>68138187.309597522</v>
      </c>
      <c r="Q2" s="2">
        <f t="shared" si="0"/>
        <v>31847048.779792726</v>
      </c>
      <c r="R2" s="2">
        <f t="shared" si="0"/>
        <v>44437889.999274328</v>
      </c>
      <c r="S2" s="2">
        <f t="shared" si="0"/>
        <v>51496262.622026347</v>
      </c>
      <c r="T2" s="2">
        <f t="shared" si="0"/>
        <v>50251910.219322808</v>
      </c>
      <c r="U2" s="2">
        <f t="shared" si="0"/>
        <v>49987974.554691054</v>
      </c>
      <c r="V2" s="2">
        <f t="shared" si="0"/>
        <v>46687703.288542271</v>
      </c>
      <c r="W2" s="2">
        <f t="shared" si="0"/>
        <v>52354486.405860662</v>
      </c>
      <c r="X2" s="2">
        <f t="shared" si="0"/>
        <v>52892036.561048582</v>
      </c>
      <c r="Y2" s="2">
        <f t="shared" si="0"/>
        <v>53321502.034284137</v>
      </c>
      <c r="Z2" s="2">
        <f t="shared" si="0"/>
        <v>53717975.922510102</v>
      </c>
      <c r="AA2" s="2">
        <f t="shared" si="0"/>
        <v>54058191.624665998</v>
      </c>
      <c r="AB2" s="2">
        <f t="shared" si="0"/>
        <v>54315424.767952725</v>
      </c>
      <c r="AC2" s="2">
        <f t="shared" si="0"/>
        <v>54533056.713890068</v>
      </c>
      <c r="AD2" s="2">
        <f t="shared" si="0"/>
        <v>54731768.744764961</v>
      </c>
      <c r="AE2" s="2">
        <f t="shared" si="0"/>
        <v>54915873.63498196</v>
      </c>
      <c r="AF2" s="2">
        <f t="shared" si="0"/>
        <v>55086133.23948025</v>
      </c>
      <c r="AG2" s="2">
        <f t="shared" si="0"/>
        <v>55240201.273518674</v>
      </c>
      <c r="AH2" s="2">
        <f t="shared" si="0"/>
        <v>55372853.263108574</v>
      </c>
    </row>
    <row r="3" spans="1:35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0</v>
      </c>
      <c r="W3" s="10" t="s">
        <v>23</v>
      </c>
      <c r="X3" s="10" t="s">
        <v>1271</v>
      </c>
      <c r="Y3" s="10" t="s">
        <v>1272</v>
      </c>
      <c r="Z3" s="10" t="s">
        <v>1273</v>
      </c>
      <c r="AA3" s="10" t="s">
        <v>1274</v>
      </c>
      <c r="AB3" s="10" t="s">
        <v>1275</v>
      </c>
      <c r="AC3" s="10" t="s">
        <v>1296</v>
      </c>
      <c r="AD3" s="10" t="s">
        <v>1297</v>
      </c>
      <c r="AE3" s="10" t="s">
        <v>1298</v>
      </c>
      <c r="AF3" s="10" t="s">
        <v>1299</v>
      </c>
      <c r="AG3" s="10" t="s">
        <v>1300</v>
      </c>
      <c r="AH3" s="10" t="s">
        <v>1301</v>
      </c>
    </row>
    <row r="4" spans="1:35" x14ac:dyDescent="0.35">
      <c r="A4" t="s">
        <v>24</v>
      </c>
      <c r="B4" s="3" t="s">
        <v>1262</v>
      </c>
      <c r="C4" s="4" t="s">
        <v>1263</v>
      </c>
      <c r="D4" s="2">
        <f t="shared" ref="D4:D67" si="1">SUM(E4:V4)</f>
        <v>21690217.566160843</v>
      </c>
      <c r="E4" s="5">
        <v>691108.17869163095</v>
      </c>
      <c r="F4" s="5">
        <v>1160000.3584567755</v>
      </c>
      <c r="G4" s="5">
        <v>1460091.353506468</v>
      </c>
      <c r="H4" s="5">
        <v>1167174.1927278368</v>
      </c>
      <c r="I4" s="5">
        <v>1269941.5294542434</v>
      </c>
      <c r="J4" s="5">
        <v>1006627.2390110155</v>
      </c>
      <c r="K4" s="5">
        <v>1270200.8246688603</v>
      </c>
      <c r="L4" s="5">
        <v>900229.76927997498</v>
      </c>
      <c r="M4" s="5">
        <v>1540991.4604668689</v>
      </c>
      <c r="N4" s="5">
        <v>835492.39736401325</v>
      </c>
      <c r="O4" s="5">
        <v>1782957.111573325</v>
      </c>
      <c r="P4" s="5">
        <v>1490169.5984020017</v>
      </c>
      <c r="Q4" s="5">
        <v>539420.47814087896</v>
      </c>
      <c r="R4" s="5">
        <v>1240986.8971553822</v>
      </c>
      <c r="S4" s="5">
        <v>1497732.3754949884</v>
      </c>
      <c r="T4" s="5">
        <v>1347470.798624628</v>
      </c>
      <c r="U4" s="5">
        <v>1343365.2910598642</v>
      </c>
      <c r="V4" s="5">
        <v>1146257.7120820922</v>
      </c>
      <c r="W4" s="5">
        <f>IF(OR((SLOPE($E4:$V4,$E$1:$V$1)*W$1+INTERCEPT($E4:$V4,$E$1:$V$1))&gt;(AVERAGE($E4:$V4)+_xlfn.STDEV.P($E4:$V4)),(SLOPE($E4:$V4,$E$1:$V$1)*W$1+INTERCEPT($E4:$V4,$E$1:$V$1))&lt;(AVERAGE($E4:$V4)-_xlfn.STDEV.P($E4:$V4))),V4,(SLOPE($E4:$V4,$E$1:$V$1)*W$1+INTERCEPT($E4:$V4,$E$1:$V$1)))</f>
        <v>1324341.2700414956</v>
      </c>
      <c r="X4" s="5">
        <f t="shared" ref="X4:AH4" si="2">IF(OR((SLOPE($E4:$V4,$E$1:$V$1)*X$1+INTERCEPT($E4:$V4,$E$1:$V$1))&gt;(AVERAGE($E4:$V4)+_xlfn.STDEV.P($E4:$V4)),(SLOPE($E4:$V4,$E$1:$V$1)*X$1+INTERCEPT($E4:$V4,$E$1:$V$1))&lt;(AVERAGE($E4:$V4)-_xlfn.STDEV.P($E4:$V4))),W4,(SLOPE($E4:$V4,$E$1:$V$1)*X$1+INTERCEPT($E4:$V4,$E$1:$V$1)))</f>
        <v>1336902.236676502</v>
      </c>
      <c r="Y4" s="5">
        <f t="shared" si="2"/>
        <v>1349463.2033115083</v>
      </c>
      <c r="Z4" s="5">
        <f t="shared" si="2"/>
        <v>1362024.1699465145</v>
      </c>
      <c r="AA4" s="5">
        <f t="shared" si="2"/>
        <v>1374585.136581521</v>
      </c>
      <c r="AB4" s="5">
        <f t="shared" si="2"/>
        <v>1387146.1032165273</v>
      </c>
      <c r="AC4" s="5">
        <f t="shared" si="2"/>
        <v>1399707.0698515335</v>
      </c>
      <c r="AD4" s="5">
        <f t="shared" si="2"/>
        <v>1412268.0364865398</v>
      </c>
      <c r="AE4" s="5">
        <f t="shared" si="2"/>
        <v>1424829.003121546</v>
      </c>
      <c r="AF4" s="5">
        <f t="shared" si="2"/>
        <v>1437389.9697565525</v>
      </c>
      <c r="AG4" s="5">
        <f t="shared" si="2"/>
        <v>1449950.9363915587</v>
      </c>
      <c r="AH4" s="5">
        <f t="shared" si="2"/>
        <v>1462511.903026565</v>
      </c>
    </row>
    <row r="5" spans="1:35" x14ac:dyDescent="0.35">
      <c r="A5" t="s">
        <v>25</v>
      </c>
      <c r="B5" s="3" t="s">
        <v>1262</v>
      </c>
      <c r="C5" s="4" t="s">
        <v>1263</v>
      </c>
      <c r="D5" s="2">
        <f t="shared" si="1"/>
        <v>20328425.864636254</v>
      </c>
      <c r="E5" s="5">
        <v>712359.246615796</v>
      </c>
      <c r="F5" s="5">
        <v>887684.7130617022</v>
      </c>
      <c r="G5" s="5">
        <v>1209713.8659393762</v>
      </c>
      <c r="H5" s="5">
        <v>1085852.9991691306</v>
      </c>
      <c r="I5" s="5">
        <v>841817.05923936283</v>
      </c>
      <c r="J5" s="5">
        <v>1604958.3511584632</v>
      </c>
      <c r="K5" s="5">
        <v>1044308.1897050473</v>
      </c>
      <c r="L5" s="5">
        <v>872304.48787127493</v>
      </c>
      <c r="M5" s="5">
        <v>1302404.7497053538</v>
      </c>
      <c r="N5" s="5">
        <v>1323063.3953753358</v>
      </c>
      <c r="O5" s="5">
        <v>1262225.0489859828</v>
      </c>
      <c r="P5" s="5">
        <v>1053954.9581676824</v>
      </c>
      <c r="Q5" s="5">
        <v>684465.5245988376</v>
      </c>
      <c r="R5" s="5">
        <v>1457390.095855043</v>
      </c>
      <c r="S5" s="5">
        <v>1185733.4556572603</v>
      </c>
      <c r="T5" s="5">
        <v>1271371.2775755567</v>
      </c>
      <c r="U5" s="5">
        <v>1505714.9454178656</v>
      </c>
      <c r="V5" s="5">
        <v>1023103.50053718</v>
      </c>
      <c r="W5" s="5">
        <f t="shared" ref="W5:AH5" si="3">IF(OR((SLOPE($E5:$V5,$E$1:$V$1)*W$1+INTERCEPT($E5:$V5,$E$1:$V$1))&gt;(AVERAGE($E5:$V5)+_xlfn.STDEV.P($E5:$V5)),(SLOPE($E5:$V5,$E$1:$V$1)*W$1+INTERCEPT($E5:$V5,$E$1:$V$1))&lt;(AVERAGE($E5:$V5)-_xlfn.STDEV.P($E5:$V5))),V5,(SLOPE($E5:$V5,$E$1:$V$1)*W$1+INTERCEPT($E5:$V5,$E$1:$V$1)))</f>
        <v>1293952.0796327014</v>
      </c>
      <c r="X5" s="5">
        <f t="shared" si="3"/>
        <v>1311277.8782803761</v>
      </c>
      <c r="Y5" s="5">
        <f t="shared" si="3"/>
        <v>1328603.6769280508</v>
      </c>
      <c r="Z5" s="5">
        <f t="shared" si="3"/>
        <v>1345929.4755757255</v>
      </c>
      <c r="AA5" s="5">
        <f t="shared" si="3"/>
        <v>1363255.2742234003</v>
      </c>
      <c r="AB5" s="5">
        <f t="shared" si="3"/>
        <v>1380581.072871075</v>
      </c>
      <c r="AC5" s="5">
        <f t="shared" si="3"/>
        <v>1380581.072871075</v>
      </c>
      <c r="AD5" s="5">
        <f t="shared" si="3"/>
        <v>1380581.072871075</v>
      </c>
      <c r="AE5" s="5">
        <f t="shared" si="3"/>
        <v>1380581.072871075</v>
      </c>
      <c r="AF5" s="5">
        <f t="shared" si="3"/>
        <v>1380581.072871075</v>
      </c>
      <c r="AG5" s="5">
        <f t="shared" si="3"/>
        <v>1380581.072871075</v>
      </c>
      <c r="AH5" s="5">
        <f t="shared" si="3"/>
        <v>1380581.072871075</v>
      </c>
    </row>
    <row r="6" spans="1:35" x14ac:dyDescent="0.35">
      <c r="A6" t="s">
        <v>26</v>
      </c>
      <c r="B6" s="3" t="s">
        <v>1262</v>
      </c>
      <c r="C6" s="4" t="s">
        <v>1263</v>
      </c>
      <c r="D6" s="2">
        <f t="shared" si="1"/>
        <v>15881045.256229611</v>
      </c>
      <c r="E6" s="5">
        <v>542238.03581477038</v>
      </c>
      <c r="F6" s="5">
        <v>772358.68449718528</v>
      </c>
      <c r="G6" s="5">
        <v>1062055.8342099488</v>
      </c>
      <c r="H6" s="5">
        <v>850716.16141813388</v>
      </c>
      <c r="I6" s="5">
        <v>818022.46768227301</v>
      </c>
      <c r="J6" s="5">
        <v>794146.52565108391</v>
      </c>
      <c r="K6" s="5">
        <v>878589.3251287078</v>
      </c>
      <c r="L6" s="5">
        <v>645223.17108273273</v>
      </c>
      <c r="M6" s="5">
        <v>1352719.4763287718</v>
      </c>
      <c r="N6" s="5">
        <v>536618.061453606</v>
      </c>
      <c r="O6" s="5">
        <v>1444488.5268844315</v>
      </c>
      <c r="P6" s="5">
        <v>1012203.9172652668</v>
      </c>
      <c r="Q6" s="5">
        <v>540615.28313299059</v>
      </c>
      <c r="R6" s="5">
        <v>913204.07167167589</v>
      </c>
      <c r="S6" s="5">
        <v>1087518.732907878</v>
      </c>
      <c r="T6" s="5">
        <v>815743.45472477318</v>
      </c>
      <c r="U6" s="5">
        <v>1007299.8632048876</v>
      </c>
      <c r="V6" s="5">
        <v>807283.66317049379</v>
      </c>
      <c r="W6" s="5">
        <f t="shared" ref="W6:AH6" si="4">IF(OR((SLOPE($E6:$V6,$E$1:$V$1)*W$1+INTERCEPT($E6:$V6,$E$1:$V$1))&gt;(AVERAGE($E6:$V6)+_xlfn.STDEV.P($E6:$V6)),(SLOPE($E6:$V6,$E$1:$V$1)*W$1+INTERCEPT($E6:$V6,$E$1:$V$1))&lt;(AVERAGE($E6:$V6)-_xlfn.STDEV.P($E6:$V6))),V6,(SLOPE($E6:$V6,$E$1:$V$1)*W$1+INTERCEPT($E6:$V6,$E$1:$V$1)))</f>
        <v>968205.23368171148</v>
      </c>
      <c r="X6" s="5">
        <f t="shared" si="4"/>
        <v>977249.96438370668</v>
      </c>
      <c r="Y6" s="5">
        <f t="shared" si="4"/>
        <v>986294.695085702</v>
      </c>
      <c r="Z6" s="5">
        <f t="shared" si="4"/>
        <v>995339.42578769731</v>
      </c>
      <c r="AA6" s="5">
        <f t="shared" si="4"/>
        <v>1004384.1564896926</v>
      </c>
      <c r="AB6" s="5">
        <f t="shared" si="4"/>
        <v>1013428.8871916879</v>
      </c>
      <c r="AC6" s="5">
        <f t="shared" si="4"/>
        <v>1022473.6178936833</v>
      </c>
      <c r="AD6" s="5">
        <f t="shared" si="4"/>
        <v>1031518.3485956785</v>
      </c>
      <c r="AE6" s="5">
        <f t="shared" si="4"/>
        <v>1040563.0792976738</v>
      </c>
      <c r="AF6" s="5">
        <f t="shared" si="4"/>
        <v>1049607.809999669</v>
      </c>
      <c r="AG6" s="5">
        <f t="shared" si="4"/>
        <v>1058652.5407016643</v>
      </c>
      <c r="AH6" s="5">
        <f t="shared" si="4"/>
        <v>1067697.2714036596</v>
      </c>
    </row>
    <row r="7" spans="1:35" x14ac:dyDescent="0.35">
      <c r="A7" t="s">
        <v>27</v>
      </c>
      <c r="B7" s="3" t="s">
        <v>1262</v>
      </c>
      <c r="C7" s="4" t="s">
        <v>1263</v>
      </c>
      <c r="D7" s="2">
        <f t="shared" si="1"/>
        <v>15694923.260326928</v>
      </c>
      <c r="E7" s="5">
        <v>556963.92265766673</v>
      </c>
      <c r="F7" s="5">
        <v>719203.02976215933</v>
      </c>
      <c r="G7" s="5">
        <v>854443.00835001573</v>
      </c>
      <c r="H7" s="5">
        <v>654942.66053251864</v>
      </c>
      <c r="I7" s="5">
        <v>763427.84660841408</v>
      </c>
      <c r="J7" s="5">
        <v>1003097.0335945539</v>
      </c>
      <c r="K7" s="5">
        <v>823216.86695249437</v>
      </c>
      <c r="L7" s="5">
        <v>715513.55609156005</v>
      </c>
      <c r="M7" s="5">
        <v>939129.86757052341</v>
      </c>
      <c r="N7" s="5">
        <v>144231.54355991253</v>
      </c>
      <c r="O7" s="5">
        <v>1784898.9477545614</v>
      </c>
      <c r="P7" s="5">
        <v>830595.81429369282</v>
      </c>
      <c r="Q7" s="5">
        <v>629849.3528523508</v>
      </c>
      <c r="R7" s="5">
        <v>1104765.2451400047</v>
      </c>
      <c r="S7" s="5">
        <v>973336.908225085</v>
      </c>
      <c r="T7" s="5">
        <v>969891.77055916144</v>
      </c>
      <c r="U7" s="5">
        <v>1215620.4904612524</v>
      </c>
      <c r="V7" s="5">
        <v>1011795.3953609995</v>
      </c>
      <c r="W7" s="5">
        <f t="shared" ref="W7:AH7" si="5">IF(OR((SLOPE($E7:$V7,$E$1:$V$1)*W$1+INTERCEPT($E7:$V7,$E$1:$V$1))&gt;(AVERAGE($E7:$V7)+_xlfn.STDEV.P($E7:$V7)),(SLOPE($E7:$V7,$E$1:$V$1)*W$1+INTERCEPT($E7:$V7,$E$1:$V$1))&lt;(AVERAGE($E7:$V7)-_xlfn.STDEV.P($E7:$V7))),V7,(SLOPE($E7:$V7,$E$1:$V$1)*W$1+INTERCEPT($E7:$V7,$E$1:$V$1)))</f>
        <v>1098322.7594533272</v>
      </c>
      <c r="X7" s="5">
        <f t="shared" si="5"/>
        <v>1122152.5045400697</v>
      </c>
      <c r="Y7" s="5">
        <f t="shared" si="5"/>
        <v>1145982.2496268121</v>
      </c>
      <c r="Z7" s="5">
        <f t="shared" si="5"/>
        <v>1169811.9947135546</v>
      </c>
      <c r="AA7" s="5">
        <f t="shared" si="5"/>
        <v>1193641.7398002972</v>
      </c>
      <c r="AB7" s="5">
        <f t="shared" si="5"/>
        <v>1193641.7398002972</v>
      </c>
      <c r="AC7" s="5">
        <f t="shared" si="5"/>
        <v>1193641.7398002972</v>
      </c>
      <c r="AD7" s="5">
        <f t="shared" si="5"/>
        <v>1193641.7398002972</v>
      </c>
      <c r="AE7" s="5">
        <f t="shared" si="5"/>
        <v>1193641.7398002972</v>
      </c>
      <c r="AF7" s="5">
        <f t="shared" si="5"/>
        <v>1193641.7398002972</v>
      </c>
      <c r="AG7" s="5">
        <f t="shared" si="5"/>
        <v>1193641.7398002972</v>
      </c>
      <c r="AH7" s="5">
        <f t="shared" si="5"/>
        <v>1193641.7398002972</v>
      </c>
    </row>
    <row r="8" spans="1:35" x14ac:dyDescent="0.35">
      <c r="A8" t="s">
        <v>28</v>
      </c>
      <c r="B8" s="3" t="s">
        <v>1262</v>
      </c>
      <c r="C8" s="4" t="s">
        <v>1263</v>
      </c>
      <c r="D8" s="2">
        <f t="shared" si="1"/>
        <v>14889376.048600746</v>
      </c>
      <c r="E8" s="5">
        <v>0</v>
      </c>
      <c r="F8" s="5">
        <v>491844.62774298171</v>
      </c>
      <c r="G8" s="5">
        <v>566519.56099478796</v>
      </c>
      <c r="H8" s="5">
        <v>2182.3254430856214</v>
      </c>
      <c r="I8" s="5">
        <v>522906.3932162337</v>
      </c>
      <c r="J8" s="5">
        <v>979406.44180390786</v>
      </c>
      <c r="K8" s="5">
        <v>0</v>
      </c>
      <c r="L8" s="5">
        <v>589646.14867637586</v>
      </c>
      <c r="M8" s="5">
        <v>2765658.0030148481</v>
      </c>
      <c r="N8" s="5">
        <v>246799.7905600649</v>
      </c>
      <c r="O8" s="5">
        <v>1112643.4721194047</v>
      </c>
      <c r="P8" s="5">
        <v>1456356.6983978306</v>
      </c>
      <c r="Q8" s="5">
        <v>263127.8282849291</v>
      </c>
      <c r="R8" s="5">
        <v>1224102.713117443</v>
      </c>
      <c r="S8" s="5">
        <v>1314317.6221285546</v>
      </c>
      <c r="T8" s="5">
        <v>1247256.5798670696</v>
      </c>
      <c r="U8" s="5">
        <v>787304.21366873616</v>
      </c>
      <c r="V8" s="5">
        <v>1319303.6295644937</v>
      </c>
      <c r="W8" s="5">
        <f t="shared" ref="W8:AH8" si="6">IF(OR((SLOPE($E8:$V8,$E$1:$V$1)*W$1+INTERCEPT($E8:$V8,$E$1:$V$1))&gt;(AVERAGE($E8:$V8)+_xlfn.STDEV.P($E8:$V8)),(SLOPE($E8:$V8,$E$1:$V$1)*W$1+INTERCEPT($E8:$V8,$E$1:$V$1))&lt;(AVERAGE($E8:$V8)-_xlfn.STDEV.P($E8:$V8))),V8,(SLOPE($E8:$V8,$E$1:$V$1)*W$1+INTERCEPT($E8:$V8,$E$1:$V$1)))</f>
        <v>1393578.3311448521</v>
      </c>
      <c r="X8" s="5">
        <f t="shared" si="6"/>
        <v>1453198.4125016159</v>
      </c>
      <c r="Y8" s="5">
        <f t="shared" si="6"/>
        <v>1453198.4125016159</v>
      </c>
      <c r="Z8" s="5">
        <f t="shared" si="6"/>
        <v>1453198.4125016159</v>
      </c>
      <c r="AA8" s="5">
        <f t="shared" si="6"/>
        <v>1453198.4125016159</v>
      </c>
      <c r="AB8" s="5">
        <f t="shared" si="6"/>
        <v>1453198.4125016159</v>
      </c>
      <c r="AC8" s="5">
        <f t="shared" si="6"/>
        <v>1453198.4125016159</v>
      </c>
      <c r="AD8" s="5">
        <f t="shared" si="6"/>
        <v>1453198.4125016159</v>
      </c>
      <c r="AE8" s="5">
        <f t="shared" si="6"/>
        <v>1453198.4125016159</v>
      </c>
      <c r="AF8" s="5">
        <f t="shared" si="6"/>
        <v>1453198.4125016159</v>
      </c>
      <c r="AG8" s="5">
        <f t="shared" si="6"/>
        <v>1453198.4125016159</v>
      </c>
      <c r="AH8" s="5">
        <f t="shared" si="6"/>
        <v>1453198.4125016159</v>
      </c>
    </row>
    <row r="9" spans="1:35" x14ac:dyDescent="0.35">
      <c r="A9" t="s">
        <v>29</v>
      </c>
      <c r="B9" s="3" t="s">
        <v>1262</v>
      </c>
      <c r="C9" s="4" t="s">
        <v>1263</v>
      </c>
      <c r="D9" s="2">
        <f t="shared" si="1"/>
        <v>14162847.300000001</v>
      </c>
      <c r="E9" s="5">
        <v>476923.86</v>
      </c>
      <c r="F9" s="5">
        <v>604143.54</v>
      </c>
      <c r="G9" s="5">
        <v>891613.8</v>
      </c>
      <c r="H9" s="5">
        <v>691532.1</v>
      </c>
      <c r="I9" s="5">
        <v>825684.30000000016</v>
      </c>
      <c r="J9" s="5">
        <v>748729.80000000016</v>
      </c>
      <c r="K9" s="5">
        <v>731336.75999999989</v>
      </c>
      <c r="L9" s="5">
        <v>598569.30000000005</v>
      </c>
      <c r="M9" s="5">
        <v>947170.97999999986</v>
      </c>
      <c r="N9" s="5">
        <v>767225.33999999973</v>
      </c>
      <c r="O9" s="5">
        <v>853511.39999999991</v>
      </c>
      <c r="P9" s="5">
        <v>834151.50000000012</v>
      </c>
      <c r="Q9" s="5">
        <v>475477.37999999995</v>
      </c>
      <c r="R9" s="5">
        <v>784106.82000000007</v>
      </c>
      <c r="S9" s="5">
        <v>904623.29999999993</v>
      </c>
      <c r="T9" s="5">
        <v>862763.58</v>
      </c>
      <c r="U9" s="5">
        <v>1107941.9400000002</v>
      </c>
      <c r="V9" s="5">
        <v>1057341.5999999999</v>
      </c>
      <c r="W9" s="5">
        <f t="shared" ref="W9:AH9" si="7">IF(OR((SLOPE($E9:$V9,$E$1:$V$1)*W$1+INTERCEPT($E9:$V9,$E$1:$V$1))&gt;(AVERAGE($E9:$V9)+_xlfn.STDEV.P($E9:$V9)),(SLOPE($E9:$V9,$E$1:$V$1)*W$1+INTERCEPT($E9:$V9,$E$1:$V$1))&lt;(AVERAGE($E9:$V9)-_xlfn.STDEV.P($E9:$V9))),V9,(SLOPE($E9:$V9,$E$1:$V$1)*W$1+INTERCEPT($E9:$V9,$E$1:$V$1)))</f>
        <v>1057341.5999999999</v>
      </c>
      <c r="X9" s="5">
        <f t="shared" si="7"/>
        <v>1057341.5999999999</v>
      </c>
      <c r="Y9" s="5">
        <f t="shared" si="7"/>
        <v>1057341.5999999999</v>
      </c>
      <c r="Z9" s="5">
        <f t="shared" si="7"/>
        <v>1057341.5999999999</v>
      </c>
      <c r="AA9" s="5">
        <f t="shared" si="7"/>
        <v>1057341.5999999999</v>
      </c>
      <c r="AB9" s="5">
        <f t="shared" si="7"/>
        <v>1057341.5999999999</v>
      </c>
      <c r="AC9" s="5">
        <f t="shared" si="7"/>
        <v>1057341.5999999999</v>
      </c>
      <c r="AD9" s="5">
        <f t="shared" si="7"/>
        <v>1057341.5999999999</v>
      </c>
      <c r="AE9" s="5">
        <f t="shared" si="7"/>
        <v>1057341.5999999999</v>
      </c>
      <c r="AF9" s="5">
        <f t="shared" si="7"/>
        <v>1057341.5999999999</v>
      </c>
      <c r="AG9" s="5">
        <f t="shared" si="7"/>
        <v>1057341.5999999999</v>
      </c>
      <c r="AH9" s="5">
        <f t="shared" si="7"/>
        <v>1057341.5999999999</v>
      </c>
    </row>
    <row r="10" spans="1:35" x14ac:dyDescent="0.35">
      <c r="A10" t="s">
        <v>30</v>
      </c>
      <c r="B10" s="3" t="s">
        <v>1262</v>
      </c>
      <c r="C10" s="4" t="s">
        <v>1263</v>
      </c>
      <c r="D10" s="2">
        <f t="shared" si="1"/>
        <v>12631116.850965327</v>
      </c>
      <c r="E10" s="5">
        <v>570004.67628873221</v>
      </c>
      <c r="F10" s="5">
        <v>744989.40781336802</v>
      </c>
      <c r="G10" s="5">
        <v>1001336.3005820914</v>
      </c>
      <c r="H10" s="5">
        <v>676800.6647893074</v>
      </c>
      <c r="I10" s="5">
        <v>796691.81357988983</v>
      </c>
      <c r="J10" s="5">
        <v>585525.832409358</v>
      </c>
      <c r="K10" s="5">
        <v>728216.12481242279</v>
      </c>
      <c r="L10" s="5">
        <v>597290.60788902559</v>
      </c>
      <c r="M10" s="5">
        <v>967085.4132100211</v>
      </c>
      <c r="N10" s="5">
        <v>604751.19721759565</v>
      </c>
      <c r="O10" s="5">
        <v>740398.2759188636</v>
      </c>
      <c r="P10" s="5">
        <v>849855.03404011764</v>
      </c>
      <c r="Q10" s="5">
        <v>415419.17852263333</v>
      </c>
      <c r="R10" s="5">
        <v>736537.55137121223</v>
      </c>
      <c r="S10" s="5">
        <v>673461.65977512219</v>
      </c>
      <c r="T10" s="5">
        <v>716555.69323944848</v>
      </c>
      <c r="U10" s="5">
        <v>671974.7591047429</v>
      </c>
      <c r="V10" s="5">
        <v>554222.66040137305</v>
      </c>
      <c r="W10" s="5">
        <f t="shared" ref="W10:AH10" si="8">IF(OR((SLOPE($E10:$V10,$E$1:$V$1)*W$1+INTERCEPT($E10:$V10,$E$1:$V$1))&gt;(AVERAGE($E10:$V10)+_xlfn.STDEV.P($E10:$V10)),(SLOPE($E10:$V10,$E$1:$V$1)*W$1+INTERCEPT($E10:$V10,$E$1:$V$1))&lt;(AVERAGE($E10:$V10)-_xlfn.STDEV.P($E10:$V10))),V10,(SLOPE($E10:$V10,$E$1:$V$1)*W$1+INTERCEPT($E10:$V10,$E$1:$V$1)))</f>
        <v>641343.00262708194</v>
      </c>
      <c r="X10" s="5">
        <f t="shared" si="8"/>
        <v>634986.61196229921</v>
      </c>
      <c r="Y10" s="5">
        <f t="shared" si="8"/>
        <v>628630.22129751649</v>
      </c>
      <c r="Z10" s="5">
        <f t="shared" si="8"/>
        <v>622273.83063273376</v>
      </c>
      <c r="AA10" s="5">
        <f t="shared" si="8"/>
        <v>615917.43996795104</v>
      </c>
      <c r="AB10" s="5">
        <f t="shared" si="8"/>
        <v>609561.0493031682</v>
      </c>
      <c r="AC10" s="5">
        <f t="shared" si="8"/>
        <v>603204.65863838547</v>
      </c>
      <c r="AD10" s="5">
        <f t="shared" si="8"/>
        <v>596848.26797360275</v>
      </c>
      <c r="AE10" s="5">
        <f t="shared" si="8"/>
        <v>590491.87730882003</v>
      </c>
      <c r="AF10" s="5">
        <f t="shared" si="8"/>
        <v>584135.4866440373</v>
      </c>
      <c r="AG10" s="5">
        <f t="shared" si="8"/>
        <v>577779.09597925446</v>
      </c>
      <c r="AH10" s="5">
        <f t="shared" si="8"/>
        <v>571422.70531447174</v>
      </c>
    </row>
    <row r="11" spans="1:35" x14ac:dyDescent="0.35">
      <c r="A11" t="s">
        <v>31</v>
      </c>
      <c r="B11" s="3" t="s">
        <v>1264</v>
      </c>
      <c r="C11" s="4" t="s">
        <v>1263</v>
      </c>
      <c r="D11" s="2">
        <f t="shared" si="1"/>
        <v>12366062.478</v>
      </c>
      <c r="E11" s="5">
        <v>331822.95299999998</v>
      </c>
      <c r="F11" s="5">
        <v>589687.55999999994</v>
      </c>
      <c r="G11" s="5">
        <v>627088.77</v>
      </c>
      <c r="H11" s="5">
        <v>1063096.6499999999</v>
      </c>
      <c r="I11" s="5">
        <v>532567.0349999998</v>
      </c>
      <c r="J11" s="5">
        <v>113367.86999999998</v>
      </c>
      <c r="K11" s="5">
        <v>43222.409999999996</v>
      </c>
      <c r="L11" s="5">
        <v>194078.80799999999</v>
      </c>
      <c r="M11" s="5">
        <v>500041.0799999999</v>
      </c>
      <c r="N11" s="5">
        <v>753117.75</v>
      </c>
      <c r="O11" s="5">
        <v>750643.73999999987</v>
      </c>
      <c r="P11" s="5">
        <v>708236.29800000007</v>
      </c>
      <c r="Q11" s="5">
        <v>793284.03</v>
      </c>
      <c r="R11" s="5">
        <v>1034005.2029999999</v>
      </c>
      <c r="S11" s="5">
        <v>1806915.0329999998</v>
      </c>
      <c r="T11" s="5">
        <v>722905.72199999983</v>
      </c>
      <c r="U11" s="5">
        <v>1309828.2119999998</v>
      </c>
      <c r="V11" s="5">
        <v>492153.35399999993</v>
      </c>
      <c r="W11" s="5">
        <f t="shared" ref="W11:AH11" si="9">IF(OR((SLOPE($E11:$V11,$E$1:$V$1)*W$1+INTERCEPT($E11:$V11,$E$1:$V$1))&gt;(AVERAGE($E11:$V11)+_xlfn.STDEV.P($E11:$V11)),(SLOPE($E11:$V11,$E$1:$V$1)*W$1+INTERCEPT($E11:$V11,$E$1:$V$1))&lt;(AVERAGE($E11:$V11)-_xlfn.STDEV.P($E11:$V11))),V11,(SLOPE($E11:$V11,$E$1:$V$1)*W$1+INTERCEPT($E11:$V11,$E$1:$V$1)))</f>
        <v>1054410.7918235294</v>
      </c>
      <c r="X11" s="5">
        <f t="shared" si="9"/>
        <v>1093085.2466470588</v>
      </c>
      <c r="Y11" s="5">
        <f t="shared" si="9"/>
        <v>1093085.2466470588</v>
      </c>
      <c r="Z11" s="5">
        <f t="shared" si="9"/>
        <v>1093085.2466470588</v>
      </c>
      <c r="AA11" s="5">
        <f t="shared" si="9"/>
        <v>1093085.2466470588</v>
      </c>
      <c r="AB11" s="5">
        <f t="shared" si="9"/>
        <v>1093085.2466470588</v>
      </c>
      <c r="AC11" s="5">
        <f t="shared" si="9"/>
        <v>1093085.2466470588</v>
      </c>
      <c r="AD11" s="5">
        <f t="shared" si="9"/>
        <v>1093085.2466470588</v>
      </c>
      <c r="AE11" s="5">
        <f t="shared" si="9"/>
        <v>1093085.2466470588</v>
      </c>
      <c r="AF11" s="5">
        <f t="shared" si="9"/>
        <v>1093085.2466470588</v>
      </c>
      <c r="AG11" s="5">
        <f t="shared" si="9"/>
        <v>1093085.2466470588</v>
      </c>
      <c r="AH11" s="5">
        <f t="shared" si="9"/>
        <v>1093085.2466470588</v>
      </c>
    </row>
    <row r="12" spans="1:35" x14ac:dyDescent="0.35">
      <c r="A12" t="s">
        <v>32</v>
      </c>
      <c r="B12" s="3" t="s">
        <v>1262</v>
      </c>
      <c r="C12" s="4" t="s">
        <v>1263</v>
      </c>
      <c r="D12" s="2">
        <f t="shared" si="1"/>
        <v>10483708.013280664</v>
      </c>
      <c r="E12" s="5">
        <v>433734.86212239461</v>
      </c>
      <c r="F12" s="5">
        <v>474086.29345464671</v>
      </c>
      <c r="G12" s="5">
        <v>658392.6320731563</v>
      </c>
      <c r="H12" s="5">
        <v>559940.64678397367</v>
      </c>
      <c r="I12" s="5">
        <v>616343.15927454852</v>
      </c>
      <c r="J12" s="5">
        <v>482174.93692613865</v>
      </c>
      <c r="K12" s="5">
        <v>591629.77198718104</v>
      </c>
      <c r="L12" s="5">
        <v>606304.06276737736</v>
      </c>
      <c r="M12" s="5">
        <v>766149.42566784285</v>
      </c>
      <c r="N12" s="5">
        <v>502299.02295308514</v>
      </c>
      <c r="O12" s="5">
        <v>670932.89776725729</v>
      </c>
      <c r="P12" s="5">
        <v>697355.79977413116</v>
      </c>
      <c r="Q12" s="5">
        <v>425451.17334733467</v>
      </c>
      <c r="R12" s="5">
        <v>579754.9549758418</v>
      </c>
      <c r="S12" s="5">
        <v>601531.18945653946</v>
      </c>
      <c r="T12" s="5">
        <v>612511.09272209695</v>
      </c>
      <c r="U12" s="5">
        <v>687419.96254531958</v>
      </c>
      <c r="V12" s="5">
        <v>517696.12868179777</v>
      </c>
      <c r="W12" s="5">
        <f t="shared" ref="W12:AH12" si="10">IF(OR((SLOPE($E12:$V12,$E$1:$V$1)*W$1+INTERCEPT($E12:$V12,$E$1:$V$1))&gt;(AVERAGE($E12:$V12)+_xlfn.STDEV.P($E12:$V12)),(SLOPE($E12:$V12,$E$1:$V$1)*W$1+INTERCEPT($E12:$V12,$E$1:$V$1))&lt;(AVERAGE($E12:$V12)-_xlfn.STDEV.P($E12:$V12))),V12,(SLOPE($E12:$V12,$E$1:$V$1)*W$1+INTERCEPT($E12:$V12,$E$1:$V$1)))</f>
        <v>623807.5227951745</v>
      </c>
      <c r="X12" s="5">
        <f t="shared" si="10"/>
        <v>628163.23856729432</v>
      </c>
      <c r="Y12" s="5">
        <f t="shared" si="10"/>
        <v>632518.95433941402</v>
      </c>
      <c r="Z12" s="5">
        <f t="shared" si="10"/>
        <v>636874.67011153384</v>
      </c>
      <c r="AA12" s="5">
        <f t="shared" si="10"/>
        <v>641230.38588365354</v>
      </c>
      <c r="AB12" s="5">
        <f t="shared" si="10"/>
        <v>645586.10165577335</v>
      </c>
      <c r="AC12" s="5">
        <f t="shared" si="10"/>
        <v>649941.81742789305</v>
      </c>
      <c r="AD12" s="5">
        <f t="shared" si="10"/>
        <v>654297.53320001287</v>
      </c>
      <c r="AE12" s="5">
        <f t="shared" si="10"/>
        <v>658653.24897213257</v>
      </c>
      <c r="AF12" s="5">
        <f t="shared" si="10"/>
        <v>663008.96474425239</v>
      </c>
      <c r="AG12" s="5">
        <f t="shared" si="10"/>
        <v>667364.68051637209</v>
      </c>
      <c r="AH12" s="5">
        <f t="shared" si="10"/>
        <v>671720.3962884919</v>
      </c>
    </row>
    <row r="13" spans="1:35" x14ac:dyDescent="0.35">
      <c r="A13" t="s">
        <v>33</v>
      </c>
      <c r="B13" s="3" t="s">
        <v>1262</v>
      </c>
      <c r="C13" s="4" t="s">
        <v>1263</v>
      </c>
      <c r="D13" s="2">
        <f t="shared" si="1"/>
        <v>10295603.582624743</v>
      </c>
      <c r="E13" s="5">
        <v>214999.79976159972</v>
      </c>
      <c r="F13" s="5">
        <v>512397.86037812429</v>
      </c>
      <c r="G13" s="5">
        <v>481275.12721570366</v>
      </c>
      <c r="H13" s="5">
        <v>896758.11621791485</v>
      </c>
      <c r="I13" s="5">
        <v>487461.18283544265</v>
      </c>
      <c r="J13" s="5">
        <v>641150.29801029456</v>
      </c>
      <c r="K13" s="5">
        <v>398381.98191119923</v>
      </c>
      <c r="L13" s="5">
        <v>877457.62268432905</v>
      </c>
      <c r="M13" s="5">
        <v>750767.20359207189</v>
      </c>
      <c r="N13" s="5">
        <v>581241.78603068774</v>
      </c>
      <c r="O13" s="5">
        <v>550146.54644879908</v>
      </c>
      <c r="P13" s="5">
        <v>802592.60289521981</v>
      </c>
      <c r="Q13" s="5">
        <v>283733.75109203428</v>
      </c>
      <c r="R13" s="5">
        <v>444571.19720525126</v>
      </c>
      <c r="S13" s="5">
        <v>610082.55200893816</v>
      </c>
      <c r="T13" s="5">
        <v>585063.39372465992</v>
      </c>
      <c r="U13" s="5">
        <v>714283.22222587711</v>
      </c>
      <c r="V13" s="5">
        <v>463239.33838659764</v>
      </c>
      <c r="W13" s="5">
        <f t="shared" ref="W13:AH13" si="11">IF(OR((SLOPE($E13:$V13,$E$1:$V$1)*W$1+INTERCEPT($E13:$V13,$E$1:$V$1))&gt;(AVERAGE($E13:$V13)+_xlfn.STDEV.P($E13:$V13)),(SLOPE($E13:$V13,$E$1:$V$1)*W$1+INTERCEPT($E13:$V13,$E$1:$V$1))&lt;(AVERAGE($E13:$V13)-_xlfn.STDEV.P($E13:$V13))),V13,(SLOPE($E13:$V13,$E$1:$V$1)*W$1+INTERCEPT($E13:$V13,$E$1:$V$1)))</f>
        <v>605564.61997142225</v>
      </c>
      <c r="X13" s="5">
        <f t="shared" si="11"/>
        <v>609100.05609341559</v>
      </c>
      <c r="Y13" s="5">
        <f t="shared" si="11"/>
        <v>612635.49221540894</v>
      </c>
      <c r="Z13" s="5">
        <f t="shared" si="11"/>
        <v>616170.92833740218</v>
      </c>
      <c r="AA13" s="5">
        <f t="shared" si="11"/>
        <v>619706.36445939553</v>
      </c>
      <c r="AB13" s="5">
        <f t="shared" si="11"/>
        <v>623241.80058138887</v>
      </c>
      <c r="AC13" s="5">
        <f t="shared" si="11"/>
        <v>626777.23670338222</v>
      </c>
      <c r="AD13" s="5">
        <f t="shared" si="11"/>
        <v>630312.67282537557</v>
      </c>
      <c r="AE13" s="5">
        <f t="shared" si="11"/>
        <v>633848.1089473688</v>
      </c>
      <c r="AF13" s="5">
        <f t="shared" si="11"/>
        <v>637383.54506936215</v>
      </c>
      <c r="AG13" s="5">
        <f t="shared" si="11"/>
        <v>640918.9811913555</v>
      </c>
      <c r="AH13" s="5">
        <f t="shared" si="11"/>
        <v>644454.41731334873</v>
      </c>
    </row>
    <row r="14" spans="1:35" x14ac:dyDescent="0.35">
      <c r="A14" t="s">
        <v>34</v>
      </c>
      <c r="B14" s="3" t="s">
        <v>1262</v>
      </c>
      <c r="C14" s="4" t="s">
        <v>1263</v>
      </c>
      <c r="D14" s="2">
        <f t="shared" si="1"/>
        <v>9468623.4395186454</v>
      </c>
      <c r="E14" s="5">
        <v>366222.29831678286</v>
      </c>
      <c r="F14" s="5">
        <v>422542.68150578538</v>
      </c>
      <c r="G14" s="5">
        <v>566088.28318478481</v>
      </c>
      <c r="H14" s="5">
        <v>495227.91081607644</v>
      </c>
      <c r="I14" s="5">
        <v>548663.84271031956</v>
      </c>
      <c r="J14" s="5">
        <v>433020.89233164646</v>
      </c>
      <c r="K14" s="5">
        <v>492534.77516841836</v>
      </c>
      <c r="L14" s="5">
        <v>432652.97762568214</v>
      </c>
      <c r="M14" s="5">
        <v>672489.21614963678</v>
      </c>
      <c r="N14" s="5">
        <v>491431.03105052572</v>
      </c>
      <c r="O14" s="5">
        <v>585440.59671850293</v>
      </c>
      <c r="P14" s="5">
        <v>619862.69660851476</v>
      </c>
      <c r="Q14" s="5">
        <v>353212.83431388822</v>
      </c>
      <c r="R14" s="5">
        <v>567324.47659682459</v>
      </c>
      <c r="S14" s="5">
        <v>637964.10014195472</v>
      </c>
      <c r="T14" s="5">
        <v>586588.49060111097</v>
      </c>
      <c r="U14" s="5">
        <v>650149.43520348938</v>
      </c>
      <c r="V14" s="5">
        <v>547206.90047470119</v>
      </c>
      <c r="W14" s="5">
        <f t="shared" ref="W14:AH14" si="12">IF(OR((SLOPE($E14:$V14,$E$1:$V$1)*W$1+INTERCEPT($E14:$V14,$E$1:$V$1))&gt;(AVERAGE($E14:$V14)+_xlfn.STDEV.P($E14:$V14)),(SLOPE($E14:$V14,$E$1:$V$1)*W$1+INTERCEPT($E14:$V14,$E$1:$V$1))&lt;(AVERAGE($E14:$V14)-_xlfn.STDEV.P($E14:$V14))),V14,(SLOPE($E14:$V14,$E$1:$V$1)*W$1+INTERCEPT($E14:$V14,$E$1:$V$1)))</f>
        <v>612805.94826784439</v>
      </c>
      <c r="X14" s="5">
        <f t="shared" si="12"/>
        <v>612805.94826784439</v>
      </c>
      <c r="Y14" s="5">
        <f t="shared" si="12"/>
        <v>612805.94826784439</v>
      </c>
      <c r="Z14" s="5">
        <f t="shared" si="12"/>
        <v>612805.94826784439</v>
      </c>
      <c r="AA14" s="5">
        <f t="shared" si="12"/>
        <v>612805.94826784439</v>
      </c>
      <c r="AB14" s="5">
        <f t="shared" si="12"/>
        <v>612805.94826784439</v>
      </c>
      <c r="AC14" s="5">
        <f t="shared" si="12"/>
        <v>612805.94826784439</v>
      </c>
      <c r="AD14" s="5">
        <f t="shared" si="12"/>
        <v>612805.94826784439</v>
      </c>
      <c r="AE14" s="5">
        <f t="shared" si="12"/>
        <v>612805.94826784439</v>
      </c>
      <c r="AF14" s="5">
        <f t="shared" si="12"/>
        <v>612805.94826784439</v>
      </c>
      <c r="AG14" s="5">
        <f t="shared" si="12"/>
        <v>612805.94826784439</v>
      </c>
      <c r="AH14" s="5">
        <f t="shared" si="12"/>
        <v>612805.94826784439</v>
      </c>
    </row>
    <row r="15" spans="1:35" x14ac:dyDescent="0.35">
      <c r="A15" t="s">
        <v>35</v>
      </c>
      <c r="B15" s="3" t="s">
        <v>1262</v>
      </c>
      <c r="C15" s="4" t="s">
        <v>1263</v>
      </c>
      <c r="D15" s="2">
        <f t="shared" si="1"/>
        <v>9436588.8018830139</v>
      </c>
      <c r="E15" s="5">
        <v>273613.88540299248</v>
      </c>
      <c r="F15" s="5">
        <v>540174.74213628261</v>
      </c>
      <c r="G15" s="5">
        <v>582492.91415449721</v>
      </c>
      <c r="H15" s="5">
        <v>562860.77249656268</v>
      </c>
      <c r="I15" s="5">
        <v>563806.0237615743</v>
      </c>
      <c r="J15" s="5">
        <v>432925.07937534346</v>
      </c>
      <c r="K15" s="5">
        <v>483677.80114289309</v>
      </c>
      <c r="L15" s="5">
        <v>412565.82135970762</v>
      </c>
      <c r="M15" s="5">
        <v>634263.5988228285</v>
      </c>
      <c r="N15" s="5">
        <v>413438.36098894908</v>
      </c>
      <c r="O15" s="5">
        <v>725807.54825742007</v>
      </c>
      <c r="P15" s="5">
        <v>649969.31214917626</v>
      </c>
      <c r="Q15" s="5">
        <v>229405.21085475455</v>
      </c>
      <c r="R15" s="5">
        <v>572676.84332552995</v>
      </c>
      <c r="S15" s="5">
        <v>708865.73712297995</v>
      </c>
      <c r="T15" s="5">
        <v>587800.86356571666</v>
      </c>
      <c r="U15" s="5">
        <v>574203.78767670272</v>
      </c>
      <c r="V15" s="5">
        <v>488040.4992891007</v>
      </c>
      <c r="W15" s="5">
        <f t="shared" ref="W15:AH15" si="13">IF(OR((SLOPE($E15:$V15,$E$1:$V$1)*W$1+INTERCEPT($E15:$V15,$E$1:$V$1))&gt;(AVERAGE($E15:$V15)+_xlfn.STDEV.P($E15:$V15)),(SLOPE($E15:$V15,$E$1:$V$1)*W$1+INTERCEPT($E15:$V15,$E$1:$V$1))&lt;(AVERAGE($E15:$V15)-_xlfn.STDEV.P($E15:$V15))),V15,(SLOPE($E15:$V15,$E$1:$V$1)*W$1+INTERCEPT($E15:$V15,$E$1:$V$1)))</f>
        <v>583434.36350391316</v>
      </c>
      <c r="X15" s="5">
        <f t="shared" si="13"/>
        <v>589663.77719506773</v>
      </c>
      <c r="Y15" s="5">
        <f t="shared" si="13"/>
        <v>595893.19088622229</v>
      </c>
      <c r="Z15" s="5">
        <f t="shared" si="13"/>
        <v>602122.60457737674</v>
      </c>
      <c r="AA15" s="5">
        <f t="shared" si="13"/>
        <v>608352.0182685313</v>
      </c>
      <c r="AB15" s="5">
        <f t="shared" si="13"/>
        <v>614581.43195968587</v>
      </c>
      <c r="AC15" s="5">
        <f t="shared" si="13"/>
        <v>620810.84565084032</v>
      </c>
      <c r="AD15" s="5">
        <f t="shared" si="13"/>
        <v>627040.25934199488</v>
      </c>
      <c r="AE15" s="5">
        <f t="shared" si="13"/>
        <v>633269.67303314945</v>
      </c>
      <c r="AF15" s="5">
        <f t="shared" si="13"/>
        <v>639499.0867243039</v>
      </c>
      <c r="AG15" s="5">
        <f t="shared" si="13"/>
        <v>645728.50041545846</v>
      </c>
      <c r="AH15" s="5">
        <f t="shared" si="13"/>
        <v>651957.91410661303</v>
      </c>
    </row>
    <row r="16" spans="1:35" x14ac:dyDescent="0.35">
      <c r="A16" t="s">
        <v>36</v>
      </c>
      <c r="B16" s="3" t="s">
        <v>1262</v>
      </c>
      <c r="C16" s="4" t="s">
        <v>1263</v>
      </c>
      <c r="D16" s="2">
        <f t="shared" si="1"/>
        <v>9384375.0419999994</v>
      </c>
      <c r="E16" s="5">
        <v>414944.66159999999</v>
      </c>
      <c r="F16" s="5">
        <v>584465.41440000001</v>
      </c>
      <c r="G16" s="5">
        <v>648621.91799999995</v>
      </c>
      <c r="H16" s="5">
        <v>868829.97599999991</v>
      </c>
      <c r="I16" s="5">
        <v>648032.91839999997</v>
      </c>
      <c r="J16" s="5">
        <v>924951.63599999982</v>
      </c>
      <c r="K16" s="5">
        <v>431858.95199999999</v>
      </c>
      <c r="L16" s="5">
        <v>113576.90399999999</v>
      </c>
      <c r="M16" s="5">
        <v>490670.00640000007</v>
      </c>
      <c r="N16" s="5">
        <v>419634.43200000003</v>
      </c>
      <c r="O16" s="5">
        <v>760476.27600000007</v>
      </c>
      <c r="P16" s="5">
        <v>642565.22400000005</v>
      </c>
      <c r="Q16" s="5">
        <v>235822.10400000005</v>
      </c>
      <c r="R16" s="5">
        <v>539545.8600000001</v>
      </c>
      <c r="S16" s="5">
        <v>615782.41199999978</v>
      </c>
      <c r="T16" s="5">
        <v>278607.924</v>
      </c>
      <c r="U16" s="5">
        <v>437148.83519999997</v>
      </c>
      <c r="V16" s="5">
        <v>328839.58800000005</v>
      </c>
      <c r="W16" s="5">
        <f t="shared" ref="W16:AH16" si="14">IF(OR((SLOPE($E16:$V16,$E$1:$V$1)*W$1+INTERCEPT($E16:$V16,$E$1:$V$1))&gt;(AVERAGE($E16:$V16)+_xlfn.STDEV.P($E16:$V16)),(SLOPE($E16:$V16,$E$1:$V$1)*W$1+INTERCEPT($E16:$V16,$E$1:$V$1))&lt;(AVERAGE($E16:$V16)-_xlfn.STDEV.P($E16:$V16))),V16,(SLOPE($E16:$V16,$E$1:$V$1)*W$1+INTERCEPT($E16:$V16,$E$1:$V$1)))</f>
        <v>382684.20416470588</v>
      </c>
      <c r="X16" s="5">
        <f t="shared" si="14"/>
        <v>368087.36576099071</v>
      </c>
      <c r="Y16" s="5">
        <f t="shared" si="14"/>
        <v>353490.52735727554</v>
      </c>
      <c r="Z16" s="5">
        <f t="shared" si="14"/>
        <v>338893.68895356037</v>
      </c>
      <c r="AA16" s="5">
        <f t="shared" si="14"/>
        <v>324296.8505498452</v>
      </c>
      <c r="AB16" s="5">
        <f t="shared" si="14"/>
        <v>324296.8505498452</v>
      </c>
      <c r="AC16" s="5">
        <f t="shared" si="14"/>
        <v>324296.8505498452</v>
      </c>
      <c r="AD16" s="5">
        <f t="shared" si="14"/>
        <v>324296.8505498452</v>
      </c>
      <c r="AE16" s="5">
        <f t="shared" si="14"/>
        <v>324296.8505498452</v>
      </c>
      <c r="AF16" s="5">
        <f t="shared" si="14"/>
        <v>324296.8505498452</v>
      </c>
      <c r="AG16" s="5">
        <f t="shared" si="14"/>
        <v>324296.8505498452</v>
      </c>
      <c r="AH16" s="5">
        <f t="shared" si="14"/>
        <v>324296.8505498452</v>
      </c>
    </row>
    <row r="17" spans="1:34" x14ac:dyDescent="0.35">
      <c r="A17" t="s">
        <v>37</v>
      </c>
      <c r="B17" s="3" t="s">
        <v>1262</v>
      </c>
      <c r="C17" s="4" t="s">
        <v>1263</v>
      </c>
      <c r="D17" s="2">
        <f t="shared" si="1"/>
        <v>9302409.9182304423</v>
      </c>
      <c r="E17" s="5">
        <v>342483.24932274251</v>
      </c>
      <c r="F17" s="5">
        <v>558689.30877281923</v>
      </c>
      <c r="G17" s="5">
        <v>624814.33661408571</v>
      </c>
      <c r="H17" s="5">
        <v>618870.67797199299</v>
      </c>
      <c r="I17" s="5">
        <v>565874.27204532444</v>
      </c>
      <c r="J17" s="5">
        <v>494667.19701131055</v>
      </c>
      <c r="K17" s="5">
        <v>585530.6959575027</v>
      </c>
      <c r="L17" s="5">
        <v>452740.30767114367</v>
      </c>
      <c r="M17" s="5">
        <v>524911.21924171317</v>
      </c>
      <c r="N17" s="5">
        <v>424905.8767821301</v>
      </c>
      <c r="O17" s="5">
        <v>618914.48872365442</v>
      </c>
      <c r="P17" s="5">
        <v>585691.33538026235</v>
      </c>
      <c r="Q17" s="5">
        <v>414522.72863832692</v>
      </c>
      <c r="R17" s="5">
        <v>515667.15064111201</v>
      </c>
      <c r="S17" s="5">
        <v>531745.69650092523</v>
      </c>
      <c r="T17" s="5">
        <v>487380.00865159504</v>
      </c>
      <c r="U17" s="5">
        <v>526868.09948259848</v>
      </c>
      <c r="V17" s="5">
        <v>428133.26882120251</v>
      </c>
      <c r="W17" s="5">
        <f t="shared" ref="W17:AH17" si="15">IF(OR((SLOPE($E17:$V17,$E$1:$V$1)*W$1+INTERCEPT($E17:$V17,$E$1:$V$1))&gt;(AVERAGE($E17:$V17)+_xlfn.STDEV.P($E17:$V17)),(SLOPE($E17:$V17,$E$1:$V$1)*W$1+INTERCEPT($E17:$V17,$E$1:$V$1))&lt;(AVERAGE($E17:$V17)-_xlfn.STDEV.P($E17:$V17))),V17,(SLOPE($E17:$V17,$E$1:$V$1)*W$1+INTERCEPT($E17:$V17,$E$1:$V$1)))</f>
        <v>493468.7486499527</v>
      </c>
      <c r="X17" s="5">
        <f t="shared" si="15"/>
        <v>491012.76945386326</v>
      </c>
      <c r="Y17" s="5">
        <f t="shared" si="15"/>
        <v>488556.79025777383</v>
      </c>
      <c r="Z17" s="5">
        <f t="shared" si="15"/>
        <v>486100.81106168439</v>
      </c>
      <c r="AA17" s="5">
        <f t="shared" si="15"/>
        <v>483644.83186559496</v>
      </c>
      <c r="AB17" s="5">
        <f t="shared" si="15"/>
        <v>481188.85266950552</v>
      </c>
      <c r="AC17" s="5">
        <f t="shared" si="15"/>
        <v>478732.87347341602</v>
      </c>
      <c r="AD17" s="5">
        <f t="shared" si="15"/>
        <v>476276.89427732659</v>
      </c>
      <c r="AE17" s="5">
        <f t="shared" si="15"/>
        <v>473820.91508123715</v>
      </c>
      <c r="AF17" s="5">
        <f t="shared" si="15"/>
        <v>471364.93588514772</v>
      </c>
      <c r="AG17" s="5">
        <f t="shared" si="15"/>
        <v>468908.95668905828</v>
      </c>
      <c r="AH17" s="5">
        <f t="shared" si="15"/>
        <v>466452.97749296884</v>
      </c>
    </row>
    <row r="18" spans="1:34" x14ac:dyDescent="0.35">
      <c r="A18" t="s">
        <v>38</v>
      </c>
      <c r="B18" s="3" t="s">
        <v>1262</v>
      </c>
      <c r="C18" s="4" t="s">
        <v>1263</v>
      </c>
      <c r="D18" s="2">
        <f t="shared" si="1"/>
        <v>8457251.1658969503</v>
      </c>
      <c r="E18" s="5">
        <v>217534.17770099323</v>
      </c>
      <c r="F18" s="5">
        <v>859135.41459000448</v>
      </c>
      <c r="G18" s="5">
        <v>378914.73062436248</v>
      </c>
      <c r="H18" s="5">
        <v>621855.32060752879</v>
      </c>
      <c r="I18" s="5">
        <v>213490.96627192793</v>
      </c>
      <c r="J18" s="5">
        <v>753118.64979299984</v>
      </c>
      <c r="K18" s="5">
        <v>246353.81265468002</v>
      </c>
      <c r="L18" s="5">
        <v>646819.80047768843</v>
      </c>
      <c r="M18" s="5">
        <v>514240.07687345223</v>
      </c>
      <c r="N18" s="5">
        <v>773428.73511109548</v>
      </c>
      <c r="O18" s="5">
        <v>390734.07194142084</v>
      </c>
      <c r="P18" s="5">
        <v>269578.77132861363</v>
      </c>
      <c r="Q18" s="5">
        <v>356789.90157182573</v>
      </c>
      <c r="R18" s="5">
        <v>524912.27448272938</v>
      </c>
      <c r="S18" s="5">
        <v>586444.31074273807</v>
      </c>
      <c r="T18" s="5">
        <v>385280.43792082096</v>
      </c>
      <c r="U18" s="5">
        <v>239170.06025513128</v>
      </c>
      <c r="V18" s="5">
        <v>479449.65294893645</v>
      </c>
      <c r="W18" s="5">
        <f t="shared" ref="W18:AH18" si="16">IF(OR((SLOPE($E18:$V18,$E$1:$V$1)*W$1+INTERCEPT($E18:$V18,$E$1:$V$1))&gt;(AVERAGE($E18:$V18)+_xlfn.STDEV.P($E18:$V18)),(SLOPE($E18:$V18,$E$1:$V$1)*W$1+INTERCEPT($E18:$V18,$E$1:$V$1))&lt;(AVERAGE($E18:$V18)-_xlfn.STDEV.P($E18:$V18))),V18,(SLOPE($E18:$V18,$E$1:$V$1)*W$1+INTERCEPT($E18:$V18,$E$1:$V$1)))</f>
        <v>415747.90123820346</v>
      </c>
      <c r="X18" s="5">
        <f t="shared" si="16"/>
        <v>410053.22905335377</v>
      </c>
      <c r="Y18" s="5">
        <f t="shared" si="16"/>
        <v>404358.55686850415</v>
      </c>
      <c r="Z18" s="5">
        <f t="shared" si="16"/>
        <v>398663.88468365453</v>
      </c>
      <c r="AA18" s="5">
        <f t="shared" si="16"/>
        <v>392969.2124988049</v>
      </c>
      <c r="AB18" s="5">
        <f t="shared" si="16"/>
        <v>387274.54031395528</v>
      </c>
      <c r="AC18" s="5">
        <f t="shared" si="16"/>
        <v>381579.86812910566</v>
      </c>
      <c r="AD18" s="5">
        <f t="shared" si="16"/>
        <v>375885.19594425603</v>
      </c>
      <c r="AE18" s="5">
        <f t="shared" si="16"/>
        <v>370190.52375940635</v>
      </c>
      <c r="AF18" s="5">
        <f t="shared" si="16"/>
        <v>364495.85157455673</v>
      </c>
      <c r="AG18" s="5">
        <f t="shared" si="16"/>
        <v>358801.17938970705</v>
      </c>
      <c r="AH18" s="5">
        <f t="shared" si="16"/>
        <v>353106.50720485742</v>
      </c>
    </row>
    <row r="19" spans="1:34" x14ac:dyDescent="0.35">
      <c r="A19" t="s">
        <v>39</v>
      </c>
      <c r="B19" s="3" t="s">
        <v>1265</v>
      </c>
      <c r="C19" s="4" t="s">
        <v>1263</v>
      </c>
      <c r="D19" s="2">
        <f t="shared" si="1"/>
        <v>8189265.9100180352</v>
      </c>
      <c r="E19" s="5">
        <v>407604.43771551177</v>
      </c>
      <c r="F19" s="5">
        <v>611587.33870637347</v>
      </c>
      <c r="G19" s="5">
        <v>608862.65213914111</v>
      </c>
      <c r="H19" s="5">
        <v>332281.67006646277</v>
      </c>
      <c r="I19" s="5">
        <v>377351.02134831552</v>
      </c>
      <c r="J19" s="5">
        <v>356941.16759271052</v>
      </c>
      <c r="K19" s="5">
        <v>398830.51333190541</v>
      </c>
      <c r="L19" s="5">
        <v>382063.21137970884</v>
      </c>
      <c r="M19" s="5">
        <v>513816.62284028856</v>
      </c>
      <c r="N19" s="5">
        <v>482045.47655500565</v>
      </c>
      <c r="O19" s="5">
        <v>464569.90064103517</v>
      </c>
      <c r="P19" s="5">
        <v>558567.97356787557</v>
      </c>
      <c r="Q19" s="5">
        <v>734017.5520987059</v>
      </c>
      <c r="R19" s="5">
        <v>410900.07982335746</v>
      </c>
      <c r="S19" s="5">
        <v>434489.93912162026</v>
      </c>
      <c r="T19" s="5">
        <v>382113.80237697833</v>
      </c>
      <c r="U19" s="5">
        <v>302693.16394909512</v>
      </c>
      <c r="V19" s="5">
        <v>430529.38676394627</v>
      </c>
      <c r="W19" s="5">
        <f t="shared" ref="W19:AH19" si="17">IF(OR((SLOPE($E19:$V19,$E$1:$V$1)*W$1+INTERCEPT($E19:$V19,$E$1:$V$1))&gt;(AVERAGE($E19:$V19)+_xlfn.STDEV.P($E19:$V19)),(SLOPE($E19:$V19,$E$1:$V$1)*W$1+INTERCEPT($E19:$V19,$E$1:$V$1))&lt;(AVERAGE($E19:$V19)-_xlfn.STDEV.P($E19:$V19))),V19,(SLOPE($E19:$V19,$E$1:$V$1)*W$1+INTERCEPT($E19:$V19,$E$1:$V$1)))</f>
        <v>434260.98061203514</v>
      </c>
      <c r="X19" s="5">
        <f t="shared" si="17"/>
        <v>432082.21886348893</v>
      </c>
      <c r="Y19" s="5">
        <f t="shared" si="17"/>
        <v>429903.45711494272</v>
      </c>
      <c r="Z19" s="5">
        <f t="shared" si="17"/>
        <v>427724.69536639651</v>
      </c>
      <c r="AA19" s="5">
        <f t="shared" si="17"/>
        <v>425545.9336178503</v>
      </c>
      <c r="AB19" s="5">
        <f t="shared" si="17"/>
        <v>423367.17186930409</v>
      </c>
      <c r="AC19" s="5">
        <f t="shared" si="17"/>
        <v>421188.41012075788</v>
      </c>
      <c r="AD19" s="5">
        <f t="shared" si="17"/>
        <v>419009.64837221167</v>
      </c>
      <c r="AE19" s="5">
        <f t="shared" si="17"/>
        <v>416830.88662366546</v>
      </c>
      <c r="AF19" s="5">
        <f t="shared" si="17"/>
        <v>414652.12487511925</v>
      </c>
      <c r="AG19" s="5">
        <f t="shared" si="17"/>
        <v>412473.36312657304</v>
      </c>
      <c r="AH19" s="5">
        <f t="shared" si="17"/>
        <v>410294.60137802683</v>
      </c>
    </row>
    <row r="20" spans="1:34" x14ac:dyDescent="0.35">
      <c r="A20" t="s">
        <v>40</v>
      </c>
      <c r="B20" s="3" t="s">
        <v>1262</v>
      </c>
      <c r="C20" s="4" t="s">
        <v>1263</v>
      </c>
      <c r="D20" s="2">
        <f t="shared" si="1"/>
        <v>7836951.9060000004</v>
      </c>
      <c r="E20" s="5">
        <v>42316.154999999999</v>
      </c>
      <c r="F20" s="5">
        <v>108329.35680000001</v>
      </c>
      <c r="G20" s="5">
        <v>251075.853</v>
      </c>
      <c r="H20" s="5">
        <v>310318.46999999997</v>
      </c>
      <c r="I20" s="5">
        <v>455321.82779999997</v>
      </c>
      <c r="J20" s="5">
        <v>312575.33160000003</v>
      </c>
      <c r="K20" s="5">
        <v>338529.24</v>
      </c>
      <c r="L20" s="5">
        <v>363918.93300000002</v>
      </c>
      <c r="M20" s="5">
        <v>479583.09</v>
      </c>
      <c r="N20" s="5">
        <v>307497.39300000004</v>
      </c>
      <c r="O20" s="5">
        <v>482404.16700000002</v>
      </c>
      <c r="P20" s="5">
        <v>421468.90380000003</v>
      </c>
      <c r="Q20" s="5">
        <v>942239.71800000011</v>
      </c>
      <c r="R20" s="5">
        <v>572678.63100000005</v>
      </c>
      <c r="S20" s="5">
        <v>318781.701</v>
      </c>
      <c r="T20" s="5">
        <v>730658.94300000009</v>
      </c>
      <c r="U20" s="5">
        <v>490867.39799999999</v>
      </c>
      <c r="V20" s="5">
        <v>908386.79400000011</v>
      </c>
      <c r="W20" s="5">
        <f t="shared" ref="W20:AH20" si="18">IF(OR((SLOPE($E20:$V20,$E$1:$V$1)*W$1+INTERCEPT($E20:$V20,$E$1:$V$1))&gt;(AVERAGE($E20:$V20)+_xlfn.STDEV.P($E20:$V20)),(SLOPE($E20:$V20,$E$1:$V$1)*W$1+INTERCEPT($E20:$V20,$E$1:$V$1))&lt;(AVERAGE($E20:$V20)-_xlfn.STDEV.P($E20:$V20))),V20,(SLOPE($E20:$V20,$E$1:$V$1)*W$1+INTERCEPT($E20:$V20,$E$1:$V$1)))</f>
        <v>908386.79400000011</v>
      </c>
      <c r="X20" s="5">
        <f t="shared" si="18"/>
        <v>908386.79400000011</v>
      </c>
      <c r="Y20" s="5">
        <f t="shared" si="18"/>
        <v>908386.79400000011</v>
      </c>
      <c r="Z20" s="5">
        <f t="shared" si="18"/>
        <v>908386.79400000011</v>
      </c>
      <c r="AA20" s="5">
        <f t="shared" si="18"/>
        <v>908386.79400000011</v>
      </c>
      <c r="AB20" s="5">
        <f t="shared" si="18"/>
        <v>908386.79400000011</v>
      </c>
      <c r="AC20" s="5">
        <f t="shared" si="18"/>
        <v>908386.79400000011</v>
      </c>
      <c r="AD20" s="5">
        <f t="shared" si="18"/>
        <v>908386.79400000011</v>
      </c>
      <c r="AE20" s="5">
        <f t="shared" si="18"/>
        <v>908386.79400000011</v>
      </c>
      <c r="AF20" s="5">
        <f t="shared" si="18"/>
        <v>908386.79400000011</v>
      </c>
      <c r="AG20" s="5">
        <f t="shared" si="18"/>
        <v>908386.79400000011</v>
      </c>
      <c r="AH20" s="5">
        <f t="shared" si="18"/>
        <v>908386.79400000011</v>
      </c>
    </row>
    <row r="21" spans="1:34" x14ac:dyDescent="0.35">
      <c r="A21" t="s">
        <v>41</v>
      </c>
      <c r="B21" s="3" t="s">
        <v>1262</v>
      </c>
      <c r="C21" s="4" t="s">
        <v>1263</v>
      </c>
      <c r="D21" s="2">
        <f t="shared" si="1"/>
        <v>7765444.7571316492</v>
      </c>
      <c r="E21" s="5">
        <v>230734.11945549617</v>
      </c>
      <c r="F21" s="5">
        <v>443891.7032881148</v>
      </c>
      <c r="G21" s="5">
        <v>530124.47671759687</v>
      </c>
      <c r="H21" s="5">
        <v>522447.36920415593</v>
      </c>
      <c r="I21" s="5">
        <v>362305.60019571532</v>
      </c>
      <c r="J21" s="5">
        <v>464869.06285334995</v>
      </c>
      <c r="K21" s="5">
        <v>404933.7498098209</v>
      </c>
      <c r="L21" s="5">
        <v>274608.11546432675</v>
      </c>
      <c r="M21" s="5">
        <v>316781.69950197852</v>
      </c>
      <c r="N21" s="5">
        <v>377710.32250886952</v>
      </c>
      <c r="O21" s="5">
        <v>704728.16536210245</v>
      </c>
      <c r="P21" s="5">
        <v>334223.5490281292</v>
      </c>
      <c r="Q21" s="5">
        <v>489769.15498575981</v>
      </c>
      <c r="R21" s="5">
        <v>462377.37006389973</v>
      </c>
      <c r="S21" s="5">
        <v>471704.3822622468</v>
      </c>
      <c r="T21" s="5">
        <v>490897.15104584867</v>
      </c>
      <c r="U21" s="5">
        <v>463757.90255535196</v>
      </c>
      <c r="V21" s="5">
        <v>419580.8628288855</v>
      </c>
      <c r="W21" s="5">
        <f t="shared" ref="W21:AH21" si="19">IF(OR((SLOPE($E21:$V21,$E$1:$V$1)*W$1+INTERCEPT($E21:$V21,$E$1:$V$1))&gt;(AVERAGE($E21:$V21)+_xlfn.STDEV.P($E21:$V21)),(SLOPE($E21:$V21,$E$1:$V$1)*W$1+INTERCEPT($E21:$V21,$E$1:$V$1))&lt;(AVERAGE($E21:$V21)-_xlfn.STDEV.P($E21:$V21))),V21,(SLOPE($E21:$V21,$E$1:$V$1)*W$1+INTERCEPT($E21:$V21,$E$1:$V$1)))</f>
        <v>475658.14544974593</v>
      </c>
      <c r="X21" s="5">
        <f t="shared" si="19"/>
        <v>480315.46627409552</v>
      </c>
      <c r="Y21" s="5">
        <f t="shared" si="19"/>
        <v>484972.78709844511</v>
      </c>
      <c r="Z21" s="5">
        <f t="shared" si="19"/>
        <v>489630.10792279465</v>
      </c>
      <c r="AA21" s="5">
        <f t="shared" si="19"/>
        <v>494287.42874714424</v>
      </c>
      <c r="AB21" s="5">
        <f t="shared" si="19"/>
        <v>498944.74957149383</v>
      </c>
      <c r="AC21" s="5">
        <f t="shared" si="19"/>
        <v>503602.07039584336</v>
      </c>
      <c r="AD21" s="5">
        <f t="shared" si="19"/>
        <v>508259.39122019295</v>
      </c>
      <c r="AE21" s="5">
        <f t="shared" si="19"/>
        <v>512916.71204454254</v>
      </c>
      <c r="AF21" s="5">
        <f t="shared" si="19"/>
        <v>517574.03286889207</v>
      </c>
      <c r="AG21" s="5">
        <f t="shared" si="19"/>
        <v>522231.35369324172</v>
      </c>
      <c r="AH21" s="5">
        <f t="shared" si="19"/>
        <v>526888.67451759125</v>
      </c>
    </row>
    <row r="22" spans="1:34" x14ac:dyDescent="0.35">
      <c r="A22" t="s">
        <v>42</v>
      </c>
      <c r="B22" s="3" t="s">
        <v>1262</v>
      </c>
      <c r="C22" s="4" t="s">
        <v>1263</v>
      </c>
      <c r="D22" s="2">
        <f t="shared" si="1"/>
        <v>7688490.7597420458</v>
      </c>
      <c r="E22" s="5">
        <v>307601.66647395183</v>
      </c>
      <c r="F22" s="5">
        <v>352285.89305541583</v>
      </c>
      <c r="G22" s="5">
        <v>508312.72696325247</v>
      </c>
      <c r="H22" s="5">
        <v>442955.8875942023</v>
      </c>
      <c r="I22" s="5">
        <v>440967.08371613803</v>
      </c>
      <c r="J22" s="5">
        <v>389294.67470074137</v>
      </c>
      <c r="K22" s="5">
        <v>473195.43769125402</v>
      </c>
      <c r="L22" s="5">
        <v>341758.00463667145</v>
      </c>
      <c r="M22" s="5">
        <v>579082.51878330356</v>
      </c>
      <c r="N22" s="5">
        <v>386545.62469191861</v>
      </c>
      <c r="O22" s="5">
        <v>473256.25738171488</v>
      </c>
      <c r="P22" s="5">
        <v>583948.0940201584</v>
      </c>
      <c r="Q22" s="5">
        <v>227672.4292705218</v>
      </c>
      <c r="R22" s="5">
        <v>348916.48220389395</v>
      </c>
      <c r="S22" s="5">
        <v>527720.29018925678</v>
      </c>
      <c r="T22" s="5">
        <v>423444.93089441519</v>
      </c>
      <c r="U22" s="5">
        <v>480913.45641071489</v>
      </c>
      <c r="V22" s="5">
        <v>400619.30106452078</v>
      </c>
      <c r="W22" s="5">
        <f t="shared" ref="W22:AH22" si="20">IF(OR((SLOPE($E22:$V22,$E$1:$V$1)*W$1+INTERCEPT($E22:$V22,$E$1:$V$1))&gt;(AVERAGE($E22:$V22)+_xlfn.STDEV.P($E22:$V22)),(SLOPE($E22:$V22,$E$1:$V$1)*W$1+INTERCEPT($E22:$V22,$E$1:$V$1))&lt;(AVERAGE($E22:$V22)-_xlfn.STDEV.P($E22:$V22))),V22,(SLOPE($E22:$V22,$E$1:$V$1)*W$1+INTERCEPT($E22:$V22,$E$1:$V$1)))</f>
        <v>448077.10428815032</v>
      </c>
      <c r="X22" s="5">
        <f t="shared" si="20"/>
        <v>450281.18099835305</v>
      </c>
      <c r="Y22" s="5">
        <f t="shared" si="20"/>
        <v>452485.25770855573</v>
      </c>
      <c r="Z22" s="5">
        <f t="shared" si="20"/>
        <v>454689.3344187584</v>
      </c>
      <c r="AA22" s="5">
        <f t="shared" si="20"/>
        <v>456893.41112896113</v>
      </c>
      <c r="AB22" s="5">
        <f t="shared" si="20"/>
        <v>459097.4878391638</v>
      </c>
      <c r="AC22" s="5">
        <f t="shared" si="20"/>
        <v>461301.56454936648</v>
      </c>
      <c r="AD22" s="5">
        <f t="shared" si="20"/>
        <v>463505.64125956921</v>
      </c>
      <c r="AE22" s="5">
        <f t="shared" si="20"/>
        <v>465709.71796977188</v>
      </c>
      <c r="AF22" s="5">
        <f t="shared" si="20"/>
        <v>467913.79467997456</v>
      </c>
      <c r="AG22" s="5">
        <f t="shared" si="20"/>
        <v>470117.87139017723</v>
      </c>
      <c r="AH22" s="5">
        <f t="shared" si="20"/>
        <v>472321.94810037996</v>
      </c>
    </row>
    <row r="23" spans="1:34" x14ac:dyDescent="0.35">
      <c r="A23" t="s">
        <v>43</v>
      </c>
      <c r="B23" s="3" t="s">
        <v>1262</v>
      </c>
      <c r="C23" s="4" t="s">
        <v>1263</v>
      </c>
      <c r="D23" s="2">
        <f t="shared" si="1"/>
        <v>7272471.571414019</v>
      </c>
      <c r="E23" s="5">
        <v>210774.51364432697</v>
      </c>
      <c r="F23" s="5">
        <v>317127.14991829655</v>
      </c>
      <c r="G23" s="5">
        <v>391776.4568339957</v>
      </c>
      <c r="H23" s="5">
        <v>367326.8814122125</v>
      </c>
      <c r="I23" s="5">
        <v>296358.08365652408</v>
      </c>
      <c r="J23" s="5">
        <v>401457.06744793989</v>
      </c>
      <c r="K23" s="5">
        <v>382591.94399389625</v>
      </c>
      <c r="L23" s="5">
        <v>267825.75763647771</v>
      </c>
      <c r="M23" s="5">
        <v>486658.50809379714</v>
      </c>
      <c r="N23" s="5">
        <v>346765.63989353727</v>
      </c>
      <c r="O23" s="5">
        <v>432121.2730907246</v>
      </c>
      <c r="P23" s="5">
        <v>908717.04120423773</v>
      </c>
      <c r="Q23" s="5">
        <v>116341.6319905741</v>
      </c>
      <c r="R23" s="5">
        <v>351103.14340269373</v>
      </c>
      <c r="S23" s="5">
        <v>559115.59917102021</v>
      </c>
      <c r="T23" s="5">
        <v>394029.00888820988</v>
      </c>
      <c r="U23" s="5">
        <v>593232.3771588055</v>
      </c>
      <c r="V23" s="5">
        <v>449149.49397674855</v>
      </c>
      <c r="W23" s="5">
        <f t="shared" ref="W23:AH23" si="21">IF(OR((SLOPE($E23:$V23,$E$1:$V$1)*W$1+INTERCEPT($E23:$V23,$E$1:$V$1))&gt;(AVERAGE($E23:$V23)+_xlfn.STDEV.P($E23:$V23)),(SLOPE($E23:$V23,$E$1:$V$1)*W$1+INTERCEPT($E23:$V23,$E$1:$V$1))&lt;(AVERAGE($E23:$V23)-_xlfn.STDEV.P($E23:$V23))),V23,(SLOPE($E23:$V23,$E$1:$V$1)*W$1+INTERCEPT($E23:$V23,$E$1:$V$1)))</f>
        <v>519844.12782403332</v>
      </c>
      <c r="X23" s="5">
        <f t="shared" si="21"/>
        <v>532035.48881478526</v>
      </c>
      <c r="Y23" s="5">
        <f t="shared" si="21"/>
        <v>544226.84980553715</v>
      </c>
      <c r="Z23" s="5">
        <f t="shared" si="21"/>
        <v>556418.21079628915</v>
      </c>
      <c r="AA23" s="5">
        <f t="shared" si="21"/>
        <v>568609.57178704103</v>
      </c>
      <c r="AB23" s="5">
        <f t="shared" si="21"/>
        <v>568609.57178704103</v>
      </c>
      <c r="AC23" s="5">
        <f t="shared" si="21"/>
        <v>568609.57178704103</v>
      </c>
      <c r="AD23" s="5">
        <f t="shared" si="21"/>
        <v>568609.57178704103</v>
      </c>
      <c r="AE23" s="5">
        <f t="shared" si="21"/>
        <v>568609.57178704103</v>
      </c>
      <c r="AF23" s="5">
        <f t="shared" si="21"/>
        <v>568609.57178704103</v>
      </c>
      <c r="AG23" s="5">
        <f t="shared" si="21"/>
        <v>568609.57178704103</v>
      </c>
      <c r="AH23" s="5">
        <f t="shared" si="21"/>
        <v>568609.57178704103</v>
      </c>
    </row>
    <row r="24" spans="1:34" x14ac:dyDescent="0.35">
      <c r="A24" t="s">
        <v>44</v>
      </c>
      <c r="B24" s="3" t="s">
        <v>1262</v>
      </c>
      <c r="C24" s="4" t="s">
        <v>1263</v>
      </c>
      <c r="D24" s="2">
        <f t="shared" si="1"/>
        <v>6721122.5163049381</v>
      </c>
      <c r="E24" s="5">
        <v>608233.88263719925</v>
      </c>
      <c r="F24" s="5">
        <v>434865.78762433719</v>
      </c>
      <c r="G24" s="5">
        <v>361975.01933974639</v>
      </c>
      <c r="H24" s="5">
        <v>268568.26204632095</v>
      </c>
      <c r="I24" s="5">
        <v>561028.04005470115</v>
      </c>
      <c r="J24" s="5">
        <v>488678.38677787915</v>
      </c>
      <c r="K24" s="5">
        <v>210055.69253958715</v>
      </c>
      <c r="L24" s="5">
        <v>266599.63411329541</v>
      </c>
      <c r="M24" s="5">
        <v>719476.8212819373</v>
      </c>
      <c r="N24" s="5">
        <v>495823.68161855976</v>
      </c>
      <c r="O24" s="5">
        <v>285224.29733307147</v>
      </c>
      <c r="P24" s="5">
        <v>228025.86427377604</v>
      </c>
      <c r="Q24" s="5">
        <v>431881.92486721202</v>
      </c>
      <c r="R24" s="5">
        <v>221573.71199066608</v>
      </c>
      <c r="S24" s="5">
        <v>158538.96706186436</v>
      </c>
      <c r="T24" s="5">
        <v>421276.07071494334</v>
      </c>
      <c r="U24" s="5">
        <v>386716.85888544214</v>
      </c>
      <c r="V24" s="5">
        <v>172579.61314439878</v>
      </c>
      <c r="W24" s="5">
        <f t="shared" ref="W24:AH24" si="22">IF(OR((SLOPE($E24:$V24,$E$1:$V$1)*W$1+INTERCEPT($E24:$V24,$E$1:$V$1))&gt;(AVERAGE($E24:$V24)+_xlfn.STDEV.P($E24:$V24)),(SLOPE($E24:$V24,$E$1:$V$1)*W$1+INTERCEPT($E24:$V24,$E$1:$V$1))&lt;(AVERAGE($E24:$V24)-_xlfn.STDEV.P($E24:$V24))),V24,(SLOPE($E24:$V24,$E$1:$V$1)*W$1+INTERCEPT($E24:$V24,$E$1:$V$1)))</f>
        <v>254784.34665717054</v>
      </c>
      <c r="X24" s="5">
        <f t="shared" si="22"/>
        <v>242298.94153158067</v>
      </c>
      <c r="Y24" s="5">
        <f t="shared" si="22"/>
        <v>229813.53640599077</v>
      </c>
      <c r="Z24" s="5">
        <f t="shared" si="22"/>
        <v>229813.53640599077</v>
      </c>
      <c r="AA24" s="5">
        <f t="shared" si="22"/>
        <v>229813.53640599077</v>
      </c>
      <c r="AB24" s="5">
        <f t="shared" si="22"/>
        <v>229813.53640599077</v>
      </c>
      <c r="AC24" s="5">
        <f t="shared" si="22"/>
        <v>229813.53640599077</v>
      </c>
      <c r="AD24" s="5">
        <f t="shared" si="22"/>
        <v>229813.53640599077</v>
      </c>
      <c r="AE24" s="5">
        <f t="shared" si="22"/>
        <v>229813.53640599077</v>
      </c>
      <c r="AF24" s="5">
        <f t="shared" si="22"/>
        <v>229813.53640599077</v>
      </c>
      <c r="AG24" s="5">
        <f t="shared" si="22"/>
        <v>229813.53640599077</v>
      </c>
      <c r="AH24" s="5">
        <f t="shared" si="22"/>
        <v>229813.53640599077</v>
      </c>
    </row>
    <row r="25" spans="1:34" x14ac:dyDescent="0.35">
      <c r="A25" t="s">
        <v>45</v>
      </c>
      <c r="B25" s="3" t="s">
        <v>1262</v>
      </c>
      <c r="C25" s="4" t="s">
        <v>1263</v>
      </c>
      <c r="D25" s="2">
        <f t="shared" si="1"/>
        <v>6624562.8296778686</v>
      </c>
      <c r="E25" s="5">
        <v>221984.90455443243</v>
      </c>
      <c r="F25" s="5">
        <v>471485.01471680583</v>
      </c>
      <c r="G25" s="5">
        <v>394416.73888090369</v>
      </c>
      <c r="H25" s="5">
        <v>462200.84142936277</v>
      </c>
      <c r="I25" s="5">
        <v>366708.7822704555</v>
      </c>
      <c r="J25" s="5">
        <v>465493.67105553212</v>
      </c>
      <c r="K25" s="5">
        <v>278155.75920181675</v>
      </c>
      <c r="L25" s="5">
        <v>461638.65100538277</v>
      </c>
      <c r="M25" s="5">
        <v>455695.49509473576</v>
      </c>
      <c r="N25" s="5">
        <v>340205.51942567871</v>
      </c>
      <c r="O25" s="5">
        <v>404777.10526568018</v>
      </c>
      <c r="P25" s="5">
        <v>439954.1632232928</v>
      </c>
      <c r="Q25" s="5">
        <v>184269.95839713817</v>
      </c>
      <c r="R25" s="5">
        <v>274670.17857314006</v>
      </c>
      <c r="S25" s="5">
        <v>354340.59294289298</v>
      </c>
      <c r="T25" s="5">
        <v>385823.25668577914</v>
      </c>
      <c r="U25" s="5">
        <v>305349.71313891176</v>
      </c>
      <c r="V25" s="5">
        <v>357392.48381592787</v>
      </c>
      <c r="W25" s="5">
        <f t="shared" ref="W25:AH25" si="23">IF(OR((SLOPE($E25:$V25,$E$1:$V$1)*W$1+INTERCEPT($E25:$V25,$E$1:$V$1))&gt;(AVERAGE($E25:$V25)+_xlfn.STDEV.P($E25:$V25)),(SLOPE($E25:$V25,$E$1:$V$1)*W$1+INTERCEPT($E25:$V25,$E$1:$V$1))&lt;(AVERAGE($E25:$V25)-_xlfn.STDEV.P($E25:$V25))),V25,(SLOPE($E25:$V25,$E$1:$V$1)*W$1+INTERCEPT($E25:$V25,$E$1:$V$1)))</f>
        <v>331146.22230782779</v>
      </c>
      <c r="X25" s="5">
        <f t="shared" si="23"/>
        <v>327263.58588597417</v>
      </c>
      <c r="Y25" s="5">
        <f t="shared" si="23"/>
        <v>323380.94946412055</v>
      </c>
      <c r="Z25" s="5">
        <f t="shared" si="23"/>
        <v>319498.31304226693</v>
      </c>
      <c r="AA25" s="5">
        <f t="shared" si="23"/>
        <v>315615.67662041332</v>
      </c>
      <c r="AB25" s="5">
        <f t="shared" si="23"/>
        <v>311733.04019855964</v>
      </c>
      <c r="AC25" s="5">
        <f t="shared" si="23"/>
        <v>307850.40377670608</v>
      </c>
      <c r="AD25" s="5">
        <f t="shared" si="23"/>
        <v>303967.7673548524</v>
      </c>
      <c r="AE25" s="5">
        <f t="shared" si="23"/>
        <v>300085.13093299884</v>
      </c>
      <c r="AF25" s="5">
        <f t="shared" si="23"/>
        <v>296202.49451114517</v>
      </c>
      <c r="AG25" s="5">
        <f t="shared" si="23"/>
        <v>292319.85808929161</v>
      </c>
      <c r="AH25" s="5">
        <f t="shared" si="23"/>
        <v>288437.22166743793</v>
      </c>
    </row>
    <row r="26" spans="1:34" x14ac:dyDescent="0.35">
      <c r="A26" t="s">
        <v>46</v>
      </c>
      <c r="B26" s="3" t="s">
        <v>1262</v>
      </c>
      <c r="C26" s="4" t="s">
        <v>1263</v>
      </c>
      <c r="D26" s="2">
        <f t="shared" si="1"/>
        <v>6000188.1677532708</v>
      </c>
      <c r="E26" s="5">
        <v>188896.40124440542</v>
      </c>
      <c r="F26" s="5">
        <v>208538.28367468648</v>
      </c>
      <c r="G26" s="5">
        <v>291394.91426244559</v>
      </c>
      <c r="H26" s="5">
        <v>271753.0318321645</v>
      </c>
      <c r="I26" s="5">
        <v>270543.28543388296</v>
      </c>
      <c r="J26" s="5">
        <v>310640.87968965276</v>
      </c>
      <c r="K26" s="5">
        <v>288931.43068776315</v>
      </c>
      <c r="L26" s="5">
        <v>270851.22088071832</v>
      </c>
      <c r="M26" s="5">
        <v>430625.72701012681</v>
      </c>
      <c r="N26" s="5">
        <v>272874.79667420749</v>
      </c>
      <c r="O26" s="5">
        <v>406056.87743048079</v>
      </c>
      <c r="P26" s="5">
        <v>545067.73628756532</v>
      </c>
      <c r="Q26" s="5">
        <v>212233.50903671028</v>
      </c>
      <c r="R26" s="5">
        <v>335033.76615682151</v>
      </c>
      <c r="S26" s="5">
        <v>425302.84285768797</v>
      </c>
      <c r="T26" s="5">
        <v>425808.73680606019</v>
      </c>
      <c r="U26" s="5">
        <v>451499.35122774926</v>
      </c>
      <c r="V26" s="5">
        <v>394135.37656014209</v>
      </c>
      <c r="W26" s="5">
        <f t="shared" ref="W26:AH26" si="24">IF(OR((SLOPE($E26:$V26,$E$1:$V$1)*W$1+INTERCEPT($E26:$V26,$E$1:$V$1))&gt;(AVERAGE($E26:$V26)+_xlfn.STDEV.P($E26:$V26)),(SLOPE($E26:$V26,$E$1:$V$1)*W$1+INTERCEPT($E26:$V26,$E$1:$V$1))&lt;(AVERAGE($E26:$V26)-_xlfn.STDEV.P($E26:$V26))),V26,(SLOPE($E26:$V26,$E$1:$V$1)*W$1+INTERCEPT($E26:$V26,$E$1:$V$1)))</f>
        <v>394135.37656014209</v>
      </c>
      <c r="X26" s="5">
        <f t="shared" si="24"/>
        <v>394135.37656014209</v>
      </c>
      <c r="Y26" s="5">
        <f t="shared" si="24"/>
        <v>394135.37656014209</v>
      </c>
      <c r="Z26" s="5">
        <f t="shared" si="24"/>
        <v>394135.37656014209</v>
      </c>
      <c r="AA26" s="5">
        <f t="shared" si="24"/>
        <v>394135.37656014209</v>
      </c>
      <c r="AB26" s="5">
        <f t="shared" si="24"/>
        <v>394135.37656014209</v>
      </c>
      <c r="AC26" s="5">
        <f t="shared" si="24"/>
        <v>394135.37656014209</v>
      </c>
      <c r="AD26" s="5">
        <f t="shared" si="24"/>
        <v>394135.37656014209</v>
      </c>
      <c r="AE26" s="5">
        <f t="shared" si="24"/>
        <v>394135.37656014209</v>
      </c>
      <c r="AF26" s="5">
        <f t="shared" si="24"/>
        <v>394135.37656014209</v>
      </c>
      <c r="AG26" s="5">
        <f t="shared" si="24"/>
        <v>394135.37656014209</v>
      </c>
      <c r="AH26" s="5">
        <f t="shared" si="24"/>
        <v>394135.37656014209</v>
      </c>
    </row>
    <row r="27" spans="1:34" x14ac:dyDescent="0.35">
      <c r="A27" t="s">
        <v>47</v>
      </c>
      <c r="B27" s="3" t="s">
        <v>1262</v>
      </c>
      <c r="C27" s="4" t="s">
        <v>1263</v>
      </c>
      <c r="D27" s="2">
        <f t="shared" si="1"/>
        <v>5846697.2020268552</v>
      </c>
      <c r="E27" s="5">
        <v>251525.83595304226</v>
      </c>
      <c r="F27" s="5">
        <v>614034.95352343249</v>
      </c>
      <c r="G27" s="5">
        <v>94662.210791267527</v>
      </c>
      <c r="H27" s="5">
        <v>436497.97198195587</v>
      </c>
      <c r="I27" s="5">
        <v>129299.1499888386</v>
      </c>
      <c r="J27" s="5">
        <v>399739.29357699427</v>
      </c>
      <c r="K27" s="5">
        <v>113340.76962555977</v>
      </c>
      <c r="L27" s="5">
        <v>354892.61785155273</v>
      </c>
      <c r="M27" s="5">
        <v>261862.51414289331</v>
      </c>
      <c r="N27" s="5">
        <v>609682.66796981089</v>
      </c>
      <c r="O27" s="5">
        <v>442845.05508098722</v>
      </c>
      <c r="P27" s="5">
        <v>153327.39314945729</v>
      </c>
      <c r="Q27" s="5">
        <v>126941.66198062696</v>
      </c>
      <c r="R27" s="5">
        <v>410837.62173872907</v>
      </c>
      <c r="S27" s="5">
        <v>573413.62168963207</v>
      </c>
      <c r="T27" s="5">
        <v>170917.88059534418</v>
      </c>
      <c r="U27" s="5">
        <v>122843.2597509667</v>
      </c>
      <c r="V27" s="5">
        <v>580032.72263576475</v>
      </c>
      <c r="W27" s="5">
        <f t="shared" ref="W27:AH27" si="25">IF(OR((SLOPE($E27:$V27,$E$1:$V$1)*W$1+INTERCEPT($E27:$V27,$E$1:$V$1))&gt;(AVERAGE($E27:$V27)+_xlfn.STDEV.P($E27:$V27)),(SLOPE($E27:$V27,$E$1:$V$1)*W$1+INTERCEPT($E27:$V27,$E$1:$V$1))&lt;(AVERAGE($E27:$V27)-_xlfn.STDEV.P($E27:$V27))),V27,(SLOPE($E27:$V27,$E$1:$V$1)*W$1+INTERCEPT($E27:$V27,$E$1:$V$1)))</f>
        <v>345895.0497429875</v>
      </c>
      <c r="X27" s="5">
        <f t="shared" si="25"/>
        <v>348113.84327133209</v>
      </c>
      <c r="Y27" s="5">
        <f t="shared" si="25"/>
        <v>350332.63679967663</v>
      </c>
      <c r="Z27" s="5">
        <f t="shared" si="25"/>
        <v>352551.43032802123</v>
      </c>
      <c r="AA27" s="5">
        <f t="shared" si="25"/>
        <v>354770.22385636577</v>
      </c>
      <c r="AB27" s="5">
        <f t="shared" si="25"/>
        <v>356989.01738471031</v>
      </c>
      <c r="AC27" s="5">
        <f t="shared" si="25"/>
        <v>359207.81091305491</v>
      </c>
      <c r="AD27" s="5">
        <f t="shared" si="25"/>
        <v>361426.60444139945</v>
      </c>
      <c r="AE27" s="5">
        <f t="shared" si="25"/>
        <v>363645.39796974405</v>
      </c>
      <c r="AF27" s="5">
        <f t="shared" si="25"/>
        <v>365864.19149808859</v>
      </c>
      <c r="AG27" s="5">
        <f t="shared" si="25"/>
        <v>368082.98502643313</v>
      </c>
      <c r="AH27" s="5">
        <f t="shared" si="25"/>
        <v>370301.77855477773</v>
      </c>
    </row>
    <row r="28" spans="1:34" x14ac:dyDescent="0.35">
      <c r="A28" t="s">
        <v>48</v>
      </c>
      <c r="B28" s="3" t="s">
        <v>1262</v>
      </c>
      <c r="C28" s="4" t="s">
        <v>1263</v>
      </c>
      <c r="D28" s="2">
        <f t="shared" si="1"/>
        <v>5831307.7199999988</v>
      </c>
      <c r="E28" s="5">
        <v>247771.44</v>
      </c>
      <c r="F28" s="5">
        <v>244358.09999999998</v>
      </c>
      <c r="G28" s="5">
        <v>451923.57000000007</v>
      </c>
      <c r="H28" s="5">
        <v>297648.5400000001</v>
      </c>
      <c r="I28" s="5">
        <v>288559.52999999997</v>
      </c>
      <c r="J28" s="5">
        <v>358559.46000000008</v>
      </c>
      <c r="K28" s="5">
        <v>321436.07999999996</v>
      </c>
      <c r="L28" s="5">
        <v>242003.15999999997</v>
      </c>
      <c r="M28" s="5">
        <v>342260.09999999992</v>
      </c>
      <c r="N28" s="5">
        <v>385786.79999999993</v>
      </c>
      <c r="O28" s="5">
        <v>374461.92</v>
      </c>
      <c r="P28" s="5">
        <v>245244.50999999992</v>
      </c>
      <c r="Q28" s="5">
        <v>299606.57999999996</v>
      </c>
      <c r="R28" s="5">
        <v>346811.22000000003</v>
      </c>
      <c r="S28" s="5">
        <v>325841.67</v>
      </c>
      <c r="T28" s="5">
        <v>332760.96000000002</v>
      </c>
      <c r="U28" s="5">
        <v>349946.73</v>
      </c>
      <c r="V28" s="5">
        <v>376327.35</v>
      </c>
      <c r="W28" s="5">
        <f t="shared" ref="W28:AH28" si="26">IF(OR((SLOPE($E28:$V28,$E$1:$V$1)*W$1+INTERCEPT($E28:$V28,$E$1:$V$1))&gt;(AVERAGE($E28:$V28)+_xlfn.STDEV.P($E28:$V28)),(SLOPE($E28:$V28,$E$1:$V$1)*W$1+INTERCEPT($E28:$V28,$E$1:$V$1))&lt;(AVERAGE($E28:$V28)-_xlfn.STDEV.P($E28:$V28))),V28,(SLOPE($E28:$V28,$E$1:$V$1)*W$1+INTERCEPT($E28:$V28,$E$1:$V$1)))</f>
        <v>350450.07529411756</v>
      </c>
      <c r="X28" s="5">
        <f t="shared" si="26"/>
        <v>353238.34216718253</v>
      </c>
      <c r="Y28" s="5">
        <f t="shared" si="26"/>
        <v>356026.60904024757</v>
      </c>
      <c r="Z28" s="5">
        <f t="shared" si="26"/>
        <v>358814.87591331254</v>
      </c>
      <c r="AA28" s="5">
        <f t="shared" si="26"/>
        <v>361603.14278637758</v>
      </c>
      <c r="AB28" s="5">
        <f t="shared" si="26"/>
        <v>364391.40965944261</v>
      </c>
      <c r="AC28" s="5">
        <f t="shared" si="26"/>
        <v>367179.67653250764</v>
      </c>
      <c r="AD28" s="5">
        <f t="shared" si="26"/>
        <v>369967.94340557262</v>
      </c>
      <c r="AE28" s="5">
        <f t="shared" si="26"/>
        <v>372756.21027863765</v>
      </c>
      <c r="AF28" s="5">
        <f t="shared" si="26"/>
        <v>375544.47715170262</v>
      </c>
      <c r="AG28" s="5">
        <f t="shared" si="26"/>
        <v>378332.74402476766</v>
      </c>
      <c r="AH28" s="5">
        <f t="shared" si="26"/>
        <v>378332.74402476766</v>
      </c>
    </row>
    <row r="29" spans="1:34" x14ac:dyDescent="0.35">
      <c r="A29" t="s">
        <v>49</v>
      </c>
      <c r="B29" s="3" t="s">
        <v>1262</v>
      </c>
      <c r="C29" s="4" t="s">
        <v>1263</v>
      </c>
      <c r="D29" s="2">
        <f t="shared" si="1"/>
        <v>5590336.5</v>
      </c>
      <c r="E29" s="5">
        <v>175925.92499999999</v>
      </c>
      <c r="F29" s="5">
        <v>269514.94499999995</v>
      </c>
      <c r="G29" s="5">
        <v>330955.06499999994</v>
      </c>
      <c r="H29" s="5">
        <v>312856.42499999999</v>
      </c>
      <c r="I29" s="5">
        <v>274575.41999999993</v>
      </c>
      <c r="J29" s="5">
        <v>247427.46</v>
      </c>
      <c r="K29" s="5">
        <v>331788.55499999982</v>
      </c>
      <c r="L29" s="5">
        <v>260822.83499999999</v>
      </c>
      <c r="M29" s="5">
        <v>236532.55499999993</v>
      </c>
      <c r="N29" s="5">
        <v>563915.52000000014</v>
      </c>
      <c r="O29" s="5">
        <v>248558.62500000003</v>
      </c>
      <c r="P29" s="5">
        <v>392692.86</v>
      </c>
      <c r="Q29" s="5">
        <v>170270.09999999998</v>
      </c>
      <c r="R29" s="5">
        <v>362627.68499999994</v>
      </c>
      <c r="S29" s="5">
        <v>429128.27999999991</v>
      </c>
      <c r="T29" s="5">
        <v>296722.43999999994</v>
      </c>
      <c r="U29" s="5">
        <v>349470.44999999984</v>
      </c>
      <c r="V29" s="5">
        <v>336551.35499999986</v>
      </c>
      <c r="W29" s="5">
        <f t="shared" ref="W29:AH29" si="27">IF(OR((SLOPE($E29:$V29,$E$1:$V$1)*W$1+INTERCEPT($E29:$V29,$E$1:$V$1))&gt;(AVERAGE($E29:$V29)+_xlfn.STDEV.P($E29:$V29)),(SLOPE($E29:$V29,$E$1:$V$1)*W$1+INTERCEPT($E29:$V29,$E$1:$V$1))&lt;(AVERAGE($E29:$V29)-_xlfn.STDEV.P($E29:$V29))),V29,(SLOPE($E29:$V29,$E$1:$V$1)*W$1+INTERCEPT($E29:$V29,$E$1:$V$1)))</f>
        <v>365588.0920588235</v>
      </c>
      <c r="X29" s="5">
        <f t="shared" si="27"/>
        <v>371379.02280185756</v>
      </c>
      <c r="Y29" s="5">
        <f t="shared" si="27"/>
        <v>377169.95354489156</v>
      </c>
      <c r="Z29" s="5">
        <f t="shared" si="27"/>
        <v>382960.88428792567</v>
      </c>
      <c r="AA29" s="5">
        <f t="shared" si="27"/>
        <v>388751.81503095967</v>
      </c>
      <c r="AB29" s="5">
        <f t="shared" si="27"/>
        <v>394542.74577399378</v>
      </c>
      <c r="AC29" s="5">
        <f t="shared" si="27"/>
        <v>400333.67651702778</v>
      </c>
      <c r="AD29" s="5">
        <f t="shared" si="27"/>
        <v>400333.67651702778</v>
      </c>
      <c r="AE29" s="5">
        <f t="shared" si="27"/>
        <v>400333.67651702778</v>
      </c>
      <c r="AF29" s="5">
        <f t="shared" si="27"/>
        <v>400333.67651702778</v>
      </c>
      <c r="AG29" s="5">
        <f t="shared" si="27"/>
        <v>400333.67651702778</v>
      </c>
      <c r="AH29" s="5">
        <f t="shared" si="27"/>
        <v>400333.67651702778</v>
      </c>
    </row>
    <row r="30" spans="1:34" x14ac:dyDescent="0.35">
      <c r="A30" t="s">
        <v>50</v>
      </c>
      <c r="B30" s="3" t="s">
        <v>1262</v>
      </c>
      <c r="C30" s="4" t="s">
        <v>1263</v>
      </c>
      <c r="D30" s="2">
        <f t="shared" si="1"/>
        <v>5561340.3056761287</v>
      </c>
      <c r="E30" s="5">
        <v>187031.91132000316</v>
      </c>
      <c r="F30" s="5">
        <v>253564.26104106841</v>
      </c>
      <c r="G30" s="5">
        <v>366466.63950157055</v>
      </c>
      <c r="H30" s="5">
        <v>295926.09538510581</v>
      </c>
      <c r="I30" s="5">
        <v>305383.9632612227</v>
      </c>
      <c r="J30" s="5">
        <v>297157.97164424235</v>
      </c>
      <c r="K30" s="5">
        <v>328918.31567457679</v>
      </c>
      <c r="L30" s="5">
        <v>250148.10269856747</v>
      </c>
      <c r="M30" s="5">
        <v>412873.44066665327</v>
      </c>
      <c r="N30" s="5">
        <v>250479.05452938023</v>
      </c>
      <c r="O30" s="5">
        <v>375214.79956272198</v>
      </c>
      <c r="P30" s="5">
        <v>383260.60629403754</v>
      </c>
      <c r="Q30" s="5">
        <v>184983.68721152842</v>
      </c>
      <c r="R30" s="5">
        <v>288211.24048460322</v>
      </c>
      <c r="S30" s="5">
        <v>390773.21285348799</v>
      </c>
      <c r="T30" s="5">
        <v>313709.24042744667</v>
      </c>
      <c r="U30" s="5">
        <v>364764.07619416696</v>
      </c>
      <c r="V30" s="5">
        <v>312473.68692574551</v>
      </c>
      <c r="W30" s="5">
        <f t="shared" ref="W30:AH30" si="28">IF(OR((SLOPE($E30:$V30,$E$1:$V$1)*W$1+INTERCEPT($E30:$V30,$E$1:$V$1))&gt;(AVERAGE($E30:$V30)+_xlfn.STDEV.P($E30:$V30)),(SLOPE($E30:$V30,$E$1:$V$1)*W$1+INTERCEPT($E30:$V30,$E$1:$V$1))&lt;(AVERAGE($E30:$V30)-_xlfn.STDEV.P($E30:$V30))),V30,(SLOPE($E30:$V30,$E$1:$V$1)*W$1+INTERCEPT($E30:$V30,$E$1:$V$1)))</f>
        <v>345264.54814197397</v>
      </c>
      <c r="X30" s="5">
        <f t="shared" si="28"/>
        <v>349085.726860567</v>
      </c>
      <c r="Y30" s="5">
        <f t="shared" si="28"/>
        <v>352906.90557915997</v>
      </c>
      <c r="Z30" s="5">
        <f t="shared" si="28"/>
        <v>356728.08429775294</v>
      </c>
      <c r="AA30" s="5">
        <f t="shared" si="28"/>
        <v>360549.26301634597</v>
      </c>
      <c r="AB30" s="5">
        <f t="shared" si="28"/>
        <v>364370.44173493894</v>
      </c>
      <c r="AC30" s="5">
        <f t="shared" si="28"/>
        <v>368191.62045353197</v>
      </c>
      <c r="AD30" s="5">
        <f t="shared" si="28"/>
        <v>372012.79917212494</v>
      </c>
      <c r="AE30" s="5">
        <f t="shared" si="28"/>
        <v>372012.79917212494</v>
      </c>
      <c r="AF30" s="5">
        <f t="shared" si="28"/>
        <v>372012.79917212494</v>
      </c>
      <c r="AG30" s="5">
        <f t="shared" si="28"/>
        <v>372012.79917212494</v>
      </c>
      <c r="AH30" s="5">
        <f t="shared" si="28"/>
        <v>372012.79917212494</v>
      </c>
    </row>
    <row r="31" spans="1:34" x14ac:dyDescent="0.35">
      <c r="A31" t="s">
        <v>51</v>
      </c>
      <c r="B31" s="3" t="s">
        <v>1262</v>
      </c>
      <c r="C31" s="4" t="s">
        <v>1263</v>
      </c>
      <c r="D31" s="2">
        <f t="shared" si="1"/>
        <v>5529136.7925360482</v>
      </c>
      <c r="E31" s="5">
        <v>210780.49617372462</v>
      </c>
      <c r="F31" s="5">
        <v>395516.39391163923</v>
      </c>
      <c r="G31" s="5">
        <v>388697.14574074879</v>
      </c>
      <c r="H31" s="5">
        <v>384753.48414794484</v>
      </c>
      <c r="I31" s="5">
        <v>281602.08561116387</v>
      </c>
      <c r="J31" s="5">
        <v>313849.73509398859</v>
      </c>
      <c r="K31" s="5">
        <v>310029.31292595982</v>
      </c>
      <c r="L31" s="5">
        <v>237811.01000773569</v>
      </c>
      <c r="M31" s="5">
        <v>440704.1829958522</v>
      </c>
      <c r="N31" s="5">
        <v>248368.5207301382</v>
      </c>
      <c r="O31" s="5">
        <v>278726.49903307768</v>
      </c>
      <c r="P31" s="5">
        <v>383069.21200935147</v>
      </c>
      <c r="Q31" s="5">
        <v>165921.34555557856</v>
      </c>
      <c r="R31" s="5">
        <v>307523.44462219893</v>
      </c>
      <c r="S31" s="5">
        <v>394694.79774647165</v>
      </c>
      <c r="T31" s="5">
        <v>286161.94432784367</v>
      </c>
      <c r="U31" s="5">
        <v>263403.73055270361</v>
      </c>
      <c r="V31" s="5">
        <v>237523.45134992703</v>
      </c>
      <c r="W31" s="5">
        <f t="shared" ref="W31:AH31" si="29">IF(OR((SLOPE($E31:$V31,$E$1:$V$1)*W$1+INTERCEPT($E31:$V31,$E$1:$V$1))&gt;(AVERAGE($E31:$V31)+_xlfn.STDEV.P($E31:$V31)),(SLOPE($E31:$V31,$E$1:$V$1)*W$1+INTERCEPT($E31:$V31,$E$1:$V$1))&lt;(AVERAGE($E31:$V31)-_xlfn.STDEV.P($E31:$V31))),V31,(SLOPE($E31:$V31,$E$1:$V$1)*W$1+INTERCEPT($E31:$V31,$E$1:$V$1)))</f>
        <v>275240.35373617086</v>
      </c>
      <c r="X31" s="5">
        <f t="shared" si="29"/>
        <v>271878.88926082011</v>
      </c>
      <c r="Y31" s="5">
        <f t="shared" si="29"/>
        <v>268517.42478546943</v>
      </c>
      <c r="Z31" s="5">
        <f t="shared" si="29"/>
        <v>265155.96031011868</v>
      </c>
      <c r="AA31" s="5">
        <f t="shared" si="29"/>
        <v>261794.49583476793</v>
      </c>
      <c r="AB31" s="5">
        <f t="shared" si="29"/>
        <v>258433.03135941725</v>
      </c>
      <c r="AC31" s="5">
        <f t="shared" si="29"/>
        <v>255071.5668840665</v>
      </c>
      <c r="AD31" s="5">
        <f t="shared" si="29"/>
        <v>251710.10240871579</v>
      </c>
      <c r="AE31" s="5">
        <f t="shared" si="29"/>
        <v>248348.63793336507</v>
      </c>
      <c r="AF31" s="5">
        <f t="shared" si="29"/>
        <v>244987.17345801435</v>
      </c>
      <c r="AG31" s="5">
        <f t="shared" si="29"/>
        <v>241625.70898266364</v>
      </c>
      <c r="AH31" s="5">
        <f t="shared" si="29"/>
        <v>238264.24450731289</v>
      </c>
    </row>
    <row r="32" spans="1:34" x14ac:dyDescent="0.35">
      <c r="A32" t="s">
        <v>52</v>
      </c>
      <c r="B32" s="3" t="s">
        <v>1266</v>
      </c>
      <c r="C32" s="4" t="s">
        <v>1263</v>
      </c>
      <c r="D32" s="2">
        <f t="shared" si="1"/>
        <v>5378552.2493825052</v>
      </c>
      <c r="E32" s="5">
        <v>0</v>
      </c>
      <c r="F32" s="5">
        <v>779476.21572888747</v>
      </c>
      <c r="G32" s="5">
        <v>0</v>
      </c>
      <c r="H32" s="5">
        <v>0</v>
      </c>
      <c r="I32" s="5">
        <v>0</v>
      </c>
      <c r="J32" s="5">
        <v>0</v>
      </c>
      <c r="K32" s="5">
        <v>666214.72213956562</v>
      </c>
      <c r="L32" s="5">
        <v>0</v>
      </c>
      <c r="M32" s="5">
        <v>77115.817306977042</v>
      </c>
      <c r="N32" s="5">
        <v>596086.06066624704</v>
      </c>
      <c r="O32" s="5">
        <v>0</v>
      </c>
      <c r="P32" s="5">
        <v>926403.09651674435</v>
      </c>
      <c r="Q32" s="5">
        <v>0</v>
      </c>
      <c r="R32" s="5">
        <v>0</v>
      </c>
      <c r="S32" s="5">
        <v>0</v>
      </c>
      <c r="T32" s="5">
        <v>810646.19012968754</v>
      </c>
      <c r="U32" s="5">
        <v>689686.7261522013</v>
      </c>
      <c r="V32" s="5">
        <v>832923.42074219522</v>
      </c>
      <c r="W32" s="5">
        <f t="shared" ref="W32:AH32" si="30">IF(OR((SLOPE($E32:$V32,$E$1:$V$1)*W$1+INTERCEPT($E32:$V32,$E$1:$V$1))&gt;(AVERAGE($E32:$V32)+_xlfn.STDEV.P($E32:$V32)),(SLOPE($E32:$V32,$E$1:$V$1)*W$1+INTERCEPT($E32:$V32,$E$1:$V$1))&lt;(AVERAGE($E32:$V32)-_xlfn.STDEV.P($E32:$V32))),V32,(SLOPE($E32:$V32,$E$1:$V$1)*W$1+INTERCEPT($E32:$V32,$E$1:$V$1)))</f>
        <v>545584.6190431274</v>
      </c>
      <c r="X32" s="5">
        <f t="shared" si="30"/>
        <v>571561.05701619037</v>
      </c>
      <c r="Y32" s="5">
        <f t="shared" si="30"/>
        <v>597537.49498925358</v>
      </c>
      <c r="Z32" s="5">
        <f t="shared" si="30"/>
        <v>623513.93296231655</v>
      </c>
      <c r="AA32" s="5">
        <f t="shared" si="30"/>
        <v>649490.37093537976</v>
      </c>
      <c r="AB32" s="5">
        <f t="shared" si="30"/>
        <v>649490.37093537976</v>
      </c>
      <c r="AC32" s="5">
        <f t="shared" si="30"/>
        <v>649490.37093537976</v>
      </c>
      <c r="AD32" s="5">
        <f t="shared" si="30"/>
        <v>649490.37093537976</v>
      </c>
      <c r="AE32" s="5">
        <f t="shared" si="30"/>
        <v>649490.37093537976</v>
      </c>
      <c r="AF32" s="5">
        <f t="shared" si="30"/>
        <v>649490.37093537976</v>
      </c>
      <c r="AG32" s="5">
        <f t="shared" si="30"/>
        <v>649490.37093537976</v>
      </c>
      <c r="AH32" s="5">
        <f t="shared" si="30"/>
        <v>649490.37093537976</v>
      </c>
    </row>
    <row r="33" spans="1:34" x14ac:dyDescent="0.35">
      <c r="A33" t="s">
        <v>53</v>
      </c>
      <c r="B33" s="3" t="s">
        <v>1262</v>
      </c>
      <c r="C33" s="4" t="s">
        <v>1263</v>
      </c>
      <c r="D33" s="2">
        <f t="shared" si="1"/>
        <v>5306107.1380000776</v>
      </c>
      <c r="E33" s="5">
        <v>216537.49328153543</v>
      </c>
      <c r="F33" s="5">
        <v>252068.41323175645</v>
      </c>
      <c r="G33" s="5">
        <v>335197.35802095267</v>
      </c>
      <c r="H33" s="5">
        <v>284917.75431780983</v>
      </c>
      <c r="I33" s="5">
        <v>342594.0463879485</v>
      </c>
      <c r="J33" s="5">
        <v>203621.22175246142</v>
      </c>
      <c r="K33" s="5">
        <v>257811.46129918206</v>
      </c>
      <c r="L33" s="5">
        <v>267040.56189002562</v>
      </c>
      <c r="M33" s="5">
        <v>519511.2119514072</v>
      </c>
      <c r="N33" s="5">
        <v>273990.32044632669</v>
      </c>
      <c r="O33" s="5">
        <v>370616.54551849997</v>
      </c>
      <c r="P33" s="5">
        <v>245364.46607133735</v>
      </c>
      <c r="Q33" s="5">
        <v>406281.54441192932</v>
      </c>
      <c r="R33" s="5">
        <v>255822.62364159111</v>
      </c>
      <c r="S33" s="5">
        <v>121319.09711305014</v>
      </c>
      <c r="T33" s="5">
        <v>464471.80576436664</v>
      </c>
      <c r="U33" s="5">
        <v>291063.03921486059</v>
      </c>
      <c r="V33" s="5">
        <v>197878.17368503576</v>
      </c>
      <c r="W33" s="5">
        <f t="shared" ref="W33:AH33" si="31">IF(OR((SLOPE($E33:$V33,$E$1:$V$1)*W$1+INTERCEPT($E33:$V33,$E$1:$V$1))&gt;(AVERAGE($E33:$V33)+_xlfn.STDEV.P($E33:$V33)),(SLOPE($E33:$V33,$E$1:$V$1)*W$1+INTERCEPT($E33:$V33,$E$1:$V$1))&lt;(AVERAGE($E33:$V33)-_xlfn.STDEV.P($E33:$V33))),V33,(SLOPE($E33:$V33,$E$1:$V$1)*W$1+INTERCEPT($E33:$V33,$E$1:$V$1)))</f>
        <v>302522.40719436645</v>
      </c>
      <c r="X33" s="5">
        <f t="shared" si="31"/>
        <v>303337.0048054689</v>
      </c>
      <c r="Y33" s="5">
        <f t="shared" si="31"/>
        <v>304151.60241657135</v>
      </c>
      <c r="Z33" s="5">
        <f t="shared" si="31"/>
        <v>304966.20002767374</v>
      </c>
      <c r="AA33" s="5">
        <f t="shared" si="31"/>
        <v>305780.79763877619</v>
      </c>
      <c r="AB33" s="5">
        <f t="shared" si="31"/>
        <v>306595.39524987864</v>
      </c>
      <c r="AC33" s="5">
        <f t="shared" si="31"/>
        <v>307409.99286098109</v>
      </c>
      <c r="AD33" s="5">
        <f t="shared" si="31"/>
        <v>308224.59047208354</v>
      </c>
      <c r="AE33" s="5">
        <f t="shared" si="31"/>
        <v>309039.18808318599</v>
      </c>
      <c r="AF33" s="5">
        <f t="shared" si="31"/>
        <v>309853.78569428844</v>
      </c>
      <c r="AG33" s="5">
        <f t="shared" si="31"/>
        <v>310668.38330539089</v>
      </c>
      <c r="AH33" s="5">
        <f t="shared" si="31"/>
        <v>311482.98091649334</v>
      </c>
    </row>
    <row r="34" spans="1:34" x14ac:dyDescent="0.35">
      <c r="A34" t="s">
        <v>54</v>
      </c>
      <c r="B34" s="3" t="s">
        <v>1262</v>
      </c>
      <c r="C34" s="4" t="s">
        <v>1263</v>
      </c>
      <c r="D34" s="2">
        <f t="shared" si="1"/>
        <v>5266203.2640000004</v>
      </c>
      <c r="E34" s="5">
        <v>182044.80000000002</v>
      </c>
      <c r="F34" s="5">
        <v>186137.28000000006</v>
      </c>
      <c r="G34" s="5">
        <v>276948.00000000012</v>
      </c>
      <c r="H34" s="5">
        <v>362043.36</v>
      </c>
      <c r="I34" s="5">
        <v>235599.83999999997</v>
      </c>
      <c r="J34" s="5">
        <v>416656.8</v>
      </c>
      <c r="K34" s="5">
        <v>332478.72000000003</v>
      </c>
      <c r="L34" s="5">
        <v>205386.04799999998</v>
      </c>
      <c r="M34" s="5">
        <v>497730.24</v>
      </c>
      <c r="N34" s="5">
        <v>304184.15999999997</v>
      </c>
      <c r="O34" s="5">
        <v>240115.68</v>
      </c>
      <c r="P34" s="5">
        <v>157913.28</v>
      </c>
      <c r="Q34" s="5">
        <v>225086.4</v>
      </c>
      <c r="R34" s="5">
        <v>323094.24000000011</v>
      </c>
      <c r="S34" s="5">
        <v>428270.97600000002</v>
      </c>
      <c r="T34" s="5">
        <v>313427.52</v>
      </c>
      <c r="U34" s="5">
        <v>275508.576</v>
      </c>
      <c r="V34" s="5">
        <v>303577.34400000004</v>
      </c>
      <c r="W34" s="5">
        <f t="shared" ref="W34:AH34" si="32">IF(OR((SLOPE($E34:$V34,$E$1:$V$1)*W$1+INTERCEPT($E34:$V34,$E$1:$V$1))&gt;(AVERAGE($E34:$V34)+_xlfn.STDEV.P($E34:$V34)),(SLOPE($E34:$V34,$E$1:$V$1)*W$1+INTERCEPT($E34:$V34,$E$1:$V$1))&lt;(AVERAGE($E34:$V34)-_xlfn.STDEV.P($E34:$V34))),V34,(SLOPE($E34:$V34,$E$1:$V$1)*W$1+INTERCEPT($E34:$V34,$E$1:$V$1)))</f>
        <v>322896.57976470591</v>
      </c>
      <c r="X34" s="5">
        <f t="shared" si="32"/>
        <v>326089.18310835917</v>
      </c>
      <c r="Y34" s="5">
        <f t="shared" si="32"/>
        <v>329281.78645201237</v>
      </c>
      <c r="Z34" s="5">
        <f t="shared" si="32"/>
        <v>332474.38979566563</v>
      </c>
      <c r="AA34" s="5">
        <f t="shared" si="32"/>
        <v>335666.99313931889</v>
      </c>
      <c r="AB34" s="5">
        <f t="shared" si="32"/>
        <v>338859.59648297215</v>
      </c>
      <c r="AC34" s="5">
        <f t="shared" si="32"/>
        <v>342052.19982662541</v>
      </c>
      <c r="AD34" s="5">
        <f t="shared" si="32"/>
        <v>345244.80317027867</v>
      </c>
      <c r="AE34" s="5">
        <f t="shared" si="32"/>
        <v>348437.40651393193</v>
      </c>
      <c r="AF34" s="5">
        <f t="shared" si="32"/>
        <v>351630.00985758519</v>
      </c>
      <c r="AG34" s="5">
        <f t="shared" si="32"/>
        <v>354822.61320123839</v>
      </c>
      <c r="AH34" s="5">
        <f t="shared" si="32"/>
        <v>358015.21654489165</v>
      </c>
    </row>
    <row r="35" spans="1:34" x14ac:dyDescent="0.35">
      <c r="A35" t="s">
        <v>55</v>
      </c>
      <c r="B35" s="3" t="s">
        <v>1262</v>
      </c>
      <c r="C35" s="4" t="s">
        <v>1263</v>
      </c>
      <c r="D35" s="2">
        <f t="shared" si="1"/>
        <v>5253353.5336828819</v>
      </c>
      <c r="E35" s="5">
        <v>187642.5721396881</v>
      </c>
      <c r="F35" s="5">
        <v>127860.09843980428</v>
      </c>
      <c r="G35" s="5">
        <v>278297.2767124786</v>
      </c>
      <c r="H35" s="5">
        <v>337389.56489422906</v>
      </c>
      <c r="I35" s="5">
        <v>328057.84309474885</v>
      </c>
      <c r="J35" s="5">
        <v>265398.30392039922</v>
      </c>
      <c r="K35" s="5">
        <v>327825.1962908837</v>
      </c>
      <c r="L35" s="5">
        <v>245028.78375976076</v>
      </c>
      <c r="M35" s="5">
        <v>434480.83104062238</v>
      </c>
      <c r="N35" s="5">
        <v>289386.77436338464</v>
      </c>
      <c r="O35" s="5">
        <v>383893.07602238713</v>
      </c>
      <c r="P35" s="5">
        <v>384668.56536860432</v>
      </c>
      <c r="Q35" s="5">
        <v>213055.35801522568</v>
      </c>
      <c r="R35" s="5">
        <v>260018.99282213917</v>
      </c>
      <c r="S35" s="5">
        <v>329944.86717054405</v>
      </c>
      <c r="T35" s="5">
        <v>313633.74125510891</v>
      </c>
      <c r="U35" s="5">
        <v>284113.44680910761</v>
      </c>
      <c r="V35" s="5">
        <v>262658.24156376504</v>
      </c>
      <c r="W35" s="5">
        <f t="shared" ref="W35:AH35" si="33">IF(OR((SLOPE($E35:$V35,$E$1:$V$1)*W$1+INTERCEPT($E35:$V35,$E$1:$V$1))&gt;(AVERAGE($E35:$V35)+_xlfn.STDEV.P($E35:$V35)),(SLOPE($E35:$V35,$E$1:$V$1)*W$1+INTERCEPT($E35:$V35,$E$1:$V$1))&lt;(AVERAGE($E35:$V35)-_xlfn.STDEV.P($E35:$V35))),V35,(SLOPE($E35:$V35,$E$1:$V$1)*W$1+INTERCEPT($E35:$V35,$E$1:$V$1)))</f>
        <v>326887.42861851363</v>
      </c>
      <c r="X35" s="5">
        <f t="shared" si="33"/>
        <v>330575.26593693678</v>
      </c>
      <c r="Y35" s="5">
        <f t="shared" si="33"/>
        <v>334263.10325535998</v>
      </c>
      <c r="Z35" s="5">
        <f t="shared" si="33"/>
        <v>337950.94057378313</v>
      </c>
      <c r="AA35" s="5">
        <f t="shared" si="33"/>
        <v>341638.77789220633</v>
      </c>
      <c r="AB35" s="5">
        <f t="shared" si="33"/>
        <v>345326.61521062953</v>
      </c>
      <c r="AC35" s="5">
        <f t="shared" si="33"/>
        <v>349014.45252905268</v>
      </c>
      <c r="AD35" s="5">
        <f t="shared" si="33"/>
        <v>352702.28984747583</v>
      </c>
      <c r="AE35" s="5">
        <f t="shared" si="33"/>
        <v>356390.12716589903</v>
      </c>
      <c r="AF35" s="5">
        <f t="shared" si="33"/>
        <v>360077.96448432223</v>
      </c>
      <c r="AG35" s="5">
        <f t="shared" si="33"/>
        <v>360077.96448432223</v>
      </c>
      <c r="AH35" s="5">
        <f t="shared" si="33"/>
        <v>360077.96448432223</v>
      </c>
    </row>
    <row r="36" spans="1:34" x14ac:dyDescent="0.35">
      <c r="A36" t="s">
        <v>56</v>
      </c>
      <c r="B36" s="3" t="s">
        <v>1262</v>
      </c>
      <c r="C36" s="4" t="s">
        <v>1263</v>
      </c>
      <c r="D36" s="2">
        <f t="shared" si="1"/>
        <v>5051336.256334139</v>
      </c>
      <c r="E36" s="5">
        <v>169340.68584170233</v>
      </c>
      <c r="F36" s="5">
        <v>259861.86162461012</v>
      </c>
      <c r="G36" s="5">
        <v>313459.12846459029</v>
      </c>
      <c r="H36" s="5">
        <v>300265.95508859534</v>
      </c>
      <c r="I36" s="5">
        <v>257242.62867496404</v>
      </c>
      <c r="J36" s="5">
        <v>274146.38206295791</v>
      </c>
      <c r="K36" s="5">
        <v>291571.55682518671</v>
      </c>
      <c r="L36" s="5">
        <v>238871.61979202964</v>
      </c>
      <c r="M36" s="5">
        <v>354324.01291045768</v>
      </c>
      <c r="N36" s="5">
        <v>268713.89890813635</v>
      </c>
      <c r="O36" s="5">
        <v>283871.49699636607</v>
      </c>
      <c r="P36" s="5">
        <v>355051.57761869259</v>
      </c>
      <c r="Q36" s="5">
        <v>199716.51241051473</v>
      </c>
      <c r="R36" s="5">
        <v>288358.14603048196</v>
      </c>
      <c r="S36" s="5">
        <v>332254.55009399529</v>
      </c>
      <c r="T36" s="5">
        <v>288540.03720754082</v>
      </c>
      <c r="U36" s="5">
        <v>332375.81087870116</v>
      </c>
      <c r="V36" s="5">
        <v>243370.39490461623</v>
      </c>
      <c r="W36" s="5">
        <f t="shared" ref="W36:AH36" si="34">IF(OR((SLOPE($E36:$V36,$E$1:$V$1)*W$1+INTERCEPT($E36:$V36,$E$1:$V$1))&gt;(AVERAGE($E36:$V36)+_xlfn.STDEV.P($E36:$V36)),(SLOPE($E36:$V36,$E$1:$V$1)*W$1+INTERCEPT($E36:$V36,$E$1:$V$1))&lt;(AVERAGE($E36:$V36)-_xlfn.STDEV.P($E36:$V36))),V36,(SLOPE($E36:$V36,$E$1:$V$1)*W$1+INTERCEPT($E36:$V36,$E$1:$V$1)))</f>
        <v>305139.21203630278</v>
      </c>
      <c r="X36" s="5">
        <f t="shared" si="34"/>
        <v>307719.15098553855</v>
      </c>
      <c r="Y36" s="5">
        <f t="shared" si="34"/>
        <v>310299.08993477433</v>
      </c>
      <c r="Z36" s="5">
        <f t="shared" si="34"/>
        <v>312879.02888401004</v>
      </c>
      <c r="AA36" s="5">
        <f t="shared" si="34"/>
        <v>315458.96783324576</v>
      </c>
      <c r="AB36" s="5">
        <f t="shared" si="34"/>
        <v>318038.90678248153</v>
      </c>
      <c r="AC36" s="5">
        <f t="shared" si="34"/>
        <v>320618.84573171724</v>
      </c>
      <c r="AD36" s="5">
        <f t="shared" si="34"/>
        <v>323198.78468095302</v>
      </c>
      <c r="AE36" s="5">
        <f t="shared" si="34"/>
        <v>325778.72363018873</v>
      </c>
      <c r="AF36" s="5">
        <f t="shared" si="34"/>
        <v>328358.6625794245</v>
      </c>
      <c r="AG36" s="5">
        <f t="shared" si="34"/>
        <v>328358.6625794245</v>
      </c>
      <c r="AH36" s="5">
        <f t="shared" si="34"/>
        <v>328358.6625794245</v>
      </c>
    </row>
    <row r="37" spans="1:34" x14ac:dyDescent="0.35">
      <c r="A37" t="s">
        <v>57</v>
      </c>
      <c r="B37" s="3" t="s">
        <v>1262</v>
      </c>
      <c r="C37" s="4" t="s">
        <v>1263</v>
      </c>
      <c r="D37" s="2">
        <f t="shared" si="1"/>
        <v>4990021.1636138549</v>
      </c>
      <c r="E37" s="5">
        <v>0</v>
      </c>
      <c r="F37" s="5">
        <v>148895.59648130464</v>
      </c>
      <c r="G37" s="5">
        <v>456297.55994794983</v>
      </c>
      <c r="H37" s="5">
        <v>282220.90537746809</v>
      </c>
      <c r="I37" s="5">
        <v>114263.2479226563</v>
      </c>
      <c r="J37" s="5">
        <v>92582.356907874739</v>
      </c>
      <c r="K37" s="5">
        <v>71891.920844600842</v>
      </c>
      <c r="L37" s="5">
        <v>102587.6306553078</v>
      </c>
      <c r="M37" s="5">
        <v>463944.20792103006</v>
      </c>
      <c r="N37" s="5">
        <v>30217.269707012612</v>
      </c>
      <c r="O37" s="5">
        <v>132746.14456011236</v>
      </c>
      <c r="P37" s="5">
        <v>1709323.7978374655</v>
      </c>
      <c r="Q37" s="5">
        <v>0</v>
      </c>
      <c r="R37" s="5">
        <v>0</v>
      </c>
      <c r="S37" s="5">
        <v>0</v>
      </c>
      <c r="T37" s="5">
        <v>491383.16755220335</v>
      </c>
      <c r="U37" s="5">
        <v>425366.8269284105</v>
      </c>
      <c r="V37" s="5">
        <v>468300.53097045759</v>
      </c>
      <c r="W37" s="5">
        <f t="shared" ref="W37:AH37" si="35">IF(OR((SLOPE($E37:$V37,$E$1:$V$1)*W$1+INTERCEPT($E37:$V37,$E$1:$V$1))&gt;(AVERAGE($E37:$V37)+_xlfn.STDEV.P($E37:$V37)),(SLOPE($E37:$V37,$E$1:$V$1)*W$1+INTERCEPT($E37:$V37,$E$1:$V$1))&lt;(AVERAGE($E37:$V37)-_xlfn.STDEV.P($E37:$V37))),V37,(SLOPE($E37:$V37,$E$1:$V$1)*W$1+INTERCEPT($E37:$V37,$E$1:$V$1)))</f>
        <v>430432.44387769653</v>
      </c>
      <c r="X37" s="5">
        <f t="shared" si="35"/>
        <v>446559.71186708065</v>
      </c>
      <c r="Y37" s="5">
        <f t="shared" si="35"/>
        <v>462686.97985646472</v>
      </c>
      <c r="Z37" s="5">
        <f t="shared" si="35"/>
        <v>478814.24784584885</v>
      </c>
      <c r="AA37" s="5">
        <f t="shared" si="35"/>
        <v>494941.51583523297</v>
      </c>
      <c r="AB37" s="5">
        <f t="shared" si="35"/>
        <v>511068.78382461704</v>
      </c>
      <c r="AC37" s="5">
        <f t="shared" si="35"/>
        <v>527196.05181400117</v>
      </c>
      <c r="AD37" s="5">
        <f t="shared" si="35"/>
        <v>543323.3198033853</v>
      </c>
      <c r="AE37" s="5">
        <f t="shared" si="35"/>
        <v>559450.58779276942</v>
      </c>
      <c r="AF37" s="5">
        <f t="shared" si="35"/>
        <v>575577.85578215355</v>
      </c>
      <c r="AG37" s="5">
        <f t="shared" si="35"/>
        <v>591705.12377153756</v>
      </c>
      <c r="AH37" s="5">
        <f t="shared" si="35"/>
        <v>607832.3917609218</v>
      </c>
    </row>
    <row r="38" spans="1:34" x14ac:dyDescent="0.35">
      <c r="A38" t="s">
        <v>58</v>
      </c>
      <c r="B38" s="3" t="s">
        <v>1262</v>
      </c>
      <c r="C38" s="4" t="s">
        <v>1263</v>
      </c>
      <c r="D38" s="2">
        <f t="shared" si="1"/>
        <v>4669490.1914422633</v>
      </c>
      <c r="E38" s="5">
        <v>314341.03756869753</v>
      </c>
      <c r="F38" s="5">
        <v>199092.53274850585</v>
      </c>
      <c r="G38" s="5">
        <v>303675.36617145612</v>
      </c>
      <c r="H38" s="5">
        <v>297749.9931729887</v>
      </c>
      <c r="I38" s="5">
        <v>109915.66912157096</v>
      </c>
      <c r="J38" s="5">
        <v>186056.71215187755</v>
      </c>
      <c r="K38" s="5">
        <v>359373.87235705002</v>
      </c>
      <c r="L38" s="5">
        <v>100731.34097394644</v>
      </c>
      <c r="M38" s="5">
        <v>189611.93595095797</v>
      </c>
      <c r="N38" s="5">
        <v>159985.07095862078</v>
      </c>
      <c r="O38" s="5">
        <v>165910.44395708825</v>
      </c>
      <c r="P38" s="5">
        <v>213313.42794482774</v>
      </c>
      <c r="Q38" s="5">
        <v>556985.0618559391</v>
      </c>
      <c r="R38" s="5">
        <v>192574.6224501917</v>
      </c>
      <c r="S38" s="5">
        <v>53328.356986206934</v>
      </c>
      <c r="T38" s="5">
        <v>520544.01791536424</v>
      </c>
      <c r="U38" s="5">
        <v>487954.4664237934</v>
      </c>
      <c r="V38" s="5">
        <v>258346.26273318028</v>
      </c>
      <c r="W38" s="5">
        <f t="shared" ref="W38:AH38" si="36">IF(OR((SLOPE($E38:$V38,$E$1:$V$1)*W$1+INTERCEPT($E38:$V38,$E$1:$V$1))&gt;(AVERAGE($E38:$V38)+_xlfn.STDEV.P($E38:$V38)),(SLOPE($E38:$V38,$E$1:$V$1)*W$1+INTERCEPT($E38:$V38,$E$1:$V$1))&lt;(AVERAGE($E38:$V38)-_xlfn.STDEV.P($E38:$V38))),V38,(SLOPE($E38:$V38,$E$1:$V$1)*W$1+INTERCEPT($E38:$V38,$E$1:$V$1)))</f>
        <v>321060.33309310337</v>
      </c>
      <c r="X38" s="5">
        <f t="shared" si="36"/>
        <v>327549.19744534662</v>
      </c>
      <c r="Y38" s="5">
        <f t="shared" si="36"/>
        <v>334038.06179758988</v>
      </c>
      <c r="Z38" s="5">
        <f t="shared" si="36"/>
        <v>340526.92614983319</v>
      </c>
      <c r="AA38" s="5">
        <f t="shared" si="36"/>
        <v>347015.79050207644</v>
      </c>
      <c r="AB38" s="5">
        <f t="shared" si="36"/>
        <v>353504.6548543197</v>
      </c>
      <c r="AC38" s="5">
        <f t="shared" si="36"/>
        <v>359993.51920656295</v>
      </c>
      <c r="AD38" s="5">
        <f t="shared" si="36"/>
        <v>366482.38355880621</v>
      </c>
      <c r="AE38" s="5">
        <f t="shared" si="36"/>
        <v>372971.24791104952</v>
      </c>
      <c r="AF38" s="5">
        <f t="shared" si="36"/>
        <v>379460.11226329277</v>
      </c>
      <c r="AG38" s="5">
        <f t="shared" si="36"/>
        <v>385948.97661553603</v>
      </c>
      <c r="AH38" s="5">
        <f t="shared" si="36"/>
        <v>392437.84096777928</v>
      </c>
    </row>
    <row r="39" spans="1:34" x14ac:dyDescent="0.35">
      <c r="A39" t="s">
        <v>59</v>
      </c>
      <c r="B39" s="3" t="s">
        <v>1262</v>
      </c>
      <c r="C39" s="4" t="s">
        <v>1263</v>
      </c>
      <c r="D39" s="2">
        <f t="shared" si="1"/>
        <v>4654301.9890079806</v>
      </c>
      <c r="E39" s="5">
        <v>158546.22513693309</v>
      </c>
      <c r="F39" s="5">
        <v>283241.77446518757</v>
      </c>
      <c r="G39" s="5">
        <v>289879.16187865392</v>
      </c>
      <c r="H39" s="5">
        <v>289564.75931696338</v>
      </c>
      <c r="I39" s="5">
        <v>260351.52129321982</v>
      </c>
      <c r="J39" s="5">
        <v>256334.15522717431</v>
      </c>
      <c r="K39" s="5">
        <v>277145.85813018808</v>
      </c>
      <c r="L39" s="5">
        <v>227968.05743909685</v>
      </c>
      <c r="M39" s="5">
        <v>308830.6496249988</v>
      </c>
      <c r="N39" s="5">
        <v>263320.8788202969</v>
      </c>
      <c r="O39" s="5">
        <v>272132.88395212271</v>
      </c>
      <c r="P39" s="5">
        <v>332358.44132483896</v>
      </c>
      <c r="Q39" s="5">
        <v>170947.65951472562</v>
      </c>
      <c r="R39" s="5">
        <v>244902.12874792758</v>
      </c>
      <c r="S39" s="5">
        <v>308699.64855762769</v>
      </c>
      <c r="T39" s="5">
        <v>235470.05189721214</v>
      </c>
      <c r="U39" s="5">
        <v>262089.4687870091</v>
      </c>
      <c r="V39" s="5">
        <v>212518.66489380467</v>
      </c>
      <c r="W39" s="5">
        <f t="shared" ref="W39:AH39" si="37">IF(OR((SLOPE($E39:$V39,$E$1:$V$1)*W$1+INTERCEPT($E39:$V39,$E$1:$V$1))&gt;(AVERAGE($E39:$V39)+_xlfn.STDEV.P($E39:$V39)),(SLOPE($E39:$V39,$E$1:$V$1)*W$1+INTERCEPT($E39:$V39,$E$1:$V$1))&lt;(AVERAGE($E39:$V39)-_xlfn.STDEV.P($E39:$V39))),V39,(SLOPE($E39:$V39,$E$1:$V$1)*W$1+INTERCEPT($E39:$V39,$E$1:$V$1)))</f>
        <v>255922.42943242603</v>
      </c>
      <c r="X39" s="5">
        <f t="shared" si="37"/>
        <v>255643.49224397974</v>
      </c>
      <c r="Y39" s="5">
        <f t="shared" si="37"/>
        <v>255364.55505553348</v>
      </c>
      <c r="Z39" s="5">
        <f t="shared" si="37"/>
        <v>255085.61786708719</v>
      </c>
      <c r="AA39" s="5">
        <f t="shared" si="37"/>
        <v>254806.68067864093</v>
      </c>
      <c r="AB39" s="5">
        <f t="shared" si="37"/>
        <v>254527.74349019467</v>
      </c>
      <c r="AC39" s="5">
        <f t="shared" si="37"/>
        <v>254248.80630174838</v>
      </c>
      <c r="AD39" s="5">
        <f t="shared" si="37"/>
        <v>253969.86911330212</v>
      </c>
      <c r="AE39" s="5">
        <f t="shared" si="37"/>
        <v>253690.93192485586</v>
      </c>
      <c r="AF39" s="5">
        <f t="shared" si="37"/>
        <v>253411.99473640957</v>
      </c>
      <c r="AG39" s="5">
        <f t="shared" si="37"/>
        <v>253133.05754796331</v>
      </c>
      <c r="AH39" s="5">
        <f t="shared" si="37"/>
        <v>252854.12035951702</v>
      </c>
    </row>
    <row r="40" spans="1:34" x14ac:dyDescent="0.35">
      <c r="A40" t="s">
        <v>60</v>
      </c>
      <c r="B40" s="3" t="s">
        <v>1262</v>
      </c>
      <c r="C40" s="4" t="s">
        <v>1263</v>
      </c>
      <c r="D40" s="2">
        <f t="shared" si="1"/>
        <v>4503978.5148885231</v>
      </c>
      <c r="E40" s="5">
        <v>161143.43744532787</v>
      </c>
      <c r="F40" s="5">
        <v>174662.76925995096</v>
      </c>
      <c r="G40" s="5">
        <v>281796.91346742067</v>
      </c>
      <c r="H40" s="5">
        <v>189455.30917501662</v>
      </c>
      <c r="I40" s="5">
        <v>242745.38562331174</v>
      </c>
      <c r="J40" s="5">
        <v>224774.68503004208</v>
      </c>
      <c r="K40" s="5">
        <v>238536.99548978778</v>
      </c>
      <c r="L40" s="5">
        <v>179512.62301659861</v>
      </c>
      <c r="M40" s="5">
        <v>334639.90920869022</v>
      </c>
      <c r="N40" s="5">
        <v>226942.0545445359</v>
      </c>
      <c r="O40" s="5">
        <v>297094.84896434139</v>
      </c>
      <c r="P40" s="5">
        <v>312120.64837872493</v>
      </c>
      <c r="Q40" s="5">
        <v>150005.29635290656</v>
      </c>
      <c r="R40" s="5">
        <v>268821.8538178723</v>
      </c>
      <c r="S40" s="5">
        <v>300924.19241147413</v>
      </c>
      <c r="T40" s="5">
        <v>309720.01936491329</v>
      </c>
      <c r="U40" s="5">
        <v>320469.39462513843</v>
      </c>
      <c r="V40" s="5">
        <v>290612.17871246964</v>
      </c>
      <c r="W40" s="5">
        <f t="shared" ref="W40:AH40" si="38">IF(OR((SLOPE($E40:$V40,$E$1:$V$1)*W$1+INTERCEPT($E40:$V40,$E$1:$V$1))&gt;(AVERAGE($E40:$V40)+_xlfn.STDEV.P($E40:$V40)),(SLOPE($E40:$V40,$E$1:$V$1)*W$1+INTERCEPT($E40:$V40,$E$1:$V$1))&lt;(AVERAGE($E40:$V40)-_xlfn.STDEV.P($E40:$V40))),V40,(SLOPE($E40:$V40,$E$1:$V$1)*W$1+INTERCEPT($E40:$V40,$E$1:$V$1)))</f>
        <v>290612.17871246964</v>
      </c>
      <c r="X40" s="5">
        <f t="shared" si="38"/>
        <v>290612.17871246964</v>
      </c>
      <c r="Y40" s="5">
        <f t="shared" si="38"/>
        <v>290612.17871246964</v>
      </c>
      <c r="Z40" s="5">
        <f t="shared" si="38"/>
        <v>290612.17871246964</v>
      </c>
      <c r="AA40" s="5">
        <f t="shared" si="38"/>
        <v>290612.17871246964</v>
      </c>
      <c r="AB40" s="5">
        <f t="shared" si="38"/>
        <v>290612.17871246964</v>
      </c>
      <c r="AC40" s="5">
        <f t="shared" si="38"/>
        <v>290612.17871246964</v>
      </c>
      <c r="AD40" s="5">
        <f t="shared" si="38"/>
        <v>290612.17871246964</v>
      </c>
      <c r="AE40" s="5">
        <f t="shared" si="38"/>
        <v>290612.17871246964</v>
      </c>
      <c r="AF40" s="5">
        <f t="shared" si="38"/>
        <v>290612.17871246964</v>
      </c>
      <c r="AG40" s="5">
        <f t="shared" si="38"/>
        <v>290612.17871246964</v>
      </c>
      <c r="AH40" s="5">
        <f t="shared" si="38"/>
        <v>290612.17871246964</v>
      </c>
    </row>
    <row r="41" spans="1:34" x14ac:dyDescent="0.35">
      <c r="A41" t="s">
        <v>61</v>
      </c>
      <c r="B41" s="3" t="s">
        <v>1264</v>
      </c>
      <c r="C41" s="4" t="s">
        <v>1263</v>
      </c>
      <c r="D41" s="2">
        <f t="shared" si="1"/>
        <v>4469584.8329999996</v>
      </c>
      <c r="E41" s="5">
        <v>107938.27800000001</v>
      </c>
      <c r="F41" s="5">
        <v>212382.51299999995</v>
      </c>
      <c r="G41" s="5">
        <v>245144.40299999999</v>
      </c>
      <c r="H41" s="5">
        <v>396628.34399999992</v>
      </c>
      <c r="I41" s="5">
        <v>304987.2209999999</v>
      </c>
      <c r="J41" s="5">
        <v>68515.082999999984</v>
      </c>
      <c r="K41" s="5">
        <v>371600.27099999995</v>
      </c>
      <c r="L41" s="5">
        <v>138245.12100000004</v>
      </c>
      <c r="M41" s="5">
        <v>171258.38099999996</v>
      </c>
      <c r="N41" s="5">
        <v>182863.29599999994</v>
      </c>
      <c r="O41" s="5">
        <v>171007.01099999994</v>
      </c>
      <c r="P41" s="5">
        <v>223241.69699999996</v>
      </c>
      <c r="Q41" s="5">
        <v>166691.82599999994</v>
      </c>
      <c r="R41" s="5">
        <v>206458.55999999994</v>
      </c>
      <c r="S41" s="5">
        <v>379602.21599999996</v>
      </c>
      <c r="T41" s="5">
        <v>371751.09299999994</v>
      </c>
      <c r="U41" s="5">
        <v>372329.24400000001</v>
      </c>
      <c r="V41" s="5">
        <v>378940.27499999991</v>
      </c>
      <c r="W41" s="5">
        <f t="shared" ref="W41:AH41" si="39">IF(OR((SLOPE($E41:$V41,$E$1:$V$1)*W$1+INTERCEPT($E41:$V41,$E$1:$V$1))&gt;(AVERAGE($E41:$V41)+_xlfn.STDEV.P($E41:$V41)),(SLOPE($E41:$V41,$E$1:$V$1)*W$1+INTERCEPT($E41:$V41,$E$1:$V$1))&lt;(AVERAGE($E41:$V41)-_xlfn.STDEV.P($E41:$V41))),V41,(SLOPE($E41:$V41,$E$1:$V$1)*W$1+INTERCEPT($E41:$V41,$E$1:$V$1)))</f>
        <v>323147.63558823522</v>
      </c>
      <c r="X41" s="5">
        <f t="shared" si="39"/>
        <v>331025.25317647052</v>
      </c>
      <c r="Y41" s="5">
        <f t="shared" si="39"/>
        <v>338902.87076470582</v>
      </c>
      <c r="Z41" s="5">
        <f t="shared" si="39"/>
        <v>346780.48835294112</v>
      </c>
      <c r="AA41" s="5">
        <f t="shared" si="39"/>
        <v>346780.48835294112</v>
      </c>
      <c r="AB41" s="5">
        <f t="shared" si="39"/>
        <v>346780.48835294112</v>
      </c>
      <c r="AC41" s="5">
        <f t="shared" si="39"/>
        <v>346780.48835294112</v>
      </c>
      <c r="AD41" s="5">
        <f t="shared" si="39"/>
        <v>346780.48835294112</v>
      </c>
      <c r="AE41" s="5">
        <f t="shared" si="39"/>
        <v>346780.48835294112</v>
      </c>
      <c r="AF41" s="5">
        <f t="shared" si="39"/>
        <v>346780.48835294112</v>
      </c>
      <c r="AG41" s="5">
        <f t="shared" si="39"/>
        <v>346780.48835294112</v>
      </c>
      <c r="AH41" s="5">
        <f t="shared" si="39"/>
        <v>346780.48835294112</v>
      </c>
    </row>
    <row r="42" spans="1:34" x14ac:dyDescent="0.35">
      <c r="A42" t="s">
        <v>62</v>
      </c>
      <c r="B42" s="3" t="s">
        <v>1262</v>
      </c>
      <c r="C42" s="4" t="s">
        <v>1263</v>
      </c>
      <c r="D42" s="2">
        <f t="shared" si="1"/>
        <v>4346753.7204</v>
      </c>
      <c r="E42" s="5">
        <v>0</v>
      </c>
      <c r="F42" s="5">
        <v>0</v>
      </c>
      <c r="G42" s="5">
        <v>0</v>
      </c>
      <c r="H42" s="5">
        <v>206975.7648</v>
      </c>
      <c r="I42" s="5">
        <v>100569.44239999999</v>
      </c>
      <c r="J42" s="5">
        <v>250022.75480000005</v>
      </c>
      <c r="K42" s="5">
        <v>244098.32160000002</v>
      </c>
      <c r="L42" s="5">
        <v>134598.4528</v>
      </c>
      <c r="M42" s="5">
        <v>492720.22519999993</v>
      </c>
      <c r="N42" s="5">
        <v>365826.45400000003</v>
      </c>
      <c r="O42" s="5">
        <v>440480.14919999999</v>
      </c>
      <c r="P42" s="5">
        <v>253933.4644</v>
      </c>
      <c r="Q42" s="5">
        <v>102845.8256</v>
      </c>
      <c r="R42" s="5">
        <v>357567.2687999999</v>
      </c>
      <c r="S42" s="5">
        <v>446025.18520000001</v>
      </c>
      <c r="T42" s="5">
        <v>246754.10199999996</v>
      </c>
      <c r="U42" s="5">
        <v>270364.2816000001</v>
      </c>
      <c r="V42" s="5">
        <v>433972.02799999993</v>
      </c>
      <c r="W42" s="5">
        <f t="shared" ref="W42:AH42" si="40">IF(OR((SLOPE($E42:$V42,$E$1:$V$1)*W$1+INTERCEPT($E42:$V42,$E$1:$V$1))&gt;(AVERAGE($E42:$V42)+_xlfn.STDEV.P($E42:$V42)),(SLOPE($E42:$V42,$E$1:$V$1)*W$1+INTERCEPT($E42:$V42,$E$1:$V$1))&lt;(AVERAGE($E42:$V42)-_xlfn.STDEV.P($E42:$V42))),V42,(SLOPE($E42:$V42,$E$1:$V$1)*W$1+INTERCEPT($E42:$V42,$E$1:$V$1)))</f>
        <v>433972.02799999993</v>
      </c>
      <c r="X42" s="5">
        <f t="shared" si="40"/>
        <v>433972.02799999993</v>
      </c>
      <c r="Y42" s="5">
        <f t="shared" si="40"/>
        <v>433972.02799999993</v>
      </c>
      <c r="Z42" s="5">
        <f t="shared" si="40"/>
        <v>433972.02799999993</v>
      </c>
      <c r="AA42" s="5">
        <f t="shared" si="40"/>
        <v>433972.02799999993</v>
      </c>
      <c r="AB42" s="5">
        <f t="shared" si="40"/>
        <v>433972.02799999993</v>
      </c>
      <c r="AC42" s="5">
        <f t="shared" si="40"/>
        <v>433972.02799999993</v>
      </c>
      <c r="AD42" s="5">
        <f t="shared" si="40"/>
        <v>433972.02799999993</v>
      </c>
      <c r="AE42" s="5">
        <f t="shared" si="40"/>
        <v>433972.02799999993</v>
      </c>
      <c r="AF42" s="5">
        <f t="shared" si="40"/>
        <v>433972.02799999993</v>
      </c>
      <c r="AG42" s="5">
        <f t="shared" si="40"/>
        <v>433972.02799999993</v>
      </c>
      <c r="AH42" s="5">
        <f t="shared" si="40"/>
        <v>433972.02799999993</v>
      </c>
    </row>
    <row r="43" spans="1:34" x14ac:dyDescent="0.35">
      <c r="A43" t="s">
        <v>63</v>
      </c>
      <c r="B43" s="3" t="s">
        <v>1262</v>
      </c>
      <c r="C43" s="4" t="s">
        <v>1263</v>
      </c>
      <c r="D43" s="2">
        <f t="shared" si="1"/>
        <v>4330361.574</v>
      </c>
      <c r="E43" s="5">
        <v>142133.85899999997</v>
      </c>
      <c r="F43" s="5">
        <v>288828.09899999987</v>
      </c>
      <c r="G43" s="5">
        <v>376285.01399999991</v>
      </c>
      <c r="H43" s="5">
        <v>326323.24200000003</v>
      </c>
      <c r="I43" s="5">
        <v>235187.06399999993</v>
      </c>
      <c r="J43" s="5">
        <v>273491.88299999997</v>
      </c>
      <c r="K43" s="5">
        <v>237342.23099999997</v>
      </c>
      <c r="L43" s="5">
        <v>192202.79399999999</v>
      </c>
      <c r="M43" s="5">
        <v>312677.81999999995</v>
      </c>
      <c r="N43" s="5">
        <v>225363.78900000002</v>
      </c>
      <c r="O43" s="5">
        <v>204502.72500000001</v>
      </c>
      <c r="P43" s="5">
        <v>275349.375</v>
      </c>
      <c r="Q43" s="5">
        <v>101626.245</v>
      </c>
      <c r="R43" s="5">
        <v>207646.17299999995</v>
      </c>
      <c r="S43" s="5">
        <v>236294.41499999995</v>
      </c>
      <c r="T43" s="5">
        <v>236687.34599999996</v>
      </c>
      <c r="U43" s="5">
        <v>287673.12</v>
      </c>
      <c r="V43" s="5">
        <v>170746.37999999995</v>
      </c>
      <c r="W43" s="5">
        <f t="shared" ref="W43:AH43" si="41">IF(OR((SLOPE($E43:$V43,$E$1:$V$1)*W$1+INTERCEPT($E43:$V43,$E$1:$V$1))&gt;(AVERAGE($E43:$V43)+_xlfn.STDEV.P($E43:$V43)),(SLOPE($E43:$V43,$E$1:$V$1)*W$1+INTERCEPT($E43:$V43,$E$1:$V$1))&lt;(AVERAGE($E43:$V43)-_xlfn.STDEV.P($E43:$V43))),V43,(SLOPE($E43:$V43,$E$1:$V$1)*W$1+INTERCEPT($E43:$V43,$E$1:$V$1)))</f>
        <v>204817.75464705887</v>
      </c>
      <c r="X43" s="5">
        <f t="shared" si="41"/>
        <v>201053.76639938087</v>
      </c>
      <c r="Y43" s="5">
        <f t="shared" si="41"/>
        <v>197289.77815170283</v>
      </c>
      <c r="Z43" s="5">
        <f t="shared" si="41"/>
        <v>193525.7899040248</v>
      </c>
      <c r="AA43" s="5">
        <f t="shared" si="41"/>
        <v>189761.80165634683</v>
      </c>
      <c r="AB43" s="5">
        <f t="shared" si="41"/>
        <v>185997.81340866879</v>
      </c>
      <c r="AC43" s="5">
        <f t="shared" si="41"/>
        <v>182233.82516099076</v>
      </c>
      <c r="AD43" s="5">
        <f t="shared" si="41"/>
        <v>178469.83691331276</v>
      </c>
      <c r="AE43" s="5">
        <f t="shared" si="41"/>
        <v>178469.83691331276</v>
      </c>
      <c r="AF43" s="5">
        <f t="shared" si="41"/>
        <v>178469.83691331276</v>
      </c>
      <c r="AG43" s="5">
        <f t="shared" si="41"/>
        <v>178469.83691331276</v>
      </c>
      <c r="AH43" s="5">
        <f t="shared" si="41"/>
        <v>178469.83691331276</v>
      </c>
    </row>
    <row r="44" spans="1:34" x14ac:dyDescent="0.35">
      <c r="A44" t="s">
        <v>64</v>
      </c>
      <c r="B44" s="3" t="s">
        <v>1262</v>
      </c>
      <c r="C44" s="4" t="s">
        <v>1263</v>
      </c>
      <c r="D44" s="2">
        <f t="shared" si="1"/>
        <v>4309688.2564668441</v>
      </c>
      <c r="E44" s="5">
        <v>198474.68188624515</v>
      </c>
      <c r="F44" s="5">
        <v>192590.8640024942</v>
      </c>
      <c r="G44" s="5">
        <v>267131.35630920291</v>
      </c>
      <c r="H44" s="5">
        <v>224512.58415081343</v>
      </c>
      <c r="I44" s="5">
        <v>267925.82233318203</v>
      </c>
      <c r="J44" s="5">
        <v>190769.74204231441</v>
      </c>
      <c r="K44" s="5">
        <v>246957.19063867969</v>
      </c>
      <c r="L44" s="5">
        <v>184622.3572311771</v>
      </c>
      <c r="M44" s="5">
        <v>321526.54979934031</v>
      </c>
      <c r="N44" s="5">
        <v>200505.4023077274</v>
      </c>
      <c r="O44" s="5">
        <v>263132.66949656844</v>
      </c>
      <c r="P44" s="5">
        <v>333659.41402336332</v>
      </c>
      <c r="Q44" s="5">
        <v>157920.51732571624</v>
      </c>
      <c r="R44" s="5">
        <v>222382.71236140962</v>
      </c>
      <c r="S44" s="5">
        <v>261040.45012536255</v>
      </c>
      <c r="T44" s="5">
        <v>263678.62956044037</v>
      </c>
      <c r="U44" s="5">
        <v>293909.75613166654</v>
      </c>
      <c r="V44" s="5">
        <v>218947.55674113947</v>
      </c>
      <c r="W44" s="5">
        <f t="shared" ref="W44:AH44" si="42">IF(OR((SLOPE($E44:$V44,$E$1:$V$1)*W$1+INTERCEPT($E44:$V44,$E$1:$V$1))&gt;(AVERAGE($E44:$V44)+_xlfn.STDEV.P($E44:$V44)),(SLOPE($E44:$V44,$E$1:$V$1)*W$1+INTERCEPT($E44:$V44,$E$1:$V$1))&lt;(AVERAGE($E44:$V44)-_xlfn.STDEV.P($E44:$V44))),V44,(SLOPE($E44:$V44,$E$1:$V$1)*W$1+INTERCEPT($E44:$V44,$E$1:$V$1)))</f>
        <v>260338.22022125692</v>
      </c>
      <c r="X44" s="5">
        <f t="shared" si="42"/>
        <v>262539.38810146617</v>
      </c>
      <c r="Y44" s="5">
        <f t="shared" si="42"/>
        <v>264740.5559816754</v>
      </c>
      <c r="Z44" s="5">
        <f t="shared" si="42"/>
        <v>266941.72386188462</v>
      </c>
      <c r="AA44" s="5">
        <f t="shared" si="42"/>
        <v>269142.8917420939</v>
      </c>
      <c r="AB44" s="5">
        <f t="shared" si="42"/>
        <v>271344.05962230312</v>
      </c>
      <c r="AC44" s="5">
        <f t="shared" si="42"/>
        <v>273545.2275025124</v>
      </c>
      <c r="AD44" s="5">
        <f t="shared" si="42"/>
        <v>275746.39538272162</v>
      </c>
      <c r="AE44" s="5">
        <f t="shared" si="42"/>
        <v>277947.56326293084</v>
      </c>
      <c r="AF44" s="5">
        <f t="shared" si="42"/>
        <v>280148.73114314012</v>
      </c>
      <c r="AG44" s="5">
        <f t="shared" si="42"/>
        <v>282349.89902334934</v>
      </c>
      <c r="AH44" s="5">
        <f t="shared" si="42"/>
        <v>284551.06690355856</v>
      </c>
    </row>
    <row r="45" spans="1:34" x14ac:dyDescent="0.35">
      <c r="A45" t="s">
        <v>65</v>
      </c>
      <c r="B45" s="3" t="s">
        <v>1262</v>
      </c>
      <c r="C45" s="4" t="s">
        <v>1263</v>
      </c>
      <c r="D45" s="2">
        <f t="shared" si="1"/>
        <v>4238357.5079999994</v>
      </c>
      <c r="E45" s="5">
        <v>134527.93199999997</v>
      </c>
      <c r="F45" s="5">
        <v>184619.35799999995</v>
      </c>
      <c r="G45" s="5">
        <v>230344.88400000002</v>
      </c>
      <c r="H45" s="5">
        <v>4074.84</v>
      </c>
      <c r="I45" s="5">
        <v>474456.90600000002</v>
      </c>
      <c r="J45" s="5">
        <v>189450.954</v>
      </c>
      <c r="K45" s="5">
        <v>199114.14600000001</v>
      </c>
      <c r="L45" s="5">
        <v>196523.71199999991</v>
      </c>
      <c r="M45" s="5">
        <v>299151.46799999994</v>
      </c>
      <c r="N45" s="5">
        <v>250340.70599999998</v>
      </c>
      <c r="O45" s="5">
        <v>242249.23799999992</v>
      </c>
      <c r="P45" s="5">
        <v>295105.73399999994</v>
      </c>
      <c r="Q45" s="5">
        <v>188985.25799999997</v>
      </c>
      <c r="R45" s="5">
        <v>235642.17599999992</v>
      </c>
      <c r="S45" s="5">
        <v>299267.89199999993</v>
      </c>
      <c r="T45" s="5">
        <v>274353.15600000002</v>
      </c>
      <c r="U45" s="5">
        <v>262739.86199999991</v>
      </c>
      <c r="V45" s="5">
        <v>277409.28600000002</v>
      </c>
      <c r="W45" s="5">
        <f t="shared" ref="W45:AH45" si="43">IF(OR((SLOPE($E45:$V45,$E$1:$V$1)*W$1+INTERCEPT($E45:$V45,$E$1:$V$1))&gt;(AVERAGE($E45:$V45)+_xlfn.STDEV.P($E45:$V45)),(SLOPE($E45:$V45,$E$1:$V$1)*W$1+INTERCEPT($E45:$V45,$E$1:$V$1))&lt;(AVERAGE($E45:$V45)-_xlfn.STDEV.P($E45:$V45))),V45,(SLOPE($E45:$V45,$E$1:$V$1)*W$1+INTERCEPT($E45:$V45,$E$1:$V$1)))</f>
        <v>292677.57070588227</v>
      </c>
      <c r="X45" s="5">
        <f t="shared" si="43"/>
        <v>298700.01962229097</v>
      </c>
      <c r="Y45" s="5">
        <f t="shared" si="43"/>
        <v>304722.46853869967</v>
      </c>
      <c r="Z45" s="5">
        <f t="shared" si="43"/>
        <v>310744.91745510831</v>
      </c>
      <c r="AA45" s="5">
        <f t="shared" si="43"/>
        <v>316767.36637151695</v>
      </c>
      <c r="AB45" s="5">
        <f t="shared" si="43"/>
        <v>322789.81528792565</v>
      </c>
      <c r="AC45" s="5">
        <f t="shared" si="43"/>
        <v>322789.81528792565</v>
      </c>
      <c r="AD45" s="5">
        <f t="shared" si="43"/>
        <v>322789.81528792565</v>
      </c>
      <c r="AE45" s="5">
        <f t="shared" si="43"/>
        <v>322789.81528792565</v>
      </c>
      <c r="AF45" s="5">
        <f t="shared" si="43"/>
        <v>322789.81528792565</v>
      </c>
      <c r="AG45" s="5">
        <f t="shared" si="43"/>
        <v>322789.81528792565</v>
      </c>
      <c r="AH45" s="5">
        <f t="shared" si="43"/>
        <v>322789.81528792565</v>
      </c>
    </row>
    <row r="46" spans="1:34" x14ac:dyDescent="0.35">
      <c r="A46" t="s">
        <v>66</v>
      </c>
      <c r="B46" s="3" t="s">
        <v>1262</v>
      </c>
      <c r="C46" s="4" t="s">
        <v>1263</v>
      </c>
      <c r="D46" s="2">
        <f t="shared" si="1"/>
        <v>4108241.0460000006</v>
      </c>
      <c r="E46" s="5">
        <v>129883.02600000001</v>
      </c>
      <c r="F46" s="5">
        <v>247615.91399999996</v>
      </c>
      <c r="G46" s="5">
        <v>59100.350400000003</v>
      </c>
      <c r="H46" s="5">
        <v>682824.76079999993</v>
      </c>
      <c r="I46" s="5">
        <v>209307.24360000002</v>
      </c>
      <c r="J46" s="5">
        <v>144567.15</v>
      </c>
      <c r="K46" s="5">
        <v>91158.522000000012</v>
      </c>
      <c r="L46" s="5">
        <v>66689.313599999979</v>
      </c>
      <c r="M46" s="5">
        <v>265093.92</v>
      </c>
      <c r="N46" s="5">
        <v>206487.37200000003</v>
      </c>
      <c r="O46" s="5">
        <v>223406.60160000002</v>
      </c>
      <c r="P46" s="5">
        <v>236375.41200000001</v>
      </c>
      <c r="Q46" s="5">
        <v>155378.82360000003</v>
      </c>
      <c r="R46" s="5">
        <v>208956.38399999996</v>
      </c>
      <c r="S46" s="5">
        <v>330197.86800000013</v>
      </c>
      <c r="T46" s="5">
        <v>368766.43439999997</v>
      </c>
      <c r="U46" s="5">
        <v>222406.00200000001</v>
      </c>
      <c r="V46" s="5">
        <v>260025.94800000003</v>
      </c>
      <c r="W46" s="5">
        <f t="shared" ref="W46:AH46" si="44">IF(OR((SLOPE($E46:$V46,$E$1:$V$1)*W$1+INTERCEPT($E46:$V46,$E$1:$V$1))&gt;(AVERAGE($E46:$V46)+_xlfn.STDEV.P($E46:$V46)),(SLOPE($E46:$V46,$E$1:$V$1)*W$1+INTERCEPT($E46:$V46,$E$1:$V$1))&lt;(AVERAGE($E46:$V46)-_xlfn.STDEV.P($E46:$V46))),V46,(SLOPE($E46:$V46,$E$1:$V$1)*W$1+INTERCEPT($E46:$V46,$E$1:$V$1)))</f>
        <v>259521.86866666673</v>
      </c>
      <c r="X46" s="5">
        <f t="shared" si="44"/>
        <v>262815.15866666671</v>
      </c>
      <c r="Y46" s="5">
        <f t="shared" si="44"/>
        <v>266108.44866666675</v>
      </c>
      <c r="Z46" s="5">
        <f t="shared" si="44"/>
        <v>269401.73866666673</v>
      </c>
      <c r="AA46" s="5">
        <f t="shared" si="44"/>
        <v>272695.02866666671</v>
      </c>
      <c r="AB46" s="5">
        <f t="shared" si="44"/>
        <v>275988.31866666675</v>
      </c>
      <c r="AC46" s="5">
        <f t="shared" si="44"/>
        <v>279281.60866666673</v>
      </c>
      <c r="AD46" s="5">
        <f t="shared" si="44"/>
        <v>282574.8986666667</v>
      </c>
      <c r="AE46" s="5">
        <f t="shared" si="44"/>
        <v>285868.18866666674</v>
      </c>
      <c r="AF46" s="5">
        <f t="shared" si="44"/>
        <v>289161.47866666678</v>
      </c>
      <c r="AG46" s="5">
        <f t="shared" si="44"/>
        <v>292454.76866666676</v>
      </c>
      <c r="AH46" s="5">
        <f t="shared" si="44"/>
        <v>295748.05866666674</v>
      </c>
    </row>
    <row r="47" spans="1:34" x14ac:dyDescent="0.35">
      <c r="A47" t="s">
        <v>67</v>
      </c>
      <c r="B47" s="3" t="s">
        <v>1262</v>
      </c>
      <c r="C47" s="4" t="s">
        <v>1263</v>
      </c>
      <c r="D47" s="2">
        <f t="shared" si="1"/>
        <v>3971171.6799999988</v>
      </c>
      <c r="E47" s="5">
        <v>0</v>
      </c>
      <c r="F47" s="5">
        <v>0</v>
      </c>
      <c r="G47" s="5">
        <v>0</v>
      </c>
      <c r="H47" s="5">
        <v>105300.99999999997</v>
      </c>
      <c r="I47" s="5">
        <v>182887.6</v>
      </c>
      <c r="J47" s="5">
        <v>263149.60000000003</v>
      </c>
      <c r="K47" s="5">
        <v>372141.27999999985</v>
      </c>
      <c r="L47" s="5">
        <v>198857.68000000005</v>
      </c>
      <c r="M47" s="5">
        <v>334328.96000000002</v>
      </c>
      <c r="N47" s="5">
        <v>289162.71999999986</v>
      </c>
      <c r="O47" s="5">
        <v>233994.59999999995</v>
      </c>
      <c r="P47" s="5">
        <v>169510.59999999995</v>
      </c>
      <c r="Q47" s="5">
        <v>211905.4</v>
      </c>
      <c r="R47" s="5">
        <v>273110.32</v>
      </c>
      <c r="S47" s="5">
        <v>356870.92000000004</v>
      </c>
      <c r="T47" s="5">
        <v>364334.60000000003</v>
      </c>
      <c r="U47" s="5">
        <v>342903.9599999999</v>
      </c>
      <c r="V47" s="5">
        <v>272712.43999999994</v>
      </c>
      <c r="W47" s="5">
        <f t="shared" ref="W47:AH47" si="45">IF(OR((SLOPE($E47:$V47,$E$1:$V$1)*W$1+INTERCEPT($E47:$V47,$E$1:$V$1))&gt;(AVERAGE($E47:$V47)+_xlfn.STDEV.P($E47:$V47)),(SLOPE($E47:$V47,$E$1:$V$1)*W$1+INTERCEPT($E47:$V47,$E$1:$V$1))&lt;(AVERAGE($E47:$V47)-_xlfn.STDEV.P($E47:$V47))),V47,(SLOPE($E47:$V47,$E$1:$V$1)*W$1+INTERCEPT($E47:$V47,$E$1:$V$1)))</f>
        <v>272712.43999999994</v>
      </c>
      <c r="X47" s="5">
        <f t="shared" si="45"/>
        <v>272712.43999999994</v>
      </c>
      <c r="Y47" s="5">
        <f t="shared" si="45"/>
        <v>272712.43999999994</v>
      </c>
      <c r="Z47" s="5">
        <f t="shared" si="45"/>
        <v>272712.43999999994</v>
      </c>
      <c r="AA47" s="5">
        <f t="shared" si="45"/>
        <v>272712.43999999994</v>
      </c>
      <c r="AB47" s="5">
        <f t="shared" si="45"/>
        <v>272712.43999999994</v>
      </c>
      <c r="AC47" s="5">
        <f t="shared" si="45"/>
        <v>272712.43999999994</v>
      </c>
      <c r="AD47" s="5">
        <f t="shared" si="45"/>
        <v>272712.43999999994</v>
      </c>
      <c r="AE47" s="5">
        <f t="shared" si="45"/>
        <v>272712.43999999994</v>
      </c>
      <c r="AF47" s="5">
        <f t="shared" si="45"/>
        <v>272712.43999999994</v>
      </c>
      <c r="AG47" s="5">
        <f t="shared" si="45"/>
        <v>272712.43999999994</v>
      </c>
      <c r="AH47" s="5">
        <f t="shared" si="45"/>
        <v>272712.43999999994</v>
      </c>
    </row>
    <row r="48" spans="1:34" x14ac:dyDescent="0.35">
      <c r="A48" t="s">
        <v>68</v>
      </c>
      <c r="B48" s="3" t="s">
        <v>1262</v>
      </c>
      <c r="C48" s="4" t="s">
        <v>1263</v>
      </c>
      <c r="D48" s="2">
        <f t="shared" si="1"/>
        <v>3979071.4308011718</v>
      </c>
      <c r="E48" s="5">
        <v>202001.3574941727</v>
      </c>
      <c r="F48" s="5">
        <v>190091.83120542829</v>
      </c>
      <c r="G48" s="5">
        <v>245494.1579188137</v>
      </c>
      <c r="H48" s="5">
        <v>271813.55303206091</v>
      </c>
      <c r="I48" s="5">
        <v>214371.47319739885</v>
      </c>
      <c r="J48" s="5">
        <v>304318.00599692127</v>
      </c>
      <c r="K48" s="5">
        <v>199698.41042176343</v>
      </c>
      <c r="L48" s="5">
        <v>172918.42589403442</v>
      </c>
      <c r="M48" s="5">
        <v>335638.0861816855</v>
      </c>
      <c r="N48" s="5">
        <v>184433.16125608009</v>
      </c>
      <c r="O48" s="5">
        <v>216082.23387975994</v>
      </c>
      <c r="P48" s="5">
        <v>224570.23880378215</v>
      </c>
      <c r="Q48" s="5">
        <v>160219.31775189264</v>
      </c>
      <c r="R48" s="5">
        <v>185025.34764612815</v>
      </c>
      <c r="S48" s="5">
        <v>240467.1534521835</v>
      </c>
      <c r="T48" s="5">
        <v>222662.08265807174</v>
      </c>
      <c r="U48" s="5">
        <v>239506.49553054999</v>
      </c>
      <c r="V48" s="5">
        <v>169760.09848044478</v>
      </c>
      <c r="W48" s="5">
        <f t="shared" ref="W48:AH48" si="46">IF(OR((SLOPE($E48:$V48,$E$1:$V$1)*W$1+INTERCEPT($E48:$V48,$E$1:$V$1))&gt;(AVERAGE($E48:$V48)+_xlfn.STDEV.P($E48:$V48)),(SLOPE($E48:$V48,$E$1:$V$1)*W$1+INTERCEPT($E48:$V48,$E$1:$V$1))&lt;(AVERAGE($E48:$V48)-_xlfn.STDEV.P($E48:$V48))),V48,(SLOPE($E48:$V48,$E$1:$V$1)*W$1+INTERCEPT($E48:$V48,$E$1:$V$1)))</f>
        <v>205190.21884653746</v>
      </c>
      <c r="X48" s="5">
        <f t="shared" si="46"/>
        <v>203519.76567949945</v>
      </c>
      <c r="Y48" s="5">
        <f t="shared" si="46"/>
        <v>201849.31251246145</v>
      </c>
      <c r="Z48" s="5">
        <f t="shared" si="46"/>
        <v>200178.85934542347</v>
      </c>
      <c r="AA48" s="5">
        <f t="shared" si="46"/>
        <v>198508.40617838548</v>
      </c>
      <c r="AB48" s="5">
        <f t="shared" si="46"/>
        <v>196837.95301134748</v>
      </c>
      <c r="AC48" s="5">
        <f t="shared" si="46"/>
        <v>195167.49984430947</v>
      </c>
      <c r="AD48" s="5">
        <f t="shared" si="46"/>
        <v>193497.04667727149</v>
      </c>
      <c r="AE48" s="5">
        <f t="shared" si="46"/>
        <v>191826.59351023348</v>
      </c>
      <c r="AF48" s="5">
        <f t="shared" si="46"/>
        <v>190156.1403431955</v>
      </c>
      <c r="AG48" s="5">
        <f t="shared" si="46"/>
        <v>188485.68717615749</v>
      </c>
      <c r="AH48" s="5">
        <f t="shared" si="46"/>
        <v>186815.23400911951</v>
      </c>
    </row>
    <row r="49" spans="1:34" x14ac:dyDescent="0.35">
      <c r="A49" t="s">
        <v>69</v>
      </c>
      <c r="B49" s="3" t="s">
        <v>1262</v>
      </c>
      <c r="C49" s="4" t="s">
        <v>1263</v>
      </c>
      <c r="D49" s="2">
        <f t="shared" si="1"/>
        <v>3898414.5199999991</v>
      </c>
      <c r="E49" s="5">
        <v>143535.69999999995</v>
      </c>
      <c r="F49" s="5">
        <v>138415.19999999998</v>
      </c>
      <c r="G49" s="5">
        <v>161646.09999999995</v>
      </c>
      <c r="H49" s="5">
        <v>259420.7</v>
      </c>
      <c r="I49" s="5">
        <v>169828.11999999997</v>
      </c>
      <c r="J49" s="5">
        <v>323389.22000000003</v>
      </c>
      <c r="K49" s="5">
        <v>243002.76</v>
      </c>
      <c r="L49" s="5">
        <v>172717.15999999997</v>
      </c>
      <c r="M49" s="5">
        <v>359254.27999999991</v>
      </c>
      <c r="N49" s="5">
        <v>181492.08000000002</v>
      </c>
      <c r="O49" s="5">
        <v>220213.84000000003</v>
      </c>
      <c r="P49" s="5">
        <v>294833</v>
      </c>
      <c r="Q49" s="5">
        <v>127290.23999999998</v>
      </c>
      <c r="R49" s="5">
        <v>199311.41999999998</v>
      </c>
      <c r="S49" s="5">
        <v>260218.41999999995</v>
      </c>
      <c r="T49" s="5">
        <v>238378.13999999998</v>
      </c>
      <c r="U49" s="5">
        <v>235823.27999999994</v>
      </c>
      <c r="V49" s="5">
        <v>169644.86000000002</v>
      </c>
      <c r="W49" s="5">
        <f t="shared" ref="W49:AH49" si="47">IF(OR((SLOPE($E49:$V49,$E$1:$V$1)*W$1+INTERCEPT($E49:$V49,$E$1:$V$1))&gt;(AVERAGE($E49:$V49)+_xlfn.STDEV.P($E49:$V49)),(SLOPE($E49:$V49,$E$1:$V$1)*W$1+INTERCEPT($E49:$V49,$E$1:$V$1))&lt;(AVERAGE($E49:$V49)-_xlfn.STDEV.P($E49:$V49))),V49,(SLOPE($E49:$V49,$E$1:$V$1)*W$1+INTERCEPT($E49:$V49,$E$1:$V$1)))</f>
        <v>236459.0181699346</v>
      </c>
      <c r="X49" s="5">
        <f t="shared" si="47"/>
        <v>238551.69540419674</v>
      </c>
      <c r="Y49" s="5">
        <f t="shared" si="47"/>
        <v>240644.37263845885</v>
      </c>
      <c r="Z49" s="5">
        <f t="shared" si="47"/>
        <v>242737.04987272099</v>
      </c>
      <c r="AA49" s="5">
        <f t="shared" si="47"/>
        <v>244829.7271069831</v>
      </c>
      <c r="AB49" s="5">
        <f t="shared" si="47"/>
        <v>246922.40434124524</v>
      </c>
      <c r="AC49" s="5">
        <f t="shared" si="47"/>
        <v>249015.08157550736</v>
      </c>
      <c r="AD49" s="5">
        <f t="shared" si="47"/>
        <v>251107.7588097695</v>
      </c>
      <c r="AE49" s="5">
        <f t="shared" si="47"/>
        <v>253200.43604403161</v>
      </c>
      <c r="AF49" s="5">
        <f t="shared" si="47"/>
        <v>255293.11327829375</v>
      </c>
      <c r="AG49" s="5">
        <f t="shared" si="47"/>
        <v>257385.79051255586</v>
      </c>
      <c r="AH49" s="5">
        <f t="shared" si="47"/>
        <v>259478.467746818</v>
      </c>
    </row>
    <row r="50" spans="1:34" x14ac:dyDescent="0.35">
      <c r="A50" t="s">
        <v>70</v>
      </c>
      <c r="B50" s="3" t="s">
        <v>1262</v>
      </c>
      <c r="C50" s="4" t="s">
        <v>1263</v>
      </c>
      <c r="D50" s="2">
        <f t="shared" si="1"/>
        <v>3872509.6409999998</v>
      </c>
      <c r="E50" s="5">
        <v>116351.23500000002</v>
      </c>
      <c r="F50" s="5">
        <v>188501.04</v>
      </c>
      <c r="G50" s="5">
        <v>235626.3</v>
      </c>
      <c r="H50" s="5">
        <v>219149.658</v>
      </c>
      <c r="I50" s="5">
        <v>153673.065</v>
      </c>
      <c r="J50" s="5">
        <v>249385.5</v>
      </c>
      <c r="K50" s="5">
        <v>229503.45600000003</v>
      </c>
      <c r="L50" s="5">
        <v>235798.28999999998</v>
      </c>
      <c r="M50" s="5">
        <v>152090.75699999998</v>
      </c>
      <c r="N50" s="5">
        <v>429717.01499999996</v>
      </c>
      <c r="O50" s="5">
        <v>213783.57000000004</v>
      </c>
      <c r="P50" s="5">
        <v>103108.005</v>
      </c>
      <c r="Q50" s="5">
        <v>100012.18499999998</v>
      </c>
      <c r="R50" s="5">
        <v>241129.98000000004</v>
      </c>
      <c r="S50" s="5">
        <v>399876.75</v>
      </c>
      <c r="T50" s="5">
        <v>140859.81000000006</v>
      </c>
      <c r="U50" s="5">
        <v>183685.31999999995</v>
      </c>
      <c r="V50" s="5">
        <v>280257.70499999996</v>
      </c>
      <c r="W50" s="5">
        <f t="shared" ref="W50:AH50" si="48">IF(OR((SLOPE($E50:$V50,$E$1:$V$1)*W$1+INTERCEPT($E50:$V50,$E$1:$V$1))&gt;(AVERAGE($E50:$V50)+_xlfn.STDEV.P($E50:$V50)),(SLOPE($E50:$V50,$E$1:$V$1)*W$1+INTERCEPT($E50:$V50,$E$1:$V$1))&lt;(AVERAGE($E50:$V50)-_xlfn.STDEV.P($E50:$V50))),V50,(SLOPE($E50:$V50,$E$1:$V$1)*W$1+INTERCEPT($E50:$V50,$E$1:$V$1)))</f>
        <v>242505.22552941175</v>
      </c>
      <c r="X50" s="5">
        <f t="shared" si="48"/>
        <v>245385.83616408668</v>
      </c>
      <c r="Y50" s="5">
        <f t="shared" si="48"/>
        <v>248266.44679876161</v>
      </c>
      <c r="Z50" s="5">
        <f t="shared" si="48"/>
        <v>251147.05743343651</v>
      </c>
      <c r="AA50" s="5">
        <f t="shared" si="48"/>
        <v>254027.66806811144</v>
      </c>
      <c r="AB50" s="5">
        <f t="shared" si="48"/>
        <v>256908.27870278637</v>
      </c>
      <c r="AC50" s="5">
        <f t="shared" si="48"/>
        <v>259788.88933746127</v>
      </c>
      <c r="AD50" s="5">
        <f t="shared" si="48"/>
        <v>262669.49997213623</v>
      </c>
      <c r="AE50" s="5">
        <f t="shared" si="48"/>
        <v>265550.11060681113</v>
      </c>
      <c r="AF50" s="5">
        <f t="shared" si="48"/>
        <v>268430.72124148603</v>
      </c>
      <c r="AG50" s="5">
        <f t="shared" si="48"/>
        <v>271311.33187616098</v>
      </c>
      <c r="AH50" s="5">
        <f t="shared" si="48"/>
        <v>274191.94251083588</v>
      </c>
    </row>
    <row r="51" spans="1:34" x14ac:dyDescent="0.35">
      <c r="A51" t="s">
        <v>71</v>
      </c>
      <c r="B51" s="3" t="s">
        <v>1262</v>
      </c>
      <c r="C51" s="4" t="s">
        <v>1263</v>
      </c>
      <c r="D51" s="2">
        <f t="shared" si="1"/>
        <v>3880679.3709801487</v>
      </c>
      <c r="E51" s="5">
        <v>135516.19189086865</v>
      </c>
      <c r="F51" s="5">
        <v>216010.7720365726</v>
      </c>
      <c r="G51" s="5">
        <v>203783.74720431387</v>
      </c>
      <c r="H51" s="5">
        <v>231294.55307689618</v>
      </c>
      <c r="I51" s="5">
        <v>231804.01244490696</v>
      </c>
      <c r="J51" s="5">
        <v>191684.08721405768</v>
      </c>
      <c r="K51" s="5">
        <v>171560.44217763166</v>
      </c>
      <c r="L51" s="5">
        <v>209769.89477844047</v>
      </c>
      <c r="M51" s="5">
        <v>360187.77318362467</v>
      </c>
      <c r="N51" s="5">
        <v>212750.23208130355</v>
      </c>
      <c r="O51" s="5">
        <v>248896.37424166879</v>
      </c>
      <c r="P51" s="5">
        <v>247851.98253724666</v>
      </c>
      <c r="Q51" s="5">
        <v>110170.58833233215</v>
      </c>
      <c r="R51" s="5">
        <v>252309.75200734107</v>
      </c>
      <c r="S51" s="5">
        <v>217029.69077259421</v>
      </c>
      <c r="T51" s="5">
        <v>215883.40719456991</v>
      </c>
      <c r="U51" s="5">
        <v>242044.14574192374</v>
      </c>
      <c r="V51" s="5">
        <v>182131.72406385542</v>
      </c>
      <c r="W51" s="5">
        <f t="shared" ref="W51:AH51" si="49">IF(OR((SLOPE($E51:$V51,$E$1:$V$1)*W$1+INTERCEPT($E51:$V51,$E$1:$V$1))&gt;(AVERAGE($E51:$V51)+_xlfn.STDEV.P($E51:$V51)),(SLOPE($E51:$V51,$E$1:$V$1)*W$1+INTERCEPT($E51:$V51,$E$1:$V$1))&lt;(AVERAGE($E51:$V51)-_xlfn.STDEV.P($E51:$V51))),V51,(SLOPE($E51:$V51,$E$1:$V$1)*W$1+INTERCEPT($E51:$V51,$E$1:$V$1)))</f>
        <v>226855.09750565185</v>
      </c>
      <c r="X51" s="5">
        <f t="shared" si="49"/>
        <v>228040.55004437457</v>
      </c>
      <c r="Y51" s="5">
        <f t="shared" si="49"/>
        <v>229226.00258309732</v>
      </c>
      <c r="Z51" s="5">
        <f t="shared" si="49"/>
        <v>230411.45512182004</v>
      </c>
      <c r="AA51" s="5">
        <f t="shared" si="49"/>
        <v>231596.90766054275</v>
      </c>
      <c r="AB51" s="5">
        <f t="shared" si="49"/>
        <v>232782.36019926547</v>
      </c>
      <c r="AC51" s="5">
        <f t="shared" si="49"/>
        <v>233967.81273798819</v>
      </c>
      <c r="AD51" s="5">
        <f t="shared" si="49"/>
        <v>235153.26527671091</v>
      </c>
      <c r="AE51" s="5">
        <f t="shared" si="49"/>
        <v>236338.71781543363</v>
      </c>
      <c r="AF51" s="5">
        <f t="shared" si="49"/>
        <v>237524.17035415635</v>
      </c>
      <c r="AG51" s="5">
        <f t="shared" si="49"/>
        <v>238709.62289287907</v>
      </c>
      <c r="AH51" s="5">
        <f t="shared" si="49"/>
        <v>239895.07543160178</v>
      </c>
    </row>
    <row r="52" spans="1:34" x14ac:dyDescent="0.35">
      <c r="A52" t="s">
        <v>72</v>
      </c>
      <c r="B52" s="3" t="s">
        <v>1262</v>
      </c>
      <c r="C52" s="4" t="s">
        <v>1263</v>
      </c>
      <c r="D52" s="2">
        <f t="shared" si="1"/>
        <v>3657144.5567999994</v>
      </c>
      <c r="E52" s="5">
        <v>153330.40799999997</v>
      </c>
      <c r="F52" s="5">
        <v>199783.58400000003</v>
      </c>
      <c r="G52" s="5">
        <v>204863.90399999995</v>
      </c>
      <c r="H52" s="5">
        <v>211119.04799999995</v>
      </c>
      <c r="I52" s="5">
        <v>202006.22399999993</v>
      </c>
      <c r="J52" s="5">
        <v>158823.50399999993</v>
      </c>
      <c r="K52" s="5">
        <v>199783.58399999997</v>
      </c>
      <c r="L52" s="5">
        <v>169333.41599999991</v>
      </c>
      <c r="M52" s="5">
        <v>277067.95199999999</v>
      </c>
      <c r="N52" s="5">
        <v>187590.81599999996</v>
      </c>
      <c r="O52" s="5">
        <v>258080.25599999996</v>
      </c>
      <c r="P52" s="5">
        <v>228188.92320000002</v>
      </c>
      <c r="Q52" s="5">
        <v>199339.05600000001</v>
      </c>
      <c r="R52" s="5">
        <v>217761.56639999998</v>
      </c>
      <c r="S52" s="5">
        <v>129478.30559999998</v>
      </c>
      <c r="T52" s="5">
        <v>222.26399999999998</v>
      </c>
      <c r="U52" s="5">
        <v>478877.31359999988</v>
      </c>
      <c r="V52" s="5">
        <v>181494.43199999997</v>
      </c>
      <c r="W52" s="5">
        <f t="shared" ref="W52:AH52" si="50">IF(OR((SLOPE($E52:$V52,$E$1:$V$1)*W$1+INTERCEPT($E52:$V52,$E$1:$V$1))&gt;(AVERAGE($E52:$V52)+_xlfn.STDEV.P($E52:$V52)),(SLOPE($E52:$V52,$E$1:$V$1)*W$1+INTERCEPT($E52:$V52,$E$1:$V$1))&lt;(AVERAGE($E52:$V52)-_xlfn.STDEV.P($E52:$V52))),V52,(SLOPE($E52:$V52,$E$1:$V$1)*W$1+INTERCEPT($E52:$V52,$E$1:$V$1)))</f>
        <v>221321.77496470584</v>
      </c>
      <c r="X52" s="5">
        <f t="shared" si="50"/>
        <v>223231.99363467487</v>
      </c>
      <c r="Y52" s="5">
        <f t="shared" si="50"/>
        <v>225142.21230464391</v>
      </c>
      <c r="Z52" s="5">
        <f t="shared" si="50"/>
        <v>227052.43097461294</v>
      </c>
      <c r="AA52" s="5">
        <f t="shared" si="50"/>
        <v>228962.64964458201</v>
      </c>
      <c r="AB52" s="5">
        <f t="shared" si="50"/>
        <v>230872.86831455104</v>
      </c>
      <c r="AC52" s="5">
        <f t="shared" si="50"/>
        <v>232783.08698452008</v>
      </c>
      <c r="AD52" s="5">
        <f t="shared" si="50"/>
        <v>234693.30565448912</v>
      </c>
      <c r="AE52" s="5">
        <f t="shared" si="50"/>
        <v>236603.52432445815</v>
      </c>
      <c r="AF52" s="5">
        <f t="shared" si="50"/>
        <v>238513.74299442722</v>
      </c>
      <c r="AG52" s="5">
        <f t="shared" si="50"/>
        <v>240423.96166439622</v>
      </c>
      <c r="AH52" s="5">
        <f t="shared" si="50"/>
        <v>242334.18033436529</v>
      </c>
    </row>
    <row r="53" spans="1:34" x14ac:dyDescent="0.35">
      <c r="A53" t="s">
        <v>73</v>
      </c>
      <c r="B53" s="3" t="s">
        <v>1262</v>
      </c>
      <c r="C53" s="4" t="s">
        <v>1263</v>
      </c>
      <c r="D53" s="2">
        <f t="shared" si="1"/>
        <v>3658189.9614788196</v>
      </c>
      <c r="E53" s="5">
        <v>136322.95262366859</v>
      </c>
      <c r="F53" s="5">
        <v>266094.01710457844</v>
      </c>
      <c r="G53" s="5">
        <v>280595.52952721785</v>
      </c>
      <c r="H53" s="5">
        <v>170873.24276315016</v>
      </c>
      <c r="I53" s="5">
        <v>172576.73368026741</v>
      </c>
      <c r="J53" s="5">
        <v>156633.805866221</v>
      </c>
      <c r="K53" s="5">
        <v>149033.61562062067</v>
      </c>
      <c r="L53" s="5">
        <v>171152.78999057447</v>
      </c>
      <c r="M53" s="5">
        <v>276052.88708157174</v>
      </c>
      <c r="N53" s="5">
        <v>219636.76224698979</v>
      </c>
      <c r="O53" s="5">
        <v>242419.86128207648</v>
      </c>
      <c r="P53" s="5">
        <v>203056.11732038148</v>
      </c>
      <c r="Q53" s="5">
        <v>162303.37307242159</v>
      </c>
      <c r="R53" s="5">
        <v>370670.88771386625</v>
      </c>
      <c r="S53" s="5">
        <v>190686.15250685281</v>
      </c>
      <c r="T53" s="5">
        <v>178997.58406017104</v>
      </c>
      <c r="U53" s="5">
        <v>172795.12995169271</v>
      </c>
      <c r="V53" s="5">
        <v>138288.51906649626</v>
      </c>
      <c r="W53" s="5">
        <f t="shared" ref="W53:AH53" si="51">IF(OR((SLOPE($E53:$V53,$E$1:$V$1)*W$1+INTERCEPT($E53:$V53,$E$1:$V$1))&gt;(AVERAGE($E53:$V53)+_xlfn.STDEV.P($E53:$V53)),(SLOPE($E53:$V53,$E$1:$V$1)*W$1+INTERCEPT($E53:$V53,$E$1:$V$1))&lt;(AVERAGE($E53:$V53)-_xlfn.STDEV.P($E53:$V53))),V53,(SLOPE($E53:$V53,$E$1:$V$1)*W$1+INTERCEPT($E53:$V53,$E$1:$V$1)))</f>
        <v>201087.01085955955</v>
      </c>
      <c r="X53" s="5">
        <f t="shared" si="51"/>
        <v>200861.14088291189</v>
      </c>
      <c r="Y53" s="5">
        <f t="shared" si="51"/>
        <v>200635.27090626425</v>
      </c>
      <c r="Z53" s="5">
        <f t="shared" si="51"/>
        <v>200409.40092961659</v>
      </c>
      <c r="AA53" s="5">
        <f t="shared" si="51"/>
        <v>200183.53095296895</v>
      </c>
      <c r="AB53" s="5">
        <f t="shared" si="51"/>
        <v>199957.66097632129</v>
      </c>
      <c r="AC53" s="5">
        <f t="shared" si="51"/>
        <v>199731.79099967366</v>
      </c>
      <c r="AD53" s="5">
        <f t="shared" si="51"/>
        <v>199505.92102302599</v>
      </c>
      <c r="AE53" s="5">
        <f t="shared" si="51"/>
        <v>199280.05104637833</v>
      </c>
      <c r="AF53" s="5">
        <f t="shared" si="51"/>
        <v>199054.18106973069</v>
      </c>
      <c r="AG53" s="5">
        <f t="shared" si="51"/>
        <v>198828.31109308303</v>
      </c>
      <c r="AH53" s="5">
        <f t="shared" si="51"/>
        <v>198602.4411164354</v>
      </c>
    </row>
    <row r="54" spans="1:34" x14ac:dyDescent="0.35">
      <c r="A54" t="s">
        <v>74</v>
      </c>
      <c r="B54" s="3" t="s">
        <v>1262</v>
      </c>
      <c r="C54" s="4" t="s">
        <v>1263</v>
      </c>
      <c r="D54" s="2">
        <f t="shared" si="1"/>
        <v>3610291.2084525153</v>
      </c>
      <c r="E54" s="5">
        <v>175870.99779108397</v>
      </c>
      <c r="F54" s="5">
        <v>335824.36220388411</v>
      </c>
      <c r="G54" s="5">
        <v>240723.16959948739</v>
      </c>
      <c r="H54" s="5">
        <v>107335.97666552129</v>
      </c>
      <c r="I54" s="5">
        <v>122163.92803610628</v>
      </c>
      <c r="J54" s="5">
        <v>115841.93326570184</v>
      </c>
      <c r="K54" s="5">
        <v>115175.25018082281</v>
      </c>
      <c r="L54" s="5">
        <v>97496.653895582742</v>
      </c>
      <c r="M54" s="5">
        <v>262719.11358611647</v>
      </c>
      <c r="N54" s="5">
        <v>256438.49914511817</v>
      </c>
      <c r="O54" s="5">
        <v>231058.56377593087</v>
      </c>
      <c r="P54" s="5">
        <v>226529.7166131321</v>
      </c>
      <c r="Q54" s="5">
        <v>345075.16473337781</v>
      </c>
      <c r="R54" s="5">
        <v>441390.18033369217</v>
      </c>
      <c r="S54" s="5">
        <v>106163.53399900993</v>
      </c>
      <c r="T54" s="5">
        <v>145051.84801215958</v>
      </c>
      <c r="U54" s="5">
        <v>156325.68886818268</v>
      </c>
      <c r="V54" s="5">
        <v>129106.62774760499</v>
      </c>
      <c r="W54" s="5">
        <f t="shared" ref="W54:AH54" si="52">IF(OR((SLOPE($E54:$V54,$E$1:$V$1)*W$1+INTERCEPT($E54:$V54,$E$1:$V$1))&gt;(AVERAGE($E54:$V54)+_xlfn.STDEV.P($E54:$V54)),(SLOPE($E54:$V54,$E$1:$V$1)*W$1+INTERCEPT($E54:$V54,$E$1:$V$1))&lt;(AVERAGE($E54:$V54)-_xlfn.STDEV.P($E54:$V54))),V54,(SLOPE($E54:$V54,$E$1:$V$1)*W$1+INTERCEPT($E54:$V54,$E$1:$V$1)))</f>
        <v>207284.94848499642</v>
      </c>
      <c r="X54" s="5">
        <f t="shared" si="52"/>
        <v>207991.60266205735</v>
      </c>
      <c r="Y54" s="5">
        <f t="shared" si="52"/>
        <v>208698.25683911829</v>
      </c>
      <c r="Z54" s="5">
        <f t="shared" si="52"/>
        <v>209404.91101617922</v>
      </c>
      <c r="AA54" s="5">
        <f t="shared" si="52"/>
        <v>210111.56519324015</v>
      </c>
      <c r="AB54" s="5">
        <f t="shared" si="52"/>
        <v>210818.21937030109</v>
      </c>
      <c r="AC54" s="5">
        <f t="shared" si="52"/>
        <v>211524.87354736202</v>
      </c>
      <c r="AD54" s="5">
        <f t="shared" si="52"/>
        <v>212231.52772442298</v>
      </c>
      <c r="AE54" s="5">
        <f t="shared" si="52"/>
        <v>212938.18190148391</v>
      </c>
      <c r="AF54" s="5">
        <f t="shared" si="52"/>
        <v>213644.83607854485</v>
      </c>
      <c r="AG54" s="5">
        <f t="shared" si="52"/>
        <v>214351.49025560578</v>
      </c>
      <c r="AH54" s="5">
        <f t="shared" si="52"/>
        <v>215058.14443266671</v>
      </c>
    </row>
    <row r="55" spans="1:34" x14ac:dyDescent="0.35">
      <c r="A55" t="s">
        <v>75</v>
      </c>
      <c r="B55" s="3" t="s">
        <v>1262</v>
      </c>
      <c r="C55" s="4" t="s">
        <v>1263</v>
      </c>
      <c r="D55" s="2">
        <f t="shared" si="1"/>
        <v>3325834.4613338513</v>
      </c>
      <c r="E55" s="5">
        <v>116480.40427958357</v>
      </c>
      <c r="F55" s="5">
        <v>177524.5264782923</v>
      </c>
      <c r="G55" s="5">
        <v>220546.50600823777</v>
      </c>
      <c r="H55" s="5">
        <v>174442.35481047526</v>
      </c>
      <c r="I55" s="5">
        <v>202652.78715896685</v>
      </c>
      <c r="J55" s="5">
        <v>148115.47181453853</v>
      </c>
      <c r="K55" s="5">
        <v>187070.69706055877</v>
      </c>
      <c r="L55" s="5">
        <v>152053.8022789713</v>
      </c>
      <c r="M55" s="5">
        <v>249227.82569486799</v>
      </c>
      <c r="N55" s="5">
        <v>180461.15115068457</v>
      </c>
      <c r="O55" s="5">
        <v>177224.87089947675</v>
      </c>
      <c r="P55" s="5">
        <v>237489.88859326497</v>
      </c>
      <c r="Q55" s="5">
        <v>277224.21834420558</v>
      </c>
      <c r="R55" s="5">
        <v>259501.73125425793</v>
      </c>
      <c r="S55" s="5">
        <v>139459.70638075247</v>
      </c>
      <c r="T55" s="5">
        <v>129613.88021967045</v>
      </c>
      <c r="U55" s="5">
        <v>193320.65627585433</v>
      </c>
      <c r="V55" s="5">
        <v>103423.98263119222</v>
      </c>
      <c r="W55" s="5">
        <f t="shared" ref="W55:AH55" si="53">IF(OR((SLOPE($E55:$V55,$E$1:$V$1)*W$1+INTERCEPT($E55:$V55,$E$1:$V$1))&gt;(AVERAGE($E55:$V55)+_xlfn.STDEV.P($E55:$V55)),(SLOPE($E55:$V55,$E$1:$V$1)*W$1+INTERCEPT($E55:$V55,$E$1:$V$1))&lt;(AVERAGE($E55:$V55)-_xlfn.STDEV.P($E55:$V55))),V55,(SLOPE($E55:$V55,$E$1:$V$1)*W$1+INTERCEPT($E55:$V55,$E$1:$V$1)))</f>
        <v>185967.53924902383</v>
      </c>
      <c r="X55" s="5">
        <f t="shared" si="53"/>
        <v>186093.74536100379</v>
      </c>
      <c r="Y55" s="5">
        <f t="shared" si="53"/>
        <v>186219.95147298378</v>
      </c>
      <c r="Z55" s="5">
        <f t="shared" si="53"/>
        <v>186346.15758496377</v>
      </c>
      <c r="AA55" s="5">
        <f t="shared" si="53"/>
        <v>186472.36369694376</v>
      </c>
      <c r="AB55" s="5">
        <f t="shared" si="53"/>
        <v>186598.56980892373</v>
      </c>
      <c r="AC55" s="5">
        <f t="shared" si="53"/>
        <v>186724.77592090372</v>
      </c>
      <c r="AD55" s="5">
        <f t="shared" si="53"/>
        <v>186850.98203288371</v>
      </c>
      <c r="AE55" s="5">
        <f t="shared" si="53"/>
        <v>186977.1881448637</v>
      </c>
      <c r="AF55" s="5">
        <f t="shared" si="53"/>
        <v>187103.39425684366</v>
      </c>
      <c r="AG55" s="5">
        <f t="shared" si="53"/>
        <v>187229.60036882365</v>
      </c>
      <c r="AH55" s="5">
        <f t="shared" si="53"/>
        <v>187355.80648080364</v>
      </c>
    </row>
    <row r="56" spans="1:34" x14ac:dyDescent="0.35">
      <c r="A56" t="s">
        <v>76</v>
      </c>
      <c r="B56" s="3" t="s">
        <v>1262</v>
      </c>
      <c r="C56" s="4" t="s">
        <v>1263</v>
      </c>
      <c r="D56" s="2">
        <f t="shared" si="1"/>
        <v>3292537.8174152211</v>
      </c>
      <c r="E56" s="5">
        <v>150788.24634593929</v>
      </c>
      <c r="F56" s="5">
        <v>178103.21675556159</v>
      </c>
      <c r="G56" s="5">
        <v>217969.44121002263</v>
      </c>
      <c r="H56" s="5">
        <v>196115.78877450668</v>
      </c>
      <c r="I56" s="5">
        <v>214569.73585222859</v>
      </c>
      <c r="J56" s="5">
        <v>177276.33689861256</v>
      </c>
      <c r="K56" s="5">
        <v>217030.8208318642</v>
      </c>
      <c r="L56" s="5">
        <v>199995.97837350093</v>
      </c>
      <c r="M56" s="5">
        <v>203345.40049675072</v>
      </c>
      <c r="N56" s="5">
        <v>181148.14595851605</v>
      </c>
      <c r="O56" s="5">
        <v>218704.13513697404</v>
      </c>
      <c r="P56" s="5">
        <v>220983.64176964454</v>
      </c>
      <c r="Q56" s="5">
        <v>168440.45518398425</v>
      </c>
      <c r="R56" s="5">
        <v>150355.25182625305</v>
      </c>
      <c r="S56" s="5">
        <v>166750.37980069299</v>
      </c>
      <c r="T56" s="5">
        <v>177030.50775195195</v>
      </c>
      <c r="U56" s="5">
        <v>139787.3920328801</v>
      </c>
      <c r="V56" s="5">
        <v>114142.94241533734</v>
      </c>
      <c r="W56" s="5">
        <f t="shared" ref="W56:AH56" si="54">IF(OR((SLOPE($E56:$V56,$E$1:$V$1)*W$1+INTERCEPT($E56:$V56,$E$1:$V$1))&gt;(AVERAGE($E56:$V56)+_xlfn.STDEV.P($E56:$V56)),(SLOPE($E56:$V56,$E$1:$V$1)*W$1+INTERCEPT($E56:$V56,$E$1:$V$1))&lt;(AVERAGE($E56:$V56)-_xlfn.STDEV.P($E56:$V56))),V56,(SLOPE($E56:$V56,$E$1:$V$1)*W$1+INTERCEPT($E56:$V56,$E$1:$V$1)))</f>
        <v>157045.98940748861</v>
      </c>
      <c r="X56" s="5">
        <f t="shared" si="54"/>
        <v>154322.539067837</v>
      </c>
      <c r="Y56" s="5">
        <f t="shared" si="54"/>
        <v>154322.539067837</v>
      </c>
      <c r="Z56" s="5">
        <f t="shared" si="54"/>
        <v>154322.539067837</v>
      </c>
      <c r="AA56" s="5">
        <f t="shared" si="54"/>
        <v>154322.539067837</v>
      </c>
      <c r="AB56" s="5">
        <f t="shared" si="54"/>
        <v>154322.539067837</v>
      </c>
      <c r="AC56" s="5">
        <f t="shared" si="54"/>
        <v>154322.539067837</v>
      </c>
      <c r="AD56" s="5">
        <f t="shared" si="54"/>
        <v>154322.539067837</v>
      </c>
      <c r="AE56" s="5">
        <f t="shared" si="54"/>
        <v>154322.539067837</v>
      </c>
      <c r="AF56" s="5">
        <f t="shared" si="54"/>
        <v>154322.539067837</v>
      </c>
      <c r="AG56" s="5">
        <f t="shared" si="54"/>
        <v>154322.539067837</v>
      </c>
      <c r="AH56" s="5">
        <f t="shared" si="54"/>
        <v>154322.539067837</v>
      </c>
    </row>
    <row r="57" spans="1:34" x14ac:dyDescent="0.35">
      <c r="A57" t="s">
        <v>77</v>
      </c>
      <c r="B57" s="3" t="s">
        <v>1265</v>
      </c>
      <c r="C57" s="4" t="s">
        <v>1263</v>
      </c>
      <c r="D57" s="2">
        <f t="shared" si="1"/>
        <v>3127424.841736116</v>
      </c>
      <c r="E57" s="5">
        <v>160677.36809130356</v>
      </c>
      <c r="F57" s="5">
        <v>228494.13291462942</v>
      </c>
      <c r="G57" s="5">
        <v>219861.28564375505</v>
      </c>
      <c r="H57" s="5">
        <v>576729.1183927505</v>
      </c>
      <c r="I57" s="5">
        <v>252854.8951736335</v>
      </c>
      <c r="J57" s="5">
        <v>64394.518807794375</v>
      </c>
      <c r="K57" s="5">
        <v>59245.703338088002</v>
      </c>
      <c r="L57" s="5">
        <v>80252.870454490025</v>
      </c>
      <c r="M57" s="5">
        <v>81625.887913078346</v>
      </c>
      <c r="N57" s="5">
        <v>170631.74466606925</v>
      </c>
      <c r="O57" s="5">
        <v>225209.1886449568</v>
      </c>
      <c r="P57" s="5">
        <v>271891.78223696118</v>
      </c>
      <c r="Q57" s="5">
        <v>23203.995050143389</v>
      </c>
      <c r="R57" s="5">
        <v>190162.91801448874</v>
      </c>
      <c r="S57" s="5">
        <v>195170.99919468982</v>
      </c>
      <c r="T57" s="5">
        <v>84474.899139649249</v>
      </c>
      <c r="U57" s="5">
        <v>63742.335514964914</v>
      </c>
      <c r="V57" s="5">
        <v>178801.19854467001</v>
      </c>
      <c r="W57" s="5">
        <f t="shared" ref="W57:AH57" si="55">IF(OR((SLOPE($E57:$V57,$E$1:$V$1)*W$1+INTERCEPT($E57:$V57,$E$1:$V$1))&gt;(AVERAGE($E57:$V57)+_xlfn.STDEV.P($E57:$V57)),(SLOPE($E57:$V57,$E$1:$V$1)*W$1+INTERCEPT($E57:$V57,$E$1:$V$1))&lt;(AVERAGE($E57:$V57)-_xlfn.STDEV.P($E57:$V57))),V57,(SLOPE($E57:$V57,$E$1:$V$1)*W$1+INTERCEPT($E57:$V57,$E$1:$V$1)))</f>
        <v>101336.11440425922</v>
      </c>
      <c r="X57" s="5">
        <f t="shared" si="55"/>
        <v>93714.039653034357</v>
      </c>
      <c r="Y57" s="5">
        <f t="shared" si="55"/>
        <v>86091.964901809522</v>
      </c>
      <c r="Z57" s="5">
        <f t="shared" si="55"/>
        <v>78469.890150584659</v>
      </c>
      <c r="AA57" s="5">
        <f t="shared" si="55"/>
        <v>70847.815399359795</v>
      </c>
      <c r="AB57" s="5">
        <f t="shared" si="55"/>
        <v>63225.740648134961</v>
      </c>
      <c r="AC57" s="5">
        <f t="shared" si="55"/>
        <v>55603.665896910097</v>
      </c>
      <c r="AD57" s="5">
        <f t="shared" si="55"/>
        <v>55603.665896910097</v>
      </c>
      <c r="AE57" s="5">
        <f t="shared" si="55"/>
        <v>55603.665896910097</v>
      </c>
      <c r="AF57" s="5">
        <f t="shared" si="55"/>
        <v>55603.665896910097</v>
      </c>
      <c r="AG57" s="5">
        <f t="shared" si="55"/>
        <v>55603.665896910097</v>
      </c>
      <c r="AH57" s="5">
        <f t="shared" si="55"/>
        <v>55603.665896910097</v>
      </c>
    </row>
    <row r="58" spans="1:34" x14ac:dyDescent="0.35">
      <c r="A58" t="s">
        <v>78</v>
      </c>
      <c r="B58" s="3" t="s">
        <v>1262</v>
      </c>
      <c r="C58" s="4" t="s">
        <v>1263</v>
      </c>
      <c r="D58" s="2">
        <f t="shared" si="1"/>
        <v>3183399.5129999993</v>
      </c>
      <c r="E58" s="5">
        <v>147144.05999999997</v>
      </c>
      <c r="F58" s="5">
        <v>153622.791</v>
      </c>
      <c r="G58" s="5">
        <v>238944.38399999999</v>
      </c>
      <c r="H58" s="5">
        <v>39933.873000000007</v>
      </c>
      <c r="I58" s="5">
        <v>315883.88999999996</v>
      </c>
      <c r="J58" s="5">
        <v>229171.38299999997</v>
      </c>
      <c r="K58" s="5">
        <v>163285.98299999998</v>
      </c>
      <c r="L58" s="5">
        <v>163432.39499999996</v>
      </c>
      <c r="M58" s="5">
        <v>224852.22899999996</v>
      </c>
      <c r="N58" s="5">
        <v>153842.40899999999</v>
      </c>
      <c r="O58" s="5">
        <v>203512.67999999996</v>
      </c>
      <c r="P58" s="5">
        <v>185174.57700000002</v>
      </c>
      <c r="Q58" s="5">
        <v>128476.52999999998</v>
      </c>
      <c r="R58" s="5">
        <v>150255.315</v>
      </c>
      <c r="S58" s="5">
        <v>176023.82699999996</v>
      </c>
      <c r="T58" s="5">
        <v>183381.03</v>
      </c>
      <c r="U58" s="5">
        <v>170130.74400000001</v>
      </c>
      <c r="V58" s="5">
        <v>156331.41299999997</v>
      </c>
      <c r="W58" s="5">
        <f t="shared" ref="W58:AH58" si="56">IF(OR((SLOPE($E58:$V58,$E$1:$V$1)*W$1+INTERCEPT($E58:$V58,$E$1:$V$1))&gt;(AVERAGE($E58:$V58)+_xlfn.STDEV.P($E58:$V58)),(SLOPE($E58:$V58,$E$1:$V$1)*W$1+INTERCEPT($E58:$V58,$E$1:$V$1))&lt;(AVERAGE($E58:$V58)-_xlfn.STDEV.P($E58:$V58))),V58,(SLOPE($E58:$V58,$E$1:$V$1)*W$1+INTERCEPT($E58:$V58,$E$1:$V$1)))</f>
        <v>168440.06817647055</v>
      </c>
      <c r="X58" s="5">
        <f t="shared" si="56"/>
        <v>167554.23024767797</v>
      </c>
      <c r="Y58" s="5">
        <f t="shared" si="56"/>
        <v>166668.3923188854</v>
      </c>
      <c r="Z58" s="5">
        <f t="shared" si="56"/>
        <v>165782.55439009285</v>
      </c>
      <c r="AA58" s="5">
        <f t="shared" si="56"/>
        <v>164896.71646130027</v>
      </c>
      <c r="AB58" s="5">
        <f t="shared" si="56"/>
        <v>164010.87853250769</v>
      </c>
      <c r="AC58" s="5">
        <f t="shared" si="56"/>
        <v>163125.04060371511</v>
      </c>
      <c r="AD58" s="5">
        <f t="shared" si="56"/>
        <v>162239.20267492256</v>
      </c>
      <c r="AE58" s="5">
        <f t="shared" si="56"/>
        <v>161353.36474612998</v>
      </c>
      <c r="AF58" s="5">
        <f t="shared" si="56"/>
        <v>160467.52681733741</v>
      </c>
      <c r="AG58" s="5">
        <f t="shared" si="56"/>
        <v>159581.68888854486</v>
      </c>
      <c r="AH58" s="5">
        <f t="shared" si="56"/>
        <v>158695.85095975228</v>
      </c>
    </row>
    <row r="59" spans="1:34" x14ac:dyDescent="0.35">
      <c r="A59" t="s">
        <v>79</v>
      </c>
      <c r="B59" s="3" t="s">
        <v>1262</v>
      </c>
      <c r="C59" s="4" t="s">
        <v>1263</v>
      </c>
      <c r="D59" s="2">
        <f t="shared" si="1"/>
        <v>3144202.0330737717</v>
      </c>
      <c r="E59" s="5">
        <v>105353.30708825676</v>
      </c>
      <c r="F59" s="5">
        <v>169113.76842800438</v>
      </c>
      <c r="G59" s="5">
        <v>212477.73810261764</v>
      </c>
      <c r="H59" s="5">
        <v>189167.46191389268</v>
      </c>
      <c r="I59" s="5">
        <v>190481.52160100217</v>
      </c>
      <c r="J59" s="5">
        <v>163171.93332107447</v>
      </c>
      <c r="K59" s="5">
        <v>162829.13514182848</v>
      </c>
      <c r="L59" s="5">
        <v>121636.22060243963</v>
      </c>
      <c r="M59" s="5">
        <v>220476.36228502318</v>
      </c>
      <c r="N59" s="5">
        <v>159858.21758836356</v>
      </c>
      <c r="O59" s="5">
        <v>205278.97633845257</v>
      </c>
      <c r="P59" s="5">
        <v>232188.63340926004</v>
      </c>
      <c r="Q59" s="5">
        <v>49362.937811417476</v>
      </c>
      <c r="R59" s="5">
        <v>209963.88478814729</v>
      </c>
      <c r="S59" s="5">
        <v>181111.70470161273</v>
      </c>
      <c r="T59" s="5">
        <v>224875.60558534623</v>
      </c>
      <c r="U59" s="5">
        <v>171913.28689184631</v>
      </c>
      <c r="V59" s="5">
        <v>174941.3374751856</v>
      </c>
      <c r="W59" s="5">
        <f t="shared" ref="W59:AH59" si="57">IF(OR((SLOPE($E59:$V59,$E$1:$V$1)*W$1+INTERCEPT($E59:$V59,$E$1:$V$1))&gt;(AVERAGE($E59:$V59)+_xlfn.STDEV.P($E59:$V59)),(SLOPE($E59:$V59,$E$1:$V$1)*W$1+INTERCEPT($E59:$V59,$E$1:$V$1))&lt;(AVERAGE($E59:$V59)-_xlfn.STDEV.P($E59:$V59))),V59,(SLOPE($E59:$V59,$E$1:$V$1)*W$1+INTERCEPT($E59:$V59,$E$1:$V$1)))</f>
        <v>186573.3236228016</v>
      </c>
      <c r="X59" s="5">
        <f t="shared" si="57"/>
        <v>187825.47445401011</v>
      </c>
      <c r="Y59" s="5">
        <f t="shared" si="57"/>
        <v>189077.62528521864</v>
      </c>
      <c r="Z59" s="5">
        <f t="shared" si="57"/>
        <v>190329.77611642715</v>
      </c>
      <c r="AA59" s="5">
        <f t="shared" si="57"/>
        <v>191581.92694763569</v>
      </c>
      <c r="AB59" s="5">
        <f t="shared" si="57"/>
        <v>192834.07777884419</v>
      </c>
      <c r="AC59" s="5">
        <f t="shared" si="57"/>
        <v>194086.22861005273</v>
      </c>
      <c r="AD59" s="5">
        <f t="shared" si="57"/>
        <v>195338.37944126123</v>
      </c>
      <c r="AE59" s="5">
        <f t="shared" si="57"/>
        <v>196590.53027246974</v>
      </c>
      <c r="AF59" s="5">
        <f t="shared" si="57"/>
        <v>197842.68110367827</v>
      </c>
      <c r="AG59" s="5">
        <f t="shared" si="57"/>
        <v>199094.83193488678</v>
      </c>
      <c r="AH59" s="5">
        <f t="shared" si="57"/>
        <v>200346.98276609532</v>
      </c>
    </row>
    <row r="60" spans="1:34" x14ac:dyDescent="0.35">
      <c r="A60" t="s">
        <v>80</v>
      </c>
      <c r="B60" s="3" t="s">
        <v>1262</v>
      </c>
      <c r="C60" s="4" t="s">
        <v>1263</v>
      </c>
      <c r="D60" s="2">
        <f t="shared" si="1"/>
        <v>3116456.1540000001</v>
      </c>
      <c r="E60" s="5">
        <v>126032.94900000002</v>
      </c>
      <c r="F60" s="5">
        <v>208446.58800000008</v>
      </c>
      <c r="G60" s="5">
        <v>181969.389</v>
      </c>
      <c r="H60" s="5">
        <v>163577.04299999995</v>
      </c>
      <c r="I60" s="5">
        <v>192480.62400000004</v>
      </c>
      <c r="J60" s="5">
        <v>140915.37599999999</v>
      </c>
      <c r="K60" s="5">
        <v>182237.95800000004</v>
      </c>
      <c r="L60" s="5">
        <v>154667.96100000007</v>
      </c>
      <c r="M60" s="5">
        <v>236544.46199999997</v>
      </c>
      <c r="N60" s="5">
        <v>183284.45099999997</v>
      </c>
      <c r="O60" s="5">
        <v>225227.51999999999</v>
      </c>
      <c r="P60" s="5">
        <v>158363.1</v>
      </c>
      <c r="Q60" s="5">
        <v>127153.53000000001</v>
      </c>
      <c r="R60" s="5">
        <v>134766.07199999999</v>
      </c>
      <c r="S60" s="5">
        <v>172032.33600000007</v>
      </c>
      <c r="T60" s="5">
        <v>210261.74400000004</v>
      </c>
      <c r="U60" s="5">
        <v>152973.198</v>
      </c>
      <c r="V60" s="5">
        <v>165521.85300000003</v>
      </c>
      <c r="W60" s="5">
        <f t="shared" ref="W60:AH60" si="58">IF(OR((SLOPE($E60:$V60,$E$1:$V$1)*W$1+INTERCEPT($E60:$V60,$E$1:$V$1))&gt;(AVERAGE($E60:$V60)+_xlfn.STDEV.P($E60:$V60)),(SLOPE($E60:$V60,$E$1:$V$1)*W$1+INTERCEPT($E60:$V60,$E$1:$V$1))&lt;(AVERAGE($E60:$V60)-_xlfn.STDEV.P($E60:$V60))),V60,(SLOPE($E60:$V60,$E$1:$V$1)*W$1+INTERCEPT($E60:$V60,$E$1:$V$1)))</f>
        <v>170423.70635294117</v>
      </c>
      <c r="X60" s="5">
        <f t="shared" si="58"/>
        <v>170138.1540743034</v>
      </c>
      <c r="Y60" s="5">
        <f t="shared" si="58"/>
        <v>169852.60179566563</v>
      </c>
      <c r="Z60" s="5">
        <f t="shared" si="58"/>
        <v>169567.04951702786</v>
      </c>
      <c r="AA60" s="5">
        <f t="shared" si="58"/>
        <v>169281.49723839009</v>
      </c>
      <c r="AB60" s="5">
        <f t="shared" si="58"/>
        <v>168995.94495975232</v>
      </c>
      <c r="AC60" s="5">
        <f t="shared" si="58"/>
        <v>168710.39268111455</v>
      </c>
      <c r="AD60" s="5">
        <f t="shared" si="58"/>
        <v>168424.84040247678</v>
      </c>
      <c r="AE60" s="5">
        <f t="shared" si="58"/>
        <v>168139.28812383901</v>
      </c>
      <c r="AF60" s="5">
        <f t="shared" si="58"/>
        <v>167853.73584520124</v>
      </c>
      <c r="AG60" s="5">
        <f t="shared" si="58"/>
        <v>167568.18356656347</v>
      </c>
      <c r="AH60" s="5">
        <f t="shared" si="58"/>
        <v>167282.6312879257</v>
      </c>
    </row>
    <row r="61" spans="1:34" x14ac:dyDescent="0.35">
      <c r="A61" t="s">
        <v>81</v>
      </c>
      <c r="B61" s="3" t="s">
        <v>1262</v>
      </c>
      <c r="C61" s="4" t="s">
        <v>1263</v>
      </c>
      <c r="D61" s="2">
        <f t="shared" si="1"/>
        <v>3124387.2602791986</v>
      </c>
      <c r="E61" s="5">
        <v>135652.98622849389</v>
      </c>
      <c r="F61" s="5">
        <v>144884.23293570071</v>
      </c>
      <c r="G61" s="5">
        <v>194071.00374679023</v>
      </c>
      <c r="H61" s="5">
        <v>160945.3132688679</v>
      </c>
      <c r="I61" s="5">
        <v>206331.25327979939</v>
      </c>
      <c r="J61" s="5">
        <v>121508.43301256429</v>
      </c>
      <c r="K61" s="5">
        <v>185115.95790515811</v>
      </c>
      <c r="L61" s="5">
        <v>129120.83575765288</v>
      </c>
      <c r="M61" s="5">
        <v>253929.86911383455</v>
      </c>
      <c r="N61" s="5">
        <v>158863.06563228552</v>
      </c>
      <c r="O61" s="5">
        <v>180500.3345515547</v>
      </c>
      <c r="P61" s="5">
        <v>246581.39164029504</v>
      </c>
      <c r="Q61" s="5">
        <v>97759.761920902034</v>
      </c>
      <c r="R61" s="5">
        <v>151218.43945287986</v>
      </c>
      <c r="S61" s="5">
        <v>204166.1453835445</v>
      </c>
      <c r="T61" s="5">
        <v>193691.99478125168</v>
      </c>
      <c r="U61" s="5">
        <v>203731.89624489102</v>
      </c>
      <c r="V61" s="5">
        <v>156314.34542273259</v>
      </c>
      <c r="W61" s="5">
        <f t="shared" ref="W61:AH61" si="59">IF(OR((SLOPE($E61:$V61,$E$1:$V$1)*W$1+INTERCEPT($E61:$V61,$E$1:$V$1))&gt;(AVERAGE($E61:$V61)+_xlfn.STDEV.P($E61:$V61)),(SLOPE($E61:$V61,$E$1:$V$1)*W$1+INTERCEPT($E61:$V61,$E$1:$V$1))&lt;(AVERAGE($E61:$V61)-_xlfn.STDEV.P($E61:$V61))),V61,(SLOPE($E61:$V61,$E$1:$V$1)*W$1+INTERCEPT($E61:$V61,$E$1:$V$1)))</f>
        <v>187386.90268356283</v>
      </c>
      <c r="X61" s="5">
        <f t="shared" si="59"/>
        <v>188840.56928019988</v>
      </c>
      <c r="Y61" s="5">
        <f t="shared" si="59"/>
        <v>190294.2358768369</v>
      </c>
      <c r="Z61" s="5">
        <f t="shared" si="59"/>
        <v>191747.90247347395</v>
      </c>
      <c r="AA61" s="5">
        <f t="shared" si="59"/>
        <v>193201.56907011097</v>
      </c>
      <c r="AB61" s="5">
        <f t="shared" si="59"/>
        <v>194655.23566674802</v>
      </c>
      <c r="AC61" s="5">
        <f t="shared" si="59"/>
        <v>196108.90226338504</v>
      </c>
      <c r="AD61" s="5">
        <f t="shared" si="59"/>
        <v>197562.56886002206</v>
      </c>
      <c r="AE61" s="5">
        <f t="shared" si="59"/>
        <v>199016.23545665911</v>
      </c>
      <c r="AF61" s="5">
        <f t="shared" si="59"/>
        <v>200469.90205329613</v>
      </c>
      <c r="AG61" s="5">
        <f t="shared" si="59"/>
        <v>201923.56864993315</v>
      </c>
      <c r="AH61" s="5">
        <f t="shared" si="59"/>
        <v>203377.2352465702</v>
      </c>
    </row>
    <row r="62" spans="1:34" x14ac:dyDescent="0.35">
      <c r="A62" t="s">
        <v>82</v>
      </c>
      <c r="B62" s="3" t="s">
        <v>1262</v>
      </c>
      <c r="C62" s="4" t="s">
        <v>1263</v>
      </c>
      <c r="D62" s="2">
        <f t="shared" si="1"/>
        <v>3059825.580000001</v>
      </c>
      <c r="E62" s="5">
        <v>95361.840000000011</v>
      </c>
      <c r="F62" s="5">
        <v>221761.25999999998</v>
      </c>
      <c r="G62" s="5">
        <v>274840.02</v>
      </c>
      <c r="H62" s="5">
        <v>263744.46000000002</v>
      </c>
      <c r="I62" s="5">
        <v>239604.11999999997</v>
      </c>
      <c r="J62" s="5">
        <v>225359.82000000004</v>
      </c>
      <c r="K62" s="5">
        <v>257566.93200000006</v>
      </c>
      <c r="L62" s="5">
        <v>142592.94000000006</v>
      </c>
      <c r="M62" s="5">
        <v>202568.94000000009</v>
      </c>
      <c r="N62" s="5">
        <v>132996.78</v>
      </c>
      <c r="O62" s="5">
        <v>162534.96</v>
      </c>
      <c r="P62" s="5">
        <v>163284.66000000003</v>
      </c>
      <c r="Q62" s="5">
        <v>65673.720000000016</v>
      </c>
      <c r="R62" s="5">
        <v>115333.848</v>
      </c>
      <c r="S62" s="5">
        <v>129398.22</v>
      </c>
      <c r="T62" s="5">
        <v>124360.236</v>
      </c>
      <c r="U62" s="5">
        <v>132636.92400000003</v>
      </c>
      <c r="V62" s="5">
        <v>110205.9</v>
      </c>
      <c r="W62" s="5">
        <f t="shared" ref="W62:AH62" si="60">IF(OR((SLOPE($E62:$V62,$E$1:$V$1)*W$1+INTERCEPT($E62:$V62,$E$1:$V$1))&gt;(AVERAGE($E62:$V62)+_xlfn.STDEV.P($E62:$V62)),(SLOPE($E62:$V62,$E$1:$V$1)*W$1+INTERCEPT($E62:$V62,$E$1:$V$1))&lt;(AVERAGE($E62:$V62)-_xlfn.STDEV.P($E62:$V62))),V62,(SLOPE($E62:$V62,$E$1:$V$1)*W$1+INTERCEPT($E62:$V62,$E$1:$V$1)))</f>
        <v>110205.9</v>
      </c>
      <c r="X62" s="5">
        <f t="shared" si="60"/>
        <v>110205.9</v>
      </c>
      <c r="Y62" s="5">
        <f t="shared" si="60"/>
        <v>110205.9</v>
      </c>
      <c r="Z62" s="5">
        <f t="shared" si="60"/>
        <v>110205.9</v>
      </c>
      <c r="AA62" s="5">
        <f t="shared" si="60"/>
        <v>110205.9</v>
      </c>
      <c r="AB62" s="5">
        <f t="shared" si="60"/>
        <v>110205.9</v>
      </c>
      <c r="AC62" s="5">
        <f t="shared" si="60"/>
        <v>110205.9</v>
      </c>
      <c r="AD62" s="5">
        <f t="shared" si="60"/>
        <v>110205.9</v>
      </c>
      <c r="AE62" s="5">
        <f t="shared" si="60"/>
        <v>110205.9</v>
      </c>
      <c r="AF62" s="5">
        <f t="shared" si="60"/>
        <v>110205.9</v>
      </c>
      <c r="AG62" s="5">
        <f t="shared" si="60"/>
        <v>110205.9</v>
      </c>
      <c r="AH62" s="5">
        <f t="shared" si="60"/>
        <v>110205.9</v>
      </c>
    </row>
    <row r="63" spans="1:34" x14ac:dyDescent="0.35">
      <c r="A63" t="s">
        <v>83</v>
      </c>
      <c r="B63" s="3" t="s">
        <v>1262</v>
      </c>
      <c r="C63" s="4" t="s">
        <v>1263</v>
      </c>
      <c r="D63" s="2">
        <f t="shared" si="1"/>
        <v>3029434.8763439562</v>
      </c>
      <c r="E63" s="5">
        <v>148639.91022549046</v>
      </c>
      <c r="F63" s="5">
        <v>38476.817800523517</v>
      </c>
      <c r="G63" s="5">
        <v>203959.74181548695</v>
      </c>
      <c r="H63" s="5">
        <v>445693.98663461709</v>
      </c>
      <c r="I63" s="5">
        <v>123406.74288042747</v>
      </c>
      <c r="J63" s="5">
        <v>105836.33162275687</v>
      </c>
      <c r="K63" s="5">
        <v>105472.63288865807</v>
      </c>
      <c r="L63" s="5">
        <v>78646.715914955348</v>
      </c>
      <c r="M63" s="5">
        <v>184520.67154468797</v>
      </c>
      <c r="N63" s="5">
        <v>175992.56329685351</v>
      </c>
      <c r="O63" s="5">
        <v>128134.82642371212</v>
      </c>
      <c r="P63" s="5">
        <v>161971.35003056104</v>
      </c>
      <c r="Q63" s="5">
        <v>220777.67293364278</v>
      </c>
      <c r="R63" s="5">
        <v>259906.64018841245</v>
      </c>
      <c r="S63" s="5">
        <v>182965.54592302395</v>
      </c>
      <c r="T63" s="5">
        <v>165482.92401496344</v>
      </c>
      <c r="U63" s="5">
        <v>147310.52864568096</v>
      </c>
      <c r="V63" s="5">
        <v>152239.27355950297</v>
      </c>
      <c r="W63" s="5">
        <f t="shared" ref="W63:AH63" si="61">IF(OR((SLOPE($E63:$V63,$E$1:$V$1)*W$1+INTERCEPT($E63:$V63,$E$1:$V$1))&gt;(AVERAGE($E63:$V63)+_xlfn.STDEV.P($E63:$V63)),(SLOPE($E63:$V63,$E$1:$V$1)*W$1+INTERCEPT($E63:$V63,$E$1:$V$1))&lt;(AVERAGE($E63:$V63)-_xlfn.STDEV.P($E63:$V63))),V63,(SLOPE($E63:$V63,$E$1:$V$1)*W$1+INTERCEPT($E63:$V63,$E$1:$V$1)))</f>
        <v>175743.13006542172</v>
      </c>
      <c r="X63" s="5">
        <f t="shared" si="61"/>
        <v>176526.41348550146</v>
      </c>
      <c r="Y63" s="5">
        <f t="shared" si="61"/>
        <v>177309.69690558119</v>
      </c>
      <c r="Z63" s="5">
        <f t="shared" si="61"/>
        <v>178092.9803256609</v>
      </c>
      <c r="AA63" s="5">
        <f t="shared" si="61"/>
        <v>178876.26374574064</v>
      </c>
      <c r="AB63" s="5">
        <f t="shared" si="61"/>
        <v>179659.54716582038</v>
      </c>
      <c r="AC63" s="5">
        <f t="shared" si="61"/>
        <v>180442.83058590011</v>
      </c>
      <c r="AD63" s="5">
        <f t="shared" si="61"/>
        <v>181226.11400597985</v>
      </c>
      <c r="AE63" s="5">
        <f t="shared" si="61"/>
        <v>182009.39742605959</v>
      </c>
      <c r="AF63" s="5">
        <f t="shared" si="61"/>
        <v>182792.68084613932</v>
      </c>
      <c r="AG63" s="5">
        <f t="shared" si="61"/>
        <v>183575.96426621903</v>
      </c>
      <c r="AH63" s="5">
        <f t="shared" si="61"/>
        <v>184359.24768629877</v>
      </c>
    </row>
    <row r="64" spans="1:34" x14ac:dyDescent="0.35">
      <c r="A64" t="s">
        <v>84</v>
      </c>
      <c r="B64" s="3" t="s">
        <v>1262</v>
      </c>
      <c r="C64" s="4" t="s">
        <v>1263</v>
      </c>
      <c r="D64" s="2">
        <f t="shared" si="1"/>
        <v>3004940.4839999997</v>
      </c>
      <c r="E64" s="5">
        <v>114958.11599999999</v>
      </c>
      <c r="F64" s="5">
        <v>156414.58559999999</v>
      </c>
      <c r="G64" s="5">
        <v>184180.65120000002</v>
      </c>
      <c r="H64" s="5">
        <v>160377.23520000002</v>
      </c>
      <c r="I64" s="5">
        <v>183052.39680000002</v>
      </c>
      <c r="J64" s="5">
        <v>145902.55680000005</v>
      </c>
      <c r="K64" s="5">
        <v>172898.10719999994</v>
      </c>
      <c r="L64" s="5">
        <v>147333.51360000001</v>
      </c>
      <c r="M64" s="5">
        <v>180025.37279999998</v>
      </c>
      <c r="N64" s="5">
        <v>189161.4816</v>
      </c>
      <c r="O64" s="5">
        <v>162798.85440000001</v>
      </c>
      <c r="P64" s="5">
        <v>186327.0864</v>
      </c>
      <c r="Q64" s="5">
        <v>116801.84879999999</v>
      </c>
      <c r="R64" s="5">
        <v>167614.57439999998</v>
      </c>
      <c r="S64" s="5">
        <v>203182.10639999999</v>
      </c>
      <c r="T64" s="5">
        <v>177246.01440000001</v>
      </c>
      <c r="U64" s="5">
        <v>190578.67919999998</v>
      </c>
      <c r="V64" s="5">
        <v>166087.30319999994</v>
      </c>
      <c r="W64" s="5">
        <f t="shared" ref="W64:AH64" si="62">IF(OR((SLOPE($E64:$V64,$E$1:$V$1)*W$1+INTERCEPT($E64:$V64,$E$1:$V$1))&gt;(AVERAGE($E64:$V64)+_xlfn.STDEV.P($E64:$V64)),(SLOPE($E64:$V64,$E$1:$V$1)*W$1+INTERCEPT($E64:$V64,$E$1:$V$1))&lt;(AVERAGE($E64:$V64)-_xlfn.STDEV.P($E64:$V64))),V64,(SLOPE($E64:$V64,$E$1:$V$1)*W$1+INTERCEPT($E64:$V64,$E$1:$V$1)))</f>
        <v>182062.6336941176</v>
      </c>
      <c r="X64" s="5">
        <f t="shared" si="62"/>
        <v>183654.37008297211</v>
      </c>
      <c r="Y64" s="5">
        <f t="shared" si="62"/>
        <v>185246.10647182658</v>
      </c>
      <c r="Z64" s="5">
        <f t="shared" si="62"/>
        <v>186837.84286068106</v>
      </c>
      <c r="AA64" s="5">
        <f t="shared" si="62"/>
        <v>188429.57924953557</v>
      </c>
      <c r="AB64" s="5">
        <f t="shared" si="62"/>
        <v>190021.31563839005</v>
      </c>
      <c r="AC64" s="5">
        <f t="shared" si="62"/>
        <v>190021.31563839005</v>
      </c>
      <c r="AD64" s="5">
        <f t="shared" si="62"/>
        <v>190021.31563839005</v>
      </c>
      <c r="AE64" s="5">
        <f t="shared" si="62"/>
        <v>190021.31563839005</v>
      </c>
      <c r="AF64" s="5">
        <f t="shared" si="62"/>
        <v>190021.31563839005</v>
      </c>
      <c r="AG64" s="5">
        <f t="shared" si="62"/>
        <v>190021.31563839005</v>
      </c>
      <c r="AH64" s="5">
        <f t="shared" si="62"/>
        <v>190021.31563839005</v>
      </c>
    </row>
    <row r="65" spans="1:34" x14ac:dyDescent="0.35">
      <c r="A65" t="s">
        <v>85</v>
      </c>
      <c r="B65" s="3" t="s">
        <v>1265</v>
      </c>
      <c r="C65" s="4" t="s">
        <v>1263</v>
      </c>
      <c r="D65" s="2">
        <f t="shared" si="1"/>
        <v>2930296.8239999996</v>
      </c>
      <c r="E65" s="5">
        <v>168301.476</v>
      </c>
      <c r="F65" s="5">
        <v>117339.51599999997</v>
      </c>
      <c r="G65" s="5">
        <v>173556.43199999994</v>
      </c>
      <c r="H65" s="5">
        <v>158363.1</v>
      </c>
      <c r="I65" s="5">
        <v>140518.476</v>
      </c>
      <c r="J65" s="5">
        <v>145440.03599999999</v>
      </c>
      <c r="K65" s="5">
        <v>154632.23999999996</v>
      </c>
      <c r="L65" s="5">
        <v>138200.57999999996</v>
      </c>
      <c r="M65" s="5">
        <v>189718.2</v>
      </c>
      <c r="N65" s="5">
        <v>936.68399999999986</v>
      </c>
      <c r="O65" s="5">
        <v>159934.82400000002</v>
      </c>
      <c r="P65" s="5">
        <v>215834.22</v>
      </c>
      <c r="Q65" s="5">
        <v>215389.69199999998</v>
      </c>
      <c r="R65" s="5">
        <v>156616.73999999996</v>
      </c>
      <c r="S65" s="5">
        <v>216643.89599999998</v>
      </c>
      <c r="T65" s="5">
        <v>183875.83199999999</v>
      </c>
      <c r="U65" s="5">
        <v>211896.97200000004</v>
      </c>
      <c r="V65" s="5">
        <v>183097.908</v>
      </c>
      <c r="W65" s="5">
        <f t="shared" ref="W65:AH65" si="63">IF(OR((SLOPE($E65:$V65,$E$1:$V$1)*W$1+INTERCEPT($E65:$V65,$E$1:$V$1))&gt;(AVERAGE($E65:$V65)+_xlfn.STDEV.P($E65:$V65)),(SLOPE($E65:$V65,$E$1:$V$1)*W$1+INTERCEPT($E65:$V65,$E$1:$V$1))&lt;(AVERAGE($E65:$V65)-_xlfn.STDEV.P($E65:$V65))),V65,(SLOPE($E65:$V65,$E$1:$V$1)*W$1+INTERCEPT($E65:$V65,$E$1:$V$1)))</f>
        <v>194775.69176470587</v>
      </c>
      <c r="X65" s="5">
        <f t="shared" si="63"/>
        <v>198142.15742414861</v>
      </c>
      <c r="Y65" s="5">
        <f t="shared" si="63"/>
        <v>201508.62308359134</v>
      </c>
      <c r="Z65" s="5">
        <f t="shared" si="63"/>
        <v>204875.08874303405</v>
      </c>
      <c r="AA65" s="5">
        <f t="shared" si="63"/>
        <v>208241.55440247676</v>
      </c>
      <c r="AB65" s="5">
        <f t="shared" si="63"/>
        <v>208241.55440247676</v>
      </c>
      <c r="AC65" s="5">
        <f t="shared" si="63"/>
        <v>208241.55440247676</v>
      </c>
      <c r="AD65" s="5">
        <f t="shared" si="63"/>
        <v>208241.55440247676</v>
      </c>
      <c r="AE65" s="5">
        <f t="shared" si="63"/>
        <v>208241.55440247676</v>
      </c>
      <c r="AF65" s="5">
        <f t="shared" si="63"/>
        <v>208241.55440247676</v>
      </c>
      <c r="AG65" s="5">
        <f t="shared" si="63"/>
        <v>208241.55440247676</v>
      </c>
      <c r="AH65" s="5">
        <f t="shared" si="63"/>
        <v>208241.55440247676</v>
      </c>
    </row>
    <row r="66" spans="1:34" x14ac:dyDescent="0.35">
      <c r="A66" t="s">
        <v>86</v>
      </c>
      <c r="B66" s="3" t="s">
        <v>1262</v>
      </c>
      <c r="C66" s="4" t="s">
        <v>1263</v>
      </c>
      <c r="D66" s="2">
        <f t="shared" si="1"/>
        <v>2919897.162</v>
      </c>
      <c r="E66" s="5">
        <v>121126.82399999996</v>
      </c>
      <c r="F66" s="5">
        <v>145205.424</v>
      </c>
      <c r="G66" s="5">
        <v>171038.32199999996</v>
      </c>
      <c r="H66" s="5">
        <v>168636.19499999995</v>
      </c>
      <c r="I66" s="5">
        <v>167890.905</v>
      </c>
      <c r="J66" s="5">
        <v>137076.02999999994</v>
      </c>
      <c r="K66" s="5">
        <v>164657.49300000002</v>
      </c>
      <c r="L66" s="5">
        <v>115812.33299999998</v>
      </c>
      <c r="M66" s="5">
        <v>212786.02799999996</v>
      </c>
      <c r="N66" s="5">
        <v>115640.34300000001</v>
      </c>
      <c r="O66" s="5">
        <v>185508.41399999999</v>
      </c>
      <c r="P66" s="5">
        <v>190358.53199999995</v>
      </c>
      <c r="Q66" s="5">
        <v>145790.18999999994</v>
      </c>
      <c r="R66" s="5">
        <v>176691.05999999994</v>
      </c>
      <c r="S66" s="5">
        <v>159193.94400000002</v>
      </c>
      <c r="T66" s="5">
        <v>191986.70399999997</v>
      </c>
      <c r="U66" s="5">
        <v>178594.416</v>
      </c>
      <c r="V66" s="5">
        <v>171904.005</v>
      </c>
      <c r="W66" s="5">
        <f t="shared" ref="W66:AH66" si="64">IF(OR((SLOPE($E66:$V66,$E$1:$V$1)*W$1+INTERCEPT($E66:$V66,$E$1:$V$1))&gt;(AVERAGE($E66:$V66)+_xlfn.STDEV.P($E66:$V66)),(SLOPE($E66:$V66,$E$1:$V$1)*W$1+INTERCEPT($E66:$V66,$E$1:$V$1))&lt;(AVERAGE($E66:$V66)-_xlfn.STDEV.P($E66:$V66))),V66,(SLOPE($E66:$V66,$E$1:$V$1)*W$1+INTERCEPT($E66:$V66,$E$1:$V$1)))</f>
        <v>180972.97400000002</v>
      </c>
      <c r="X66" s="5">
        <f t="shared" si="64"/>
        <v>182947.33873684212</v>
      </c>
      <c r="Y66" s="5">
        <f t="shared" si="64"/>
        <v>184921.70347368423</v>
      </c>
      <c r="Z66" s="5">
        <f t="shared" si="64"/>
        <v>186896.06821052631</v>
      </c>
      <c r="AA66" s="5">
        <f t="shared" si="64"/>
        <v>186896.06821052631</v>
      </c>
      <c r="AB66" s="5">
        <f t="shared" si="64"/>
        <v>186896.06821052631</v>
      </c>
      <c r="AC66" s="5">
        <f t="shared" si="64"/>
        <v>186896.06821052631</v>
      </c>
      <c r="AD66" s="5">
        <f t="shared" si="64"/>
        <v>186896.06821052631</v>
      </c>
      <c r="AE66" s="5">
        <f t="shared" si="64"/>
        <v>186896.06821052631</v>
      </c>
      <c r="AF66" s="5">
        <f t="shared" si="64"/>
        <v>186896.06821052631</v>
      </c>
      <c r="AG66" s="5">
        <f t="shared" si="64"/>
        <v>186896.06821052631</v>
      </c>
      <c r="AH66" s="5">
        <f t="shared" si="64"/>
        <v>186896.06821052631</v>
      </c>
    </row>
    <row r="67" spans="1:34" x14ac:dyDescent="0.35">
      <c r="A67" t="s">
        <v>87</v>
      </c>
      <c r="B67" s="3" t="s">
        <v>1262</v>
      </c>
      <c r="C67" s="4" t="s">
        <v>1263</v>
      </c>
      <c r="D67" s="2">
        <f t="shared" si="1"/>
        <v>2897296.2923799041</v>
      </c>
      <c r="E67" s="5">
        <v>62119.611741125394</v>
      </c>
      <c r="F67" s="5">
        <v>63816.868892522252</v>
      </c>
      <c r="G67" s="5">
        <v>113925.12233145439</v>
      </c>
      <c r="H67" s="5">
        <v>99459.269071856543</v>
      </c>
      <c r="I67" s="5">
        <v>121523.6120400158</v>
      </c>
      <c r="J67" s="5">
        <v>132699.39759075211</v>
      </c>
      <c r="K67" s="5">
        <v>180039.81629048317</v>
      </c>
      <c r="L67" s="5">
        <v>155155.41528615681</v>
      </c>
      <c r="M67" s="5">
        <v>135467.23232995317</v>
      </c>
      <c r="N67" s="5">
        <v>68804.19375278076</v>
      </c>
      <c r="O67" s="5">
        <v>219625.07539075476</v>
      </c>
      <c r="P67" s="5">
        <v>328771.76604981499</v>
      </c>
      <c r="Q67" s="5">
        <v>162675.5700492691</v>
      </c>
      <c r="R67" s="5">
        <v>187116.07302938399</v>
      </c>
      <c r="S67" s="5">
        <v>226831.89037207077</v>
      </c>
      <c r="T67" s="5">
        <v>228503.03587498461</v>
      </c>
      <c r="U67" s="5">
        <v>208475.40148850155</v>
      </c>
      <c r="V67" s="5">
        <v>202286.94079802369</v>
      </c>
      <c r="W67" s="5">
        <f t="shared" ref="W67:AH67" si="65">IF(OR((SLOPE($E67:$V67,$E$1:$V$1)*W$1+INTERCEPT($E67:$V67,$E$1:$V$1))&gt;(AVERAGE($E67:$V67)+_xlfn.STDEV.P($E67:$V67)),(SLOPE($E67:$V67,$E$1:$V$1)*W$1+INTERCEPT($E67:$V67,$E$1:$V$1))&lt;(AVERAGE($E67:$V67)-_xlfn.STDEV.P($E67:$V67))),V67,(SLOPE($E67:$V67,$E$1:$V$1)*W$1+INTERCEPT($E67:$V67,$E$1:$V$1)))</f>
        <v>202286.94079802369</v>
      </c>
      <c r="X67" s="5">
        <f t="shared" si="65"/>
        <v>202286.94079802369</v>
      </c>
      <c r="Y67" s="5">
        <f t="shared" si="65"/>
        <v>202286.94079802369</v>
      </c>
      <c r="Z67" s="5">
        <f t="shared" si="65"/>
        <v>202286.94079802369</v>
      </c>
      <c r="AA67" s="5">
        <f t="shared" si="65"/>
        <v>202286.94079802369</v>
      </c>
      <c r="AB67" s="5">
        <f t="shared" si="65"/>
        <v>202286.94079802369</v>
      </c>
      <c r="AC67" s="5">
        <f t="shared" si="65"/>
        <v>202286.94079802369</v>
      </c>
      <c r="AD67" s="5">
        <f t="shared" si="65"/>
        <v>202286.94079802369</v>
      </c>
      <c r="AE67" s="5">
        <f t="shared" si="65"/>
        <v>202286.94079802369</v>
      </c>
      <c r="AF67" s="5">
        <f t="shared" si="65"/>
        <v>202286.94079802369</v>
      </c>
      <c r="AG67" s="5">
        <f t="shared" si="65"/>
        <v>202286.94079802369</v>
      </c>
      <c r="AH67" s="5">
        <f t="shared" si="65"/>
        <v>202286.94079802369</v>
      </c>
    </row>
    <row r="68" spans="1:34" x14ac:dyDescent="0.35">
      <c r="A68" t="s">
        <v>88</v>
      </c>
      <c r="B68" s="3" t="s">
        <v>1262</v>
      </c>
      <c r="C68" s="4" t="s">
        <v>1263</v>
      </c>
      <c r="D68" s="2">
        <f t="shared" ref="D68:D131" si="66">SUM(E68:V68)</f>
        <v>2898854.406</v>
      </c>
      <c r="E68" s="5">
        <v>107763.11280000002</v>
      </c>
      <c r="F68" s="5">
        <v>127023.876</v>
      </c>
      <c r="G68" s="5">
        <v>197003.69640000007</v>
      </c>
      <c r="H68" s="5">
        <v>153728.89559999999</v>
      </c>
      <c r="I68" s="5">
        <v>175766.37120000008</v>
      </c>
      <c r="J68" s="5">
        <v>135863.63279999999</v>
      </c>
      <c r="K68" s="5">
        <v>185939.71199999997</v>
      </c>
      <c r="L68" s="5">
        <v>124490.06640000001</v>
      </c>
      <c r="M68" s="5">
        <v>219431.72160000011</v>
      </c>
      <c r="N68" s="5">
        <v>131343.73559999999</v>
      </c>
      <c r="O68" s="5">
        <v>186668.42040000003</v>
      </c>
      <c r="P68" s="5">
        <v>226199.66039999996</v>
      </c>
      <c r="Q68" s="5">
        <v>102014.4132</v>
      </c>
      <c r="R68" s="5">
        <v>134063.29439999998</v>
      </c>
      <c r="S68" s="5">
        <v>216512.12520000007</v>
      </c>
      <c r="T68" s="5">
        <v>159010.84080000001</v>
      </c>
      <c r="U68" s="5">
        <v>168312.58920000002</v>
      </c>
      <c r="V68" s="5">
        <v>147718.242</v>
      </c>
      <c r="W68" s="5">
        <f t="shared" ref="W68:AH68" si="67">IF(OR((SLOPE($E68:$V68,$E$1:$V$1)*W$1+INTERCEPT($E68:$V68,$E$1:$V$1))&gt;(AVERAGE($E68:$V68)+_xlfn.STDEV.P($E68:$V68)),(SLOPE($E68:$V68,$E$1:$V$1)*W$1+INTERCEPT($E68:$V68,$E$1:$V$1))&lt;(AVERAGE($E68:$V68)-_xlfn.STDEV.P($E68:$V68))),V68,(SLOPE($E68:$V68,$E$1:$V$1)*W$1+INTERCEPT($E68:$V68,$E$1:$V$1)))</f>
        <v>172643.06392941176</v>
      </c>
      <c r="X68" s="5">
        <f t="shared" si="67"/>
        <v>173863.65307987615</v>
      </c>
      <c r="Y68" s="5">
        <f t="shared" si="67"/>
        <v>175084.24223034055</v>
      </c>
      <c r="Z68" s="5">
        <f t="shared" si="67"/>
        <v>176304.83138080494</v>
      </c>
      <c r="AA68" s="5">
        <f t="shared" si="67"/>
        <v>177525.42053126934</v>
      </c>
      <c r="AB68" s="5">
        <f t="shared" si="67"/>
        <v>178746.00968173373</v>
      </c>
      <c r="AC68" s="5">
        <f t="shared" si="67"/>
        <v>179966.59883219813</v>
      </c>
      <c r="AD68" s="5">
        <f t="shared" si="67"/>
        <v>181187.18798266252</v>
      </c>
      <c r="AE68" s="5">
        <f t="shared" si="67"/>
        <v>182407.77713312692</v>
      </c>
      <c r="AF68" s="5">
        <f t="shared" si="67"/>
        <v>183628.36628359131</v>
      </c>
      <c r="AG68" s="5">
        <f t="shared" si="67"/>
        <v>184848.95543405571</v>
      </c>
      <c r="AH68" s="5">
        <f t="shared" si="67"/>
        <v>186069.5445845201</v>
      </c>
    </row>
    <row r="69" spans="1:34" x14ac:dyDescent="0.35">
      <c r="A69" t="s">
        <v>89</v>
      </c>
      <c r="B69" s="3" t="s">
        <v>1262</v>
      </c>
      <c r="C69" s="4" t="s">
        <v>1263</v>
      </c>
      <c r="D69" s="2">
        <f t="shared" si="66"/>
        <v>2912330.9587311507</v>
      </c>
      <c r="E69" s="5">
        <v>0</v>
      </c>
      <c r="F69" s="5">
        <v>0</v>
      </c>
      <c r="G69" s="5">
        <v>0</v>
      </c>
      <c r="H69" s="5">
        <v>240164.80735438768</v>
      </c>
      <c r="I69" s="5">
        <v>152368.60926890324</v>
      </c>
      <c r="J69" s="5">
        <v>220342.70059613616</v>
      </c>
      <c r="K69" s="5">
        <v>64201.059117334065</v>
      </c>
      <c r="L69" s="5">
        <v>121465.45207716309</v>
      </c>
      <c r="M69" s="5">
        <v>250700.73199855976</v>
      </c>
      <c r="N69" s="5">
        <v>369733.35195047566</v>
      </c>
      <c r="O69" s="5">
        <v>211411.20731440702</v>
      </c>
      <c r="P69" s="5">
        <v>253762.00608179634</v>
      </c>
      <c r="Q69" s="5">
        <v>122455.72425338894</v>
      </c>
      <c r="R69" s="5">
        <v>233708.99451322304</v>
      </c>
      <c r="S69" s="5">
        <v>183759.76116287001</v>
      </c>
      <c r="T69" s="5">
        <v>197673.56133123551</v>
      </c>
      <c r="U69" s="5">
        <v>221644.81328939475</v>
      </c>
      <c r="V69" s="5">
        <v>68938.178421875971</v>
      </c>
      <c r="W69" s="5">
        <f t="shared" ref="W69:AH69" si="68">IF(OR((SLOPE($E69:$V69,$E$1:$V$1)*W$1+INTERCEPT($E69:$V69,$E$1:$V$1))&gt;(AVERAGE($E69:$V69)+_xlfn.STDEV.P($E69:$V69)),(SLOPE($E69:$V69,$E$1:$V$1)*W$1+INTERCEPT($E69:$V69,$E$1:$V$1))&lt;(AVERAGE($E69:$V69)-_xlfn.STDEV.P($E69:$V69))),V69,(SLOPE($E69:$V69,$E$1:$V$1)*W$1+INTERCEPT($E69:$V69,$E$1:$V$1)))</f>
        <v>238555.49059942132</v>
      </c>
      <c r="X69" s="5">
        <f t="shared" si="68"/>
        <v>246635.41967578643</v>
      </c>
      <c r="Y69" s="5">
        <f t="shared" si="68"/>
        <v>254715.34875215153</v>
      </c>
      <c r="Z69" s="5">
        <f t="shared" si="68"/>
        <v>254715.34875215153</v>
      </c>
      <c r="AA69" s="5">
        <f t="shared" si="68"/>
        <v>254715.34875215153</v>
      </c>
      <c r="AB69" s="5">
        <f t="shared" si="68"/>
        <v>254715.34875215153</v>
      </c>
      <c r="AC69" s="5">
        <f t="shared" si="68"/>
        <v>254715.34875215153</v>
      </c>
      <c r="AD69" s="5">
        <f t="shared" si="68"/>
        <v>254715.34875215153</v>
      </c>
      <c r="AE69" s="5">
        <f t="shared" si="68"/>
        <v>254715.34875215153</v>
      </c>
      <c r="AF69" s="5">
        <f t="shared" si="68"/>
        <v>254715.34875215153</v>
      </c>
      <c r="AG69" s="5">
        <f t="shared" si="68"/>
        <v>254715.34875215153</v>
      </c>
      <c r="AH69" s="5">
        <f t="shared" si="68"/>
        <v>254715.34875215153</v>
      </c>
    </row>
    <row r="70" spans="1:34" x14ac:dyDescent="0.35">
      <c r="A70" t="s">
        <v>90</v>
      </c>
      <c r="B70" s="3" t="s">
        <v>1264</v>
      </c>
      <c r="C70" s="4" t="s">
        <v>1263</v>
      </c>
      <c r="D70" s="2">
        <f t="shared" si="66"/>
        <v>2888953.1719999993</v>
      </c>
      <c r="E70" s="5">
        <v>188241.69279999996</v>
      </c>
      <c r="F70" s="5">
        <v>207681.28639999998</v>
      </c>
      <c r="G70" s="5">
        <v>227462.78239999991</v>
      </c>
      <c r="H70" s="5">
        <v>237695.43279999998</v>
      </c>
      <c r="I70" s="5">
        <v>248221.14239999998</v>
      </c>
      <c r="J70" s="5">
        <v>163160.70959999994</v>
      </c>
      <c r="K70" s="5">
        <v>188705.70320000002</v>
      </c>
      <c r="L70" s="5">
        <v>149435.77039999998</v>
      </c>
      <c r="M70" s="5">
        <v>360731.45359999989</v>
      </c>
      <c r="N70" s="5">
        <v>172904.92799999996</v>
      </c>
      <c r="O70" s="5">
        <v>242482.06639999995</v>
      </c>
      <c r="P70" s="5">
        <v>160987.18719999993</v>
      </c>
      <c r="Q70" s="5">
        <v>112437.04639999999</v>
      </c>
      <c r="R70" s="5">
        <v>228683.86240000001</v>
      </c>
      <c r="S70" s="5">
        <v>0</v>
      </c>
      <c r="T70" s="5">
        <v>0</v>
      </c>
      <c r="U70" s="5">
        <v>0</v>
      </c>
      <c r="V70" s="5">
        <v>122.10799999999999</v>
      </c>
      <c r="W70" s="5">
        <f t="shared" ref="W70:AH70" si="69">IF(OR((SLOPE($E70:$V70,$E$1:$V$1)*W$1+INTERCEPT($E70:$V70,$E$1:$V$1))&gt;(AVERAGE($E70:$V70)+_xlfn.STDEV.P($E70:$V70)),(SLOPE($E70:$V70,$E$1:$V$1)*W$1+INTERCEPT($E70:$V70,$E$1:$V$1))&lt;(AVERAGE($E70:$V70)-_xlfn.STDEV.P($E70:$V70))),V70,(SLOPE($E70:$V70,$E$1:$V$1)*W$1+INTERCEPT($E70:$V70,$E$1:$V$1)))</f>
        <v>122.10799999999999</v>
      </c>
      <c r="X70" s="5">
        <f t="shared" si="69"/>
        <v>122.10799999999999</v>
      </c>
      <c r="Y70" s="5">
        <f t="shared" si="69"/>
        <v>122.10799999999999</v>
      </c>
      <c r="Z70" s="5">
        <f t="shared" si="69"/>
        <v>122.10799999999999</v>
      </c>
      <c r="AA70" s="5">
        <f t="shared" si="69"/>
        <v>122.10799999999999</v>
      </c>
      <c r="AB70" s="5">
        <f t="shared" si="69"/>
        <v>122.10799999999999</v>
      </c>
      <c r="AC70" s="5">
        <f t="shared" si="69"/>
        <v>122.10799999999999</v>
      </c>
      <c r="AD70" s="5">
        <f t="shared" si="69"/>
        <v>122.10799999999999</v>
      </c>
      <c r="AE70" s="5">
        <f t="shared" si="69"/>
        <v>122.10799999999999</v>
      </c>
      <c r="AF70" s="5">
        <f t="shared" si="69"/>
        <v>122.10799999999999</v>
      </c>
      <c r="AG70" s="5">
        <f t="shared" si="69"/>
        <v>122.10799999999999</v>
      </c>
      <c r="AH70" s="5">
        <f t="shared" si="69"/>
        <v>122.10799999999999</v>
      </c>
    </row>
    <row r="71" spans="1:34" x14ac:dyDescent="0.35">
      <c r="A71" t="s">
        <v>91</v>
      </c>
      <c r="B71" s="3" t="s">
        <v>1262</v>
      </c>
      <c r="C71" s="4" t="s">
        <v>1263</v>
      </c>
      <c r="D71" s="2">
        <f t="shared" si="66"/>
        <v>2758566.1319999998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425529.71999999991</v>
      </c>
      <c r="L71" s="5">
        <v>27888.839999999989</v>
      </c>
      <c r="M71" s="5">
        <v>95991.588000000003</v>
      </c>
      <c r="N71" s="5">
        <v>177319.04399999997</v>
      </c>
      <c r="O71" s="5">
        <v>308846.41200000001</v>
      </c>
      <c r="P71" s="5">
        <v>271241.4599999999</v>
      </c>
      <c r="Q71" s="5">
        <v>71881.236000000019</v>
      </c>
      <c r="R71" s="5">
        <v>207456.984</v>
      </c>
      <c r="S71" s="5">
        <v>355357.79999999993</v>
      </c>
      <c r="T71" s="5">
        <v>252888.80399999997</v>
      </c>
      <c r="U71" s="5">
        <v>261345.41999999993</v>
      </c>
      <c r="V71" s="5">
        <v>302818.82400000002</v>
      </c>
      <c r="W71" s="5">
        <f t="shared" ref="W71:AH71" si="70">IF(OR((SLOPE($E71:$V71,$E$1:$V$1)*W$1+INTERCEPT($E71:$V71,$E$1:$V$1))&gt;(AVERAGE($E71:$V71)+_xlfn.STDEV.P($E71:$V71)),(SLOPE($E71:$V71,$E$1:$V$1)*W$1+INTERCEPT($E71:$V71,$E$1:$V$1))&lt;(AVERAGE($E71:$V71)-_xlfn.STDEV.P($E71:$V71))),V71,(SLOPE($E71:$V71,$E$1:$V$1)*W$1+INTERCEPT($E71:$V71,$E$1:$V$1)))</f>
        <v>302818.82400000002</v>
      </c>
      <c r="X71" s="5">
        <f t="shared" si="70"/>
        <v>302818.82400000002</v>
      </c>
      <c r="Y71" s="5">
        <f t="shared" si="70"/>
        <v>302818.82400000002</v>
      </c>
      <c r="Z71" s="5">
        <f t="shared" si="70"/>
        <v>302818.82400000002</v>
      </c>
      <c r="AA71" s="5">
        <f t="shared" si="70"/>
        <v>302818.82400000002</v>
      </c>
      <c r="AB71" s="5">
        <f t="shared" si="70"/>
        <v>302818.82400000002</v>
      </c>
      <c r="AC71" s="5">
        <f t="shared" si="70"/>
        <v>302818.82400000002</v>
      </c>
      <c r="AD71" s="5">
        <f t="shared" si="70"/>
        <v>302818.82400000002</v>
      </c>
      <c r="AE71" s="5">
        <f t="shared" si="70"/>
        <v>302818.82400000002</v>
      </c>
      <c r="AF71" s="5">
        <f t="shared" si="70"/>
        <v>302818.82400000002</v>
      </c>
      <c r="AG71" s="5">
        <f t="shared" si="70"/>
        <v>302818.82400000002</v>
      </c>
      <c r="AH71" s="5">
        <f t="shared" si="70"/>
        <v>302818.82400000002</v>
      </c>
    </row>
    <row r="72" spans="1:34" x14ac:dyDescent="0.35">
      <c r="A72" t="s">
        <v>92</v>
      </c>
      <c r="B72" s="3" t="s">
        <v>1262</v>
      </c>
      <c r="C72" s="4" t="s">
        <v>1263</v>
      </c>
      <c r="D72" s="2">
        <f t="shared" si="66"/>
        <v>2775838.7280376139</v>
      </c>
      <c r="E72" s="5">
        <v>46114.061614430801</v>
      </c>
      <c r="F72" s="5">
        <v>113588.41688998148</v>
      </c>
      <c r="G72" s="5">
        <v>169220.47660476982</v>
      </c>
      <c r="H72" s="5">
        <v>146593.44082772936</v>
      </c>
      <c r="I72" s="5">
        <v>265016.3964353528</v>
      </c>
      <c r="J72" s="5">
        <v>274383.31520078389</v>
      </c>
      <c r="K72" s="5">
        <v>218507.20425265311</v>
      </c>
      <c r="L72" s="5">
        <v>49844.559038380452</v>
      </c>
      <c r="M72" s="5">
        <v>69647.573401029164</v>
      </c>
      <c r="N72" s="5">
        <v>72913.211332897859</v>
      </c>
      <c r="O72" s="5">
        <v>73656.986520227423</v>
      </c>
      <c r="P72" s="5">
        <v>83535.250726947706</v>
      </c>
      <c r="Q72" s="5">
        <v>98550.212321162573</v>
      </c>
      <c r="R72" s="5">
        <v>130067.68588425136</v>
      </c>
      <c r="S72" s="5">
        <v>200586.8708329323</v>
      </c>
      <c r="T72" s="5">
        <v>360626.37246910331</v>
      </c>
      <c r="U72" s="5">
        <v>157633.85376465201</v>
      </c>
      <c r="V72" s="5">
        <v>245352.83992032838</v>
      </c>
      <c r="W72" s="5">
        <f t="shared" ref="W72:AH72" si="71">IF(OR((SLOPE($E72:$V72,$E$1:$V$1)*W$1+INTERCEPT($E72:$V72,$E$1:$V$1))&gt;(AVERAGE($E72:$V72)+_xlfn.STDEV.P($E72:$V72)),(SLOPE($E72:$V72,$E$1:$V$1)*W$1+INTERCEPT($E72:$V72,$E$1:$V$1))&lt;(AVERAGE($E72:$V72)-_xlfn.STDEV.P($E72:$V72))),V72,(SLOPE($E72:$V72,$E$1:$V$1)*W$1+INTERCEPT($E72:$V72,$E$1:$V$1)))</f>
        <v>194256.57833782991</v>
      </c>
      <c r="X72" s="5">
        <f t="shared" si="71"/>
        <v>198471.6641977324</v>
      </c>
      <c r="Y72" s="5">
        <f t="shared" si="71"/>
        <v>202686.7500576349</v>
      </c>
      <c r="Z72" s="5">
        <f t="shared" si="71"/>
        <v>206901.83591753739</v>
      </c>
      <c r="AA72" s="5">
        <f t="shared" si="71"/>
        <v>211116.92177743986</v>
      </c>
      <c r="AB72" s="5">
        <f t="shared" si="71"/>
        <v>215332.00763734232</v>
      </c>
      <c r="AC72" s="5">
        <f t="shared" si="71"/>
        <v>219547.09349724482</v>
      </c>
      <c r="AD72" s="5">
        <f t="shared" si="71"/>
        <v>223762.17935714731</v>
      </c>
      <c r="AE72" s="5">
        <f t="shared" si="71"/>
        <v>227977.2652170498</v>
      </c>
      <c r="AF72" s="5">
        <f t="shared" si="71"/>
        <v>232192.35107695227</v>
      </c>
      <c r="AG72" s="5">
        <f t="shared" si="71"/>
        <v>236407.43693685473</v>
      </c>
      <c r="AH72" s="5">
        <f t="shared" si="71"/>
        <v>240622.52279675723</v>
      </c>
    </row>
    <row r="73" spans="1:34" x14ac:dyDescent="0.35">
      <c r="A73" t="s">
        <v>93</v>
      </c>
      <c r="B73" s="3" t="s">
        <v>1262</v>
      </c>
      <c r="C73" s="4" t="s">
        <v>1263</v>
      </c>
      <c r="D73" s="2">
        <f t="shared" si="66"/>
        <v>2700110.6999999993</v>
      </c>
      <c r="E73" s="5">
        <v>95970.42</v>
      </c>
      <c r="F73" s="5">
        <v>121213.26000000001</v>
      </c>
      <c r="G73" s="5">
        <v>119466.90000000001</v>
      </c>
      <c r="H73" s="5">
        <v>167491.79999999999</v>
      </c>
      <c r="I73" s="5">
        <v>125976.05999999998</v>
      </c>
      <c r="J73" s="5">
        <v>140026.32</v>
      </c>
      <c r="K73" s="5">
        <v>129071.88</v>
      </c>
      <c r="L73" s="5">
        <v>98351.820000000036</v>
      </c>
      <c r="M73" s="5">
        <v>167650.56</v>
      </c>
      <c r="N73" s="5">
        <v>173207.15999999997</v>
      </c>
      <c r="O73" s="5">
        <v>147567.41999999998</v>
      </c>
      <c r="P73" s="5">
        <v>206388.00000000003</v>
      </c>
      <c r="Q73" s="5">
        <v>139470.66</v>
      </c>
      <c r="R73" s="5">
        <v>161141.40000000002</v>
      </c>
      <c r="S73" s="5">
        <v>216707.4</v>
      </c>
      <c r="T73" s="5">
        <v>154235.34</v>
      </c>
      <c r="U73" s="5">
        <v>151139.52000000002</v>
      </c>
      <c r="V73" s="5">
        <v>185034.78</v>
      </c>
      <c r="W73" s="5">
        <f t="shared" ref="W73:AH73" si="72">IF(OR((SLOPE($E73:$V73,$E$1:$V$1)*W$1+INTERCEPT($E73:$V73,$E$1:$V$1))&gt;(AVERAGE($E73:$V73)+_xlfn.STDEV.P($E73:$V73)),(SLOPE($E73:$V73,$E$1:$V$1)*W$1+INTERCEPT($E73:$V73,$E$1:$V$1))&lt;(AVERAGE($E73:$V73)-_xlfn.STDEV.P($E73:$V73))),V73,(SLOPE($E73:$V73,$E$1:$V$1)*W$1+INTERCEPT($E73:$V73,$E$1:$V$1)))</f>
        <v>185034.78</v>
      </c>
      <c r="X73" s="5">
        <f t="shared" si="72"/>
        <v>185034.78</v>
      </c>
      <c r="Y73" s="5">
        <f t="shared" si="72"/>
        <v>185034.78</v>
      </c>
      <c r="Z73" s="5">
        <f t="shared" si="72"/>
        <v>185034.78</v>
      </c>
      <c r="AA73" s="5">
        <f t="shared" si="72"/>
        <v>185034.78</v>
      </c>
      <c r="AB73" s="5">
        <f t="shared" si="72"/>
        <v>185034.78</v>
      </c>
      <c r="AC73" s="5">
        <f t="shared" si="72"/>
        <v>185034.78</v>
      </c>
      <c r="AD73" s="5">
        <f t="shared" si="72"/>
        <v>185034.78</v>
      </c>
      <c r="AE73" s="5">
        <f t="shared" si="72"/>
        <v>185034.78</v>
      </c>
      <c r="AF73" s="5">
        <f t="shared" si="72"/>
        <v>185034.78</v>
      </c>
      <c r="AG73" s="5">
        <f t="shared" si="72"/>
        <v>185034.78</v>
      </c>
      <c r="AH73" s="5">
        <f t="shared" si="72"/>
        <v>185034.78</v>
      </c>
    </row>
    <row r="74" spans="1:34" x14ac:dyDescent="0.35">
      <c r="A74" t="s">
        <v>94</v>
      </c>
      <c r="B74" s="3" t="s">
        <v>1262</v>
      </c>
      <c r="C74" s="4" t="s">
        <v>1263</v>
      </c>
      <c r="D74" s="2">
        <f t="shared" si="66"/>
        <v>2688492.9458061475</v>
      </c>
      <c r="E74" s="5">
        <v>245532.00567703607</v>
      </c>
      <c r="F74" s="5">
        <v>213772.37656332232</v>
      </c>
      <c r="G74" s="5">
        <v>93078.451143886079</v>
      </c>
      <c r="H74" s="5">
        <v>62235.670445695323</v>
      </c>
      <c r="I74" s="5">
        <v>196278.90879514514</v>
      </c>
      <c r="J74" s="5">
        <v>269504.53558157524</v>
      </c>
      <c r="K74" s="5">
        <v>43042.976947415686</v>
      </c>
      <c r="L74" s="5">
        <v>98909.607066611818</v>
      </c>
      <c r="M74" s="5">
        <v>231791.5040897326</v>
      </c>
      <c r="N74" s="5">
        <v>76049.519906240501</v>
      </c>
      <c r="O74" s="5">
        <v>219151.22060105676</v>
      </c>
      <c r="P74" s="5">
        <v>123138.85452749734</v>
      </c>
      <c r="Q74" s="5">
        <v>182770.67547310758</v>
      </c>
      <c r="R74" s="5">
        <v>143602.91116196872</v>
      </c>
      <c r="S74" s="5">
        <v>122356.47721291777</v>
      </c>
      <c r="T74" s="5">
        <v>87834.078207095037</v>
      </c>
      <c r="U74" s="5">
        <v>179934.5577077567</v>
      </c>
      <c r="V74" s="5">
        <v>99508.614698086778</v>
      </c>
      <c r="W74" s="5">
        <f t="shared" ref="W74:AH74" si="73">IF(OR((SLOPE($E74:$V74,$E$1:$V$1)*W$1+INTERCEPT($E74:$V74,$E$1:$V$1))&gt;(AVERAGE($E74:$V74)+_xlfn.STDEV.P($E74:$V74)),(SLOPE($E74:$V74,$E$1:$V$1)*W$1+INTERCEPT($E74:$V74,$E$1:$V$1))&lt;(AVERAGE($E74:$V74)-_xlfn.STDEV.P($E74:$V74))),V74,(SLOPE($E74:$V74,$E$1:$V$1)*W$1+INTERCEPT($E74:$V74,$E$1:$V$1)))</f>
        <v>121198.25197270687</v>
      </c>
      <c r="X74" s="5">
        <f t="shared" si="73"/>
        <v>118233.78173704943</v>
      </c>
      <c r="Y74" s="5">
        <f t="shared" si="73"/>
        <v>115269.31150139197</v>
      </c>
      <c r="Z74" s="5">
        <f t="shared" si="73"/>
        <v>112304.84126573452</v>
      </c>
      <c r="AA74" s="5">
        <f t="shared" si="73"/>
        <v>109340.37103007708</v>
      </c>
      <c r="AB74" s="5">
        <f t="shared" si="73"/>
        <v>106375.90079441962</v>
      </c>
      <c r="AC74" s="5">
        <f t="shared" si="73"/>
        <v>103411.43055876218</v>
      </c>
      <c r="AD74" s="5">
        <f t="shared" si="73"/>
        <v>100446.96032310472</v>
      </c>
      <c r="AE74" s="5">
        <f t="shared" si="73"/>
        <v>97482.490087447281</v>
      </c>
      <c r="AF74" s="5">
        <f t="shared" si="73"/>
        <v>94518.019851789824</v>
      </c>
      <c r="AG74" s="5">
        <f t="shared" si="73"/>
        <v>91553.549616132383</v>
      </c>
      <c r="AH74" s="5">
        <f t="shared" si="73"/>
        <v>88589.079380474926</v>
      </c>
    </row>
    <row r="75" spans="1:34" x14ac:dyDescent="0.35">
      <c r="A75" t="s">
        <v>95</v>
      </c>
      <c r="B75" s="3" t="s">
        <v>1265</v>
      </c>
      <c r="C75" s="4" t="s">
        <v>1263</v>
      </c>
      <c r="D75" s="2">
        <f t="shared" si="66"/>
        <v>2569334.1231821487</v>
      </c>
      <c r="E75" s="5">
        <v>106041.32529992095</v>
      </c>
      <c r="F75" s="5">
        <v>112125.42037030545</v>
      </c>
      <c r="G75" s="5">
        <v>762619.05818829243</v>
      </c>
      <c r="H75" s="5">
        <v>170829.51817138112</v>
      </c>
      <c r="I75" s="5">
        <v>18845.855461922696</v>
      </c>
      <c r="J75" s="5">
        <v>116725.58981376688</v>
      </c>
      <c r="K75" s="5">
        <v>100402.40791761338</v>
      </c>
      <c r="L75" s="5">
        <v>97582.949226459605</v>
      </c>
      <c r="M75" s="5">
        <v>105892.93273722864</v>
      </c>
      <c r="N75" s="5">
        <v>89664.722081198226</v>
      </c>
      <c r="O75" s="5">
        <v>61529.49219473722</v>
      </c>
      <c r="P75" s="5">
        <v>80399.09046669073</v>
      </c>
      <c r="Q75" s="5">
        <v>63138.067574321802</v>
      </c>
      <c r="R75" s="5">
        <v>96900.343438074982</v>
      </c>
      <c r="S75" s="5">
        <v>161498.59382928908</v>
      </c>
      <c r="T75" s="5">
        <v>123165.82703461291</v>
      </c>
      <c r="U75" s="5">
        <v>100016.58725461338</v>
      </c>
      <c r="V75" s="5">
        <v>201956.34212171903</v>
      </c>
      <c r="W75" s="5">
        <f t="shared" ref="W75:AH75" si="74">IF(OR((SLOPE($E75:$V75,$E$1:$V$1)*W$1+INTERCEPT($E75:$V75,$E$1:$V$1))&gt;(AVERAGE($E75:$V75)+_xlfn.STDEV.P($E75:$V75)),(SLOPE($E75:$V75,$E$1:$V$1)*W$1+INTERCEPT($E75:$V75,$E$1:$V$1))&lt;(AVERAGE($E75:$V75)-_xlfn.STDEV.P($E75:$V75))),V75,(SLOPE($E75:$V75,$E$1:$V$1)*W$1+INTERCEPT($E75:$V75,$E$1:$V$1)))</f>
        <v>75450.227597483259</v>
      </c>
      <c r="X75" s="5">
        <f t="shared" si="74"/>
        <v>68367.01106866778</v>
      </c>
      <c r="Y75" s="5">
        <f t="shared" si="74"/>
        <v>61283.794539852272</v>
      </c>
      <c r="Z75" s="5">
        <f t="shared" si="74"/>
        <v>54200.578011036792</v>
      </c>
      <c r="AA75" s="5">
        <f t="shared" si="74"/>
        <v>47117.361482221284</v>
      </c>
      <c r="AB75" s="5">
        <f t="shared" si="74"/>
        <v>40034.144953405776</v>
      </c>
      <c r="AC75" s="5">
        <f t="shared" si="74"/>
        <v>32950.928424590296</v>
      </c>
      <c r="AD75" s="5">
        <f t="shared" si="74"/>
        <v>25867.711895774788</v>
      </c>
      <c r="AE75" s="5">
        <f t="shared" si="74"/>
        <v>18784.495366959309</v>
      </c>
      <c r="AF75" s="5">
        <f t="shared" si="74"/>
        <v>11701.2788381438</v>
      </c>
      <c r="AG75" s="5">
        <f t="shared" si="74"/>
        <v>4618.0623093283211</v>
      </c>
      <c r="AH75" s="5">
        <f t="shared" si="74"/>
        <v>-2465.1542194871872</v>
      </c>
    </row>
    <row r="76" spans="1:34" x14ac:dyDescent="0.35">
      <c r="A76" t="s">
        <v>96</v>
      </c>
      <c r="B76" s="3" t="s">
        <v>1262</v>
      </c>
      <c r="C76" s="4" t="s">
        <v>1263</v>
      </c>
      <c r="D76" s="2">
        <f t="shared" si="66"/>
        <v>2595154.4639999997</v>
      </c>
      <c r="E76" s="5">
        <v>109195.12799999998</v>
      </c>
      <c r="F76" s="5">
        <v>102019.17599999998</v>
      </c>
      <c r="G76" s="5">
        <v>45802.259999999995</v>
      </c>
      <c r="H76" s="5">
        <v>242299.51199999996</v>
      </c>
      <c r="I76" s="5">
        <v>101145.99600000001</v>
      </c>
      <c r="J76" s="5">
        <v>122975.49600000003</v>
      </c>
      <c r="K76" s="5">
        <v>104464.08</v>
      </c>
      <c r="L76" s="5">
        <v>176874.51599999989</v>
      </c>
      <c r="M76" s="5">
        <v>172445.11199999991</v>
      </c>
      <c r="N76" s="5">
        <v>259969.49999999994</v>
      </c>
      <c r="O76" s="5">
        <v>212516.13599999994</v>
      </c>
      <c r="P76" s="5">
        <v>100590.336</v>
      </c>
      <c r="Q76" s="5">
        <v>63376.991999999998</v>
      </c>
      <c r="R76" s="5">
        <v>134898.372</v>
      </c>
      <c r="S76" s="5">
        <v>249538.96799999988</v>
      </c>
      <c r="T76" s="5">
        <v>120514.71599999999</v>
      </c>
      <c r="U76" s="5">
        <v>94684.464000000007</v>
      </c>
      <c r="V76" s="5">
        <v>181843.70399999997</v>
      </c>
      <c r="W76" s="5">
        <f t="shared" ref="W76:AH76" si="75">IF(OR((SLOPE($E76:$V76,$E$1:$V$1)*W$1+INTERCEPT($E76:$V76,$E$1:$V$1))&gt;(AVERAGE($E76:$V76)+_xlfn.STDEV.P($E76:$V76)),(SLOPE($E76:$V76,$E$1:$V$1)*W$1+INTERCEPT($E76:$V76,$E$1:$V$1))&lt;(AVERAGE($E76:$V76)-_xlfn.STDEV.P($E76:$V76))),V76,(SLOPE($E76:$V76,$E$1:$V$1)*W$1+INTERCEPT($E76:$V76,$E$1:$V$1)))</f>
        <v>166112.14447058822</v>
      </c>
      <c r="X76" s="5">
        <f t="shared" si="75"/>
        <v>168421.29146749224</v>
      </c>
      <c r="Y76" s="5">
        <f t="shared" si="75"/>
        <v>170730.43846439628</v>
      </c>
      <c r="Z76" s="5">
        <f t="shared" si="75"/>
        <v>173039.5854613003</v>
      </c>
      <c r="AA76" s="5">
        <f t="shared" si="75"/>
        <v>175348.73245820432</v>
      </c>
      <c r="AB76" s="5">
        <f t="shared" si="75"/>
        <v>177657.87945510834</v>
      </c>
      <c r="AC76" s="5">
        <f t="shared" si="75"/>
        <v>179967.02645201236</v>
      </c>
      <c r="AD76" s="5">
        <f t="shared" si="75"/>
        <v>182276.17344891641</v>
      </c>
      <c r="AE76" s="5">
        <f t="shared" si="75"/>
        <v>184585.32044582043</v>
      </c>
      <c r="AF76" s="5">
        <f t="shared" si="75"/>
        <v>186894.46744272445</v>
      </c>
      <c r="AG76" s="5">
        <f t="shared" si="75"/>
        <v>189203.61443962847</v>
      </c>
      <c r="AH76" s="5">
        <f t="shared" si="75"/>
        <v>191512.76143653248</v>
      </c>
    </row>
    <row r="77" spans="1:34" x14ac:dyDescent="0.35">
      <c r="A77" t="s">
        <v>97</v>
      </c>
      <c r="B77" s="3" t="s">
        <v>1262</v>
      </c>
      <c r="C77" s="4" t="s">
        <v>1263</v>
      </c>
      <c r="D77" s="2">
        <f t="shared" si="66"/>
        <v>2511947.2366800001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44516.462759999995</v>
      </c>
      <c r="L77" s="5">
        <v>240444.71891999996</v>
      </c>
      <c r="M77" s="5">
        <v>427860.42264000006</v>
      </c>
      <c r="N77" s="5">
        <v>199463.52384000001</v>
      </c>
      <c r="O77" s="5">
        <v>206580.57587999996</v>
      </c>
      <c r="P77" s="5">
        <v>357666.75251999998</v>
      </c>
      <c r="Q77" s="5">
        <v>185601.55320000002</v>
      </c>
      <c r="R77" s="5">
        <v>184903.80300000004</v>
      </c>
      <c r="S77" s="5">
        <v>227420.04851999992</v>
      </c>
      <c r="T77" s="5">
        <v>167599.59803999992</v>
      </c>
      <c r="U77" s="5">
        <v>153505.04400000005</v>
      </c>
      <c r="V77" s="5">
        <v>116384.73335999998</v>
      </c>
      <c r="W77" s="5">
        <f t="shared" ref="W77:AH77" si="76">IF(OR((SLOPE($E77:$V77,$E$1:$V$1)*W$1+INTERCEPT($E77:$V77,$E$1:$V$1))&gt;(AVERAGE($E77:$V77)+_xlfn.STDEV.P($E77:$V77)),(SLOPE($E77:$V77,$E$1:$V$1)*W$1+INTERCEPT($E77:$V77,$E$1:$V$1))&lt;(AVERAGE($E77:$V77)-_xlfn.STDEV.P($E77:$V77))),V77,(SLOPE($E77:$V77,$E$1:$V$1)*W$1+INTERCEPT($E77:$V77,$E$1:$V$1)))</f>
        <v>116384.73335999998</v>
      </c>
      <c r="X77" s="5">
        <f t="shared" si="76"/>
        <v>116384.73335999998</v>
      </c>
      <c r="Y77" s="5">
        <f t="shared" si="76"/>
        <v>116384.73335999998</v>
      </c>
      <c r="Z77" s="5">
        <f t="shared" si="76"/>
        <v>116384.73335999998</v>
      </c>
      <c r="AA77" s="5">
        <f t="shared" si="76"/>
        <v>116384.73335999998</v>
      </c>
      <c r="AB77" s="5">
        <f t="shared" si="76"/>
        <v>116384.73335999998</v>
      </c>
      <c r="AC77" s="5">
        <f t="shared" si="76"/>
        <v>116384.73335999998</v>
      </c>
      <c r="AD77" s="5">
        <f t="shared" si="76"/>
        <v>116384.73335999998</v>
      </c>
      <c r="AE77" s="5">
        <f t="shared" si="76"/>
        <v>116384.73335999998</v>
      </c>
      <c r="AF77" s="5">
        <f t="shared" si="76"/>
        <v>116384.73335999998</v>
      </c>
      <c r="AG77" s="5">
        <f t="shared" si="76"/>
        <v>116384.73335999998</v>
      </c>
      <c r="AH77" s="5">
        <f t="shared" si="76"/>
        <v>116384.73335999998</v>
      </c>
    </row>
    <row r="78" spans="1:34" x14ac:dyDescent="0.35">
      <c r="A78" t="s">
        <v>98</v>
      </c>
      <c r="B78" s="3" t="s">
        <v>1262</v>
      </c>
      <c r="C78" s="4" t="s">
        <v>1263</v>
      </c>
      <c r="D78" s="2">
        <f t="shared" si="66"/>
        <v>2537905.6079999995</v>
      </c>
      <c r="E78" s="5">
        <v>127399.60799999995</v>
      </c>
      <c r="F78" s="5">
        <v>159246.86400000003</v>
      </c>
      <c r="G78" s="5">
        <v>151986.23999999999</v>
      </c>
      <c r="H78" s="5">
        <v>169820.28</v>
      </c>
      <c r="I78" s="5">
        <v>176276.51999999996</v>
      </c>
      <c r="J78" s="5">
        <v>119736.79199999996</v>
      </c>
      <c r="K78" s="5">
        <v>168899.47199999998</v>
      </c>
      <c r="L78" s="5">
        <v>96388.487999999954</v>
      </c>
      <c r="M78" s="5">
        <v>194682.09599999999</v>
      </c>
      <c r="N78" s="5">
        <v>118244.44799999997</v>
      </c>
      <c r="O78" s="5">
        <v>149721.264</v>
      </c>
      <c r="P78" s="5">
        <v>165756.02399999998</v>
      </c>
      <c r="Q78" s="5">
        <v>104686.34399999997</v>
      </c>
      <c r="R78" s="5">
        <v>127452.52800000001</v>
      </c>
      <c r="S78" s="5">
        <v>150515.06400000001</v>
      </c>
      <c r="T78" s="5">
        <v>114656.47199999997</v>
      </c>
      <c r="U78" s="5">
        <v>122774.39999999997</v>
      </c>
      <c r="V78" s="5">
        <v>119662.70399999997</v>
      </c>
      <c r="W78" s="5">
        <f t="shared" ref="W78:AH78" si="77">IF(OR((SLOPE($E78:$V78,$E$1:$V$1)*W$1+INTERCEPT($E78:$V78,$E$1:$V$1))&gt;(AVERAGE($E78:$V78)+_xlfn.STDEV.P($E78:$V78)),(SLOPE($E78:$V78,$E$1:$V$1)*W$1+INTERCEPT($E78:$V78,$E$1:$V$1))&lt;(AVERAGE($E78:$V78)-_xlfn.STDEV.P($E78:$V78))),V78,(SLOPE($E78:$V78,$E$1:$V$1)*W$1+INTERCEPT($E78:$V78,$E$1:$V$1)))</f>
        <v>122826.28235294114</v>
      </c>
      <c r="X78" s="5">
        <f t="shared" si="77"/>
        <v>120913.81144272441</v>
      </c>
      <c r="Y78" s="5">
        <f t="shared" si="77"/>
        <v>119001.34053250769</v>
      </c>
      <c r="Z78" s="5">
        <f t="shared" si="77"/>
        <v>117088.86962229098</v>
      </c>
      <c r="AA78" s="5">
        <f t="shared" si="77"/>
        <v>115176.39871207427</v>
      </c>
      <c r="AB78" s="5">
        <f t="shared" si="77"/>
        <v>115176.39871207427</v>
      </c>
      <c r="AC78" s="5">
        <f t="shared" si="77"/>
        <v>115176.39871207427</v>
      </c>
      <c r="AD78" s="5">
        <f t="shared" si="77"/>
        <v>115176.39871207427</v>
      </c>
      <c r="AE78" s="5">
        <f t="shared" si="77"/>
        <v>115176.39871207427</v>
      </c>
      <c r="AF78" s="5">
        <f t="shared" si="77"/>
        <v>115176.39871207427</v>
      </c>
      <c r="AG78" s="5">
        <f t="shared" si="77"/>
        <v>115176.39871207427</v>
      </c>
      <c r="AH78" s="5">
        <f t="shared" si="77"/>
        <v>115176.39871207427</v>
      </c>
    </row>
    <row r="79" spans="1:34" x14ac:dyDescent="0.35">
      <c r="A79" t="s">
        <v>99</v>
      </c>
      <c r="B79" s="3" t="s">
        <v>1262</v>
      </c>
      <c r="C79" s="4" t="s">
        <v>1263</v>
      </c>
      <c r="D79" s="2">
        <f t="shared" si="66"/>
        <v>2438317.0475999997</v>
      </c>
      <c r="E79" s="5">
        <v>1718.577</v>
      </c>
      <c r="F79" s="5">
        <v>27497.232</v>
      </c>
      <c r="G79" s="5">
        <v>65649.641399999993</v>
      </c>
      <c r="H79" s="5">
        <v>54994.464</v>
      </c>
      <c r="I79" s="5">
        <v>90053.434800000003</v>
      </c>
      <c r="J79" s="5">
        <v>113426.08199999999</v>
      </c>
      <c r="K79" s="5">
        <v>117550.66679999999</v>
      </c>
      <c r="L79" s="5">
        <v>1718.577</v>
      </c>
      <c r="M79" s="5">
        <v>17185.77</v>
      </c>
      <c r="N79" s="5">
        <v>112051.22039999999</v>
      </c>
      <c r="O79" s="5">
        <v>31965.532200000001</v>
      </c>
      <c r="P79" s="5">
        <v>0</v>
      </c>
      <c r="Q79" s="5">
        <v>563693.25600000005</v>
      </c>
      <c r="R79" s="5">
        <v>46401.578999999998</v>
      </c>
      <c r="S79" s="5">
        <v>335122.51499999996</v>
      </c>
      <c r="T79" s="5">
        <v>237163.62599999999</v>
      </c>
      <c r="U79" s="5">
        <v>374649.78600000002</v>
      </c>
      <c r="V79" s="5">
        <v>247475.08799999999</v>
      </c>
      <c r="W79" s="5">
        <f t="shared" ref="W79:AH79" si="78">IF(OR((SLOPE($E79:$V79,$E$1:$V$1)*W$1+INTERCEPT($E79:$V79,$E$1:$V$1))&gt;(AVERAGE($E79:$V79)+_xlfn.STDEV.P($E79:$V79)),(SLOPE($E79:$V79,$E$1:$V$1)*W$1+INTERCEPT($E79:$V79,$E$1:$V$1))&lt;(AVERAGE($E79:$V79)-_xlfn.STDEV.P($E79:$V79))),V79,(SLOPE($E79:$V79,$E$1:$V$1)*W$1+INTERCEPT($E79:$V79,$E$1:$V$1)))</f>
        <v>247475.08799999999</v>
      </c>
      <c r="X79" s="5">
        <f t="shared" si="78"/>
        <v>247475.08799999999</v>
      </c>
      <c r="Y79" s="5">
        <f t="shared" si="78"/>
        <v>247475.08799999999</v>
      </c>
      <c r="Z79" s="5">
        <f t="shared" si="78"/>
        <v>247475.08799999999</v>
      </c>
      <c r="AA79" s="5">
        <f t="shared" si="78"/>
        <v>247475.08799999999</v>
      </c>
      <c r="AB79" s="5">
        <f t="shared" si="78"/>
        <v>247475.08799999999</v>
      </c>
      <c r="AC79" s="5">
        <f t="shared" si="78"/>
        <v>247475.08799999999</v>
      </c>
      <c r="AD79" s="5">
        <f t="shared" si="78"/>
        <v>247475.08799999999</v>
      </c>
      <c r="AE79" s="5">
        <f t="shared" si="78"/>
        <v>247475.08799999999</v>
      </c>
      <c r="AF79" s="5">
        <f t="shared" si="78"/>
        <v>247475.08799999999</v>
      </c>
      <c r="AG79" s="5">
        <f t="shared" si="78"/>
        <v>247475.08799999999</v>
      </c>
      <c r="AH79" s="5">
        <f t="shared" si="78"/>
        <v>247475.08799999999</v>
      </c>
    </row>
    <row r="80" spans="1:34" x14ac:dyDescent="0.35">
      <c r="A80" t="s">
        <v>100</v>
      </c>
      <c r="B80" s="3" t="s">
        <v>1264</v>
      </c>
      <c r="C80" s="4" t="s">
        <v>1263</v>
      </c>
      <c r="D80" s="2">
        <f t="shared" si="66"/>
        <v>2446904.2265827619</v>
      </c>
      <c r="E80" s="5">
        <v>145290.23020124636</v>
      </c>
      <c r="F80" s="5">
        <v>215918.31855997088</v>
      </c>
      <c r="G80" s="5">
        <v>212085.75340108163</v>
      </c>
      <c r="H80" s="5">
        <v>190959.48818519129</v>
      </c>
      <c r="I80" s="5">
        <v>204917.91341711883</v>
      </c>
      <c r="J80" s="5">
        <v>155103.14032283178</v>
      </c>
      <c r="K80" s="5">
        <v>200716.66749350427</v>
      </c>
      <c r="L80" s="5">
        <v>164898.90250187193</v>
      </c>
      <c r="M80" s="5">
        <v>204377.75322693982</v>
      </c>
      <c r="N80" s="5">
        <v>77165.741454145173</v>
      </c>
      <c r="O80" s="5">
        <v>352737.46514380653</v>
      </c>
      <c r="P80" s="5">
        <v>157705.340604091</v>
      </c>
      <c r="Q80" s="5">
        <v>165027.51207096214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f t="shared" ref="W80:AH80" si="79">IF(OR((SLOPE($E80:$V80,$E$1:$V$1)*W$1+INTERCEPT($E80:$V80,$E$1:$V$1))&gt;(AVERAGE($E80:$V80)+_xlfn.STDEV.P($E80:$V80)),(SLOPE($E80:$V80,$E$1:$V$1)*W$1+INTERCEPT($E80:$V80,$E$1:$V$1))&lt;(AVERAGE($E80:$V80)-_xlfn.STDEV.P($E80:$V80))),V80,(SLOPE($E80:$V80,$E$1:$V$1)*W$1+INTERCEPT($E80:$V80,$E$1:$V$1)))</f>
        <v>0</v>
      </c>
      <c r="X80" s="5">
        <f t="shared" si="79"/>
        <v>0</v>
      </c>
      <c r="Y80" s="5">
        <f t="shared" si="79"/>
        <v>0</v>
      </c>
      <c r="Z80" s="5">
        <f t="shared" si="79"/>
        <v>0</v>
      </c>
      <c r="AA80" s="5">
        <f t="shared" si="79"/>
        <v>0</v>
      </c>
      <c r="AB80" s="5">
        <f t="shared" si="79"/>
        <v>0</v>
      </c>
      <c r="AC80" s="5">
        <f t="shared" si="79"/>
        <v>0</v>
      </c>
      <c r="AD80" s="5">
        <f t="shared" si="79"/>
        <v>0</v>
      </c>
      <c r="AE80" s="5">
        <f t="shared" si="79"/>
        <v>0</v>
      </c>
      <c r="AF80" s="5">
        <f t="shared" si="79"/>
        <v>0</v>
      </c>
      <c r="AG80" s="5">
        <f t="shared" si="79"/>
        <v>0</v>
      </c>
      <c r="AH80" s="5">
        <f t="shared" si="79"/>
        <v>0</v>
      </c>
    </row>
    <row r="81" spans="1:34" x14ac:dyDescent="0.35">
      <c r="A81" t="s">
        <v>101</v>
      </c>
      <c r="B81" s="3" t="s">
        <v>1264</v>
      </c>
      <c r="C81" s="4" t="s">
        <v>1263</v>
      </c>
      <c r="D81" s="2">
        <f t="shared" si="66"/>
        <v>2436995.6351999994</v>
      </c>
      <c r="E81" s="5">
        <v>0</v>
      </c>
      <c r="F81" s="5">
        <v>286665.5232</v>
      </c>
      <c r="G81" s="5">
        <v>552332.39040000003</v>
      </c>
      <c r="H81" s="5">
        <v>0</v>
      </c>
      <c r="I81" s="5">
        <v>6672.1536000000006</v>
      </c>
      <c r="J81" s="5">
        <v>0</v>
      </c>
      <c r="K81" s="5">
        <v>0</v>
      </c>
      <c r="L81" s="5">
        <v>449371.23839999991</v>
      </c>
      <c r="M81" s="5">
        <v>98490.470400000006</v>
      </c>
      <c r="N81" s="5">
        <v>71734.118399999978</v>
      </c>
      <c r="O81" s="5">
        <v>172392.19199999998</v>
      </c>
      <c r="P81" s="5">
        <v>168768.23039999997</v>
      </c>
      <c r="Q81" s="5">
        <v>16494.105599999999</v>
      </c>
      <c r="R81" s="5">
        <v>397010.07359999995</v>
      </c>
      <c r="S81" s="5">
        <v>130225.53599999998</v>
      </c>
      <c r="T81" s="5">
        <v>86839.603199999998</v>
      </c>
      <c r="U81" s="5">
        <v>0</v>
      </c>
      <c r="V81" s="5">
        <v>0</v>
      </c>
      <c r="W81" s="5">
        <f t="shared" ref="W81:AH81" si="80">IF(OR((SLOPE($E81:$V81,$E$1:$V$1)*W$1+INTERCEPT($E81:$V81,$E$1:$V$1))&gt;(AVERAGE($E81:$V81)+_xlfn.STDEV.P($E81:$V81)),(SLOPE($E81:$V81,$E$1:$V$1)*W$1+INTERCEPT($E81:$V81,$E$1:$V$1))&lt;(AVERAGE($E81:$V81)-_xlfn.STDEV.P($E81:$V81))),V81,(SLOPE($E81:$V81,$E$1:$V$1)*W$1+INTERCEPT($E81:$V81,$E$1:$V$1)))</f>
        <v>83386.092423529364</v>
      </c>
      <c r="X81" s="5">
        <f t="shared" si="80"/>
        <v>77912.139373374564</v>
      </c>
      <c r="Y81" s="5">
        <f t="shared" si="80"/>
        <v>72438.186323219765</v>
      </c>
      <c r="Z81" s="5">
        <f t="shared" si="80"/>
        <v>66964.233273064965</v>
      </c>
      <c r="AA81" s="5">
        <f t="shared" si="80"/>
        <v>61490.280222910165</v>
      </c>
      <c r="AB81" s="5">
        <f t="shared" si="80"/>
        <v>56016.327172755351</v>
      </c>
      <c r="AC81" s="5">
        <f t="shared" si="80"/>
        <v>50542.374122600566</v>
      </c>
      <c r="AD81" s="5">
        <f t="shared" si="80"/>
        <v>45068.421072445752</v>
      </c>
      <c r="AE81" s="5">
        <f t="shared" si="80"/>
        <v>39594.468022290966</v>
      </c>
      <c r="AF81" s="5">
        <f t="shared" si="80"/>
        <v>34120.514972136152</v>
      </c>
      <c r="AG81" s="5">
        <f t="shared" si="80"/>
        <v>28646.561921981367</v>
      </c>
      <c r="AH81" s="5">
        <f t="shared" si="80"/>
        <v>23172.608871826553</v>
      </c>
    </row>
    <row r="82" spans="1:34" x14ac:dyDescent="0.35">
      <c r="A82" t="s">
        <v>102</v>
      </c>
      <c r="B82" s="3" t="s">
        <v>1264</v>
      </c>
      <c r="C82" s="4" t="s">
        <v>1263</v>
      </c>
      <c r="D82" s="2">
        <f t="shared" si="66"/>
        <v>2421202.9006162775</v>
      </c>
      <c r="E82" s="5">
        <v>155525.68849093409</v>
      </c>
      <c r="F82" s="5">
        <v>151529.8605485624</v>
      </c>
      <c r="G82" s="5">
        <v>225306.04159464483</v>
      </c>
      <c r="H82" s="5">
        <v>176910.0887941464</v>
      </c>
      <c r="I82" s="5">
        <v>179054.63865312564</v>
      </c>
      <c r="J82" s="5">
        <v>162967.45979645193</v>
      </c>
      <c r="K82" s="5">
        <v>207367.58465457871</v>
      </c>
      <c r="L82" s="5">
        <v>170928.56653790496</v>
      </c>
      <c r="M82" s="5">
        <v>209835.95543243521</v>
      </c>
      <c r="N82" s="5">
        <v>165649.67457734057</v>
      </c>
      <c r="O82" s="5">
        <v>208229.07049536527</v>
      </c>
      <c r="P82" s="5">
        <v>199779.17746126742</v>
      </c>
      <c r="Q82" s="5">
        <v>204037.72803593575</v>
      </c>
      <c r="R82" s="5">
        <v>4081.3655435845194</v>
      </c>
      <c r="S82" s="5">
        <v>0</v>
      </c>
      <c r="T82" s="5">
        <v>0</v>
      </c>
      <c r="U82" s="5">
        <v>0</v>
      </c>
      <c r="V82" s="5">
        <v>0</v>
      </c>
      <c r="W82" s="5">
        <f t="shared" ref="W82:AH82" si="81">IF(OR((SLOPE($E82:$V82,$E$1:$V$1)*W$1+INTERCEPT($E82:$V82,$E$1:$V$1))&gt;(AVERAGE($E82:$V82)+_xlfn.STDEV.P($E82:$V82)),(SLOPE($E82:$V82,$E$1:$V$1)*W$1+INTERCEPT($E82:$V82,$E$1:$V$1))&lt;(AVERAGE($E82:$V82)-_xlfn.STDEV.P($E82:$V82))),V82,(SLOPE($E82:$V82,$E$1:$V$1)*W$1+INTERCEPT($E82:$V82,$E$1:$V$1)))</f>
        <v>0</v>
      </c>
      <c r="X82" s="5">
        <f t="shared" si="81"/>
        <v>0</v>
      </c>
      <c r="Y82" s="5">
        <f t="shared" si="81"/>
        <v>0</v>
      </c>
      <c r="Z82" s="5">
        <f t="shared" si="81"/>
        <v>0</v>
      </c>
      <c r="AA82" s="5">
        <f t="shared" si="81"/>
        <v>0</v>
      </c>
      <c r="AB82" s="5">
        <f t="shared" si="81"/>
        <v>0</v>
      </c>
      <c r="AC82" s="5">
        <f t="shared" si="81"/>
        <v>0</v>
      </c>
      <c r="AD82" s="5">
        <f t="shared" si="81"/>
        <v>0</v>
      </c>
      <c r="AE82" s="5">
        <f t="shared" si="81"/>
        <v>0</v>
      </c>
      <c r="AF82" s="5">
        <f t="shared" si="81"/>
        <v>0</v>
      </c>
      <c r="AG82" s="5">
        <f t="shared" si="81"/>
        <v>0</v>
      </c>
      <c r="AH82" s="5">
        <f t="shared" si="81"/>
        <v>0</v>
      </c>
    </row>
    <row r="83" spans="1:34" x14ac:dyDescent="0.35">
      <c r="A83" t="s">
        <v>103</v>
      </c>
      <c r="B83" s="3" t="s">
        <v>1262</v>
      </c>
      <c r="C83" s="4" t="s">
        <v>1263</v>
      </c>
      <c r="D83" s="2">
        <f t="shared" si="66"/>
        <v>2381573.2459870665</v>
      </c>
      <c r="E83" s="5">
        <v>61537.557403965744</v>
      </c>
      <c r="F83" s="5">
        <v>87046.92210404799</v>
      </c>
      <c r="G83" s="5">
        <v>106346.79926746817</v>
      </c>
      <c r="H83" s="5">
        <v>112183.27871888902</v>
      </c>
      <c r="I83" s="5">
        <v>87560.356762556432</v>
      </c>
      <c r="J83" s="5">
        <v>142304.77868471804</v>
      </c>
      <c r="K83" s="5">
        <v>133203.3814048332</v>
      </c>
      <c r="L83" s="5">
        <v>65912.722827324062</v>
      </c>
      <c r="M83" s="5">
        <v>113942.99921514445</v>
      </c>
      <c r="N83" s="5">
        <v>107729.12334806782</v>
      </c>
      <c r="O83" s="5">
        <v>288712.64630708907</v>
      </c>
      <c r="P83" s="5">
        <v>165567.31821252397</v>
      </c>
      <c r="Q83" s="5">
        <v>49706.61860619839</v>
      </c>
      <c r="R83" s="5">
        <v>128617.57612157401</v>
      </c>
      <c r="S83" s="5">
        <v>215001.86033301702</v>
      </c>
      <c r="T83" s="5">
        <v>148027.16154535927</v>
      </c>
      <c r="U83" s="5">
        <v>189264.30245137546</v>
      </c>
      <c r="V83" s="5">
        <v>178907.84267291447</v>
      </c>
      <c r="W83" s="5">
        <f t="shared" ref="W83:AH83" si="82">IF(OR((SLOPE($E83:$V83,$E$1:$V$1)*W$1+INTERCEPT($E83:$V83,$E$1:$V$1))&gt;(AVERAGE($E83:$V83)+_xlfn.STDEV.P($E83:$V83)),(SLOPE($E83:$V83,$E$1:$V$1)*W$1+INTERCEPT($E83:$V83,$E$1:$V$1))&lt;(AVERAGE($E83:$V83)-_xlfn.STDEV.P($E83:$V83))),V83,(SLOPE($E83:$V83,$E$1:$V$1)*W$1+INTERCEPT($E83:$V83,$E$1:$V$1)))</f>
        <v>188650.19433041441</v>
      </c>
      <c r="X83" s="5">
        <f t="shared" si="82"/>
        <v>188650.19433041441</v>
      </c>
      <c r="Y83" s="5">
        <f t="shared" si="82"/>
        <v>188650.19433041441</v>
      </c>
      <c r="Z83" s="5">
        <f t="shared" si="82"/>
        <v>188650.19433041441</v>
      </c>
      <c r="AA83" s="5">
        <f t="shared" si="82"/>
        <v>188650.19433041441</v>
      </c>
      <c r="AB83" s="5">
        <f t="shared" si="82"/>
        <v>188650.19433041441</v>
      </c>
      <c r="AC83" s="5">
        <f t="shared" si="82"/>
        <v>188650.19433041441</v>
      </c>
      <c r="AD83" s="5">
        <f t="shared" si="82"/>
        <v>188650.19433041441</v>
      </c>
      <c r="AE83" s="5">
        <f t="shared" si="82"/>
        <v>188650.19433041441</v>
      </c>
      <c r="AF83" s="5">
        <f t="shared" si="82"/>
        <v>188650.19433041441</v>
      </c>
      <c r="AG83" s="5">
        <f t="shared" si="82"/>
        <v>188650.19433041441</v>
      </c>
      <c r="AH83" s="5">
        <f t="shared" si="82"/>
        <v>188650.19433041441</v>
      </c>
    </row>
    <row r="84" spans="1:34" x14ac:dyDescent="0.35">
      <c r="A84" t="s">
        <v>104</v>
      </c>
      <c r="B84" s="3" t="s">
        <v>1262</v>
      </c>
      <c r="C84" s="4" t="s">
        <v>1263</v>
      </c>
      <c r="D84" s="2">
        <f t="shared" si="66"/>
        <v>2366571.8159999996</v>
      </c>
      <c r="E84" s="5">
        <v>83110.859999999971</v>
      </c>
      <c r="F84" s="5">
        <v>95097.239999999976</v>
      </c>
      <c r="G84" s="5">
        <v>129564.03599999996</v>
      </c>
      <c r="H84" s="5">
        <v>118165.068</v>
      </c>
      <c r="I84" s="5">
        <v>118117.43999999997</v>
      </c>
      <c r="J84" s="5">
        <v>116529.84000000003</v>
      </c>
      <c r="K84" s="5">
        <v>118260.32400000001</v>
      </c>
      <c r="L84" s="5">
        <v>110020.67999999998</v>
      </c>
      <c r="M84" s="5">
        <v>41325.227999999981</v>
      </c>
      <c r="N84" s="5">
        <v>225677.34</v>
      </c>
      <c r="O84" s="5">
        <v>175159.90799999994</v>
      </c>
      <c r="P84" s="5">
        <v>133517.16</v>
      </c>
      <c r="Q84" s="5">
        <v>105019.74000000002</v>
      </c>
      <c r="R84" s="5">
        <v>137676.67199999999</v>
      </c>
      <c r="S84" s="5">
        <v>181954.83599999995</v>
      </c>
      <c r="T84" s="5">
        <v>163681.55999999997</v>
      </c>
      <c r="U84" s="5">
        <v>167587.05599999998</v>
      </c>
      <c r="V84" s="5">
        <v>146106.82800000001</v>
      </c>
      <c r="W84" s="5">
        <f t="shared" ref="W84:AH84" si="83">IF(OR((SLOPE($E84:$V84,$E$1:$V$1)*W$1+INTERCEPT($E84:$V84,$E$1:$V$1))&gt;(AVERAGE($E84:$V84)+_xlfn.STDEV.P($E84:$V84)),(SLOPE($E84:$V84,$E$1:$V$1)*W$1+INTERCEPT($E84:$V84,$E$1:$V$1))&lt;(AVERAGE($E84:$V84)-_xlfn.STDEV.P($E84:$V84))),V84,(SLOPE($E84:$V84,$E$1:$V$1)*W$1+INTERCEPT($E84:$V84,$E$1:$V$1)))</f>
        <v>169270.43082352937</v>
      </c>
      <c r="X84" s="5">
        <f t="shared" si="83"/>
        <v>169270.43082352937</v>
      </c>
      <c r="Y84" s="5">
        <f t="shared" si="83"/>
        <v>169270.43082352937</v>
      </c>
      <c r="Z84" s="5">
        <f t="shared" si="83"/>
        <v>169270.43082352937</v>
      </c>
      <c r="AA84" s="5">
        <f t="shared" si="83"/>
        <v>169270.43082352937</v>
      </c>
      <c r="AB84" s="5">
        <f t="shared" si="83"/>
        <v>169270.43082352937</v>
      </c>
      <c r="AC84" s="5">
        <f t="shared" si="83"/>
        <v>169270.43082352937</v>
      </c>
      <c r="AD84" s="5">
        <f t="shared" si="83"/>
        <v>169270.43082352937</v>
      </c>
      <c r="AE84" s="5">
        <f t="shared" si="83"/>
        <v>169270.43082352937</v>
      </c>
      <c r="AF84" s="5">
        <f t="shared" si="83"/>
        <v>169270.43082352937</v>
      </c>
      <c r="AG84" s="5">
        <f t="shared" si="83"/>
        <v>169270.43082352937</v>
      </c>
      <c r="AH84" s="5">
        <f t="shared" si="83"/>
        <v>169270.43082352937</v>
      </c>
    </row>
    <row r="85" spans="1:34" x14ac:dyDescent="0.35">
      <c r="A85" t="s">
        <v>105</v>
      </c>
      <c r="B85" s="3" t="s">
        <v>1262</v>
      </c>
      <c r="C85" s="4" t="s">
        <v>1263</v>
      </c>
      <c r="D85" s="2">
        <f t="shared" si="66"/>
        <v>2365973.3365907613</v>
      </c>
      <c r="E85" s="5">
        <v>61140.756414594369</v>
      </c>
      <c r="F85" s="5">
        <v>104018.16415489871</v>
      </c>
      <c r="G85" s="5">
        <v>161285.79623823441</v>
      </c>
      <c r="H85" s="5">
        <v>111582.38608644294</v>
      </c>
      <c r="I85" s="5">
        <v>137511.08265392896</v>
      </c>
      <c r="J85" s="5">
        <v>113422.87858850318</v>
      </c>
      <c r="K85" s="5">
        <v>132889.62620644795</v>
      </c>
      <c r="L85" s="5">
        <v>114919.54282094778</v>
      </c>
      <c r="M85" s="5">
        <v>170730.9610564996</v>
      </c>
      <c r="N85" s="5">
        <v>110247.52339264106</v>
      </c>
      <c r="O85" s="5">
        <v>54324.866599272398</v>
      </c>
      <c r="P85" s="5">
        <v>201645.16753341243</v>
      </c>
      <c r="Q85" s="5">
        <v>188448.22953787062</v>
      </c>
      <c r="R85" s="5">
        <v>104624.91992480865</v>
      </c>
      <c r="S85" s="5">
        <v>161053.20652643571</v>
      </c>
      <c r="T85" s="5">
        <v>158363.25594650145</v>
      </c>
      <c r="U85" s="5">
        <v>155723.86834739315</v>
      </c>
      <c r="V85" s="5">
        <v>124041.10456192766</v>
      </c>
      <c r="W85" s="5">
        <f t="shared" ref="W85:AH85" si="84">IF(OR((SLOPE($E85:$V85,$E$1:$V$1)*W$1+INTERCEPT($E85:$V85,$E$1:$V$1))&gt;(AVERAGE($E85:$V85)+_xlfn.STDEV.P($E85:$V85)),(SLOPE($E85:$V85,$E$1:$V$1)*W$1+INTERCEPT($E85:$V85,$E$1:$V$1))&lt;(AVERAGE($E85:$V85)-_xlfn.STDEV.P($E85:$V85))),V85,(SLOPE($E85:$V85,$E$1:$V$1)*W$1+INTERCEPT($E85:$V85,$E$1:$V$1)))</f>
        <v>157735.01917166548</v>
      </c>
      <c r="X85" s="5">
        <f t="shared" si="84"/>
        <v>160502.60401669017</v>
      </c>
      <c r="Y85" s="5">
        <f t="shared" si="84"/>
        <v>163270.18886171482</v>
      </c>
      <c r="Z85" s="5">
        <f t="shared" si="84"/>
        <v>166037.77370673948</v>
      </c>
      <c r="AA85" s="5">
        <f t="shared" si="84"/>
        <v>168805.35855176416</v>
      </c>
      <c r="AB85" s="5">
        <f t="shared" si="84"/>
        <v>168805.35855176416</v>
      </c>
      <c r="AC85" s="5">
        <f t="shared" si="84"/>
        <v>168805.35855176416</v>
      </c>
      <c r="AD85" s="5">
        <f t="shared" si="84"/>
        <v>168805.35855176416</v>
      </c>
      <c r="AE85" s="5">
        <f t="shared" si="84"/>
        <v>168805.35855176416</v>
      </c>
      <c r="AF85" s="5">
        <f t="shared" si="84"/>
        <v>168805.35855176416</v>
      </c>
      <c r="AG85" s="5">
        <f t="shared" si="84"/>
        <v>168805.35855176416</v>
      </c>
      <c r="AH85" s="5">
        <f t="shared" si="84"/>
        <v>168805.35855176416</v>
      </c>
    </row>
    <row r="86" spans="1:34" x14ac:dyDescent="0.35">
      <c r="A86" t="s">
        <v>106</v>
      </c>
      <c r="B86" s="3" t="s">
        <v>1265</v>
      </c>
      <c r="C86" s="4" t="s">
        <v>1263</v>
      </c>
      <c r="D86" s="2">
        <f t="shared" si="66"/>
        <v>2305417.4640000002</v>
      </c>
      <c r="E86" s="5">
        <v>100339.84799999997</v>
      </c>
      <c r="F86" s="5">
        <v>119622.132</v>
      </c>
      <c r="G86" s="5">
        <v>123160.716</v>
      </c>
      <c r="H86" s="5">
        <v>121121.53199999998</v>
      </c>
      <c r="I86" s="5">
        <v>164214.288</v>
      </c>
      <c r="J86" s="5">
        <v>128708.496</v>
      </c>
      <c r="K86" s="5">
        <v>96561.360000000015</v>
      </c>
      <c r="L86" s="5">
        <v>95361.840000000026</v>
      </c>
      <c r="M86" s="5">
        <v>177618.92399999997</v>
      </c>
      <c r="N86" s="5">
        <v>115813.656</v>
      </c>
      <c r="O86" s="5">
        <v>147121.128</v>
      </c>
      <c r="P86" s="5">
        <v>142652.91600000006</v>
      </c>
      <c r="Q86" s="5">
        <v>91013.580000000045</v>
      </c>
      <c r="R86" s="5">
        <v>121691.30399999999</v>
      </c>
      <c r="S86" s="5">
        <v>143672.50800000006</v>
      </c>
      <c r="T86" s="5">
        <v>157676.90399999998</v>
      </c>
      <c r="U86" s="5">
        <v>124690.10399999999</v>
      </c>
      <c r="V86" s="5">
        <v>134376.228</v>
      </c>
      <c r="W86" s="5">
        <f t="shared" ref="W86:AH86" si="85">IF(OR((SLOPE($E86:$V86,$E$1:$V$1)*W$1+INTERCEPT($E86:$V86,$E$1:$V$1))&gt;(AVERAGE($E86:$V86)+_xlfn.STDEV.P($E86:$V86)),(SLOPE($E86:$V86,$E$1:$V$1)*W$1+INTERCEPT($E86:$V86,$E$1:$V$1))&lt;(AVERAGE($E86:$V86)-_xlfn.STDEV.P($E86:$V86))),V86,(SLOPE($E86:$V86,$E$1:$V$1)*W$1+INTERCEPT($E86:$V86,$E$1:$V$1)))</f>
        <v>138164.71200000003</v>
      </c>
      <c r="X86" s="5">
        <f t="shared" si="85"/>
        <v>139226.39242105267</v>
      </c>
      <c r="Y86" s="5">
        <f t="shared" si="85"/>
        <v>140288.07284210529</v>
      </c>
      <c r="Z86" s="5">
        <f t="shared" si="85"/>
        <v>141349.75326315791</v>
      </c>
      <c r="AA86" s="5">
        <f t="shared" si="85"/>
        <v>142411.43368421055</v>
      </c>
      <c r="AB86" s="5">
        <f t="shared" si="85"/>
        <v>143473.1141052632</v>
      </c>
      <c r="AC86" s="5">
        <f t="shared" si="85"/>
        <v>144534.79452631582</v>
      </c>
      <c r="AD86" s="5">
        <f t="shared" si="85"/>
        <v>145596.47494736846</v>
      </c>
      <c r="AE86" s="5">
        <f t="shared" si="85"/>
        <v>146658.15536842108</v>
      </c>
      <c r="AF86" s="5">
        <f t="shared" si="85"/>
        <v>147719.83578947373</v>
      </c>
      <c r="AG86" s="5">
        <f t="shared" si="85"/>
        <v>148781.51621052634</v>
      </c>
      <c r="AH86" s="5">
        <f t="shared" si="85"/>
        <v>149843.19663157899</v>
      </c>
    </row>
    <row r="87" spans="1:34" x14ac:dyDescent="0.35">
      <c r="A87" t="s">
        <v>107</v>
      </c>
      <c r="B87" s="3" t="s">
        <v>1262</v>
      </c>
      <c r="C87" s="4" t="s">
        <v>1263</v>
      </c>
      <c r="D87" s="2">
        <f t="shared" si="66"/>
        <v>2288976.5430000001</v>
      </c>
      <c r="E87" s="5">
        <v>51534.378000000012</v>
      </c>
      <c r="F87" s="5">
        <v>92460.501000000018</v>
      </c>
      <c r="G87" s="5">
        <v>163127.22300000006</v>
      </c>
      <c r="H87" s="5">
        <v>177528.96000000002</v>
      </c>
      <c r="I87" s="5">
        <v>126961.69499999999</v>
      </c>
      <c r="J87" s="5">
        <v>0</v>
      </c>
      <c r="K87" s="5">
        <v>210785.65199999997</v>
      </c>
      <c r="L87" s="5">
        <v>60778.179000000004</v>
      </c>
      <c r="M87" s="5">
        <v>64954.008000000002</v>
      </c>
      <c r="N87" s="5">
        <v>112867.33500000001</v>
      </c>
      <c r="O87" s="5">
        <v>89461.701000000015</v>
      </c>
      <c r="P87" s="5">
        <v>128738.48400000001</v>
      </c>
      <c r="Q87" s="5">
        <v>128431.10700000005</v>
      </c>
      <c r="R87" s="5">
        <v>119652.12000000001</v>
      </c>
      <c r="S87" s="5">
        <v>188062.24499999997</v>
      </c>
      <c r="T87" s="5">
        <v>143215.19099999999</v>
      </c>
      <c r="U87" s="5">
        <v>235075.93200000003</v>
      </c>
      <c r="V87" s="5">
        <v>195341.83200000002</v>
      </c>
      <c r="W87" s="5">
        <f t="shared" ref="W87:AH87" si="86">IF(OR((SLOPE($E87:$V87,$E$1:$V$1)*W$1+INTERCEPT($E87:$V87,$E$1:$V$1))&gt;(AVERAGE($E87:$V87)+_xlfn.STDEV.P($E87:$V87)),(SLOPE($E87:$V87,$E$1:$V$1)*W$1+INTERCEPT($E87:$V87,$E$1:$V$1))&lt;(AVERAGE($E87:$V87)-_xlfn.STDEV.P($E87:$V87))),V87,(SLOPE($E87:$V87,$E$1:$V$1)*W$1+INTERCEPT($E87:$V87,$E$1:$V$1)))</f>
        <v>176164.65299999999</v>
      </c>
      <c r="X87" s="5">
        <f t="shared" si="86"/>
        <v>181322.47294736843</v>
      </c>
      <c r="Y87" s="5">
        <f t="shared" si="86"/>
        <v>186480.29289473683</v>
      </c>
      <c r="Z87" s="5">
        <f t="shared" si="86"/>
        <v>186480.29289473683</v>
      </c>
      <c r="AA87" s="5">
        <f t="shared" si="86"/>
        <v>186480.29289473683</v>
      </c>
      <c r="AB87" s="5">
        <f t="shared" si="86"/>
        <v>186480.29289473683</v>
      </c>
      <c r="AC87" s="5">
        <f t="shared" si="86"/>
        <v>186480.29289473683</v>
      </c>
      <c r="AD87" s="5">
        <f t="shared" si="86"/>
        <v>186480.29289473683</v>
      </c>
      <c r="AE87" s="5">
        <f t="shared" si="86"/>
        <v>186480.29289473683</v>
      </c>
      <c r="AF87" s="5">
        <f t="shared" si="86"/>
        <v>186480.29289473683</v>
      </c>
      <c r="AG87" s="5">
        <f t="shared" si="86"/>
        <v>186480.29289473683</v>
      </c>
      <c r="AH87" s="5">
        <f t="shared" si="86"/>
        <v>186480.29289473683</v>
      </c>
    </row>
    <row r="88" spans="1:34" x14ac:dyDescent="0.35">
      <c r="A88" t="s">
        <v>108</v>
      </c>
      <c r="B88" s="3" t="s">
        <v>1262</v>
      </c>
      <c r="C88" s="4" t="s">
        <v>1263</v>
      </c>
      <c r="D88" s="2">
        <f t="shared" si="66"/>
        <v>2260310.4119717656</v>
      </c>
      <c r="E88" s="5">
        <v>41685.092901466254</v>
      </c>
      <c r="F88" s="5">
        <v>82927.834629820863</v>
      </c>
      <c r="G88" s="5">
        <v>182066.53872132298</v>
      </c>
      <c r="H88" s="5">
        <v>91306.48626170108</v>
      </c>
      <c r="I88" s="5">
        <v>46941.265664322804</v>
      </c>
      <c r="J88" s="5">
        <v>129244.60452033892</v>
      </c>
      <c r="K88" s="5">
        <v>125966.00170786402</v>
      </c>
      <c r="L88" s="5">
        <v>115531.71815387656</v>
      </c>
      <c r="M88" s="5">
        <v>177122.61384536882</v>
      </c>
      <c r="N88" s="5">
        <v>152481.05143732353</v>
      </c>
      <c r="O88" s="5">
        <v>141864.62328264298</v>
      </c>
      <c r="P88" s="5">
        <v>114751.09843662061</v>
      </c>
      <c r="Q88" s="5">
        <v>113788.33411867163</v>
      </c>
      <c r="R88" s="5">
        <v>126434.37353821758</v>
      </c>
      <c r="S88" s="5">
        <v>150581.54345866744</v>
      </c>
      <c r="T88" s="5">
        <v>142202.89182678721</v>
      </c>
      <c r="U88" s="5">
        <v>189274.26077731937</v>
      </c>
      <c r="V88" s="5">
        <v>136140.07868943288</v>
      </c>
      <c r="W88" s="5">
        <f t="shared" ref="W88:AH88" si="87">IF(OR((SLOPE($E88:$V88,$E$1:$V$1)*W$1+INTERCEPT($E88:$V88,$E$1:$V$1))&gt;(AVERAGE($E88:$V88)+_xlfn.STDEV.P($E88:$V88)),(SLOPE($E88:$V88,$E$1:$V$1)*W$1+INTERCEPT($E88:$V88,$E$1:$V$1))&lt;(AVERAGE($E88:$V88)-_xlfn.STDEV.P($E88:$V88))),V88,(SLOPE($E88:$V88,$E$1:$V$1)*W$1+INTERCEPT($E88:$V88,$E$1:$V$1)))</f>
        <v>164202.76228099019</v>
      </c>
      <c r="X88" s="5">
        <f t="shared" si="87"/>
        <v>164202.76228099019</v>
      </c>
      <c r="Y88" s="5">
        <f t="shared" si="87"/>
        <v>164202.76228099019</v>
      </c>
      <c r="Z88" s="5">
        <f t="shared" si="87"/>
        <v>164202.76228099019</v>
      </c>
      <c r="AA88" s="5">
        <f t="shared" si="87"/>
        <v>164202.76228099019</v>
      </c>
      <c r="AB88" s="5">
        <f t="shared" si="87"/>
        <v>164202.76228099019</v>
      </c>
      <c r="AC88" s="5">
        <f t="shared" si="87"/>
        <v>164202.76228099019</v>
      </c>
      <c r="AD88" s="5">
        <f t="shared" si="87"/>
        <v>164202.76228099019</v>
      </c>
      <c r="AE88" s="5">
        <f t="shared" si="87"/>
        <v>164202.76228099019</v>
      </c>
      <c r="AF88" s="5">
        <f t="shared" si="87"/>
        <v>164202.76228099019</v>
      </c>
      <c r="AG88" s="5">
        <f t="shared" si="87"/>
        <v>164202.76228099019</v>
      </c>
      <c r="AH88" s="5">
        <f t="shared" si="87"/>
        <v>164202.76228099019</v>
      </c>
    </row>
    <row r="89" spans="1:34" x14ac:dyDescent="0.35">
      <c r="A89" t="s">
        <v>109</v>
      </c>
      <c r="B89" s="3" t="s">
        <v>1262</v>
      </c>
      <c r="C89" s="4" t="s">
        <v>1263</v>
      </c>
      <c r="D89" s="2">
        <f t="shared" si="66"/>
        <v>2261006.9999999995</v>
      </c>
      <c r="E89" s="5">
        <v>72434.25</v>
      </c>
      <c r="F89" s="5">
        <v>159619.95000000001</v>
      </c>
      <c r="G89" s="5">
        <v>147514.5</v>
      </c>
      <c r="H89" s="5">
        <v>141693.29999999999</v>
      </c>
      <c r="I89" s="5">
        <v>109213.65</v>
      </c>
      <c r="J89" s="5">
        <v>120723.75</v>
      </c>
      <c r="K89" s="5">
        <v>113645.7</v>
      </c>
      <c r="L89" s="5">
        <v>105575.40000000001</v>
      </c>
      <c r="M89" s="5">
        <v>145926.9</v>
      </c>
      <c r="N89" s="5">
        <v>110801.25</v>
      </c>
      <c r="O89" s="5">
        <v>101804.85</v>
      </c>
      <c r="P89" s="5">
        <v>160479.9</v>
      </c>
      <c r="Q89" s="5">
        <v>102003.3</v>
      </c>
      <c r="R89" s="5">
        <v>128331</v>
      </c>
      <c r="S89" s="5">
        <v>155518.65</v>
      </c>
      <c r="T89" s="5">
        <v>120393</v>
      </c>
      <c r="U89" s="5">
        <v>112785.75</v>
      </c>
      <c r="V89" s="5">
        <v>152541.90000000002</v>
      </c>
      <c r="W89" s="5">
        <f t="shared" ref="W89:AH89" si="88">IF(OR((SLOPE($E89:$V89,$E$1:$V$1)*W$1+INTERCEPT($E89:$V89,$E$1:$V$1))&gt;(AVERAGE($E89:$V89)+_xlfn.STDEV.P($E89:$V89)),(SLOPE($E89:$V89,$E$1:$V$1)*W$1+INTERCEPT($E89:$V89,$E$1:$V$1))&lt;(AVERAGE($E89:$V89)-_xlfn.STDEV.P($E89:$V89))),V89,(SLOPE($E89:$V89,$E$1:$V$1)*W$1+INTERCEPT($E89:$V89,$E$1:$V$1)))</f>
        <v>132352.31470588234</v>
      </c>
      <c r="X89" s="5">
        <f t="shared" si="88"/>
        <v>133061.87414860679</v>
      </c>
      <c r="Y89" s="5">
        <f t="shared" si="88"/>
        <v>133771.43359133124</v>
      </c>
      <c r="Z89" s="5">
        <f t="shared" si="88"/>
        <v>134480.99303405572</v>
      </c>
      <c r="AA89" s="5">
        <f t="shared" si="88"/>
        <v>135190.55247678017</v>
      </c>
      <c r="AB89" s="5">
        <f t="shared" si="88"/>
        <v>135900.11191950462</v>
      </c>
      <c r="AC89" s="5">
        <f t="shared" si="88"/>
        <v>136609.67136222907</v>
      </c>
      <c r="AD89" s="5">
        <f t="shared" si="88"/>
        <v>137319.23080495355</v>
      </c>
      <c r="AE89" s="5">
        <f t="shared" si="88"/>
        <v>138028.790247678</v>
      </c>
      <c r="AF89" s="5">
        <f t="shared" si="88"/>
        <v>138738.34969040245</v>
      </c>
      <c r="AG89" s="5">
        <f t="shared" si="88"/>
        <v>139447.9091331269</v>
      </c>
      <c r="AH89" s="5">
        <f t="shared" si="88"/>
        <v>140157.46857585138</v>
      </c>
    </row>
    <row r="90" spans="1:34" x14ac:dyDescent="0.35">
      <c r="A90" t="s">
        <v>110</v>
      </c>
      <c r="B90" s="3" t="s">
        <v>1262</v>
      </c>
      <c r="C90" s="4" t="s">
        <v>1263</v>
      </c>
      <c r="D90" s="2">
        <f t="shared" si="66"/>
        <v>2249238.2976000002</v>
      </c>
      <c r="E90" s="5">
        <v>75899.980800000005</v>
      </c>
      <c r="F90" s="5">
        <v>155796.47999999998</v>
      </c>
      <c r="G90" s="5">
        <v>201632.25599999999</v>
      </c>
      <c r="H90" s="5">
        <v>129886.848</v>
      </c>
      <c r="I90" s="5">
        <v>68155.315199999997</v>
      </c>
      <c r="J90" s="5">
        <v>231775.48800000001</v>
      </c>
      <c r="K90" s="5">
        <v>137642.80320000005</v>
      </c>
      <c r="L90" s="5">
        <v>88397.567999999999</v>
      </c>
      <c r="M90" s="5">
        <v>157320.57599999991</v>
      </c>
      <c r="N90" s="5">
        <v>128136.95999999998</v>
      </c>
      <c r="O90" s="5">
        <v>106133.52959999998</v>
      </c>
      <c r="P90" s="5">
        <v>163834.67519999997</v>
      </c>
      <c r="Q90" s="5">
        <v>51141.887999999999</v>
      </c>
      <c r="R90" s="5">
        <v>102780.5184</v>
      </c>
      <c r="S90" s="5">
        <v>117603.7632</v>
      </c>
      <c r="T90" s="5">
        <v>125145.216</v>
      </c>
      <c r="U90" s="5">
        <v>104936.83199999998</v>
      </c>
      <c r="V90" s="5">
        <v>103017.59999999995</v>
      </c>
      <c r="W90" s="5">
        <f t="shared" ref="W90:AH90" si="89">IF(OR((SLOPE($E90:$V90,$E$1:$V$1)*W$1+INTERCEPT($E90:$V90,$E$1:$V$1))&gt;(AVERAGE($E90:$V90)+_xlfn.STDEV.P($E90:$V90)),(SLOPE($E90:$V90,$E$1:$V$1)*W$1+INTERCEPT($E90:$V90,$E$1:$V$1))&lt;(AVERAGE($E90:$V90)-_xlfn.STDEV.P($E90:$V90))),V90,(SLOPE($E90:$V90,$E$1:$V$1)*W$1+INTERCEPT($E90:$V90,$E$1:$V$1)))</f>
        <v>103103.12056470587</v>
      </c>
      <c r="X90" s="5">
        <f t="shared" si="89"/>
        <v>100802.64028730649</v>
      </c>
      <c r="Y90" s="5">
        <f t="shared" si="89"/>
        <v>98502.160009907107</v>
      </c>
      <c r="Z90" s="5">
        <f t="shared" si="89"/>
        <v>96201.679732507735</v>
      </c>
      <c r="AA90" s="5">
        <f t="shared" si="89"/>
        <v>93901.199455108348</v>
      </c>
      <c r="AB90" s="5">
        <f t="shared" si="89"/>
        <v>91600.719177708961</v>
      </c>
      <c r="AC90" s="5">
        <f t="shared" si="89"/>
        <v>89300.238900309574</v>
      </c>
      <c r="AD90" s="5">
        <f t="shared" si="89"/>
        <v>86999.758622910202</v>
      </c>
      <c r="AE90" s="5">
        <f t="shared" si="89"/>
        <v>84699.278345510829</v>
      </c>
      <c r="AF90" s="5">
        <f t="shared" si="89"/>
        <v>82398.798068111442</v>
      </c>
      <c r="AG90" s="5">
        <f t="shared" si="89"/>
        <v>82398.798068111442</v>
      </c>
      <c r="AH90" s="5">
        <f t="shared" si="89"/>
        <v>82398.798068111442</v>
      </c>
    </row>
    <row r="91" spans="1:34" x14ac:dyDescent="0.35">
      <c r="A91" t="s">
        <v>111</v>
      </c>
      <c r="B91" s="3" t="s">
        <v>1262</v>
      </c>
      <c r="C91" s="4" t="s">
        <v>1263</v>
      </c>
      <c r="D91" s="2">
        <f t="shared" si="66"/>
        <v>2136184.5429166663</v>
      </c>
      <c r="E91" s="5">
        <v>138609.60750000001</v>
      </c>
      <c r="F91" s="5">
        <v>86168.317083333328</v>
      </c>
      <c r="G91" s="5">
        <v>87015.527083333291</v>
      </c>
      <c r="H91" s="5">
        <v>152951.66249999998</v>
      </c>
      <c r="I91" s="5">
        <v>204016.23666666661</v>
      </c>
      <c r="J91" s="5">
        <v>40010.500833333332</v>
      </c>
      <c r="K91" s="5">
        <v>284390.24249999993</v>
      </c>
      <c r="L91" s="5">
        <v>7347.529583333333</v>
      </c>
      <c r="M91" s="5">
        <v>0</v>
      </c>
      <c r="N91" s="5">
        <v>95.81541666666665</v>
      </c>
      <c r="O91" s="5">
        <v>1190.1283333333333</v>
      </c>
      <c r="P91" s="5">
        <v>12627.46333333333</v>
      </c>
      <c r="Q91" s="5">
        <v>106405.54166666664</v>
      </c>
      <c r="R91" s="5">
        <v>165548.86833333329</v>
      </c>
      <c r="S91" s="5">
        <v>195070.10249999998</v>
      </c>
      <c r="T91" s="5">
        <v>212246.27666666664</v>
      </c>
      <c r="U91" s="5">
        <v>122376.45874999995</v>
      </c>
      <c r="V91" s="5">
        <v>320114.26416666672</v>
      </c>
      <c r="W91" s="5">
        <f t="shared" ref="W91:AH91" si="90">IF(OR((SLOPE($E91:$V91,$E$1:$V$1)*W$1+INTERCEPT($E91:$V91,$E$1:$V$1))&gt;(AVERAGE($E91:$V91)+_xlfn.STDEV.P($E91:$V91)),(SLOPE($E91:$V91,$E$1:$V$1)*W$1+INTERCEPT($E91:$V91,$E$1:$V$1))&lt;(AVERAGE($E91:$V91)-_xlfn.STDEV.P($E91:$V91))),V91,(SLOPE($E91:$V91,$E$1:$V$1)*W$1+INTERCEPT($E91:$V91,$E$1:$V$1)))</f>
        <v>162415.86571350761</v>
      </c>
      <c r="X91" s="5">
        <f t="shared" si="90"/>
        <v>167019.96536220043</v>
      </c>
      <c r="Y91" s="5">
        <f t="shared" si="90"/>
        <v>171624.06501089322</v>
      </c>
      <c r="Z91" s="5">
        <f t="shared" si="90"/>
        <v>176228.16465958604</v>
      </c>
      <c r="AA91" s="5">
        <f t="shared" si="90"/>
        <v>180832.26430827886</v>
      </c>
      <c r="AB91" s="5">
        <f t="shared" si="90"/>
        <v>185436.36395697168</v>
      </c>
      <c r="AC91" s="5">
        <f t="shared" si="90"/>
        <v>190040.46360566447</v>
      </c>
      <c r="AD91" s="5">
        <f t="shared" si="90"/>
        <v>194644.56325435729</v>
      </c>
      <c r="AE91" s="5">
        <f t="shared" si="90"/>
        <v>199248.66290305008</v>
      </c>
      <c r="AF91" s="5">
        <f t="shared" si="90"/>
        <v>203852.7625517429</v>
      </c>
      <c r="AG91" s="5">
        <f t="shared" si="90"/>
        <v>208456.86220043572</v>
      </c>
      <c r="AH91" s="5">
        <f t="shared" si="90"/>
        <v>213060.96184912854</v>
      </c>
    </row>
    <row r="92" spans="1:34" x14ac:dyDescent="0.35">
      <c r="A92" t="s">
        <v>112</v>
      </c>
      <c r="B92" s="3" t="s">
        <v>1264</v>
      </c>
      <c r="C92" s="4" t="s">
        <v>1263</v>
      </c>
      <c r="D92" s="2">
        <f t="shared" si="66"/>
        <v>2152627.1046000007</v>
      </c>
      <c r="E92" s="5">
        <v>86638.242600000027</v>
      </c>
      <c r="F92" s="5">
        <v>92078.154000000039</v>
      </c>
      <c r="G92" s="5">
        <v>130086.88560000005</v>
      </c>
      <c r="H92" s="5">
        <v>127072.56240000004</v>
      </c>
      <c r="I92" s="5">
        <v>118147.33980000005</v>
      </c>
      <c r="J92" s="5">
        <v>110823.47640000001</v>
      </c>
      <c r="K92" s="5">
        <v>121985.89200000004</v>
      </c>
      <c r="L92" s="5">
        <v>103217.02020000003</v>
      </c>
      <c r="M92" s="5">
        <v>160135.92000000004</v>
      </c>
      <c r="N92" s="5">
        <v>115038.81900000002</v>
      </c>
      <c r="O92" s="5">
        <v>129403.95300000004</v>
      </c>
      <c r="P92" s="5">
        <v>146383.07040000008</v>
      </c>
      <c r="Q92" s="5">
        <v>78184.008000000016</v>
      </c>
      <c r="R92" s="5">
        <v>135173.55600000004</v>
      </c>
      <c r="S92" s="5">
        <v>124175.98620000004</v>
      </c>
      <c r="T92" s="5">
        <v>131170.15800000002</v>
      </c>
      <c r="U92" s="5">
        <v>125400.55500000002</v>
      </c>
      <c r="V92" s="5">
        <v>117511.50600000002</v>
      </c>
      <c r="W92" s="5">
        <f t="shared" ref="W92:AH92" si="91">IF(OR((SLOPE($E92:$V92,$E$1:$V$1)*W$1+INTERCEPT($E92:$V92,$E$1:$V$1))&gt;(AVERAGE($E92:$V92)+_xlfn.STDEV.P($E92:$V92)),(SLOPE($E92:$V92,$E$1:$V$1)*W$1+INTERCEPT($E92:$V92,$E$1:$V$1))&lt;(AVERAGE($E92:$V92)-_xlfn.STDEV.P($E92:$V92))),V92,(SLOPE($E92:$V92,$E$1:$V$1)*W$1+INTERCEPT($E92:$V92,$E$1:$V$1)))</f>
        <v>130248.34521176474</v>
      </c>
      <c r="X92" s="5">
        <f t="shared" si="91"/>
        <v>131370.2347393189</v>
      </c>
      <c r="Y92" s="5">
        <f t="shared" si="91"/>
        <v>132492.12426687308</v>
      </c>
      <c r="Z92" s="5">
        <f t="shared" si="91"/>
        <v>133614.01379442727</v>
      </c>
      <c r="AA92" s="5">
        <f t="shared" si="91"/>
        <v>134735.90332198146</v>
      </c>
      <c r="AB92" s="5">
        <f t="shared" si="91"/>
        <v>135857.79284953565</v>
      </c>
      <c r="AC92" s="5">
        <f t="shared" si="91"/>
        <v>136979.6823770898</v>
      </c>
      <c r="AD92" s="5">
        <f t="shared" si="91"/>
        <v>138101.57190464399</v>
      </c>
      <c r="AE92" s="5">
        <f t="shared" si="91"/>
        <v>139223.46143219818</v>
      </c>
      <c r="AF92" s="5">
        <f t="shared" si="91"/>
        <v>139223.46143219818</v>
      </c>
      <c r="AG92" s="5">
        <f t="shared" si="91"/>
        <v>139223.46143219818</v>
      </c>
      <c r="AH92" s="5">
        <f t="shared" si="91"/>
        <v>139223.46143219818</v>
      </c>
    </row>
    <row r="93" spans="1:34" x14ac:dyDescent="0.35">
      <c r="A93" t="s">
        <v>113</v>
      </c>
      <c r="B93" s="3" t="s">
        <v>1262</v>
      </c>
      <c r="C93" s="4" t="s">
        <v>1263</v>
      </c>
      <c r="D93" s="2">
        <f t="shared" si="66"/>
        <v>2057186.4019895401</v>
      </c>
      <c r="E93" s="5">
        <v>83850.99956075284</v>
      </c>
      <c r="F93" s="5">
        <v>146192.72263843569</v>
      </c>
      <c r="G93" s="5">
        <v>140212.33969104005</v>
      </c>
      <c r="H93" s="5">
        <v>84780.722960137849</v>
      </c>
      <c r="I93" s="5">
        <v>117647.70151137089</v>
      </c>
      <c r="J93" s="5">
        <v>85660.19104063719</v>
      </c>
      <c r="K93" s="5">
        <v>99945.265433890992</v>
      </c>
      <c r="L93" s="5">
        <v>103048.53137508155</v>
      </c>
      <c r="M93" s="5">
        <v>140212.33969104002</v>
      </c>
      <c r="N93" s="5">
        <v>54260.667800865936</v>
      </c>
      <c r="O93" s="5">
        <v>205393.48828576368</v>
      </c>
      <c r="P93" s="5">
        <v>145916.31838456445</v>
      </c>
      <c r="Q93" s="5">
        <v>139282.61629165502</v>
      </c>
      <c r="R93" s="5">
        <v>102897.76541842456</v>
      </c>
      <c r="S93" s="5">
        <v>104093.84200790369</v>
      </c>
      <c r="T93" s="5">
        <v>114403.7206773004</v>
      </c>
      <c r="U93" s="5">
        <v>105159.25476828002</v>
      </c>
      <c r="V93" s="5">
        <v>84227.914452395416</v>
      </c>
      <c r="W93" s="5">
        <f t="shared" ref="W93:AH93" si="92">IF(OR((SLOPE($E93:$V93,$E$1:$V$1)*W$1+INTERCEPT($E93:$V93,$E$1:$V$1))&gt;(AVERAGE($E93:$V93)+_xlfn.STDEV.P($E93:$V93)),(SLOPE($E93:$V93,$E$1:$V$1)*W$1+INTERCEPT($E93:$V93,$E$1:$V$1))&lt;(AVERAGE($E93:$V93)-_xlfn.STDEV.P($E93:$V93))),V93,(SLOPE($E93:$V93,$E$1:$V$1)*W$1+INTERCEPT($E93:$V93,$E$1:$V$1)))</f>
        <v>113909.54337492456</v>
      </c>
      <c r="X93" s="5">
        <f t="shared" si="92"/>
        <v>113869.69178872048</v>
      </c>
      <c r="Y93" s="5">
        <f t="shared" si="92"/>
        <v>113829.8402025164</v>
      </c>
      <c r="Z93" s="5">
        <f t="shared" si="92"/>
        <v>113789.98861631232</v>
      </c>
      <c r="AA93" s="5">
        <f t="shared" si="92"/>
        <v>113750.13703010824</v>
      </c>
      <c r="AB93" s="5">
        <f t="shared" si="92"/>
        <v>113710.28544390415</v>
      </c>
      <c r="AC93" s="5">
        <f t="shared" si="92"/>
        <v>113670.43385770007</v>
      </c>
      <c r="AD93" s="5">
        <f t="shared" si="92"/>
        <v>113630.58227149599</v>
      </c>
      <c r="AE93" s="5">
        <f t="shared" si="92"/>
        <v>113590.73068529191</v>
      </c>
      <c r="AF93" s="5">
        <f t="shared" si="92"/>
        <v>113550.87909908783</v>
      </c>
      <c r="AG93" s="5">
        <f t="shared" si="92"/>
        <v>113511.02751288375</v>
      </c>
      <c r="AH93" s="5">
        <f t="shared" si="92"/>
        <v>113471.17592667967</v>
      </c>
    </row>
    <row r="94" spans="1:34" x14ac:dyDescent="0.35">
      <c r="A94" t="s">
        <v>114</v>
      </c>
      <c r="B94" s="3" t="s">
        <v>1265</v>
      </c>
      <c r="C94" s="4" t="s">
        <v>1263</v>
      </c>
      <c r="D94" s="2">
        <f t="shared" si="66"/>
        <v>2048909.8944283284</v>
      </c>
      <c r="E94" s="5">
        <v>91429.585137468108</v>
      </c>
      <c r="F94" s="5">
        <v>94399.846876222582</v>
      </c>
      <c r="G94" s="5">
        <v>130843.92076471754</v>
      </c>
      <c r="H94" s="5">
        <v>127510.48291816775</v>
      </c>
      <c r="I94" s="5">
        <v>119394.1454377066</v>
      </c>
      <c r="J94" s="5">
        <v>101780.10420963427</v>
      </c>
      <c r="K94" s="5">
        <v>112441.91708848221</v>
      </c>
      <c r="L94" s="5">
        <v>99367.577207851224</v>
      </c>
      <c r="M94" s="5">
        <v>167271.78143411444</v>
      </c>
      <c r="N94" s="5">
        <v>102499.9711375857</v>
      </c>
      <c r="O94" s="5">
        <v>114685.82661164604</v>
      </c>
      <c r="P94" s="5">
        <v>164933.8352401822</v>
      </c>
      <c r="Q94" s="5">
        <v>58607.544395467383</v>
      </c>
      <c r="R94" s="5">
        <v>103563.55831041481</v>
      </c>
      <c r="S94" s="5">
        <v>110496.33079672165</v>
      </c>
      <c r="T94" s="5">
        <v>119906.48316120352</v>
      </c>
      <c r="U94" s="5">
        <v>112636.47571765825</v>
      </c>
      <c r="V94" s="5">
        <v>117140.50798308397</v>
      </c>
      <c r="W94" s="5">
        <f t="shared" ref="W94:AH94" si="93">IF(OR((SLOPE($E94:$V94,$E$1:$V$1)*W$1+INTERCEPT($E94:$V94,$E$1:$V$1))&gt;(AVERAGE($E94:$V94)+_xlfn.STDEV.P($E94:$V94)),(SLOPE($E94:$V94,$E$1:$V$1)*W$1+INTERCEPT($E94:$V94,$E$1:$V$1))&lt;(AVERAGE($E94:$V94)-_xlfn.STDEV.P($E94:$V94))),V94,(SLOPE($E94:$V94,$E$1:$V$1)*W$1+INTERCEPT($E94:$V94,$E$1:$V$1)))</f>
        <v>115595.50476867161</v>
      </c>
      <c r="X94" s="5">
        <f t="shared" si="93"/>
        <v>115781.52343187488</v>
      </c>
      <c r="Y94" s="5">
        <f t="shared" si="93"/>
        <v>115967.54209507817</v>
      </c>
      <c r="Z94" s="5">
        <f t="shared" si="93"/>
        <v>116153.56075828144</v>
      </c>
      <c r="AA94" s="5">
        <f t="shared" si="93"/>
        <v>116339.57942148473</v>
      </c>
      <c r="AB94" s="5">
        <f t="shared" si="93"/>
        <v>116525.598084688</v>
      </c>
      <c r="AC94" s="5">
        <f t="shared" si="93"/>
        <v>116711.61674789128</v>
      </c>
      <c r="AD94" s="5">
        <f t="shared" si="93"/>
        <v>116897.63541109455</v>
      </c>
      <c r="AE94" s="5">
        <f t="shared" si="93"/>
        <v>117083.65407429784</v>
      </c>
      <c r="AF94" s="5">
        <f t="shared" si="93"/>
        <v>117269.67273750111</v>
      </c>
      <c r="AG94" s="5">
        <f t="shared" si="93"/>
        <v>117455.6914007044</v>
      </c>
      <c r="AH94" s="5">
        <f t="shared" si="93"/>
        <v>117641.71006390767</v>
      </c>
    </row>
    <row r="95" spans="1:34" x14ac:dyDescent="0.35">
      <c r="A95" t="s">
        <v>115</v>
      </c>
      <c r="B95" s="3" t="s">
        <v>1262</v>
      </c>
      <c r="C95" s="4" t="s">
        <v>1263</v>
      </c>
      <c r="D95" s="2">
        <f t="shared" si="66"/>
        <v>2029376.1599999997</v>
      </c>
      <c r="E95" s="5">
        <v>70489.439999999988</v>
      </c>
      <c r="F95" s="5">
        <v>122298.12</v>
      </c>
      <c r="G95" s="5">
        <v>111237.84</v>
      </c>
      <c r="H95" s="5">
        <v>123197.75999999999</v>
      </c>
      <c r="I95" s="5">
        <v>102506.04</v>
      </c>
      <c r="J95" s="5">
        <v>113354.63999999998</v>
      </c>
      <c r="K95" s="5">
        <v>120022.55999999997</v>
      </c>
      <c r="L95" s="5">
        <v>101288.88000000002</v>
      </c>
      <c r="M95" s="5">
        <v>125049.95999999999</v>
      </c>
      <c r="N95" s="5">
        <v>108538.91999999998</v>
      </c>
      <c r="O95" s="5">
        <v>137697.84000000003</v>
      </c>
      <c r="P95" s="5">
        <v>156484.44</v>
      </c>
      <c r="Q95" s="5">
        <v>77633.639999999985</v>
      </c>
      <c r="R95" s="5">
        <v>108433.07999999996</v>
      </c>
      <c r="S95" s="5">
        <v>122774.39999999997</v>
      </c>
      <c r="T95" s="5">
        <v>127166.75999999998</v>
      </c>
      <c r="U95" s="5">
        <v>104464.07999999997</v>
      </c>
      <c r="V95" s="5">
        <v>96737.76</v>
      </c>
      <c r="W95" s="5">
        <f t="shared" ref="W95:AH95" si="94">IF(OR((SLOPE($E95:$V95,$E$1:$V$1)*W$1+INTERCEPT($E95:$V95,$E$1:$V$1))&gt;(AVERAGE($E95:$V95)+_xlfn.STDEV.P($E95:$V95)),(SLOPE($E95:$V95,$E$1:$V$1)*W$1+INTERCEPT($E95:$V95,$E$1:$V$1))&lt;(AVERAGE($E95:$V95)-_xlfn.STDEV.P($E95:$V95))),V95,(SLOPE($E95:$V95,$E$1:$V$1)*W$1+INTERCEPT($E95:$V95,$E$1:$V$1)))</f>
        <v>117247.5458823529</v>
      </c>
      <c r="X95" s="5">
        <f t="shared" si="94"/>
        <v>117721.69597523217</v>
      </c>
      <c r="Y95" s="5">
        <f t="shared" si="94"/>
        <v>118195.84606811142</v>
      </c>
      <c r="Z95" s="5">
        <f t="shared" si="94"/>
        <v>118669.99616099067</v>
      </c>
      <c r="AA95" s="5">
        <f t="shared" si="94"/>
        <v>119144.14625386993</v>
      </c>
      <c r="AB95" s="5">
        <f t="shared" si="94"/>
        <v>119618.29634674919</v>
      </c>
      <c r="AC95" s="5">
        <f t="shared" si="94"/>
        <v>120092.44643962845</v>
      </c>
      <c r="AD95" s="5">
        <f t="shared" si="94"/>
        <v>120566.5965325077</v>
      </c>
      <c r="AE95" s="5">
        <f t="shared" si="94"/>
        <v>121040.74662538696</v>
      </c>
      <c r="AF95" s="5">
        <f t="shared" si="94"/>
        <v>121514.89671826622</v>
      </c>
      <c r="AG95" s="5">
        <f t="shared" si="94"/>
        <v>121989.04681114547</v>
      </c>
      <c r="AH95" s="5">
        <f t="shared" si="94"/>
        <v>122463.19690402472</v>
      </c>
    </row>
    <row r="96" spans="1:34" x14ac:dyDescent="0.35">
      <c r="A96" t="s">
        <v>116</v>
      </c>
      <c r="B96" s="3" t="s">
        <v>1266</v>
      </c>
      <c r="C96" s="4" t="s">
        <v>1263</v>
      </c>
      <c r="D96" s="2">
        <f t="shared" si="66"/>
        <v>2014877.951616152</v>
      </c>
      <c r="E96" s="5">
        <v>0</v>
      </c>
      <c r="F96" s="5">
        <v>0</v>
      </c>
      <c r="G96" s="5">
        <v>0</v>
      </c>
      <c r="H96" s="5">
        <v>77188.153867004439</v>
      </c>
      <c r="I96" s="5">
        <v>231529.31216846913</v>
      </c>
      <c r="J96" s="5">
        <v>0</v>
      </c>
      <c r="K96" s="5">
        <v>67543.149576883312</v>
      </c>
      <c r="L96" s="5">
        <v>0</v>
      </c>
      <c r="M96" s="5">
        <v>308520.62921322626</v>
      </c>
      <c r="N96" s="5">
        <v>0</v>
      </c>
      <c r="O96" s="5">
        <v>232119.82263521125</v>
      </c>
      <c r="P96" s="5">
        <v>230608.39703581179</v>
      </c>
      <c r="Q96" s="5">
        <v>0</v>
      </c>
      <c r="R96" s="5">
        <v>152787.55338301224</v>
      </c>
      <c r="S96" s="5">
        <v>153532.72135294872</v>
      </c>
      <c r="T96" s="5">
        <v>177581.96309967199</v>
      </c>
      <c r="U96" s="5">
        <v>151402.66574077183</v>
      </c>
      <c r="V96" s="5">
        <v>232063.58354314059</v>
      </c>
      <c r="W96" s="5">
        <f t="shared" ref="W96:AH96" si="95">IF(OR((SLOPE($E96:$V96,$E$1:$V$1)*W$1+INTERCEPT($E96:$V96,$E$1:$V$1))&gt;(AVERAGE($E96:$V96)+_xlfn.STDEV.P($E96:$V96)),(SLOPE($E96:$V96,$E$1:$V$1)*W$1+INTERCEPT($E96:$V96,$E$1:$V$1))&lt;(AVERAGE($E96:$V96)-_xlfn.STDEV.P($E96:$V96))),V96,(SLOPE($E96:$V96,$E$1:$V$1)*W$1+INTERCEPT($E96:$V96,$E$1:$V$1)))</f>
        <v>208594.19256596948</v>
      </c>
      <c r="X96" s="5">
        <f t="shared" si="95"/>
        <v>208594.19256596948</v>
      </c>
      <c r="Y96" s="5">
        <f t="shared" si="95"/>
        <v>208594.19256596948</v>
      </c>
      <c r="Z96" s="5">
        <f t="shared" si="95"/>
        <v>208594.19256596948</v>
      </c>
      <c r="AA96" s="5">
        <f t="shared" si="95"/>
        <v>208594.19256596948</v>
      </c>
      <c r="AB96" s="5">
        <f t="shared" si="95"/>
        <v>208594.19256596948</v>
      </c>
      <c r="AC96" s="5">
        <f t="shared" si="95"/>
        <v>208594.19256596948</v>
      </c>
      <c r="AD96" s="5">
        <f t="shared" si="95"/>
        <v>208594.19256596948</v>
      </c>
      <c r="AE96" s="5">
        <f t="shared" si="95"/>
        <v>208594.19256596948</v>
      </c>
      <c r="AF96" s="5">
        <f t="shared" si="95"/>
        <v>208594.19256596948</v>
      </c>
      <c r="AG96" s="5">
        <f t="shared" si="95"/>
        <v>208594.19256596948</v>
      </c>
      <c r="AH96" s="5">
        <f t="shared" si="95"/>
        <v>208594.19256596948</v>
      </c>
    </row>
    <row r="97" spans="1:34" x14ac:dyDescent="0.35">
      <c r="A97" t="s">
        <v>117</v>
      </c>
      <c r="B97" s="3" t="s">
        <v>1262</v>
      </c>
      <c r="C97" s="4" t="s">
        <v>1263</v>
      </c>
      <c r="D97" s="2">
        <f t="shared" si="66"/>
        <v>1961299.3428000004</v>
      </c>
      <c r="E97" s="5">
        <v>90410.291999999972</v>
      </c>
      <c r="F97" s="5">
        <v>79085.411999999997</v>
      </c>
      <c r="G97" s="5">
        <v>122874.94799999999</v>
      </c>
      <c r="H97" s="5">
        <v>231744.79439999998</v>
      </c>
      <c r="I97" s="5">
        <v>110040.08399999999</v>
      </c>
      <c r="J97" s="5">
        <v>158435.07119999995</v>
      </c>
      <c r="K97" s="5">
        <v>65778.678000000014</v>
      </c>
      <c r="L97" s="5">
        <v>16798.571999999996</v>
      </c>
      <c r="M97" s="5">
        <v>102678.91199999998</v>
      </c>
      <c r="N97" s="5">
        <v>88522.811999999991</v>
      </c>
      <c r="O97" s="5">
        <v>113343.17400000001</v>
      </c>
      <c r="P97" s="5">
        <v>127782.39599999999</v>
      </c>
      <c r="Q97" s="5">
        <v>73083.225599999991</v>
      </c>
      <c r="R97" s="5">
        <v>109473.84</v>
      </c>
      <c r="S97" s="5">
        <v>208906.28639999998</v>
      </c>
      <c r="T97" s="5">
        <v>81878.882399999988</v>
      </c>
      <c r="U97" s="5">
        <v>94468.374000000011</v>
      </c>
      <c r="V97" s="5">
        <v>85993.588799999983</v>
      </c>
      <c r="W97" s="5">
        <f t="shared" ref="W97:AH97" si="96">IF(OR((SLOPE($E97:$V97,$E$1:$V$1)*W$1+INTERCEPT($E97:$V97,$E$1:$V$1))&gt;(AVERAGE($E97:$V97)+_xlfn.STDEV.P($E97:$V97)),(SLOPE($E97:$V97,$E$1:$V$1)*W$1+INTERCEPT($E97:$V97,$E$1:$V$1))&lt;(AVERAGE($E97:$V97)-_xlfn.STDEV.P($E97:$V97))),V97,(SLOPE($E97:$V97,$E$1:$V$1)*W$1+INTERCEPT($E97:$V97,$E$1:$V$1)))</f>
        <v>102631.91004705886</v>
      </c>
      <c r="X97" s="5">
        <f t="shared" si="96"/>
        <v>101965.68219938084</v>
      </c>
      <c r="Y97" s="5">
        <f t="shared" si="96"/>
        <v>101299.45435170282</v>
      </c>
      <c r="Z97" s="5">
        <f t="shared" si="96"/>
        <v>100633.2265040248</v>
      </c>
      <c r="AA97" s="5">
        <f t="shared" si="96"/>
        <v>99966.998656346783</v>
      </c>
      <c r="AB97" s="5">
        <f t="shared" si="96"/>
        <v>99300.770808668763</v>
      </c>
      <c r="AC97" s="5">
        <f t="shared" si="96"/>
        <v>98634.542960990744</v>
      </c>
      <c r="AD97" s="5">
        <f t="shared" si="96"/>
        <v>97968.315113312739</v>
      </c>
      <c r="AE97" s="5">
        <f t="shared" si="96"/>
        <v>97302.087265634706</v>
      </c>
      <c r="AF97" s="5">
        <f t="shared" si="96"/>
        <v>96635.859417956701</v>
      </c>
      <c r="AG97" s="5">
        <f t="shared" si="96"/>
        <v>95969.631570278681</v>
      </c>
      <c r="AH97" s="5">
        <f t="shared" si="96"/>
        <v>95303.403722600662</v>
      </c>
    </row>
    <row r="98" spans="1:34" x14ac:dyDescent="0.35">
      <c r="A98" t="s">
        <v>118</v>
      </c>
      <c r="B98" s="3" t="s">
        <v>1265</v>
      </c>
      <c r="C98" s="4" t="s">
        <v>1263</v>
      </c>
      <c r="D98" s="2">
        <f t="shared" si="66"/>
        <v>1959936.2999999998</v>
      </c>
      <c r="E98" s="5">
        <v>54992.7</v>
      </c>
      <c r="F98" s="5">
        <v>115321.5</v>
      </c>
      <c r="G98" s="5">
        <v>94903.2</v>
      </c>
      <c r="H98" s="5">
        <v>99666</v>
      </c>
      <c r="I98" s="5">
        <v>108927</v>
      </c>
      <c r="J98" s="5">
        <v>69589.8</v>
      </c>
      <c r="K98" s="5">
        <v>93051</v>
      </c>
      <c r="L98" s="5">
        <v>118717.2</v>
      </c>
      <c r="M98" s="5">
        <v>143369.1</v>
      </c>
      <c r="N98" s="5">
        <v>102620.7</v>
      </c>
      <c r="O98" s="5">
        <v>102312</v>
      </c>
      <c r="P98" s="5">
        <v>145309.5</v>
      </c>
      <c r="Q98" s="5">
        <v>78233.399999999994</v>
      </c>
      <c r="R98" s="5">
        <v>113910.30000000003</v>
      </c>
      <c r="S98" s="5">
        <v>153600.30000000002</v>
      </c>
      <c r="T98" s="5">
        <v>139444.19999999998</v>
      </c>
      <c r="U98" s="5">
        <v>99401.400000000009</v>
      </c>
      <c r="V98" s="5">
        <v>126567</v>
      </c>
      <c r="W98" s="5">
        <f t="shared" ref="W98:AH98" si="97">IF(OR((SLOPE($E98:$V98,$E$1:$V$1)*W$1+INTERCEPT($E98:$V98,$E$1:$V$1))&gt;(AVERAGE($E98:$V98)+_xlfn.STDEV.P($E98:$V98)),(SLOPE($E98:$V98,$E$1:$V$1)*W$1+INTERCEPT($E98:$V98,$E$1:$V$1))&lt;(AVERAGE($E98:$V98)-_xlfn.STDEV.P($E98:$V98))),V98,(SLOPE($E98:$V98,$E$1:$V$1)*W$1+INTERCEPT($E98:$V98,$E$1:$V$1)))</f>
        <v>132679.0294117647</v>
      </c>
      <c r="X98" s="5">
        <f t="shared" si="97"/>
        <v>132679.0294117647</v>
      </c>
      <c r="Y98" s="5">
        <f t="shared" si="97"/>
        <v>132679.0294117647</v>
      </c>
      <c r="Z98" s="5">
        <f t="shared" si="97"/>
        <v>132679.0294117647</v>
      </c>
      <c r="AA98" s="5">
        <f t="shared" si="97"/>
        <v>132679.0294117647</v>
      </c>
      <c r="AB98" s="5">
        <f t="shared" si="97"/>
        <v>132679.0294117647</v>
      </c>
      <c r="AC98" s="5">
        <f t="shared" si="97"/>
        <v>132679.0294117647</v>
      </c>
      <c r="AD98" s="5">
        <f t="shared" si="97"/>
        <v>132679.0294117647</v>
      </c>
      <c r="AE98" s="5">
        <f t="shared" si="97"/>
        <v>132679.0294117647</v>
      </c>
      <c r="AF98" s="5">
        <f t="shared" si="97"/>
        <v>132679.0294117647</v>
      </c>
      <c r="AG98" s="5">
        <f t="shared" si="97"/>
        <v>132679.0294117647</v>
      </c>
      <c r="AH98" s="5">
        <f t="shared" si="97"/>
        <v>132679.0294117647</v>
      </c>
    </row>
    <row r="99" spans="1:34" x14ac:dyDescent="0.35">
      <c r="A99" t="s">
        <v>119</v>
      </c>
      <c r="B99" s="3" t="s">
        <v>1262</v>
      </c>
      <c r="C99" s="4" t="s">
        <v>1263</v>
      </c>
      <c r="D99" s="2">
        <f t="shared" si="66"/>
        <v>1931373.2571819429</v>
      </c>
      <c r="E99" s="5">
        <v>22973.259888871267</v>
      </c>
      <c r="F99" s="5">
        <v>29187.338383402017</v>
      </c>
      <c r="G99" s="5">
        <v>187552.18728947366</v>
      </c>
      <c r="H99" s="5">
        <v>74004.025707593508</v>
      </c>
      <c r="I99" s="5">
        <v>91328.123328709553</v>
      </c>
      <c r="J99" s="5">
        <v>76263.690614695617</v>
      </c>
      <c r="K99" s="5">
        <v>155954.53967182935</v>
      </c>
      <c r="L99" s="5">
        <v>106015.94522487317</v>
      </c>
      <c r="M99" s="5">
        <v>141718.6507570862</v>
      </c>
      <c r="N99" s="5">
        <v>111853.41290155356</v>
      </c>
      <c r="O99" s="5">
        <v>117502.57516930877</v>
      </c>
      <c r="P99" s="5">
        <v>99801.86673034243</v>
      </c>
      <c r="Q99" s="5">
        <v>92269.650373335433</v>
      </c>
      <c r="R99" s="5">
        <v>115694.84324362711</v>
      </c>
      <c r="S99" s="5">
        <v>129930.73215837029</v>
      </c>
      <c r="T99" s="5">
        <v>152791.00880188643</v>
      </c>
      <c r="U99" s="5">
        <v>111100.19126585287</v>
      </c>
      <c r="V99" s="5">
        <v>115431.21567113188</v>
      </c>
      <c r="W99" s="5">
        <f t="shared" ref="W99:AH99" si="98">IF(OR((SLOPE($E99:$V99,$E$1:$V$1)*W$1+INTERCEPT($E99:$V99,$E$1:$V$1))&gt;(AVERAGE($E99:$V99)+_xlfn.STDEV.P($E99:$V99)),(SLOPE($E99:$V99,$E$1:$V$1)*W$1+INTERCEPT($E99:$V99,$E$1:$V$1))&lt;(AVERAGE($E99:$V99)-_xlfn.STDEV.P($E99:$V99))),V99,(SLOPE($E99:$V99,$E$1:$V$1)*W$1+INTERCEPT($E99:$V99,$E$1:$V$1)))</f>
        <v>136896.06308171101</v>
      </c>
      <c r="X99" s="5">
        <f t="shared" si="98"/>
        <v>140011.59453369261</v>
      </c>
      <c r="Y99" s="5">
        <f t="shared" si="98"/>
        <v>143127.12598567421</v>
      </c>
      <c r="Z99" s="5">
        <f t="shared" si="98"/>
        <v>146242.65743765584</v>
      </c>
      <c r="AA99" s="5">
        <f t="shared" si="98"/>
        <v>146242.65743765584</v>
      </c>
      <c r="AB99" s="5">
        <f t="shared" si="98"/>
        <v>146242.65743765584</v>
      </c>
      <c r="AC99" s="5">
        <f t="shared" si="98"/>
        <v>146242.65743765584</v>
      </c>
      <c r="AD99" s="5">
        <f t="shared" si="98"/>
        <v>146242.65743765584</v>
      </c>
      <c r="AE99" s="5">
        <f t="shared" si="98"/>
        <v>146242.65743765584</v>
      </c>
      <c r="AF99" s="5">
        <f t="shared" si="98"/>
        <v>146242.65743765584</v>
      </c>
      <c r="AG99" s="5">
        <f t="shared" si="98"/>
        <v>146242.65743765584</v>
      </c>
      <c r="AH99" s="5">
        <f t="shared" si="98"/>
        <v>146242.65743765584</v>
      </c>
    </row>
    <row r="100" spans="1:34" x14ac:dyDescent="0.35">
      <c r="A100" t="s">
        <v>120</v>
      </c>
      <c r="B100" s="3" t="s">
        <v>1262</v>
      </c>
      <c r="C100" s="4" t="s">
        <v>1263</v>
      </c>
      <c r="D100" s="2">
        <f t="shared" si="66"/>
        <v>1943582.5585885805</v>
      </c>
      <c r="E100" s="5">
        <v>0</v>
      </c>
      <c r="F100" s="5">
        <v>3421.8509042925984</v>
      </c>
      <c r="G100" s="5">
        <v>8655.2699343871609</v>
      </c>
      <c r="H100" s="5">
        <v>42039.882538451937</v>
      </c>
      <c r="I100" s="5">
        <v>74073.007810569194</v>
      </c>
      <c r="J100" s="5">
        <v>16735.438876456239</v>
      </c>
      <c r="K100" s="5">
        <v>106738.74417423634</v>
      </c>
      <c r="L100" s="5">
        <v>101677.85544183724</v>
      </c>
      <c r="M100" s="5">
        <v>103978.25941110952</v>
      </c>
      <c r="N100" s="5">
        <v>113352.40558589432</v>
      </c>
      <c r="O100" s="5">
        <v>106968.78457116362</v>
      </c>
      <c r="P100" s="5">
        <v>37065.258954900506</v>
      </c>
      <c r="Q100" s="5">
        <v>202320.52909750195</v>
      </c>
      <c r="R100" s="5">
        <v>188949.43102610647</v>
      </c>
      <c r="S100" s="5">
        <v>186447.74170952282</v>
      </c>
      <c r="T100" s="5">
        <v>162466.03032985871</v>
      </c>
      <c r="U100" s="5">
        <v>315615.42458416446</v>
      </c>
      <c r="V100" s="5">
        <v>173076.64363812734</v>
      </c>
      <c r="W100" s="5">
        <f t="shared" ref="W100:AH100" si="99">IF(OR((SLOPE($E100:$V100,$E$1:$V$1)*W$1+INTERCEPT($E100:$V100,$E$1:$V$1))&gt;(AVERAGE($E100:$V100)+_xlfn.STDEV.P($E100:$V100)),(SLOPE($E100:$V100,$E$1:$V$1)*W$1+INTERCEPT($E100:$V100,$E$1:$V$1))&lt;(AVERAGE($E100:$V100)-_xlfn.STDEV.P($E100:$V100))),V100,(SLOPE($E100:$V100,$E$1:$V$1)*W$1+INTERCEPT($E100:$V100,$E$1:$V$1)))</f>
        <v>173076.64363812734</v>
      </c>
      <c r="X100" s="5">
        <f t="shared" si="99"/>
        <v>173076.64363812734</v>
      </c>
      <c r="Y100" s="5">
        <f t="shared" si="99"/>
        <v>173076.64363812734</v>
      </c>
      <c r="Z100" s="5">
        <f t="shared" si="99"/>
        <v>173076.64363812734</v>
      </c>
      <c r="AA100" s="5">
        <f t="shared" si="99"/>
        <v>173076.64363812734</v>
      </c>
      <c r="AB100" s="5">
        <f t="shared" si="99"/>
        <v>173076.64363812734</v>
      </c>
      <c r="AC100" s="5">
        <f t="shared" si="99"/>
        <v>173076.64363812734</v>
      </c>
      <c r="AD100" s="5">
        <f t="shared" si="99"/>
        <v>173076.64363812734</v>
      </c>
      <c r="AE100" s="5">
        <f t="shared" si="99"/>
        <v>173076.64363812734</v>
      </c>
      <c r="AF100" s="5">
        <f t="shared" si="99"/>
        <v>173076.64363812734</v>
      </c>
      <c r="AG100" s="5">
        <f t="shared" si="99"/>
        <v>173076.64363812734</v>
      </c>
      <c r="AH100" s="5">
        <f t="shared" si="99"/>
        <v>173076.64363812734</v>
      </c>
    </row>
    <row r="101" spans="1:34" x14ac:dyDescent="0.35">
      <c r="A101" t="s">
        <v>121</v>
      </c>
      <c r="B101" s="3" t="s">
        <v>1265</v>
      </c>
      <c r="C101" s="4" t="s">
        <v>1263</v>
      </c>
      <c r="D101" s="2">
        <f t="shared" si="66"/>
        <v>1959376.4180217057</v>
      </c>
      <c r="E101" s="5">
        <v>0</v>
      </c>
      <c r="F101" s="5">
        <v>77303.509300605219</v>
      </c>
      <c r="G101" s="5">
        <v>124807.40183988209</v>
      </c>
      <c r="H101" s="5">
        <v>84512.538990557048</v>
      </c>
      <c r="I101" s="5">
        <v>192114.61937470682</v>
      </c>
      <c r="J101" s="5">
        <v>25807.982183598448</v>
      </c>
      <c r="K101" s="5">
        <v>0</v>
      </c>
      <c r="L101" s="5">
        <v>81553.223700171089</v>
      </c>
      <c r="M101" s="5">
        <v>234336.47822707391</v>
      </c>
      <c r="N101" s="5">
        <v>0</v>
      </c>
      <c r="O101" s="5">
        <v>0</v>
      </c>
      <c r="P101" s="5">
        <v>642085.3914064737</v>
      </c>
      <c r="Q101" s="5">
        <v>0</v>
      </c>
      <c r="R101" s="5">
        <v>0</v>
      </c>
      <c r="S101" s="5">
        <v>0</v>
      </c>
      <c r="T101" s="5">
        <v>189258.53601305527</v>
      </c>
      <c r="U101" s="5">
        <v>139844.85279219213</v>
      </c>
      <c r="V101" s="5">
        <v>167751.88419338991</v>
      </c>
      <c r="W101" s="5">
        <f t="shared" ref="W101:AH101" si="100">IF(OR((SLOPE($E101:$V101,$E$1:$V$1)*W$1+INTERCEPT($E101:$V101,$E$1:$V$1))&gt;(AVERAGE($E101:$V101)+_xlfn.STDEV.P($E101:$V101)),(SLOPE($E101:$V101,$E$1:$V$1)*W$1+INTERCEPT($E101:$V101,$E$1:$V$1))&lt;(AVERAGE($E101:$V101)-_xlfn.STDEV.P($E101:$V101))),V101,(SLOPE($E101:$V101,$E$1:$V$1)*W$1+INTERCEPT($E101:$V101,$E$1:$V$1)))</f>
        <v>153166.71953451098</v>
      </c>
      <c r="X101" s="5">
        <f t="shared" si="100"/>
        <v>157831.19049123314</v>
      </c>
      <c r="Y101" s="5">
        <f t="shared" si="100"/>
        <v>162495.6614479553</v>
      </c>
      <c r="Z101" s="5">
        <f t="shared" si="100"/>
        <v>167160.13240467748</v>
      </c>
      <c r="AA101" s="5">
        <f t="shared" si="100"/>
        <v>171824.60336139967</v>
      </c>
      <c r="AB101" s="5">
        <f t="shared" si="100"/>
        <v>176489.07431812183</v>
      </c>
      <c r="AC101" s="5">
        <f t="shared" si="100"/>
        <v>181153.54527484401</v>
      </c>
      <c r="AD101" s="5">
        <f t="shared" si="100"/>
        <v>185818.0162315662</v>
      </c>
      <c r="AE101" s="5">
        <f t="shared" si="100"/>
        <v>190482.48718828836</v>
      </c>
      <c r="AF101" s="5">
        <f t="shared" si="100"/>
        <v>195146.95814501052</v>
      </c>
      <c r="AG101" s="5">
        <f t="shared" si="100"/>
        <v>199811.42910173268</v>
      </c>
      <c r="AH101" s="5">
        <f t="shared" si="100"/>
        <v>204475.90005845489</v>
      </c>
    </row>
    <row r="102" spans="1:34" x14ac:dyDescent="0.35">
      <c r="A102" t="s">
        <v>122</v>
      </c>
      <c r="B102" s="3" t="s">
        <v>1262</v>
      </c>
      <c r="C102" s="4" t="s">
        <v>1263</v>
      </c>
      <c r="D102" s="2">
        <f t="shared" si="66"/>
        <v>1869785.3159999996</v>
      </c>
      <c r="E102" s="5">
        <v>0</v>
      </c>
      <c r="F102" s="5">
        <v>0</v>
      </c>
      <c r="G102" s="5">
        <v>0</v>
      </c>
      <c r="H102" s="5">
        <v>260260.56000000006</v>
      </c>
      <c r="I102" s="5">
        <v>166089.41999999998</v>
      </c>
      <c r="J102" s="5">
        <v>92530.619999999966</v>
      </c>
      <c r="K102" s="5">
        <v>45722.879999999997</v>
      </c>
      <c r="L102" s="5">
        <v>31857.840000000004</v>
      </c>
      <c r="M102" s="5">
        <v>135501.65999999997</v>
      </c>
      <c r="N102" s="5">
        <v>119482.776</v>
      </c>
      <c r="O102" s="5">
        <v>114518.87999999998</v>
      </c>
      <c r="P102" s="5">
        <v>95811.65999999996</v>
      </c>
      <c r="Q102" s="5">
        <v>75760.271999999983</v>
      </c>
      <c r="R102" s="5">
        <v>199177.65</v>
      </c>
      <c r="S102" s="5">
        <v>134514.70200000002</v>
      </c>
      <c r="T102" s="5">
        <v>197312.21999999994</v>
      </c>
      <c r="U102" s="5">
        <v>90297.396000000008</v>
      </c>
      <c r="V102" s="5">
        <v>110946.78</v>
      </c>
      <c r="W102" s="5">
        <f t="shared" ref="W102:AH102" si="101">IF(OR((SLOPE($E102:$V102,$E$1:$V$1)*W$1+INTERCEPT($E102:$V102,$E$1:$V$1))&gt;(AVERAGE($E102:$V102)+_xlfn.STDEV.P($E102:$V102)),(SLOPE($E102:$V102,$E$1:$V$1)*W$1+INTERCEPT($E102:$V102,$E$1:$V$1))&lt;(AVERAGE($E102:$V102)-_xlfn.STDEV.P($E102:$V102))),V102,(SLOPE($E102:$V102,$E$1:$V$1)*W$1+INTERCEPT($E102:$V102,$E$1:$V$1)))</f>
        <v>153732.06388235293</v>
      </c>
      <c r="X102" s="5">
        <f t="shared" si="101"/>
        <v>158979.96934365324</v>
      </c>
      <c r="Y102" s="5">
        <f t="shared" si="101"/>
        <v>164227.87480495355</v>
      </c>
      <c r="Z102" s="5">
        <f t="shared" si="101"/>
        <v>169475.78026625386</v>
      </c>
      <c r="AA102" s="5">
        <f t="shared" si="101"/>
        <v>174723.68572755417</v>
      </c>
      <c r="AB102" s="5">
        <f t="shared" si="101"/>
        <v>174723.68572755417</v>
      </c>
      <c r="AC102" s="5">
        <f t="shared" si="101"/>
        <v>174723.68572755417</v>
      </c>
      <c r="AD102" s="5">
        <f t="shared" si="101"/>
        <v>174723.68572755417</v>
      </c>
      <c r="AE102" s="5">
        <f t="shared" si="101"/>
        <v>174723.68572755417</v>
      </c>
      <c r="AF102" s="5">
        <f t="shared" si="101"/>
        <v>174723.68572755417</v>
      </c>
      <c r="AG102" s="5">
        <f t="shared" si="101"/>
        <v>174723.68572755417</v>
      </c>
      <c r="AH102" s="5">
        <f t="shared" si="101"/>
        <v>174723.68572755417</v>
      </c>
    </row>
    <row r="103" spans="1:34" x14ac:dyDescent="0.35">
      <c r="A103" t="s">
        <v>123</v>
      </c>
      <c r="B103" s="3" t="s">
        <v>1266</v>
      </c>
      <c r="C103" s="4" t="s">
        <v>1263</v>
      </c>
      <c r="D103" s="2">
        <f t="shared" si="66"/>
        <v>1895267.1344544673</v>
      </c>
      <c r="E103" s="5">
        <v>0</v>
      </c>
      <c r="F103" s="5">
        <v>0</v>
      </c>
      <c r="G103" s="5">
        <v>98057.951650504416</v>
      </c>
      <c r="H103" s="5">
        <v>0</v>
      </c>
      <c r="I103" s="5">
        <v>183794.28992289916</v>
      </c>
      <c r="J103" s="5">
        <v>98065.414771872136</v>
      </c>
      <c r="K103" s="5">
        <v>0</v>
      </c>
      <c r="L103" s="5">
        <v>287912.29612399411</v>
      </c>
      <c r="M103" s="5">
        <v>0</v>
      </c>
      <c r="N103" s="5">
        <v>0</v>
      </c>
      <c r="O103" s="5">
        <v>96833.999746197951</v>
      </c>
      <c r="P103" s="5">
        <v>283255.30839053541</v>
      </c>
      <c r="Q103" s="5">
        <v>0</v>
      </c>
      <c r="R103" s="5">
        <v>241820.05855694073</v>
      </c>
      <c r="S103" s="5">
        <v>41323.303013078839</v>
      </c>
      <c r="T103" s="5">
        <v>188384.10956404847</v>
      </c>
      <c r="U103" s="5">
        <v>196272.628849731</v>
      </c>
      <c r="V103" s="5">
        <v>179547.77386466513</v>
      </c>
      <c r="W103" s="5">
        <f t="shared" ref="W103:AH103" si="102">IF(OR((SLOPE($E103:$V103,$E$1:$V$1)*W$1+INTERCEPT($E103:$V103,$E$1:$V$1))&gt;(AVERAGE($E103:$V103)+_xlfn.STDEV.P($E103:$V103)),(SLOPE($E103:$V103,$E$1:$V$1)*W$1+INTERCEPT($E103:$V103,$E$1:$V$1))&lt;(AVERAGE($E103:$V103)-_xlfn.STDEV.P($E103:$V103))),V103,(SLOPE($E103:$V103,$E$1:$V$1)*W$1+INTERCEPT($E103:$V103,$E$1:$V$1)))</f>
        <v>186704.51702774264</v>
      </c>
      <c r="X103" s="5">
        <f t="shared" si="102"/>
        <v>195274.1905484731</v>
      </c>
      <c r="Y103" s="5">
        <f t="shared" si="102"/>
        <v>203843.8640692035</v>
      </c>
      <c r="Z103" s="5">
        <f t="shared" si="102"/>
        <v>203843.8640692035</v>
      </c>
      <c r="AA103" s="5">
        <f t="shared" si="102"/>
        <v>203843.8640692035</v>
      </c>
      <c r="AB103" s="5">
        <f t="shared" si="102"/>
        <v>203843.8640692035</v>
      </c>
      <c r="AC103" s="5">
        <f t="shared" si="102"/>
        <v>203843.8640692035</v>
      </c>
      <c r="AD103" s="5">
        <f t="shared" si="102"/>
        <v>203843.8640692035</v>
      </c>
      <c r="AE103" s="5">
        <f t="shared" si="102"/>
        <v>203843.8640692035</v>
      </c>
      <c r="AF103" s="5">
        <f t="shared" si="102"/>
        <v>203843.8640692035</v>
      </c>
      <c r="AG103" s="5">
        <f t="shared" si="102"/>
        <v>203843.8640692035</v>
      </c>
      <c r="AH103" s="5">
        <f t="shared" si="102"/>
        <v>203843.8640692035</v>
      </c>
    </row>
    <row r="104" spans="1:34" x14ac:dyDescent="0.35">
      <c r="A104" t="s">
        <v>124</v>
      </c>
      <c r="B104" s="3" t="s">
        <v>1264</v>
      </c>
      <c r="C104" s="4" t="s">
        <v>1263</v>
      </c>
      <c r="D104" s="2">
        <f t="shared" si="66"/>
        <v>1845596.9069999997</v>
      </c>
      <c r="E104" s="5">
        <v>0</v>
      </c>
      <c r="F104" s="5">
        <v>0</v>
      </c>
      <c r="G104" s="5">
        <v>262620.79200000002</v>
      </c>
      <c r="H104" s="5">
        <v>3036.2850000000003</v>
      </c>
      <c r="I104" s="5">
        <v>20432.412</v>
      </c>
      <c r="J104" s="5">
        <v>55367.549999999996</v>
      </c>
      <c r="K104" s="5">
        <v>86266.214999999997</v>
      </c>
      <c r="L104" s="5">
        <v>34292.159999999996</v>
      </c>
      <c r="M104" s="5">
        <v>79836.434999999998</v>
      </c>
      <c r="N104" s="5">
        <v>119843.95499999997</v>
      </c>
      <c r="O104" s="5">
        <v>146884.75200000001</v>
      </c>
      <c r="P104" s="5">
        <v>165388.23000000004</v>
      </c>
      <c r="Q104" s="5">
        <v>43579.619999999995</v>
      </c>
      <c r="R104" s="5">
        <v>153600.29999999999</v>
      </c>
      <c r="S104" s="5">
        <v>186034.96799999999</v>
      </c>
      <c r="T104" s="5">
        <v>170139.12300000002</v>
      </c>
      <c r="U104" s="5">
        <v>166674.18600000005</v>
      </c>
      <c r="V104" s="5">
        <v>151599.924</v>
      </c>
      <c r="W104" s="5">
        <f t="shared" ref="W104:AH104" si="103">IF(OR((SLOPE($E104:$V104,$E$1:$V$1)*W$1+INTERCEPT($E104:$V104,$E$1:$V$1))&gt;(AVERAGE($E104:$V104)+_xlfn.STDEV.P($E104:$V104)),(SLOPE($E104:$V104,$E$1:$V$1)*W$1+INTERCEPT($E104:$V104,$E$1:$V$1))&lt;(AVERAGE($E104:$V104)-_xlfn.STDEV.P($E104:$V104))),V104,(SLOPE($E104:$V104,$E$1:$V$1)*W$1+INTERCEPT($E104:$V104,$E$1:$V$1)))</f>
        <v>151599.924</v>
      </c>
      <c r="X104" s="5">
        <f t="shared" si="103"/>
        <v>151599.924</v>
      </c>
      <c r="Y104" s="5">
        <f t="shared" si="103"/>
        <v>151599.924</v>
      </c>
      <c r="Z104" s="5">
        <f t="shared" si="103"/>
        <v>151599.924</v>
      </c>
      <c r="AA104" s="5">
        <f t="shared" si="103"/>
        <v>151599.924</v>
      </c>
      <c r="AB104" s="5">
        <f t="shared" si="103"/>
        <v>151599.924</v>
      </c>
      <c r="AC104" s="5">
        <f t="shared" si="103"/>
        <v>151599.924</v>
      </c>
      <c r="AD104" s="5">
        <f t="shared" si="103"/>
        <v>151599.924</v>
      </c>
      <c r="AE104" s="5">
        <f t="shared" si="103"/>
        <v>151599.924</v>
      </c>
      <c r="AF104" s="5">
        <f t="shared" si="103"/>
        <v>151599.924</v>
      </c>
      <c r="AG104" s="5">
        <f t="shared" si="103"/>
        <v>151599.924</v>
      </c>
      <c r="AH104" s="5">
        <f t="shared" si="103"/>
        <v>151599.924</v>
      </c>
    </row>
    <row r="105" spans="1:34" x14ac:dyDescent="0.35">
      <c r="A105" t="s">
        <v>125</v>
      </c>
      <c r="B105" s="3" t="s">
        <v>1265</v>
      </c>
      <c r="C105" s="4" t="s">
        <v>1263</v>
      </c>
      <c r="D105" s="2">
        <f t="shared" si="66"/>
        <v>1844397.7398000003</v>
      </c>
      <c r="E105" s="5">
        <v>91343.359800000006</v>
      </c>
      <c r="F105" s="5">
        <v>85136.373000000036</v>
      </c>
      <c r="G105" s="5">
        <v>98864.438400000014</v>
      </c>
      <c r="H105" s="5">
        <v>102387.32280000002</v>
      </c>
      <c r="I105" s="5">
        <v>96627.686400000035</v>
      </c>
      <c r="J105" s="5">
        <v>94726.44720000001</v>
      </c>
      <c r="K105" s="5">
        <v>100346.28660000004</v>
      </c>
      <c r="L105" s="5">
        <v>72610.561799999996</v>
      </c>
      <c r="M105" s="5">
        <v>125286.0714</v>
      </c>
      <c r="N105" s="5">
        <v>84549.225600000005</v>
      </c>
      <c r="O105" s="5">
        <v>105378.97860000002</v>
      </c>
      <c r="P105" s="5">
        <v>129759.57540000003</v>
      </c>
      <c r="Q105" s="5">
        <v>81138.178799999994</v>
      </c>
      <c r="R105" s="5">
        <v>125062.39619999999</v>
      </c>
      <c r="S105" s="5">
        <v>98808.519599999985</v>
      </c>
      <c r="T105" s="5">
        <v>140412.10680000001</v>
      </c>
      <c r="U105" s="5">
        <v>101073.23100000001</v>
      </c>
      <c r="V105" s="5">
        <v>110886.98040000003</v>
      </c>
      <c r="W105" s="5">
        <f t="shared" ref="W105:AH105" si="104">IF(OR((SLOPE($E105:$V105,$E$1:$V$1)*W$1+INTERCEPT($E105:$V105,$E$1:$V$1))&gt;(AVERAGE($E105:$V105)+_xlfn.STDEV.P($E105:$V105)),(SLOPE($E105:$V105,$E$1:$V$1)*W$1+INTERCEPT($E105:$V105,$E$1:$V$1))&lt;(AVERAGE($E105:$V105)-_xlfn.STDEV.P($E105:$V105))),V105,(SLOPE($E105:$V105,$E$1:$V$1)*W$1+INTERCEPT($E105:$V105,$E$1:$V$1)))</f>
        <v>116559.44925882354</v>
      </c>
      <c r="X105" s="5">
        <f t="shared" si="104"/>
        <v>118042.91327554181</v>
      </c>
      <c r="Y105" s="5">
        <f t="shared" si="104"/>
        <v>119526.37729226008</v>
      </c>
      <c r="Z105" s="5">
        <f t="shared" si="104"/>
        <v>119526.37729226008</v>
      </c>
      <c r="AA105" s="5">
        <f t="shared" si="104"/>
        <v>119526.37729226008</v>
      </c>
      <c r="AB105" s="5">
        <f t="shared" si="104"/>
        <v>119526.37729226008</v>
      </c>
      <c r="AC105" s="5">
        <f t="shared" si="104"/>
        <v>119526.37729226008</v>
      </c>
      <c r="AD105" s="5">
        <f t="shared" si="104"/>
        <v>119526.37729226008</v>
      </c>
      <c r="AE105" s="5">
        <f t="shared" si="104"/>
        <v>119526.37729226008</v>
      </c>
      <c r="AF105" s="5">
        <f t="shared" si="104"/>
        <v>119526.37729226008</v>
      </c>
      <c r="AG105" s="5">
        <f t="shared" si="104"/>
        <v>119526.37729226008</v>
      </c>
      <c r="AH105" s="5">
        <f t="shared" si="104"/>
        <v>119526.37729226008</v>
      </c>
    </row>
    <row r="106" spans="1:34" x14ac:dyDescent="0.35">
      <c r="A106" t="s">
        <v>126</v>
      </c>
      <c r="B106" s="3" t="s">
        <v>1265</v>
      </c>
      <c r="C106" s="4" t="s">
        <v>1263</v>
      </c>
      <c r="D106" s="2">
        <f t="shared" si="66"/>
        <v>1835793.5483971999</v>
      </c>
      <c r="E106" s="5">
        <v>70821.834939499895</v>
      </c>
      <c r="F106" s="5">
        <v>112430.64989280699</v>
      </c>
      <c r="G106" s="5">
        <v>150052.28238853917</v>
      </c>
      <c r="H106" s="5">
        <v>112667.51221701938</v>
      </c>
      <c r="I106" s="5">
        <v>116662.59008540143</v>
      </c>
      <c r="J106" s="5">
        <v>102245.5699516749</v>
      </c>
      <c r="K106" s="5">
        <v>124550.10548167348</v>
      </c>
      <c r="L106" s="5">
        <v>85981.023689091831</v>
      </c>
      <c r="M106" s="5">
        <v>123563.1791307886</v>
      </c>
      <c r="N106" s="5">
        <v>93007.939307392284</v>
      </c>
      <c r="O106" s="5">
        <v>111285.81532578054</v>
      </c>
      <c r="P106" s="5">
        <v>129421.57394964133</v>
      </c>
      <c r="Q106" s="5">
        <v>62176.360105748245</v>
      </c>
      <c r="R106" s="5">
        <v>86296.840121375018</v>
      </c>
      <c r="S106" s="5">
        <v>96750.364029947843</v>
      </c>
      <c r="T106" s="5">
        <v>106509.09178749764</v>
      </c>
      <c r="U106" s="5">
        <v>70427.064399145936</v>
      </c>
      <c r="V106" s="5">
        <v>80943.751594175381</v>
      </c>
      <c r="W106" s="5">
        <f t="shared" ref="W106:AH106" si="105">IF(OR((SLOPE($E106:$V106,$E$1:$V$1)*W$1+INTERCEPT($E106:$V106,$E$1:$V$1))&gt;(AVERAGE($E106:$V106)+_xlfn.STDEV.P($E106:$V106)),(SLOPE($E106:$V106,$E$1:$V$1)*W$1+INTERCEPT($E106:$V106,$E$1:$V$1))&lt;(AVERAGE($E106:$V106)-_xlfn.STDEV.P($E106:$V106))),V106,(SLOPE($E106:$V106,$E$1:$V$1)*W$1+INTERCEPT($E106:$V106,$E$1:$V$1)))</f>
        <v>85486.657443785865</v>
      </c>
      <c r="X106" s="5">
        <f t="shared" si="105"/>
        <v>83749.618178235833</v>
      </c>
      <c r="Y106" s="5">
        <f t="shared" si="105"/>
        <v>82012.5789126858</v>
      </c>
      <c r="Z106" s="5">
        <f t="shared" si="105"/>
        <v>80275.539647135782</v>
      </c>
      <c r="AA106" s="5">
        <f t="shared" si="105"/>
        <v>80275.539647135782</v>
      </c>
      <c r="AB106" s="5">
        <f t="shared" si="105"/>
        <v>80275.539647135782</v>
      </c>
      <c r="AC106" s="5">
        <f t="shared" si="105"/>
        <v>80275.539647135782</v>
      </c>
      <c r="AD106" s="5">
        <f t="shared" si="105"/>
        <v>80275.539647135782</v>
      </c>
      <c r="AE106" s="5">
        <f t="shared" si="105"/>
        <v>80275.539647135782</v>
      </c>
      <c r="AF106" s="5">
        <f t="shared" si="105"/>
        <v>80275.539647135782</v>
      </c>
      <c r="AG106" s="5">
        <f t="shared" si="105"/>
        <v>80275.539647135782</v>
      </c>
      <c r="AH106" s="5">
        <f t="shared" si="105"/>
        <v>80275.539647135782</v>
      </c>
    </row>
    <row r="107" spans="1:34" x14ac:dyDescent="0.35">
      <c r="A107" t="s">
        <v>127</v>
      </c>
      <c r="B107" s="3" t="s">
        <v>1262</v>
      </c>
      <c r="C107" s="4" t="s">
        <v>1263</v>
      </c>
      <c r="D107" s="2">
        <f t="shared" si="66"/>
        <v>1826304.8894406771</v>
      </c>
      <c r="E107" s="5">
        <v>42316.266765268236</v>
      </c>
      <c r="F107" s="5">
        <v>61016.637179212528</v>
      </c>
      <c r="G107" s="5">
        <v>82922.785378404413</v>
      </c>
      <c r="H107" s="5">
        <v>146397.18552630677</v>
      </c>
      <c r="I107" s="5">
        <v>74053.466839219414</v>
      </c>
      <c r="J107" s="5">
        <v>137527.86698712176</v>
      </c>
      <c r="K107" s="5">
        <v>45949.481588548842</v>
      </c>
      <c r="L107" s="5">
        <v>103332.90394448076</v>
      </c>
      <c r="M107" s="5">
        <v>112095.36322415751</v>
      </c>
      <c r="N107" s="5">
        <v>104080.91876103853</v>
      </c>
      <c r="O107" s="5">
        <v>163735.10038152084</v>
      </c>
      <c r="P107" s="5">
        <v>78541.555738566036</v>
      </c>
      <c r="Q107" s="5">
        <v>136886.71143007223</v>
      </c>
      <c r="R107" s="5">
        <v>89494.629838161985</v>
      </c>
      <c r="S107" s="5">
        <v>98737.955785625876</v>
      </c>
      <c r="T107" s="5">
        <v>137153.85957884288</v>
      </c>
      <c r="U107" s="5">
        <v>109797.88914473006</v>
      </c>
      <c r="V107" s="5">
        <v>102264.31134939822</v>
      </c>
      <c r="W107" s="5">
        <f t="shared" ref="W107:AH107" si="106">IF(OR((SLOPE($E107:$V107,$E$1:$V$1)*W$1+INTERCEPT($E107:$V107,$E$1:$V$1))&gt;(AVERAGE($E107:$V107)+_xlfn.STDEV.P($E107:$V107)),(SLOPE($E107:$V107,$E$1:$V$1)*W$1+INTERCEPT($E107:$V107,$E$1:$V$1))&lt;(AVERAGE($E107:$V107)-_xlfn.STDEV.P($E107:$V107))),V107,(SLOPE($E107:$V107,$E$1:$V$1)*W$1+INTERCEPT($E107:$V107,$E$1:$V$1)))</f>
        <v>125012.58734043376</v>
      </c>
      <c r="X107" s="5">
        <f t="shared" si="106"/>
        <v>127491.66150819475</v>
      </c>
      <c r="Y107" s="5">
        <f t="shared" si="106"/>
        <v>129970.73567595574</v>
      </c>
      <c r="Z107" s="5">
        <f t="shared" si="106"/>
        <v>132449.80984371674</v>
      </c>
      <c r="AA107" s="5">
        <f t="shared" si="106"/>
        <v>132449.80984371674</v>
      </c>
      <c r="AB107" s="5">
        <f t="shared" si="106"/>
        <v>132449.80984371674</v>
      </c>
      <c r="AC107" s="5">
        <f t="shared" si="106"/>
        <v>132449.80984371674</v>
      </c>
      <c r="AD107" s="5">
        <f t="shared" si="106"/>
        <v>132449.80984371674</v>
      </c>
      <c r="AE107" s="5">
        <f t="shared" si="106"/>
        <v>132449.80984371674</v>
      </c>
      <c r="AF107" s="5">
        <f t="shared" si="106"/>
        <v>132449.80984371674</v>
      </c>
      <c r="AG107" s="5">
        <f t="shared" si="106"/>
        <v>132449.80984371674</v>
      </c>
      <c r="AH107" s="5">
        <f t="shared" si="106"/>
        <v>132449.80984371674</v>
      </c>
    </row>
    <row r="108" spans="1:34" x14ac:dyDescent="0.35">
      <c r="A108" t="s">
        <v>128</v>
      </c>
      <c r="B108" s="3" t="s">
        <v>1265</v>
      </c>
      <c r="C108" s="4" t="s">
        <v>1263</v>
      </c>
      <c r="D108" s="2">
        <f t="shared" si="66"/>
        <v>1827150.0475031293</v>
      </c>
      <c r="E108" s="5">
        <v>0</v>
      </c>
      <c r="F108" s="5">
        <v>0</v>
      </c>
      <c r="G108" s="5">
        <v>410116.46763428382</v>
      </c>
      <c r="H108" s="5">
        <v>0</v>
      </c>
      <c r="I108" s="5">
        <v>943536.80091002106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179390.09546419079</v>
      </c>
      <c r="Q108" s="5">
        <v>0</v>
      </c>
      <c r="R108" s="5">
        <v>0</v>
      </c>
      <c r="S108" s="5">
        <v>0</v>
      </c>
      <c r="T108" s="5">
        <v>294106.68349463382</v>
      </c>
      <c r="U108" s="5">
        <v>0</v>
      </c>
      <c r="V108" s="5">
        <v>0</v>
      </c>
      <c r="W108" s="5">
        <f t="shared" ref="W108:AH108" si="107">IF(OR((SLOPE($E108:$V108,$E$1:$V$1)*W$1+INTERCEPT($E108:$V108,$E$1:$V$1))&gt;(AVERAGE($E108:$V108)+_xlfn.STDEV.P($E108:$V108)),(SLOPE($E108:$V108,$E$1:$V$1)*W$1+INTERCEPT($E108:$V108,$E$1:$V$1))&lt;(AVERAGE($E108:$V108)-_xlfn.STDEV.P($E108:$V108))),V108,(SLOPE($E108:$V108,$E$1:$V$1)*W$1+INTERCEPT($E108:$V108,$E$1:$V$1)))</f>
        <v>12263.160240193276</v>
      </c>
      <c r="X108" s="5">
        <f t="shared" si="107"/>
        <v>2868.9312157508684</v>
      </c>
      <c r="Y108" s="5">
        <f t="shared" si="107"/>
        <v>-6525.29780869151</v>
      </c>
      <c r="Z108" s="5">
        <f t="shared" si="107"/>
        <v>-15919.526833133918</v>
      </c>
      <c r="AA108" s="5">
        <f t="shared" si="107"/>
        <v>-25313.755857576325</v>
      </c>
      <c r="AB108" s="5">
        <f t="shared" si="107"/>
        <v>-34707.984882018704</v>
      </c>
      <c r="AC108" s="5">
        <f t="shared" si="107"/>
        <v>-44102.213906461111</v>
      </c>
      <c r="AD108" s="5">
        <f t="shared" si="107"/>
        <v>-53496.442930903519</v>
      </c>
      <c r="AE108" s="5">
        <f t="shared" si="107"/>
        <v>-62890.671955345926</v>
      </c>
      <c r="AF108" s="5">
        <f t="shared" si="107"/>
        <v>-72284.900979788334</v>
      </c>
      <c r="AG108" s="5">
        <f t="shared" si="107"/>
        <v>-81679.130004230712</v>
      </c>
      <c r="AH108" s="5">
        <f t="shared" si="107"/>
        <v>-91073.359028673091</v>
      </c>
    </row>
    <row r="109" spans="1:34" x14ac:dyDescent="0.35">
      <c r="A109" t="s">
        <v>129</v>
      </c>
      <c r="B109" s="3" t="s">
        <v>1262</v>
      </c>
      <c r="C109" s="4" t="s">
        <v>1263</v>
      </c>
      <c r="D109" s="2">
        <f t="shared" si="66"/>
        <v>1757226.2400000002</v>
      </c>
      <c r="E109" s="5">
        <v>56465.639999999985</v>
      </c>
      <c r="F109" s="5">
        <v>106430.94000000002</v>
      </c>
      <c r="G109" s="5">
        <v>97796.159999999989</v>
      </c>
      <c r="H109" s="5">
        <v>99930.599999999977</v>
      </c>
      <c r="I109" s="5">
        <v>113998.49999999999</v>
      </c>
      <c r="J109" s="5">
        <v>32501.699999999997</v>
      </c>
      <c r="K109" s="5">
        <v>485.09999999999997</v>
      </c>
      <c r="L109" s="5">
        <v>158239.62</v>
      </c>
      <c r="M109" s="5">
        <v>205003.25999999998</v>
      </c>
      <c r="N109" s="5">
        <v>84892.499999999971</v>
      </c>
      <c r="O109" s="5">
        <v>94594.500000000015</v>
      </c>
      <c r="P109" s="5">
        <v>109535.57999999999</v>
      </c>
      <c r="Q109" s="5">
        <v>77130.900000000009</v>
      </c>
      <c r="R109" s="5">
        <v>98475.299999999988</v>
      </c>
      <c r="S109" s="5">
        <v>96922.98</v>
      </c>
      <c r="T109" s="5">
        <v>129036.6</v>
      </c>
      <c r="U109" s="5">
        <v>101094.83999999998</v>
      </c>
      <c r="V109" s="5">
        <v>94691.519999999975</v>
      </c>
      <c r="W109" s="5">
        <f t="shared" ref="W109:AH109" si="108">IF(OR((SLOPE($E109:$V109,$E$1:$V$1)*W$1+INTERCEPT($E109:$V109,$E$1:$V$1))&gt;(AVERAGE($E109:$V109)+_xlfn.STDEV.P($E109:$V109)),(SLOPE($E109:$V109,$E$1:$V$1)*W$1+INTERCEPT($E109:$V109,$E$1:$V$1))&lt;(AVERAGE($E109:$V109)-_xlfn.STDEV.P($E109:$V109))),V109,(SLOPE($E109:$V109,$E$1:$V$1)*W$1+INTERCEPT($E109:$V109,$E$1:$V$1)))</f>
        <v>110856.44705882354</v>
      </c>
      <c r="X109" s="5">
        <f t="shared" si="108"/>
        <v>112249.36990712075</v>
      </c>
      <c r="Y109" s="5">
        <f t="shared" si="108"/>
        <v>113642.29275541796</v>
      </c>
      <c r="Z109" s="5">
        <f t="shared" si="108"/>
        <v>115035.21560371519</v>
      </c>
      <c r="AA109" s="5">
        <f t="shared" si="108"/>
        <v>116428.1384520124</v>
      </c>
      <c r="AB109" s="5">
        <f t="shared" si="108"/>
        <v>117821.06130030961</v>
      </c>
      <c r="AC109" s="5">
        <f t="shared" si="108"/>
        <v>119213.98414860682</v>
      </c>
      <c r="AD109" s="5">
        <f t="shared" si="108"/>
        <v>120606.90699690403</v>
      </c>
      <c r="AE109" s="5">
        <f t="shared" si="108"/>
        <v>121999.82984520125</v>
      </c>
      <c r="AF109" s="5">
        <f t="shared" si="108"/>
        <v>123392.75269349846</v>
      </c>
      <c r="AG109" s="5">
        <f t="shared" si="108"/>
        <v>124785.67554179567</v>
      </c>
      <c r="AH109" s="5">
        <f t="shared" si="108"/>
        <v>126178.5983900929</v>
      </c>
    </row>
    <row r="110" spans="1:34" x14ac:dyDescent="0.35">
      <c r="A110" t="s">
        <v>130</v>
      </c>
      <c r="B110" s="3" t="s">
        <v>1262</v>
      </c>
      <c r="C110" s="4" t="s">
        <v>1263</v>
      </c>
      <c r="D110" s="2">
        <f t="shared" si="66"/>
        <v>1776019.014</v>
      </c>
      <c r="E110" s="5">
        <v>8763.5519999999997</v>
      </c>
      <c r="F110" s="5">
        <v>109666.11599999998</v>
      </c>
      <c r="G110" s="5">
        <v>133218.16200000001</v>
      </c>
      <c r="H110" s="5">
        <v>125245.764</v>
      </c>
      <c r="I110" s="5">
        <v>118368.80999999998</v>
      </c>
      <c r="J110" s="5">
        <v>145754.91000000003</v>
      </c>
      <c r="K110" s="5">
        <v>142772.86800000002</v>
      </c>
      <c r="L110" s="5">
        <v>54224.477999999988</v>
      </c>
      <c r="M110" s="5">
        <v>317070.18</v>
      </c>
      <c r="N110" s="5">
        <v>119585.96999999999</v>
      </c>
      <c r="O110" s="5">
        <v>64752.911999999989</v>
      </c>
      <c r="P110" s="5">
        <v>102789.16200000003</v>
      </c>
      <c r="Q110" s="5">
        <v>16857.665999999994</v>
      </c>
      <c r="R110" s="5">
        <v>47651.813999999991</v>
      </c>
      <c r="S110" s="5">
        <v>81793.152000000002</v>
      </c>
      <c r="T110" s="5">
        <v>77289.659999999989</v>
      </c>
      <c r="U110" s="5">
        <v>53798.471999999987</v>
      </c>
      <c r="V110" s="5">
        <v>56415.365999999995</v>
      </c>
      <c r="W110" s="5">
        <f t="shared" ref="W110:AH110" si="109">IF(OR((SLOPE($E110:$V110,$E$1:$V$1)*W$1+INTERCEPT($E110:$V110,$E$1:$V$1))&gt;(AVERAGE($E110:$V110)+_xlfn.STDEV.P($E110:$V110)),(SLOPE($E110:$V110,$E$1:$V$1)*W$1+INTERCEPT($E110:$V110,$E$1:$V$1))&lt;(AVERAGE($E110:$V110)-_xlfn.STDEV.P($E110:$V110))),V110,(SLOPE($E110:$V110,$E$1:$V$1)*W$1+INTERCEPT($E110:$V110,$E$1:$V$1)))</f>
        <v>67907.583882352948</v>
      </c>
      <c r="X110" s="5">
        <f t="shared" si="109"/>
        <v>64669.674501547983</v>
      </c>
      <c r="Y110" s="5">
        <f t="shared" si="109"/>
        <v>61431.765120743032</v>
      </c>
      <c r="Z110" s="5">
        <f t="shared" si="109"/>
        <v>58193.855739938081</v>
      </c>
      <c r="AA110" s="5">
        <f t="shared" si="109"/>
        <v>54955.94635913313</v>
      </c>
      <c r="AB110" s="5">
        <f t="shared" si="109"/>
        <v>51718.036978328179</v>
      </c>
      <c r="AC110" s="5">
        <f t="shared" si="109"/>
        <v>48480.127597523213</v>
      </c>
      <c r="AD110" s="5">
        <f t="shared" si="109"/>
        <v>45242.218216718262</v>
      </c>
      <c r="AE110" s="5">
        <f t="shared" si="109"/>
        <v>42004.308835913311</v>
      </c>
      <c r="AF110" s="5">
        <f t="shared" si="109"/>
        <v>38766.39945510836</v>
      </c>
      <c r="AG110" s="5">
        <f t="shared" si="109"/>
        <v>35528.490074303409</v>
      </c>
      <c r="AH110" s="5">
        <f t="shared" si="109"/>
        <v>32290.580693498443</v>
      </c>
    </row>
    <row r="111" spans="1:34" x14ac:dyDescent="0.35">
      <c r="A111" t="s">
        <v>131</v>
      </c>
      <c r="B111" s="3" t="s">
        <v>1266</v>
      </c>
      <c r="C111" s="4" t="s">
        <v>1263</v>
      </c>
      <c r="D111" s="2">
        <f t="shared" si="66"/>
        <v>1780021.9115090449</v>
      </c>
      <c r="E111" s="5">
        <v>0</v>
      </c>
      <c r="F111" s="5">
        <v>327427.34636512509</v>
      </c>
      <c r="G111" s="5">
        <v>0</v>
      </c>
      <c r="H111" s="5">
        <v>552040.79169230058</v>
      </c>
      <c r="I111" s="5">
        <v>0</v>
      </c>
      <c r="J111" s="5">
        <v>396641.37311639171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431055.53007073666</v>
      </c>
      <c r="U111" s="5">
        <v>0</v>
      </c>
      <c r="V111" s="5">
        <v>72856.870264491183</v>
      </c>
      <c r="W111" s="5">
        <f t="shared" ref="W111:AH111" si="110">IF(OR((SLOPE($E111:$V111,$E$1:$V$1)*W$1+INTERCEPT($E111:$V111,$E$1:$V$1))&gt;(AVERAGE($E111:$V111)+_xlfn.STDEV.P($E111:$V111)),(SLOPE($E111:$V111,$E$1:$V$1)*W$1+INTERCEPT($E111:$V111,$E$1:$V$1))&lt;(AVERAGE($E111:$V111)-_xlfn.STDEV.P($E111:$V111))),V111,(SLOPE($E111:$V111,$E$1:$V$1)*W$1+INTERCEPT($E111:$V111,$E$1:$V$1)))</f>
        <v>31065.990209741081</v>
      </c>
      <c r="X111" s="5">
        <f t="shared" si="110"/>
        <v>23926.609579719428</v>
      </c>
      <c r="Y111" s="5">
        <f t="shared" si="110"/>
        <v>16787.228949697746</v>
      </c>
      <c r="Z111" s="5">
        <f t="shared" si="110"/>
        <v>9647.8483196760644</v>
      </c>
      <c r="AA111" s="5">
        <f t="shared" si="110"/>
        <v>2508.4676896544115</v>
      </c>
      <c r="AB111" s="5">
        <f t="shared" si="110"/>
        <v>-4630.9129403672705</v>
      </c>
      <c r="AC111" s="5">
        <f t="shared" si="110"/>
        <v>-11770.293570388953</v>
      </c>
      <c r="AD111" s="5">
        <f t="shared" si="110"/>
        <v>-18909.674200410605</v>
      </c>
      <c r="AE111" s="5">
        <f t="shared" si="110"/>
        <v>-26049.054830432287</v>
      </c>
      <c r="AF111" s="5">
        <f t="shared" si="110"/>
        <v>-33188.435460453969</v>
      </c>
      <c r="AG111" s="5">
        <f t="shared" si="110"/>
        <v>-40327.816090475622</v>
      </c>
      <c r="AH111" s="5">
        <f t="shared" si="110"/>
        <v>-47467.196720497304</v>
      </c>
    </row>
    <row r="112" spans="1:34" x14ac:dyDescent="0.35">
      <c r="A112" t="s">
        <v>132</v>
      </c>
      <c r="B112" s="3" t="s">
        <v>1262</v>
      </c>
      <c r="C112" s="4" t="s">
        <v>1263</v>
      </c>
      <c r="D112" s="2">
        <f t="shared" si="66"/>
        <v>1744252.4839550878</v>
      </c>
      <c r="E112" s="5">
        <v>67896.738348364364</v>
      </c>
      <c r="F112" s="5">
        <v>98439.640824684175</v>
      </c>
      <c r="G112" s="5">
        <v>107148.18687748376</v>
      </c>
      <c r="H112" s="5">
        <v>96455.415141767779</v>
      </c>
      <c r="I112" s="5">
        <v>98565.623407726467</v>
      </c>
      <c r="J112" s="5">
        <v>88644.494993144661</v>
      </c>
      <c r="K112" s="5">
        <v>86825.621450471313</v>
      </c>
      <c r="L112" s="5">
        <v>57385.066575771736</v>
      </c>
      <c r="M112" s="5">
        <v>153084.58621928567</v>
      </c>
      <c r="N112" s="5">
        <v>105573.40458945491</v>
      </c>
      <c r="O112" s="5">
        <v>80101.301080588077</v>
      </c>
      <c r="P112" s="5">
        <v>104376.57005055297</v>
      </c>
      <c r="Q112" s="5">
        <v>94368.828610129538</v>
      </c>
      <c r="R112" s="5">
        <v>92502.711598815338</v>
      </c>
      <c r="S112" s="5">
        <v>113431.56820671893</v>
      </c>
      <c r="T112" s="5">
        <v>110195.39060481964</v>
      </c>
      <c r="U112" s="5">
        <v>92707.433296259114</v>
      </c>
      <c r="V112" s="5">
        <v>96549.902079049541</v>
      </c>
      <c r="W112" s="5">
        <f t="shared" ref="W112:AH112" si="111">IF(OR((SLOPE($E112:$V112,$E$1:$V$1)*W$1+INTERCEPT($E112:$V112,$E$1:$V$1))&gt;(AVERAGE($E112:$V112)+_xlfn.STDEV.P($E112:$V112)),(SLOPE($E112:$V112,$E$1:$V$1)*W$1+INTERCEPT($E112:$V112,$E$1:$V$1))&lt;(AVERAGE($E112:$V112)-_xlfn.STDEV.P($E112:$V112))),V112,(SLOPE($E112:$V112,$E$1:$V$1)*W$1+INTERCEPT($E112:$V112,$E$1:$V$1)))</f>
        <v>103975.154957526</v>
      </c>
      <c r="X112" s="5">
        <f t="shared" si="111"/>
        <v>104719.60118723582</v>
      </c>
      <c r="Y112" s="5">
        <f t="shared" si="111"/>
        <v>105464.04741694566</v>
      </c>
      <c r="Z112" s="5">
        <f t="shared" si="111"/>
        <v>106208.49364665548</v>
      </c>
      <c r="AA112" s="5">
        <f t="shared" si="111"/>
        <v>106952.9398763653</v>
      </c>
      <c r="AB112" s="5">
        <f t="shared" si="111"/>
        <v>107697.38610607514</v>
      </c>
      <c r="AC112" s="5">
        <f t="shared" si="111"/>
        <v>108441.83233578496</v>
      </c>
      <c r="AD112" s="5">
        <f t="shared" si="111"/>
        <v>109186.27856549478</v>
      </c>
      <c r="AE112" s="5">
        <f t="shared" si="111"/>
        <v>109930.72479520462</v>
      </c>
      <c r="AF112" s="5">
        <f t="shared" si="111"/>
        <v>110675.17102491444</v>
      </c>
      <c r="AG112" s="5">
        <f t="shared" si="111"/>
        <v>111419.61725462426</v>
      </c>
      <c r="AH112" s="5">
        <f t="shared" si="111"/>
        <v>112164.0634843341</v>
      </c>
    </row>
    <row r="113" spans="1:34" x14ac:dyDescent="0.35">
      <c r="A113" t="s">
        <v>133</v>
      </c>
      <c r="B113" s="3" t="s">
        <v>1262</v>
      </c>
      <c r="C113" s="4" t="s">
        <v>1263</v>
      </c>
      <c r="D113" s="2">
        <f t="shared" si="66"/>
        <v>1639613.0039762014</v>
      </c>
      <c r="E113" s="5">
        <v>71674.94259059093</v>
      </c>
      <c r="F113" s="5">
        <v>90713.599216216666</v>
      </c>
      <c r="G113" s="5">
        <v>101864.11677956264</v>
      </c>
      <c r="H113" s="5">
        <v>96994.895136180101</v>
      </c>
      <c r="I113" s="5">
        <v>94560.284314488876</v>
      </c>
      <c r="J113" s="5">
        <v>88765.910558863587</v>
      </c>
      <c r="K113" s="5">
        <v>75570.319905296972</v>
      </c>
      <c r="L113" s="5">
        <v>69775.946149671727</v>
      </c>
      <c r="M113" s="5">
        <v>132686.28978217408</v>
      </c>
      <c r="N113" s="5">
        <v>77858.854077686759</v>
      </c>
      <c r="O113" s="5">
        <v>91005.752514819571</v>
      </c>
      <c r="P113" s="5">
        <v>116277.01284397495</v>
      </c>
      <c r="Q113" s="5">
        <v>81754.231392392787</v>
      </c>
      <c r="R113" s="5">
        <v>92661.287873569672</v>
      </c>
      <c r="S113" s="5">
        <v>80001.31160077508</v>
      </c>
      <c r="T113" s="5">
        <v>110872.17681982036</v>
      </c>
      <c r="U113" s="5">
        <v>96069.743023937437</v>
      </c>
      <c r="V113" s="5">
        <v>70506.329396179106</v>
      </c>
      <c r="W113" s="5">
        <f t="shared" ref="W113:AH113" si="112">IF(OR((SLOPE($E113:$V113,$E$1:$V$1)*W$1+INTERCEPT($E113:$V113,$E$1:$V$1))&gt;(AVERAGE($E113:$V113)+_xlfn.STDEV.P($E113:$V113)),(SLOPE($E113:$V113,$E$1:$V$1)*W$1+INTERCEPT($E113:$V113,$E$1:$V$1))&lt;(AVERAGE($E113:$V113)-_xlfn.STDEV.P($E113:$V113))),V113,(SLOPE($E113:$V113,$E$1:$V$1)*W$1+INTERCEPT($E113:$V113,$E$1:$V$1)))</f>
        <v>92431.511531966913</v>
      </c>
      <c r="X113" s="5">
        <f t="shared" si="112"/>
        <v>92572.76418459382</v>
      </c>
      <c r="Y113" s="5">
        <f t="shared" si="112"/>
        <v>92714.016837220741</v>
      </c>
      <c r="Z113" s="5">
        <f t="shared" si="112"/>
        <v>92855.269489847662</v>
      </c>
      <c r="AA113" s="5">
        <f t="shared" si="112"/>
        <v>92996.522142474583</v>
      </c>
      <c r="AB113" s="5">
        <f t="shared" si="112"/>
        <v>93137.77479510149</v>
      </c>
      <c r="AC113" s="5">
        <f t="shared" si="112"/>
        <v>93279.027447728411</v>
      </c>
      <c r="AD113" s="5">
        <f t="shared" si="112"/>
        <v>93420.280100355332</v>
      </c>
      <c r="AE113" s="5">
        <f t="shared" si="112"/>
        <v>93561.532752982253</v>
      </c>
      <c r="AF113" s="5">
        <f t="shared" si="112"/>
        <v>93702.785405609175</v>
      </c>
      <c r="AG113" s="5">
        <f t="shared" si="112"/>
        <v>93844.038058236081</v>
      </c>
      <c r="AH113" s="5">
        <f t="shared" si="112"/>
        <v>93985.290710863002</v>
      </c>
    </row>
    <row r="114" spans="1:34" x14ac:dyDescent="0.35">
      <c r="A114" t="s">
        <v>134</v>
      </c>
      <c r="B114" s="3" t="s">
        <v>1262</v>
      </c>
      <c r="C114" s="4" t="s">
        <v>1263</v>
      </c>
      <c r="D114" s="2">
        <f t="shared" si="66"/>
        <v>1631954.8980000003</v>
      </c>
      <c r="E114" s="5">
        <v>130777.66799999999</v>
      </c>
      <c r="F114" s="5">
        <v>71525.789999999994</v>
      </c>
      <c r="G114" s="5">
        <v>71136.828000000009</v>
      </c>
      <c r="H114" s="5">
        <v>71007.17399999997</v>
      </c>
      <c r="I114" s="5">
        <v>55794.438000000002</v>
      </c>
      <c r="J114" s="5">
        <v>85787.729999999981</v>
      </c>
      <c r="K114" s="5">
        <v>81249.840000000011</v>
      </c>
      <c r="L114" s="5">
        <v>65388.833999999995</v>
      </c>
      <c r="M114" s="5">
        <v>107094.204</v>
      </c>
      <c r="N114" s="5">
        <v>86219.91</v>
      </c>
      <c r="O114" s="5">
        <v>65648.141999999993</v>
      </c>
      <c r="P114" s="5">
        <v>111675.31199999999</v>
      </c>
      <c r="Q114" s="5">
        <v>101216.556</v>
      </c>
      <c r="R114" s="5">
        <v>123689.91600000003</v>
      </c>
      <c r="S114" s="5">
        <v>138167.94599999994</v>
      </c>
      <c r="T114" s="5">
        <v>63098.28</v>
      </c>
      <c r="U114" s="5">
        <v>125072.89200000002</v>
      </c>
      <c r="V114" s="5">
        <v>77403.437999999995</v>
      </c>
      <c r="W114" s="5">
        <f t="shared" ref="W114:AH114" si="113">IF(OR((SLOPE($E114:$V114,$E$1:$V$1)*W$1+INTERCEPT($E114:$V114,$E$1:$V$1))&gt;(AVERAGE($E114:$V114)+_xlfn.STDEV.P($E114:$V114)),(SLOPE($E114:$V114,$E$1:$V$1)*W$1+INTERCEPT($E114:$V114,$E$1:$V$1))&lt;(AVERAGE($E114:$V114)-_xlfn.STDEV.P($E114:$V114))),V114,(SLOPE($E114:$V114,$E$1:$V$1)*W$1+INTERCEPT($E114:$V114,$E$1:$V$1)))</f>
        <v>104205.37729411767</v>
      </c>
      <c r="X114" s="5">
        <f t="shared" si="113"/>
        <v>105630.76848297217</v>
      </c>
      <c r="Y114" s="5">
        <f t="shared" si="113"/>
        <v>107056.15967182665</v>
      </c>
      <c r="Z114" s="5">
        <f t="shared" si="113"/>
        <v>108481.55086068113</v>
      </c>
      <c r="AA114" s="5">
        <f t="shared" si="113"/>
        <v>109906.94204953563</v>
      </c>
      <c r="AB114" s="5">
        <f t="shared" si="113"/>
        <v>111332.33323839011</v>
      </c>
      <c r="AC114" s="5">
        <f t="shared" si="113"/>
        <v>112757.7244272446</v>
      </c>
      <c r="AD114" s="5">
        <f t="shared" si="113"/>
        <v>114183.11561609909</v>
      </c>
      <c r="AE114" s="5">
        <f t="shared" si="113"/>
        <v>115608.50680495359</v>
      </c>
      <c r="AF114" s="5">
        <f t="shared" si="113"/>
        <v>115608.50680495359</v>
      </c>
      <c r="AG114" s="5">
        <f t="shared" si="113"/>
        <v>115608.50680495359</v>
      </c>
      <c r="AH114" s="5">
        <f t="shared" si="113"/>
        <v>115608.50680495359</v>
      </c>
    </row>
    <row r="115" spans="1:34" x14ac:dyDescent="0.35">
      <c r="A115" t="s">
        <v>135</v>
      </c>
      <c r="B115" s="3" t="s">
        <v>1262</v>
      </c>
      <c r="C115" s="4" t="s">
        <v>1263</v>
      </c>
      <c r="D115" s="2">
        <f t="shared" si="66"/>
        <v>1619287.0848000001</v>
      </c>
      <c r="E115" s="5">
        <v>19714.464</v>
      </c>
      <c r="F115" s="5">
        <v>44396.351999999999</v>
      </c>
      <c r="G115" s="5">
        <v>39584.160000000011</v>
      </c>
      <c r="H115" s="5">
        <v>78826.809599999979</v>
      </c>
      <c r="I115" s="5">
        <v>90267.40800000001</v>
      </c>
      <c r="J115" s="5">
        <v>103306.89600000002</v>
      </c>
      <c r="K115" s="5">
        <v>45622.684800000003</v>
      </c>
      <c r="L115" s="5">
        <v>90965.952000000019</v>
      </c>
      <c r="M115" s="5">
        <v>157482.86399999997</v>
      </c>
      <c r="N115" s="5">
        <v>83049.12000000001</v>
      </c>
      <c r="O115" s="5">
        <v>62946.576000000001</v>
      </c>
      <c r="P115" s="5">
        <v>100404.05760000001</v>
      </c>
      <c r="Q115" s="5">
        <v>53477.423999999999</v>
      </c>
      <c r="R115" s="5">
        <v>106163.16480000001</v>
      </c>
      <c r="S115" s="5">
        <v>205061.47199999995</v>
      </c>
      <c r="T115" s="5">
        <v>103074.048</v>
      </c>
      <c r="U115" s="5">
        <v>94536.28800000003</v>
      </c>
      <c r="V115" s="5">
        <v>140407.34400000001</v>
      </c>
      <c r="W115" s="5">
        <f t="shared" ref="W115:AH115" si="114">IF(OR((SLOPE($E115:$V115,$E$1:$V$1)*W$1+INTERCEPT($E115:$V115,$E$1:$V$1))&gt;(AVERAGE($E115:$V115)+_xlfn.STDEV.P($E115:$V115)),(SLOPE($E115:$V115,$E$1:$V$1)*W$1+INTERCEPT($E115:$V115,$E$1:$V$1))&lt;(AVERAGE($E115:$V115)-_xlfn.STDEV.P($E115:$V115))),V115,(SLOPE($E115:$V115,$E$1:$V$1)*W$1+INTERCEPT($E115:$V115,$E$1:$V$1)))</f>
        <v>140407.34400000001</v>
      </c>
      <c r="X115" s="5">
        <f t="shared" si="114"/>
        <v>140407.34400000001</v>
      </c>
      <c r="Y115" s="5">
        <f t="shared" si="114"/>
        <v>140407.34400000001</v>
      </c>
      <c r="Z115" s="5">
        <f t="shared" si="114"/>
        <v>140407.34400000001</v>
      </c>
      <c r="AA115" s="5">
        <f t="shared" si="114"/>
        <v>140407.34400000001</v>
      </c>
      <c r="AB115" s="5">
        <f t="shared" si="114"/>
        <v>140407.34400000001</v>
      </c>
      <c r="AC115" s="5">
        <f t="shared" si="114"/>
        <v>140407.34400000001</v>
      </c>
      <c r="AD115" s="5">
        <f t="shared" si="114"/>
        <v>140407.34400000001</v>
      </c>
      <c r="AE115" s="5">
        <f t="shared" si="114"/>
        <v>140407.34400000001</v>
      </c>
      <c r="AF115" s="5">
        <f t="shared" si="114"/>
        <v>140407.34400000001</v>
      </c>
      <c r="AG115" s="5">
        <f t="shared" si="114"/>
        <v>140407.34400000001</v>
      </c>
      <c r="AH115" s="5">
        <f t="shared" si="114"/>
        <v>140407.34400000001</v>
      </c>
    </row>
    <row r="116" spans="1:34" x14ac:dyDescent="0.35">
      <c r="A116" t="s">
        <v>136</v>
      </c>
      <c r="B116" s="3" t="s">
        <v>1264</v>
      </c>
      <c r="C116" s="4" t="s">
        <v>1263</v>
      </c>
      <c r="D116" s="2">
        <f t="shared" si="66"/>
        <v>1632921.5347199996</v>
      </c>
      <c r="E116" s="5">
        <v>10931.4198</v>
      </c>
      <c r="F116" s="5">
        <v>274727.51207999996</v>
      </c>
      <c r="G116" s="5">
        <v>260912.05811999997</v>
      </c>
      <c r="H116" s="5">
        <v>253050.73920000001</v>
      </c>
      <c r="I116" s="5">
        <v>257469.82379999995</v>
      </c>
      <c r="J116" s="5">
        <v>202766.20812</v>
      </c>
      <c r="K116" s="5">
        <v>160482.54600000003</v>
      </c>
      <c r="L116" s="5">
        <v>31631.342399999998</v>
      </c>
      <c r="M116" s="5">
        <v>20188.239119999995</v>
      </c>
      <c r="N116" s="5">
        <v>10233.669599999997</v>
      </c>
      <c r="O116" s="5">
        <v>3256.1675999999998</v>
      </c>
      <c r="P116" s="5">
        <v>8652.1024799999977</v>
      </c>
      <c r="Q116" s="5">
        <v>16513.421399999996</v>
      </c>
      <c r="R116" s="5">
        <v>43725.679199999999</v>
      </c>
      <c r="S116" s="5">
        <v>43725.679199999999</v>
      </c>
      <c r="T116" s="5">
        <v>930.33359999999993</v>
      </c>
      <c r="U116" s="5">
        <v>7210.0853999999999</v>
      </c>
      <c r="V116" s="5">
        <v>26514.507599999997</v>
      </c>
      <c r="W116" s="5">
        <f t="shared" ref="W116:AH116" si="115">IF(OR((SLOPE($E116:$V116,$E$1:$V$1)*W$1+INTERCEPT($E116:$V116,$E$1:$V$1))&gt;(AVERAGE($E116:$V116)+_xlfn.STDEV.P($E116:$V116)),(SLOPE($E116:$V116,$E$1:$V$1)*W$1+INTERCEPT($E116:$V116,$E$1:$V$1))&lt;(AVERAGE($E116:$V116)-_xlfn.STDEV.P($E116:$V116))),V116,(SLOPE($E116:$V116,$E$1:$V$1)*W$1+INTERCEPT($E116:$V116,$E$1:$V$1)))</f>
        <v>26514.507599999997</v>
      </c>
      <c r="X116" s="5">
        <f t="shared" si="115"/>
        <v>26514.507599999997</v>
      </c>
      <c r="Y116" s="5">
        <f t="shared" si="115"/>
        <v>26514.507599999997</v>
      </c>
      <c r="Z116" s="5">
        <f t="shared" si="115"/>
        <v>26514.507599999997</v>
      </c>
      <c r="AA116" s="5">
        <f t="shared" si="115"/>
        <v>26514.507599999997</v>
      </c>
      <c r="AB116" s="5">
        <f t="shared" si="115"/>
        <v>26514.507599999997</v>
      </c>
      <c r="AC116" s="5">
        <f t="shared" si="115"/>
        <v>26514.507599999997</v>
      </c>
      <c r="AD116" s="5">
        <f t="shared" si="115"/>
        <v>26514.507599999997</v>
      </c>
      <c r="AE116" s="5">
        <f t="shared" si="115"/>
        <v>26514.507599999997</v>
      </c>
      <c r="AF116" s="5">
        <f t="shared" si="115"/>
        <v>26514.507599999997</v>
      </c>
      <c r="AG116" s="5">
        <f t="shared" si="115"/>
        <v>26514.507599999997</v>
      </c>
      <c r="AH116" s="5">
        <f t="shared" si="115"/>
        <v>26514.507599999997</v>
      </c>
    </row>
    <row r="117" spans="1:34" x14ac:dyDescent="0.35">
      <c r="A117" t="s">
        <v>137</v>
      </c>
      <c r="B117" s="3" t="s">
        <v>1262</v>
      </c>
      <c r="C117" s="4" t="s">
        <v>1263</v>
      </c>
      <c r="D117" s="2">
        <f t="shared" si="66"/>
        <v>1612068.3557999996</v>
      </c>
      <c r="E117" s="5">
        <v>66891.232799999969</v>
      </c>
      <c r="F117" s="5">
        <v>70463.59739999997</v>
      </c>
      <c r="G117" s="5">
        <v>99560.248199999973</v>
      </c>
      <c r="H117" s="5">
        <v>75278.523599999986</v>
      </c>
      <c r="I117" s="5">
        <v>118198.67219999997</v>
      </c>
      <c r="J117" s="5">
        <v>79627.489199999953</v>
      </c>
      <c r="K117" s="5">
        <v>104582.26799999997</v>
      </c>
      <c r="L117" s="5">
        <v>106031.92319999995</v>
      </c>
      <c r="M117" s="5">
        <v>134248.42619999993</v>
      </c>
      <c r="N117" s="5">
        <v>82319.705999999962</v>
      </c>
      <c r="O117" s="5">
        <v>93606.307199999981</v>
      </c>
      <c r="P117" s="5">
        <v>119596.55399999997</v>
      </c>
      <c r="Q117" s="5">
        <v>39761.971199999985</v>
      </c>
      <c r="R117" s="5">
        <v>68496.208199999965</v>
      </c>
      <c r="S117" s="5">
        <v>105773.05619999998</v>
      </c>
      <c r="T117" s="5">
        <v>71965.025999999969</v>
      </c>
      <c r="U117" s="5">
        <v>109086.55379999998</v>
      </c>
      <c r="V117" s="5">
        <v>66580.592399999965</v>
      </c>
      <c r="W117" s="5">
        <f t="shared" ref="W117:AH117" si="116">IF(OR((SLOPE($E117:$V117,$E$1:$V$1)*W$1+INTERCEPT($E117:$V117,$E$1:$V$1))&gt;(AVERAGE($E117:$V117)+_xlfn.STDEV.P($E117:$V117)),(SLOPE($E117:$V117,$E$1:$V$1)*W$1+INTERCEPT($E117:$V117,$E$1:$V$1))&lt;(AVERAGE($E117:$V117)-_xlfn.STDEV.P($E117:$V117))),V117,(SLOPE($E117:$V117,$E$1:$V$1)*W$1+INTERCEPT($E117:$V117,$E$1:$V$1)))</f>
        <v>87699.063776470561</v>
      </c>
      <c r="X117" s="5">
        <f t="shared" si="116"/>
        <v>87503.243847677993</v>
      </c>
      <c r="Y117" s="5">
        <f t="shared" si="116"/>
        <v>87307.423918885426</v>
      </c>
      <c r="Z117" s="5">
        <f t="shared" si="116"/>
        <v>87111.603990092859</v>
      </c>
      <c r="AA117" s="5">
        <f t="shared" si="116"/>
        <v>86915.784061300292</v>
      </c>
      <c r="AB117" s="5">
        <f t="shared" si="116"/>
        <v>86719.964132507725</v>
      </c>
      <c r="AC117" s="5">
        <f t="shared" si="116"/>
        <v>86524.144203715143</v>
      </c>
      <c r="AD117" s="5">
        <f t="shared" si="116"/>
        <v>86328.324274922576</v>
      </c>
      <c r="AE117" s="5">
        <f t="shared" si="116"/>
        <v>86132.504346130008</v>
      </c>
      <c r="AF117" s="5">
        <f t="shared" si="116"/>
        <v>85936.684417337441</v>
      </c>
      <c r="AG117" s="5">
        <f t="shared" si="116"/>
        <v>85740.864488544874</v>
      </c>
      <c r="AH117" s="5">
        <f t="shared" si="116"/>
        <v>85545.044559752307</v>
      </c>
    </row>
    <row r="118" spans="1:34" x14ac:dyDescent="0.35">
      <c r="A118" t="s">
        <v>138</v>
      </c>
      <c r="B118" s="3" t="s">
        <v>1265</v>
      </c>
      <c r="C118" s="4" t="s">
        <v>1263</v>
      </c>
      <c r="D118" s="2">
        <f t="shared" si="66"/>
        <v>1588493.2896</v>
      </c>
      <c r="E118" s="5">
        <v>77119.786800000002</v>
      </c>
      <c r="F118" s="5">
        <v>67037.292000000001</v>
      </c>
      <c r="G118" s="5">
        <v>81348.624000000011</v>
      </c>
      <c r="H118" s="5">
        <v>93454.073999999979</v>
      </c>
      <c r="I118" s="5">
        <v>87051.635999999999</v>
      </c>
      <c r="J118" s="5">
        <v>61119.072000000015</v>
      </c>
      <c r="K118" s="5">
        <v>76829.256000000008</v>
      </c>
      <c r="L118" s="5">
        <v>74192.957999999999</v>
      </c>
      <c r="M118" s="5">
        <v>114329.24999999999</v>
      </c>
      <c r="N118" s="5">
        <v>81994.247999999992</v>
      </c>
      <c r="O118" s="5">
        <v>99845.751599999989</v>
      </c>
      <c r="P118" s="5">
        <v>93615.479999999981</v>
      </c>
      <c r="Q118" s="5">
        <v>60796.260000000017</v>
      </c>
      <c r="R118" s="5">
        <v>100071.72000000002</v>
      </c>
      <c r="S118" s="5">
        <v>124713.03600000001</v>
      </c>
      <c r="T118" s="5">
        <v>2829.9852000000001</v>
      </c>
      <c r="U118" s="5">
        <v>68005.728000000003</v>
      </c>
      <c r="V118" s="5">
        <v>224139.13199999995</v>
      </c>
      <c r="W118" s="5">
        <f t="shared" ref="W118:AH118" si="117">IF(OR((SLOPE($E118:$V118,$E$1:$V$1)*W$1+INTERCEPT($E118:$V118,$E$1:$V$1))&gt;(AVERAGE($E118:$V118)+_xlfn.STDEV.P($E118:$V118)),(SLOPE($E118:$V118,$E$1:$V$1)*W$1+INTERCEPT($E118:$V118,$E$1:$V$1))&lt;(AVERAGE($E118:$V118)-_xlfn.STDEV.P($E118:$V118))),V118,(SLOPE($E118:$V118,$E$1:$V$1)*W$1+INTERCEPT($E118:$V118,$E$1:$V$1)))</f>
        <v>108646.07089411764</v>
      </c>
      <c r="X118" s="5">
        <f t="shared" si="117"/>
        <v>110793.06496718264</v>
      </c>
      <c r="Y118" s="5">
        <f t="shared" si="117"/>
        <v>112940.05904024767</v>
      </c>
      <c r="Z118" s="5">
        <f t="shared" si="117"/>
        <v>115087.05311331268</v>
      </c>
      <c r="AA118" s="5">
        <f t="shared" si="117"/>
        <v>117234.04718637769</v>
      </c>
      <c r="AB118" s="5">
        <f t="shared" si="117"/>
        <v>119381.0412594427</v>
      </c>
      <c r="AC118" s="5">
        <f t="shared" si="117"/>
        <v>121528.03533250772</v>
      </c>
      <c r="AD118" s="5">
        <f t="shared" si="117"/>
        <v>123675.02940557273</v>
      </c>
      <c r="AE118" s="5">
        <f t="shared" si="117"/>
        <v>125822.02347863774</v>
      </c>
      <c r="AF118" s="5">
        <f t="shared" si="117"/>
        <v>127969.01755170277</v>
      </c>
      <c r="AG118" s="5">
        <f t="shared" si="117"/>
        <v>127969.01755170277</v>
      </c>
      <c r="AH118" s="5">
        <f t="shared" si="117"/>
        <v>127969.01755170277</v>
      </c>
    </row>
    <row r="119" spans="1:34" x14ac:dyDescent="0.35">
      <c r="A119" t="s">
        <v>139</v>
      </c>
      <c r="B119" s="3" t="s">
        <v>1262</v>
      </c>
      <c r="C119" s="4" t="s">
        <v>1263</v>
      </c>
      <c r="D119" s="2">
        <f t="shared" si="66"/>
        <v>1564296.702695024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506650.81675690459</v>
      </c>
      <c r="Q119" s="5">
        <v>275873.59244004136</v>
      </c>
      <c r="R119" s="5">
        <v>195672.37694124749</v>
      </c>
      <c r="S119" s="5">
        <v>172803.16788623924</v>
      </c>
      <c r="T119" s="5">
        <v>122356.38320607385</v>
      </c>
      <c r="U119" s="5">
        <v>212793.70992360666</v>
      </c>
      <c r="V119" s="5">
        <v>78146.655540910724</v>
      </c>
      <c r="W119" s="5">
        <f t="shared" ref="W119:AH119" si="118">IF(OR((SLOPE($E119:$V119,$E$1:$V$1)*W$1+INTERCEPT($E119:$V119,$E$1:$V$1))&gt;(AVERAGE($E119:$V119)+_xlfn.STDEV.P($E119:$V119)),(SLOPE($E119:$V119,$E$1:$V$1)*W$1+INTERCEPT($E119:$V119,$E$1:$V$1))&lt;(AVERAGE($E119:$V119)-_xlfn.STDEV.P($E119:$V119))),V119,(SLOPE($E119:$V119,$E$1:$V$1)*W$1+INTERCEPT($E119:$V119,$E$1:$V$1)))</f>
        <v>78146.655540910724</v>
      </c>
      <c r="X119" s="5">
        <f t="shared" si="118"/>
        <v>78146.655540910724</v>
      </c>
      <c r="Y119" s="5">
        <f t="shared" si="118"/>
        <v>78146.655540910724</v>
      </c>
      <c r="Z119" s="5">
        <f t="shared" si="118"/>
        <v>78146.655540910724</v>
      </c>
      <c r="AA119" s="5">
        <f t="shared" si="118"/>
        <v>78146.655540910724</v>
      </c>
      <c r="AB119" s="5">
        <f t="shared" si="118"/>
        <v>78146.655540910724</v>
      </c>
      <c r="AC119" s="5">
        <f t="shared" si="118"/>
        <v>78146.655540910724</v>
      </c>
      <c r="AD119" s="5">
        <f t="shared" si="118"/>
        <v>78146.655540910724</v>
      </c>
      <c r="AE119" s="5">
        <f t="shared" si="118"/>
        <v>78146.655540910724</v>
      </c>
      <c r="AF119" s="5">
        <f t="shared" si="118"/>
        <v>78146.655540910724</v>
      </c>
      <c r="AG119" s="5">
        <f t="shared" si="118"/>
        <v>78146.655540910724</v>
      </c>
      <c r="AH119" s="5">
        <f t="shared" si="118"/>
        <v>78146.655540910724</v>
      </c>
    </row>
    <row r="120" spans="1:34" x14ac:dyDescent="0.35">
      <c r="A120" t="s">
        <v>140</v>
      </c>
      <c r="B120" s="3" t="s">
        <v>1265</v>
      </c>
      <c r="C120" s="4" t="s">
        <v>1263</v>
      </c>
      <c r="D120" s="2">
        <f t="shared" si="66"/>
        <v>1577686.2949085864</v>
      </c>
      <c r="E120" s="5">
        <v>60153.815621337104</v>
      </c>
      <c r="F120" s="5">
        <v>80648.315994007935</v>
      </c>
      <c r="G120" s="5">
        <v>104929.52941155872</v>
      </c>
      <c r="H120" s="5">
        <v>94667.826121998543</v>
      </c>
      <c r="I120" s="5">
        <v>59908.11286651664</v>
      </c>
      <c r="J120" s="5">
        <v>73421.764381641653</v>
      </c>
      <c r="K120" s="5">
        <v>92297.517193142412</v>
      </c>
      <c r="L120" s="5">
        <v>65848.338291881737</v>
      </c>
      <c r="M120" s="5">
        <v>155009.5320852572</v>
      </c>
      <c r="N120" s="5">
        <v>92499.860638288708</v>
      </c>
      <c r="O120" s="5">
        <v>108109.2121209999</v>
      </c>
      <c r="P120" s="5">
        <v>89392.44344497117</v>
      </c>
      <c r="Q120" s="5">
        <v>122273.25328123783</v>
      </c>
      <c r="R120" s="5">
        <v>69230.364446469175</v>
      </c>
      <c r="S120" s="5">
        <v>62581.936963092172</v>
      </c>
      <c r="T120" s="5">
        <v>92933.453735030678</v>
      </c>
      <c r="U120" s="5">
        <v>83972.529735696444</v>
      </c>
      <c r="V120" s="5">
        <v>69808.488575458498</v>
      </c>
      <c r="W120" s="5">
        <f t="shared" ref="W120:AH120" si="119">IF(OR((SLOPE($E120:$V120,$E$1:$V$1)*W$1+INTERCEPT($E120:$V120,$E$1:$V$1))&gt;(AVERAGE($E120:$V120)+_xlfn.STDEV.P($E120:$V120)),(SLOPE($E120:$V120,$E$1:$V$1)*W$1+INTERCEPT($E120:$V120,$E$1:$V$1))&lt;(AVERAGE($E120:$V120)-_xlfn.STDEV.P($E120:$V120))),V120,(SLOPE($E120:$V120,$E$1:$V$1)*W$1+INTERCEPT($E120:$V120,$E$1:$V$1)))</f>
        <v>89420.877327785842</v>
      </c>
      <c r="X120" s="5">
        <f t="shared" si="119"/>
        <v>89607.365614286187</v>
      </c>
      <c r="Y120" s="5">
        <f t="shared" si="119"/>
        <v>89793.853900786533</v>
      </c>
      <c r="Z120" s="5">
        <f t="shared" si="119"/>
        <v>89980.342187286878</v>
      </c>
      <c r="AA120" s="5">
        <f t="shared" si="119"/>
        <v>90166.830473787209</v>
      </c>
      <c r="AB120" s="5">
        <f t="shared" si="119"/>
        <v>90353.318760287555</v>
      </c>
      <c r="AC120" s="5">
        <f t="shared" si="119"/>
        <v>90539.807046787901</v>
      </c>
      <c r="AD120" s="5">
        <f t="shared" si="119"/>
        <v>90726.295333288246</v>
      </c>
      <c r="AE120" s="5">
        <f t="shared" si="119"/>
        <v>90912.783619788592</v>
      </c>
      <c r="AF120" s="5">
        <f t="shared" si="119"/>
        <v>91099.271906288937</v>
      </c>
      <c r="AG120" s="5">
        <f t="shared" si="119"/>
        <v>91285.760192789268</v>
      </c>
      <c r="AH120" s="5">
        <f t="shared" si="119"/>
        <v>91472.248479289614</v>
      </c>
    </row>
    <row r="121" spans="1:34" x14ac:dyDescent="0.35">
      <c r="A121" t="s">
        <v>141</v>
      </c>
      <c r="B121" s="3" t="s">
        <v>1262</v>
      </c>
      <c r="C121" s="4" t="s">
        <v>1263</v>
      </c>
      <c r="D121" s="2">
        <f t="shared" si="66"/>
        <v>1568500.3168912774</v>
      </c>
      <c r="E121" s="5">
        <v>63769.622707662158</v>
      </c>
      <c r="F121" s="5">
        <v>67713.409423983627</v>
      </c>
      <c r="G121" s="5">
        <v>107142.47349184929</v>
      </c>
      <c r="H121" s="5">
        <v>82212.107463674372</v>
      </c>
      <c r="I121" s="5">
        <v>87177.053240471912</v>
      </c>
      <c r="J121" s="5">
        <v>84395.275110209433</v>
      </c>
      <c r="K121" s="5">
        <v>77960.212410140273</v>
      </c>
      <c r="L121" s="5">
        <v>39631.535260891091</v>
      </c>
      <c r="M121" s="5">
        <v>140770.2977247689</v>
      </c>
      <c r="N121" s="5">
        <v>46119.416533053853</v>
      </c>
      <c r="O121" s="5">
        <v>113709.5826221524</v>
      </c>
      <c r="P121" s="5">
        <v>97837.601708028364</v>
      </c>
      <c r="Q121" s="5">
        <v>80970.871019474944</v>
      </c>
      <c r="R121" s="5">
        <v>97080.535508020199</v>
      </c>
      <c r="S121" s="5">
        <v>100408.10554991642</v>
      </c>
      <c r="T121" s="5">
        <v>93761.768561472898</v>
      </c>
      <c r="U121" s="5">
        <v>102749.72891273229</v>
      </c>
      <c r="V121" s="5">
        <v>85090.71964277506</v>
      </c>
      <c r="W121" s="5">
        <f t="shared" ref="W121:AH121" si="120">IF(OR((SLOPE($E121:$V121,$E$1:$V$1)*W$1+INTERCEPT($E121:$V121,$E$1:$V$1))&gt;(AVERAGE($E121:$V121)+_xlfn.STDEV.P($E121:$V121)),(SLOPE($E121:$V121,$E$1:$V$1)*W$1+INTERCEPT($E121:$V121,$E$1:$V$1))&lt;(AVERAGE($E121:$V121)-_xlfn.STDEV.P($E121:$V121))),V121,(SLOPE($E121:$V121,$E$1:$V$1)*W$1+INTERCEPT($E121:$V121,$E$1:$V$1)))</f>
        <v>98965.778790393393</v>
      </c>
      <c r="X121" s="5">
        <f t="shared" si="120"/>
        <v>100210.71271633377</v>
      </c>
      <c r="Y121" s="5">
        <f t="shared" si="120"/>
        <v>101455.64664227414</v>
      </c>
      <c r="Z121" s="5">
        <f t="shared" si="120"/>
        <v>102700.58056821451</v>
      </c>
      <c r="AA121" s="5">
        <f t="shared" si="120"/>
        <v>103945.51449415488</v>
      </c>
      <c r="AB121" s="5">
        <f t="shared" si="120"/>
        <v>105190.44842009526</v>
      </c>
      <c r="AC121" s="5">
        <f t="shared" si="120"/>
        <v>106435.38234603562</v>
      </c>
      <c r="AD121" s="5">
        <f t="shared" si="120"/>
        <v>107680.316271976</v>
      </c>
      <c r="AE121" s="5">
        <f t="shared" si="120"/>
        <v>108925.25019791638</v>
      </c>
      <c r="AF121" s="5">
        <f t="shared" si="120"/>
        <v>110170.18412385674</v>
      </c>
      <c r="AG121" s="5">
        <f t="shared" si="120"/>
        <v>110170.18412385674</v>
      </c>
      <c r="AH121" s="5">
        <f t="shared" si="120"/>
        <v>110170.18412385674</v>
      </c>
    </row>
    <row r="122" spans="1:34" x14ac:dyDescent="0.35">
      <c r="A122" t="s">
        <v>142</v>
      </c>
      <c r="B122" s="3" t="s">
        <v>1262</v>
      </c>
      <c r="C122" s="4" t="s">
        <v>1263</v>
      </c>
      <c r="D122" s="2">
        <f t="shared" si="66"/>
        <v>1563723.8189999994</v>
      </c>
      <c r="E122" s="5">
        <v>0</v>
      </c>
      <c r="F122" s="5">
        <v>0</v>
      </c>
      <c r="G122" s="5">
        <v>0</v>
      </c>
      <c r="H122" s="5">
        <v>0</v>
      </c>
      <c r="I122" s="5">
        <v>387506.69999999995</v>
      </c>
      <c r="J122" s="5">
        <v>99472.841999999961</v>
      </c>
      <c r="K122" s="5">
        <v>23275.979999999992</v>
      </c>
      <c r="L122" s="5">
        <v>10486.979999999998</v>
      </c>
      <c r="M122" s="5">
        <v>31844.609999999993</v>
      </c>
      <c r="N122" s="5">
        <v>59942.042999999983</v>
      </c>
      <c r="O122" s="5">
        <v>68037.479999999981</v>
      </c>
      <c r="P122" s="5">
        <v>71170.784999999974</v>
      </c>
      <c r="Q122" s="5">
        <v>141957.9</v>
      </c>
      <c r="R122" s="5">
        <v>186975.17999999993</v>
      </c>
      <c r="S122" s="5">
        <v>184455.74699999992</v>
      </c>
      <c r="T122" s="5">
        <v>125562.40199999994</v>
      </c>
      <c r="U122" s="5">
        <v>77437.39499999996</v>
      </c>
      <c r="V122" s="5">
        <v>95597.774999999965</v>
      </c>
      <c r="W122" s="5">
        <f t="shared" ref="W122:AH122" si="121">IF(OR((SLOPE($E122:$V122,$E$1:$V$1)*W$1+INTERCEPT($E122:$V122,$E$1:$V$1))&gt;(AVERAGE($E122:$V122)+_xlfn.STDEV.P($E122:$V122)),(SLOPE($E122:$V122,$E$1:$V$1)*W$1+INTERCEPT($E122:$V122,$E$1:$V$1))&lt;(AVERAGE($E122:$V122)-_xlfn.STDEV.P($E122:$V122))),V122,(SLOPE($E122:$V122,$E$1:$V$1)*W$1+INTERCEPT($E122:$V122,$E$1:$V$1)))</f>
        <v>139627.29282352934</v>
      </c>
      <c r="X122" s="5">
        <f t="shared" si="121"/>
        <v>145180.31885758508</v>
      </c>
      <c r="Y122" s="5">
        <f t="shared" si="121"/>
        <v>150733.34489164079</v>
      </c>
      <c r="Z122" s="5">
        <f t="shared" si="121"/>
        <v>156286.37092569651</v>
      </c>
      <c r="AA122" s="5">
        <f t="shared" si="121"/>
        <v>161839.39695975225</v>
      </c>
      <c r="AB122" s="5">
        <f t="shared" si="121"/>
        <v>167392.42299380797</v>
      </c>
      <c r="AC122" s="5">
        <f t="shared" si="121"/>
        <v>172945.44902786371</v>
      </c>
      <c r="AD122" s="5">
        <f t="shared" si="121"/>
        <v>178498.47506191942</v>
      </c>
      <c r="AE122" s="5">
        <f t="shared" si="121"/>
        <v>178498.47506191942</v>
      </c>
      <c r="AF122" s="5">
        <f t="shared" si="121"/>
        <v>178498.47506191942</v>
      </c>
      <c r="AG122" s="5">
        <f t="shared" si="121"/>
        <v>178498.47506191942</v>
      </c>
      <c r="AH122" s="5">
        <f t="shared" si="121"/>
        <v>178498.47506191942</v>
      </c>
    </row>
    <row r="123" spans="1:34" x14ac:dyDescent="0.35">
      <c r="A123" t="s">
        <v>143</v>
      </c>
      <c r="B123" s="3" t="s">
        <v>1264</v>
      </c>
      <c r="C123" s="4" t="s">
        <v>1263</v>
      </c>
      <c r="D123" s="2">
        <f t="shared" si="66"/>
        <v>1569823.6452693006</v>
      </c>
      <c r="E123" s="5">
        <v>113143.52483404447</v>
      </c>
      <c r="F123" s="5">
        <v>127595.61224407332</v>
      </c>
      <c r="G123" s="5">
        <v>148592.35856271838</v>
      </c>
      <c r="H123" s="5">
        <v>113342.6125729098</v>
      </c>
      <c r="I123" s="5">
        <v>116825.24597672353</v>
      </c>
      <c r="J123" s="5">
        <v>89236.171854241184</v>
      </c>
      <c r="K123" s="5">
        <v>107305.48719576739</v>
      </c>
      <c r="L123" s="5">
        <v>90778.400817282658</v>
      </c>
      <c r="M123" s="5">
        <v>126586.15328644616</v>
      </c>
      <c r="N123" s="5">
        <v>103076.97578437357</v>
      </c>
      <c r="O123" s="5">
        <v>140752.22732514734</v>
      </c>
      <c r="P123" s="5">
        <v>135575.94611464808</v>
      </c>
      <c r="Q123" s="5">
        <v>150577.62784605174</v>
      </c>
      <c r="R123" s="5">
        <v>6401.6522229522552</v>
      </c>
      <c r="S123" s="5">
        <v>0</v>
      </c>
      <c r="T123" s="5">
        <v>0</v>
      </c>
      <c r="U123" s="5">
        <v>0</v>
      </c>
      <c r="V123" s="5">
        <v>33.648631920905416</v>
      </c>
      <c r="W123" s="5">
        <f t="shared" ref="W123:AH123" si="122">IF(OR((SLOPE($E123:$V123,$E$1:$V$1)*W$1+INTERCEPT($E123:$V123,$E$1:$V$1))&gt;(AVERAGE($E123:$V123)+_xlfn.STDEV.P($E123:$V123)),(SLOPE($E123:$V123,$E$1:$V$1)*W$1+INTERCEPT($E123:$V123,$E$1:$V$1))&lt;(AVERAGE($E123:$V123)-_xlfn.STDEV.P($E123:$V123))),V123,(SLOPE($E123:$V123,$E$1:$V$1)*W$1+INTERCEPT($E123:$V123,$E$1:$V$1)))</f>
        <v>33.648631920905416</v>
      </c>
      <c r="X123" s="5">
        <f t="shared" si="122"/>
        <v>33.648631920905416</v>
      </c>
      <c r="Y123" s="5">
        <f t="shared" si="122"/>
        <v>33.648631920905416</v>
      </c>
      <c r="Z123" s="5">
        <f t="shared" si="122"/>
        <v>33.648631920905416</v>
      </c>
      <c r="AA123" s="5">
        <f t="shared" si="122"/>
        <v>33.648631920905416</v>
      </c>
      <c r="AB123" s="5">
        <f t="shared" si="122"/>
        <v>33.648631920905416</v>
      </c>
      <c r="AC123" s="5">
        <f t="shared" si="122"/>
        <v>33.648631920905416</v>
      </c>
      <c r="AD123" s="5">
        <f t="shared" si="122"/>
        <v>33.648631920905416</v>
      </c>
      <c r="AE123" s="5">
        <f t="shared" si="122"/>
        <v>33.648631920905416</v>
      </c>
      <c r="AF123" s="5">
        <f t="shared" si="122"/>
        <v>33.648631920905416</v>
      </c>
      <c r="AG123" s="5">
        <f t="shared" si="122"/>
        <v>33.648631920905416</v>
      </c>
      <c r="AH123" s="5">
        <f t="shared" si="122"/>
        <v>33.648631920905416</v>
      </c>
    </row>
    <row r="124" spans="1:34" x14ac:dyDescent="0.35">
      <c r="A124" t="s">
        <v>144</v>
      </c>
      <c r="B124" s="3" t="s">
        <v>1265</v>
      </c>
      <c r="C124" s="4" t="s">
        <v>1263</v>
      </c>
      <c r="D124" s="2">
        <f t="shared" si="66"/>
        <v>1568755.7172828289</v>
      </c>
      <c r="E124" s="5">
        <v>0</v>
      </c>
      <c r="F124" s="5">
        <v>0</v>
      </c>
      <c r="G124" s="5">
        <v>223438.39631878448</v>
      </c>
      <c r="H124" s="5">
        <v>0</v>
      </c>
      <c r="I124" s="5">
        <v>0</v>
      </c>
      <c r="J124" s="5">
        <v>223683.58148039703</v>
      </c>
      <c r="K124" s="5">
        <v>74788.751297053794</v>
      </c>
      <c r="L124" s="5">
        <v>0</v>
      </c>
      <c r="M124" s="5">
        <v>74895.200485402034</v>
      </c>
      <c r="N124" s="5">
        <v>0</v>
      </c>
      <c r="O124" s="5">
        <v>74758.198383418799</v>
      </c>
      <c r="P124" s="5">
        <v>373756.86617778888</v>
      </c>
      <c r="Q124" s="5">
        <v>0</v>
      </c>
      <c r="R124" s="5">
        <v>149780.99603264296</v>
      </c>
      <c r="S124" s="5">
        <v>0</v>
      </c>
      <c r="T124" s="5">
        <v>149661.96314211836</v>
      </c>
      <c r="U124" s="5">
        <v>223991.76396522258</v>
      </c>
      <c r="V124" s="5">
        <v>0</v>
      </c>
      <c r="W124" s="5">
        <f t="shared" ref="W124:AH124" si="123">IF(OR((SLOPE($E124:$V124,$E$1:$V$1)*W$1+INTERCEPT($E124:$V124,$E$1:$V$1))&gt;(AVERAGE($E124:$V124)+_xlfn.STDEV.P($E124:$V124)),(SLOPE($E124:$V124,$E$1:$V$1)*W$1+INTERCEPT($E124:$V124,$E$1:$V$1))&lt;(AVERAGE($E124:$V124)-_xlfn.STDEV.P($E124:$V124))),V124,(SLOPE($E124:$V124,$E$1:$V$1)*W$1+INTERCEPT($E124:$V124,$E$1:$V$1)))</f>
        <v>124675.12178873116</v>
      </c>
      <c r="X124" s="5">
        <f t="shared" si="123"/>
        <v>128624.80877653428</v>
      </c>
      <c r="Y124" s="5">
        <f t="shared" si="123"/>
        <v>132574.49576433739</v>
      </c>
      <c r="Z124" s="5">
        <f t="shared" si="123"/>
        <v>136524.18275214051</v>
      </c>
      <c r="AA124" s="5">
        <f t="shared" si="123"/>
        <v>140473.86973994362</v>
      </c>
      <c r="AB124" s="5">
        <f t="shared" si="123"/>
        <v>144423.55672774673</v>
      </c>
      <c r="AC124" s="5">
        <f t="shared" si="123"/>
        <v>148373.24371554985</v>
      </c>
      <c r="AD124" s="5">
        <f t="shared" si="123"/>
        <v>152322.93070335296</v>
      </c>
      <c r="AE124" s="5">
        <f t="shared" si="123"/>
        <v>156272.61769115608</v>
      </c>
      <c r="AF124" s="5">
        <f t="shared" si="123"/>
        <v>160222.30467895919</v>
      </c>
      <c r="AG124" s="5">
        <f t="shared" si="123"/>
        <v>164171.9916667623</v>
      </c>
      <c r="AH124" s="5">
        <f t="shared" si="123"/>
        <v>168121.67865456542</v>
      </c>
    </row>
    <row r="125" spans="1:34" x14ac:dyDescent="0.35">
      <c r="A125" t="s">
        <v>145</v>
      </c>
      <c r="B125" s="3" t="s">
        <v>1265</v>
      </c>
      <c r="C125" s="4" t="s">
        <v>1263</v>
      </c>
      <c r="D125" s="2">
        <f t="shared" si="66"/>
        <v>1532422.2651497447</v>
      </c>
      <c r="E125" s="5">
        <v>57988.859462187065</v>
      </c>
      <c r="F125" s="5">
        <v>79876.321216090146</v>
      </c>
      <c r="G125" s="5">
        <v>97306.305985471685</v>
      </c>
      <c r="H125" s="5">
        <v>87016.616124005988</v>
      </c>
      <c r="I125" s="5">
        <v>78309.955471996596</v>
      </c>
      <c r="J125" s="5">
        <v>87916.443253591642</v>
      </c>
      <c r="K125" s="5">
        <v>80626.177157411512</v>
      </c>
      <c r="L125" s="5">
        <v>70986.362445091072</v>
      </c>
      <c r="M125" s="5">
        <v>114894.59367579884</v>
      </c>
      <c r="N125" s="5">
        <v>14488.883132865418</v>
      </c>
      <c r="O125" s="5">
        <v>98822.681333477143</v>
      </c>
      <c r="P125" s="5">
        <v>123259.6532878729</v>
      </c>
      <c r="Q125" s="5">
        <v>91782.367217737497</v>
      </c>
      <c r="R125" s="5">
        <v>84267.144339160935</v>
      </c>
      <c r="S125" s="5">
        <v>98431.08989745377</v>
      </c>
      <c r="T125" s="5">
        <v>93515.367615458032</v>
      </c>
      <c r="U125" s="5">
        <v>93598.684942271502</v>
      </c>
      <c r="V125" s="5">
        <v>79334.758591802485</v>
      </c>
      <c r="W125" s="5">
        <f t="shared" ref="W125:AH125" si="124">IF(OR((SLOPE($E125:$V125,$E$1:$V$1)*W$1+INTERCEPT($E125:$V125,$E$1:$V$1))&gt;(AVERAGE($E125:$V125)+_xlfn.STDEV.P($E125:$V125)),(SLOPE($E125:$V125,$E$1:$V$1)*W$1+INTERCEPT($E125:$V125,$E$1:$V$1))&lt;(AVERAGE($E125:$V125)-_xlfn.STDEV.P($E125:$V125))),V125,(SLOPE($E125:$V125,$E$1:$V$1)*W$1+INTERCEPT($E125:$V125,$E$1:$V$1)))</f>
        <v>94173.193306900488</v>
      </c>
      <c r="X125" s="5">
        <f t="shared" si="124"/>
        <v>95124.627309090327</v>
      </c>
      <c r="Y125" s="5">
        <f t="shared" si="124"/>
        <v>96076.06131128018</v>
      </c>
      <c r="Z125" s="5">
        <f t="shared" si="124"/>
        <v>97027.495313470019</v>
      </c>
      <c r="AA125" s="5">
        <f t="shared" si="124"/>
        <v>97978.929315659872</v>
      </c>
      <c r="AB125" s="5">
        <f t="shared" si="124"/>
        <v>98930.363317849726</v>
      </c>
      <c r="AC125" s="5">
        <f t="shared" si="124"/>
        <v>99881.797320039565</v>
      </c>
      <c r="AD125" s="5">
        <f t="shared" si="124"/>
        <v>100833.23132222942</v>
      </c>
      <c r="AE125" s="5">
        <f t="shared" si="124"/>
        <v>101784.66532441927</v>
      </c>
      <c r="AF125" s="5">
        <f t="shared" si="124"/>
        <v>102736.09932660911</v>
      </c>
      <c r="AG125" s="5">
        <f t="shared" si="124"/>
        <v>103687.53332879896</v>
      </c>
      <c r="AH125" s="5">
        <f t="shared" si="124"/>
        <v>104638.96733098882</v>
      </c>
    </row>
    <row r="126" spans="1:34" x14ac:dyDescent="0.35">
      <c r="A126" t="s">
        <v>146</v>
      </c>
      <c r="B126" s="3" t="s">
        <v>1262</v>
      </c>
      <c r="C126" s="4" t="s">
        <v>1263</v>
      </c>
      <c r="D126" s="2">
        <f t="shared" si="66"/>
        <v>1537456.9176661046</v>
      </c>
      <c r="E126" s="5">
        <v>59646.586101923698</v>
      </c>
      <c r="F126" s="5">
        <v>97510.971818503269</v>
      </c>
      <c r="G126" s="5">
        <v>117257.45254166571</v>
      </c>
      <c r="H126" s="5">
        <v>81890.216277362357</v>
      </c>
      <c r="I126" s="5">
        <v>96764.54127570329</v>
      </c>
      <c r="J126" s="5">
        <v>80433.545763534552</v>
      </c>
      <c r="K126" s="5">
        <v>76950.203230468105</v>
      </c>
      <c r="L126" s="5">
        <v>75547.818574298508</v>
      </c>
      <c r="M126" s="5">
        <v>111421.72284341149</v>
      </c>
      <c r="N126" s="5">
        <v>50897.515376013922</v>
      </c>
      <c r="O126" s="5">
        <v>116239.59271057489</v>
      </c>
      <c r="P126" s="5">
        <v>86020.465280855453</v>
      </c>
      <c r="Q126" s="5">
        <v>73602.575341547112</v>
      </c>
      <c r="R126" s="5">
        <v>88621.662626976511</v>
      </c>
      <c r="S126" s="5">
        <v>86020.465280855438</v>
      </c>
      <c r="T126" s="5">
        <v>88508.567090188648</v>
      </c>
      <c r="U126" s="5">
        <v>86676.419394225115</v>
      </c>
      <c r="V126" s="5">
        <v>63446.596137996203</v>
      </c>
      <c r="W126" s="5">
        <f t="shared" ref="W126:AH126" si="125">IF(OR((SLOPE($E126:$V126,$E$1:$V$1)*W$1+INTERCEPT($E126:$V126,$E$1:$V$1))&gt;(AVERAGE($E126:$V126)+_xlfn.STDEV.P($E126:$V126)),(SLOPE($E126:$V126,$E$1:$V$1)*W$1+INTERCEPT($E126:$V126,$E$1:$V$1))&lt;(AVERAGE($E126:$V126)-_xlfn.STDEV.P($E126:$V126))),V126,(SLOPE($E126:$V126,$E$1:$V$1)*W$1+INTERCEPT($E126:$V126,$E$1:$V$1)))</f>
        <v>81096.418662684227</v>
      </c>
      <c r="X126" s="5">
        <f t="shared" si="125"/>
        <v>80641.907658369673</v>
      </c>
      <c r="Y126" s="5">
        <f t="shared" si="125"/>
        <v>80187.396654055119</v>
      </c>
      <c r="Z126" s="5">
        <f t="shared" si="125"/>
        <v>79732.885649740565</v>
      </c>
      <c r="AA126" s="5">
        <f t="shared" si="125"/>
        <v>79278.374645426011</v>
      </c>
      <c r="AB126" s="5">
        <f t="shared" si="125"/>
        <v>78823.863641111457</v>
      </c>
      <c r="AC126" s="5">
        <f t="shared" si="125"/>
        <v>78369.352636796903</v>
      </c>
      <c r="AD126" s="5">
        <f t="shared" si="125"/>
        <v>77914.841632482348</v>
      </c>
      <c r="AE126" s="5">
        <f t="shared" si="125"/>
        <v>77460.330628167794</v>
      </c>
      <c r="AF126" s="5">
        <f t="shared" si="125"/>
        <v>77005.81962385324</v>
      </c>
      <c r="AG126" s="5">
        <f t="shared" si="125"/>
        <v>76551.308619538686</v>
      </c>
      <c r="AH126" s="5">
        <f t="shared" si="125"/>
        <v>76096.797615224132</v>
      </c>
    </row>
    <row r="127" spans="1:34" x14ac:dyDescent="0.35">
      <c r="A127" t="s">
        <v>147</v>
      </c>
      <c r="B127" s="3" t="s">
        <v>1264</v>
      </c>
      <c r="C127" s="4" t="s">
        <v>1263</v>
      </c>
      <c r="D127" s="2">
        <f t="shared" si="66"/>
        <v>1547066.5656249216</v>
      </c>
      <c r="E127" s="5">
        <v>0</v>
      </c>
      <c r="F127" s="5">
        <v>0</v>
      </c>
      <c r="G127" s="5">
        <v>144613.59193597408</v>
      </c>
      <c r="H127" s="5">
        <v>0</v>
      </c>
      <c r="I127" s="5">
        <v>0</v>
      </c>
      <c r="J127" s="5">
        <v>151844.27153277278</v>
      </c>
      <c r="K127" s="5">
        <v>0</v>
      </c>
      <c r="L127" s="5">
        <v>102849.18658486477</v>
      </c>
      <c r="M127" s="5">
        <v>102849.18658486477</v>
      </c>
      <c r="N127" s="5">
        <v>102849.18658486477</v>
      </c>
      <c r="O127" s="5">
        <v>423187.57453530544</v>
      </c>
      <c r="P127" s="5">
        <v>518873.56786627497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f t="shared" ref="W127:AH127" si="126">IF(OR((SLOPE($E127:$V127,$E$1:$V$1)*W$1+INTERCEPT($E127:$V127,$E$1:$V$1))&gt;(AVERAGE($E127:$V127)+_xlfn.STDEV.P($E127:$V127)),(SLOPE($E127:$V127,$E$1:$V$1)*W$1+INTERCEPT($E127:$V127,$E$1:$V$1))&lt;(AVERAGE($E127:$V127)-_xlfn.STDEV.P($E127:$V127))),V127,(SLOPE($E127:$V127,$E$1:$V$1)*W$1+INTERCEPT($E127:$V127,$E$1:$V$1)))</f>
        <v>91953.009272812196</v>
      </c>
      <c r="X127" s="5">
        <f t="shared" si="126"/>
        <v>92585.100508401083</v>
      </c>
      <c r="Y127" s="5">
        <f t="shared" si="126"/>
        <v>93217.191743989955</v>
      </c>
      <c r="Z127" s="5">
        <f t="shared" si="126"/>
        <v>93849.282979578828</v>
      </c>
      <c r="AA127" s="5">
        <f t="shared" si="126"/>
        <v>94481.374215167714</v>
      </c>
      <c r="AB127" s="5">
        <f t="shared" si="126"/>
        <v>95113.465450756587</v>
      </c>
      <c r="AC127" s="5">
        <f t="shared" si="126"/>
        <v>95745.556686345473</v>
      </c>
      <c r="AD127" s="5">
        <f t="shared" si="126"/>
        <v>96377.647921934346</v>
      </c>
      <c r="AE127" s="5">
        <f t="shared" si="126"/>
        <v>97009.739157523232</v>
      </c>
      <c r="AF127" s="5">
        <f t="shared" si="126"/>
        <v>97641.830393112105</v>
      </c>
      <c r="AG127" s="5">
        <f t="shared" si="126"/>
        <v>98273.921628700977</v>
      </c>
      <c r="AH127" s="5">
        <f t="shared" si="126"/>
        <v>98906.012864289864</v>
      </c>
    </row>
    <row r="128" spans="1:34" x14ac:dyDescent="0.35">
      <c r="A128" t="s">
        <v>148</v>
      </c>
      <c r="B128" s="3" t="s">
        <v>1264</v>
      </c>
      <c r="C128" s="4" t="s">
        <v>1263</v>
      </c>
      <c r="D128" s="2">
        <f t="shared" si="66"/>
        <v>1546101.6906922611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100782.52845597184</v>
      </c>
      <c r="K128" s="5">
        <v>15659.436692362158</v>
      </c>
      <c r="L128" s="5">
        <v>116575.80648758494</v>
      </c>
      <c r="M128" s="5">
        <v>50658.946906487836</v>
      </c>
      <c r="N128" s="5">
        <v>65849.938911471632</v>
      </c>
      <c r="O128" s="5">
        <v>186976.35093358919</v>
      </c>
      <c r="P128" s="5">
        <v>109508.98377513433</v>
      </c>
      <c r="Q128" s="5">
        <v>88020.756758392934</v>
      </c>
      <c r="R128" s="5">
        <v>91949.000065408574</v>
      </c>
      <c r="S128" s="5">
        <v>142166.27055236825</v>
      </c>
      <c r="T128" s="5">
        <v>158468.145673135</v>
      </c>
      <c r="U128" s="5">
        <v>189633.1015177207</v>
      </c>
      <c r="V128" s="5">
        <v>229852.42396263379</v>
      </c>
      <c r="W128" s="5">
        <f t="shared" ref="W128:AH128" si="127">IF(OR((SLOPE($E128:$V128,$E$1:$V$1)*W$1+INTERCEPT($E128:$V128,$E$1:$V$1))&gt;(AVERAGE($E128:$V128)+_xlfn.STDEV.P($E128:$V128)),(SLOPE($E128:$V128,$E$1:$V$1)*W$1+INTERCEPT($E128:$V128,$E$1:$V$1))&lt;(AVERAGE($E128:$V128)-_xlfn.STDEV.P($E128:$V128))),V128,(SLOPE($E128:$V128,$E$1:$V$1)*W$1+INTERCEPT($E128:$V128,$E$1:$V$1)))</f>
        <v>229852.42396263379</v>
      </c>
      <c r="X128" s="5">
        <f t="shared" si="127"/>
        <v>229852.42396263379</v>
      </c>
      <c r="Y128" s="5">
        <f t="shared" si="127"/>
        <v>229852.42396263379</v>
      </c>
      <c r="Z128" s="5">
        <f t="shared" si="127"/>
        <v>229852.42396263379</v>
      </c>
      <c r="AA128" s="5">
        <f t="shared" si="127"/>
        <v>229852.42396263379</v>
      </c>
      <c r="AB128" s="5">
        <f t="shared" si="127"/>
        <v>229852.42396263379</v>
      </c>
      <c r="AC128" s="5">
        <f t="shared" si="127"/>
        <v>229852.42396263379</v>
      </c>
      <c r="AD128" s="5">
        <f t="shared" si="127"/>
        <v>229852.42396263379</v>
      </c>
      <c r="AE128" s="5">
        <f t="shared" si="127"/>
        <v>229852.42396263379</v>
      </c>
      <c r="AF128" s="5">
        <f t="shared" si="127"/>
        <v>229852.42396263379</v>
      </c>
      <c r="AG128" s="5">
        <f t="shared" si="127"/>
        <v>229852.42396263379</v>
      </c>
      <c r="AH128" s="5">
        <f t="shared" si="127"/>
        <v>229852.42396263379</v>
      </c>
    </row>
    <row r="129" spans="1:34" x14ac:dyDescent="0.35">
      <c r="A129" t="s">
        <v>149</v>
      </c>
      <c r="B129" s="3" t="s">
        <v>1266</v>
      </c>
      <c r="C129" s="4" t="s">
        <v>1267</v>
      </c>
      <c r="D129" s="2">
        <f t="shared" si="66"/>
        <v>1543958.1387553965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648876.04148063657</v>
      </c>
      <c r="P129" s="5">
        <v>800587.38878493279</v>
      </c>
      <c r="Q129" s="5">
        <v>0</v>
      </c>
      <c r="R129" s="5">
        <v>0</v>
      </c>
      <c r="S129" s="5">
        <v>94494.708489827186</v>
      </c>
      <c r="T129" s="5">
        <v>0</v>
      </c>
      <c r="U129" s="5">
        <v>0</v>
      </c>
      <c r="V129" s="5">
        <v>0</v>
      </c>
      <c r="W129" s="5">
        <f t="shared" ref="W129:AH129" si="128">IF(OR((SLOPE($E129:$V129,$E$1:$V$1)*W$1+INTERCEPT($E129:$V129,$E$1:$V$1))&gt;(AVERAGE($E129:$V129)+_xlfn.STDEV.P($E129:$V129)),(SLOPE($E129:$V129,$E$1:$V$1)*W$1+INTERCEPT($E129:$V129,$E$1:$V$1))&lt;(AVERAGE($E129:$V129)-_xlfn.STDEV.P($E129:$V129))),V129,(SLOPE($E129:$V129,$E$1:$V$1)*W$1+INTERCEPT($E129:$V129,$E$1:$V$1)))</f>
        <v>154295.12726831948</v>
      </c>
      <c r="X129" s="5">
        <f t="shared" si="128"/>
        <v>161507.72464887123</v>
      </c>
      <c r="Y129" s="5">
        <f t="shared" si="128"/>
        <v>168720.32202942303</v>
      </c>
      <c r="Z129" s="5">
        <f t="shared" si="128"/>
        <v>175932.91940997483</v>
      </c>
      <c r="AA129" s="5">
        <f t="shared" si="128"/>
        <v>183145.51679052657</v>
      </c>
      <c r="AB129" s="5">
        <f t="shared" si="128"/>
        <v>190358.11417107837</v>
      </c>
      <c r="AC129" s="5">
        <f t="shared" si="128"/>
        <v>197570.71155163011</v>
      </c>
      <c r="AD129" s="5">
        <f t="shared" si="128"/>
        <v>204783.30893218191</v>
      </c>
      <c r="AE129" s="5">
        <f t="shared" si="128"/>
        <v>211995.90631273371</v>
      </c>
      <c r="AF129" s="5">
        <f t="shared" si="128"/>
        <v>219208.50369328546</v>
      </c>
      <c r="AG129" s="5">
        <f t="shared" si="128"/>
        <v>226421.10107383726</v>
      </c>
      <c r="AH129" s="5">
        <f t="shared" si="128"/>
        <v>233633.69845438906</v>
      </c>
    </row>
    <row r="130" spans="1:34" x14ac:dyDescent="0.35">
      <c r="A130" t="s">
        <v>150</v>
      </c>
      <c r="B130" s="3" t="s">
        <v>1265</v>
      </c>
      <c r="C130" s="4" t="s">
        <v>1263</v>
      </c>
      <c r="D130" s="2">
        <f t="shared" si="66"/>
        <v>1526803.2146321905</v>
      </c>
      <c r="E130" s="5">
        <v>55466.974883851246</v>
      </c>
      <c r="F130" s="5">
        <v>104257.98452719109</v>
      </c>
      <c r="G130" s="5">
        <v>111664.65243084302</v>
      </c>
      <c r="H130" s="5">
        <v>111565.01115859662</v>
      </c>
      <c r="I130" s="5">
        <v>70213.883176324263</v>
      </c>
      <c r="J130" s="5">
        <v>74730.954184829548</v>
      </c>
      <c r="K130" s="5">
        <v>75262.374303477234</v>
      </c>
      <c r="L130" s="5">
        <v>94825.277421194798</v>
      </c>
      <c r="M130" s="5">
        <v>77122.344718744076</v>
      </c>
      <c r="N130" s="5">
        <v>97117.026682862925</v>
      </c>
      <c r="O130" s="5">
        <v>98678.073281390476</v>
      </c>
      <c r="P130" s="5">
        <v>87817.17460652857</v>
      </c>
      <c r="Q130" s="5">
        <v>46299.977837178842</v>
      </c>
      <c r="R130" s="5">
        <v>94692.422391532891</v>
      </c>
      <c r="S130" s="5">
        <v>89909.641323703807</v>
      </c>
      <c r="T130" s="5">
        <v>86023.631706092667</v>
      </c>
      <c r="U130" s="5">
        <v>89776.786294041885</v>
      </c>
      <c r="V130" s="5">
        <v>61379.023703806655</v>
      </c>
      <c r="W130" s="5">
        <f t="shared" ref="W130:AH130" si="129">IF(OR((SLOPE($E130:$V130,$E$1:$V$1)*W$1+INTERCEPT($E130:$V130,$E$1:$V$1))&gt;(AVERAGE($E130:$V130)+_xlfn.STDEV.P($E130:$V130)),(SLOPE($E130:$V130,$E$1:$V$1)*W$1+INTERCEPT($E130:$V130,$E$1:$V$1))&lt;(AVERAGE($E130:$V130)-_xlfn.STDEV.P($E130:$V130))),V130,(SLOPE($E130:$V130,$E$1:$V$1)*W$1+INTERCEPT($E130:$V130,$E$1:$V$1)))</f>
        <v>79208.298934465303</v>
      </c>
      <c r="X130" s="5">
        <f t="shared" si="129"/>
        <v>78617.340841998535</v>
      </c>
      <c r="Y130" s="5">
        <f t="shared" si="129"/>
        <v>78026.382749531782</v>
      </c>
      <c r="Z130" s="5">
        <f t="shared" si="129"/>
        <v>77435.424657065028</v>
      </c>
      <c r="AA130" s="5">
        <f t="shared" si="129"/>
        <v>76844.466564598275</v>
      </c>
      <c r="AB130" s="5">
        <f t="shared" si="129"/>
        <v>76253.508472131522</v>
      </c>
      <c r="AC130" s="5">
        <f t="shared" si="129"/>
        <v>75662.550379664754</v>
      </c>
      <c r="AD130" s="5">
        <f t="shared" si="129"/>
        <v>75071.592287198</v>
      </c>
      <c r="AE130" s="5">
        <f t="shared" si="129"/>
        <v>74480.634194731247</v>
      </c>
      <c r="AF130" s="5">
        <f t="shared" si="129"/>
        <v>73889.676102264493</v>
      </c>
      <c r="AG130" s="5">
        <f t="shared" si="129"/>
        <v>73298.71800979774</v>
      </c>
      <c r="AH130" s="5">
        <f t="shared" si="129"/>
        <v>72707.759917330986</v>
      </c>
    </row>
    <row r="131" spans="1:34" x14ac:dyDescent="0.35">
      <c r="A131" t="s">
        <v>151</v>
      </c>
      <c r="B131" s="3" t="s">
        <v>1262</v>
      </c>
      <c r="C131" s="4" t="s">
        <v>1263</v>
      </c>
      <c r="D131" s="2">
        <f t="shared" si="66"/>
        <v>1524959.8222842978</v>
      </c>
      <c r="E131" s="5">
        <v>59360.852142610252</v>
      </c>
      <c r="F131" s="5">
        <v>69991.661035780708</v>
      </c>
      <c r="G131" s="5">
        <v>112360.82691435867</v>
      </c>
      <c r="H131" s="5">
        <v>81238.748705366888</v>
      </c>
      <c r="I131" s="5">
        <v>107892.80578534497</v>
      </c>
      <c r="J131" s="5">
        <v>70916.079200404245</v>
      </c>
      <c r="K131" s="5">
        <v>96403.608596452701</v>
      </c>
      <c r="L131" s="5">
        <v>78971.723206409166</v>
      </c>
      <c r="M131" s="5">
        <v>141427.17520487818</v>
      </c>
      <c r="N131" s="5">
        <v>69793.571429075688</v>
      </c>
      <c r="O131" s="5">
        <v>93603.942155021461</v>
      </c>
      <c r="P131" s="5">
        <v>98719.055999271572</v>
      </c>
      <c r="Q131" s="5">
        <v>41070.578456844916</v>
      </c>
      <c r="R131" s="5">
        <v>72236.676578437851</v>
      </c>
      <c r="S131" s="5">
        <v>89206.352886169596</v>
      </c>
      <c r="T131" s="5">
        <v>75282.854530435347</v>
      </c>
      <c r="U131" s="5">
        <v>86499.128261200676</v>
      </c>
      <c r="V131" s="5">
        <v>79984.181196234917</v>
      </c>
      <c r="W131" s="5">
        <f t="shared" ref="W131:AH131" si="130">IF(OR((SLOPE($E131:$V131,$E$1:$V$1)*W$1+INTERCEPT($E131:$V131,$E$1:$V$1))&gt;(AVERAGE($E131:$V131)+_xlfn.STDEV.P($E131:$V131)),(SLOPE($E131:$V131,$E$1:$V$1)*W$1+INTERCEPT($E131:$V131,$E$1:$V$1))&lt;(AVERAGE($E131:$V131)-_xlfn.STDEV.P($E131:$V131))),V131,(SLOPE($E131:$V131,$E$1:$V$1)*W$1+INTERCEPT($E131:$V131,$E$1:$V$1)))</f>
        <v>81365.629629923045</v>
      </c>
      <c r="X131" s="5">
        <f t="shared" si="130"/>
        <v>81012.539051293308</v>
      </c>
      <c r="Y131" s="5">
        <f t="shared" si="130"/>
        <v>80659.448472663586</v>
      </c>
      <c r="Z131" s="5">
        <f t="shared" si="130"/>
        <v>80306.357894033863</v>
      </c>
      <c r="AA131" s="5">
        <f t="shared" si="130"/>
        <v>79953.26731540414</v>
      </c>
      <c r="AB131" s="5">
        <f t="shared" si="130"/>
        <v>79600.176736774403</v>
      </c>
      <c r="AC131" s="5">
        <f t="shared" si="130"/>
        <v>79247.086158144681</v>
      </c>
      <c r="AD131" s="5">
        <f t="shared" si="130"/>
        <v>78893.995579514958</v>
      </c>
      <c r="AE131" s="5">
        <f t="shared" si="130"/>
        <v>78540.905000885221</v>
      </c>
      <c r="AF131" s="5">
        <f t="shared" si="130"/>
        <v>78187.814422255498</v>
      </c>
      <c r="AG131" s="5">
        <f t="shared" si="130"/>
        <v>77834.723843625776</v>
      </c>
      <c r="AH131" s="5">
        <f t="shared" si="130"/>
        <v>77481.633264996053</v>
      </c>
    </row>
    <row r="132" spans="1:34" x14ac:dyDescent="0.35">
      <c r="A132" t="s">
        <v>152</v>
      </c>
      <c r="B132" s="3" t="s">
        <v>1262</v>
      </c>
      <c r="C132" s="4" t="s">
        <v>1263</v>
      </c>
      <c r="D132" s="2">
        <f t="shared" ref="D132:D195" si="131">SUM(E132:V132)</f>
        <v>1496095.2681838176</v>
      </c>
      <c r="E132" s="5">
        <v>59534.138547288436</v>
      </c>
      <c r="F132" s="5">
        <v>100733.6105383705</v>
      </c>
      <c r="G132" s="5">
        <v>91966.326837861256</v>
      </c>
      <c r="H132" s="5">
        <v>89250.497311096828</v>
      </c>
      <c r="I132" s="5">
        <v>88247.556116565538</v>
      </c>
      <c r="J132" s="5">
        <v>55082.88268391935</v>
      </c>
      <c r="K132" s="5">
        <v>52569.895196498313</v>
      </c>
      <c r="L132" s="5">
        <v>30538.995923367729</v>
      </c>
      <c r="M132" s="5">
        <v>101375.9436629579</v>
      </c>
      <c r="N132" s="5">
        <v>91087.344667373167</v>
      </c>
      <c r="O132" s="5">
        <v>98333.313072806894</v>
      </c>
      <c r="P132" s="5">
        <v>97003.570814889026</v>
      </c>
      <c r="Q132" s="5">
        <v>86252.942729688744</v>
      </c>
      <c r="R132" s="5">
        <v>89036.386269567651</v>
      </c>
      <c r="S132" s="5">
        <v>108824.75410773508</v>
      </c>
      <c r="T132" s="5">
        <v>126550.89454591126</v>
      </c>
      <c r="U132" s="5">
        <v>67737.972138510479</v>
      </c>
      <c r="V132" s="5">
        <v>61968.243019409274</v>
      </c>
      <c r="W132" s="5">
        <f t="shared" ref="W132:AH132" si="132">IF(OR((SLOPE($E132:$V132,$E$1:$V$1)*W$1+INTERCEPT($E132:$V132,$E$1:$V$1))&gt;(AVERAGE($E132:$V132)+_xlfn.STDEV.P($E132:$V132)),(SLOPE($E132:$V132,$E$1:$V$1)*W$1+INTERCEPT($E132:$V132,$E$1:$V$1))&lt;(AVERAGE($E132:$V132)-_xlfn.STDEV.P($E132:$V132))),V132,(SLOPE($E132:$V132,$E$1:$V$1)*W$1+INTERCEPT($E132:$V132,$E$1:$V$1)))</f>
        <v>91468.502094243944</v>
      </c>
      <c r="X132" s="5">
        <f t="shared" si="132"/>
        <v>92347.670337007527</v>
      </c>
      <c r="Y132" s="5">
        <f t="shared" si="132"/>
        <v>93226.838579771109</v>
      </c>
      <c r="Z132" s="5">
        <f t="shared" si="132"/>
        <v>94106.006822534706</v>
      </c>
      <c r="AA132" s="5">
        <f t="shared" si="132"/>
        <v>94985.175065298288</v>
      </c>
      <c r="AB132" s="5">
        <f t="shared" si="132"/>
        <v>95864.343308061871</v>
      </c>
      <c r="AC132" s="5">
        <f t="shared" si="132"/>
        <v>96743.511550825468</v>
      </c>
      <c r="AD132" s="5">
        <f t="shared" si="132"/>
        <v>97622.67979358905</v>
      </c>
      <c r="AE132" s="5">
        <f t="shared" si="132"/>
        <v>98501.848036352632</v>
      </c>
      <c r="AF132" s="5">
        <f t="shared" si="132"/>
        <v>99381.016279116215</v>
      </c>
      <c r="AG132" s="5">
        <f t="shared" si="132"/>
        <v>100260.18452187981</v>
      </c>
      <c r="AH132" s="5">
        <f t="shared" si="132"/>
        <v>101139.35276464339</v>
      </c>
    </row>
    <row r="133" spans="1:34" x14ac:dyDescent="0.35">
      <c r="A133" t="s">
        <v>153</v>
      </c>
      <c r="B133" s="3" t="s">
        <v>1266</v>
      </c>
      <c r="C133" s="4" t="s">
        <v>1263</v>
      </c>
      <c r="D133" s="2">
        <f t="shared" si="131"/>
        <v>1494389.0427568431</v>
      </c>
      <c r="E133" s="5">
        <v>0</v>
      </c>
      <c r="F133" s="5">
        <v>0</v>
      </c>
      <c r="G133" s="5">
        <v>119636.88140958156</v>
      </c>
      <c r="H133" s="5">
        <v>531142.17470413214</v>
      </c>
      <c r="I133" s="5">
        <v>0</v>
      </c>
      <c r="J133" s="5">
        <v>181608.74807480647</v>
      </c>
      <c r="K133" s="5">
        <v>363217.49614961294</v>
      </c>
      <c r="L133" s="5">
        <v>0</v>
      </c>
      <c r="M133" s="5">
        <v>0</v>
      </c>
      <c r="N133" s="5">
        <v>0</v>
      </c>
      <c r="O133" s="5">
        <v>0</v>
      </c>
      <c r="P133" s="5">
        <v>119408.29142437875</v>
      </c>
      <c r="Q133" s="5">
        <v>0</v>
      </c>
      <c r="R133" s="5">
        <v>0</v>
      </c>
      <c r="S133" s="5">
        <v>0</v>
      </c>
      <c r="T133" s="5">
        <v>179375.4509943311</v>
      </c>
      <c r="U133" s="5">
        <v>0</v>
      </c>
      <c r="V133" s="5">
        <v>0</v>
      </c>
      <c r="W133" s="5">
        <f t="shared" ref="W133:AH133" si="133">IF(OR((SLOPE($E133:$V133,$E$1:$V$1)*W$1+INTERCEPT($E133:$V133,$E$1:$V$1))&gt;(AVERAGE($E133:$V133)+_xlfn.STDEV.P($E133:$V133)),(SLOPE($E133:$V133,$E$1:$V$1)*W$1+INTERCEPT($E133:$V133,$E$1:$V$1))&lt;(AVERAGE($E133:$V133)-_xlfn.STDEV.P($E133:$V133))),V133,(SLOPE($E133:$V133,$E$1:$V$1)*W$1+INTERCEPT($E133:$V133,$E$1:$V$1)))</f>
        <v>8940.5372385155351</v>
      </c>
      <c r="X133" s="5">
        <f t="shared" si="133"/>
        <v>1142.5292124128318</v>
      </c>
      <c r="Y133" s="5">
        <f t="shared" si="133"/>
        <v>-6655.4788136899006</v>
      </c>
      <c r="Z133" s="5">
        <f t="shared" si="133"/>
        <v>-14453.486839792604</v>
      </c>
      <c r="AA133" s="5">
        <f t="shared" si="133"/>
        <v>-22251.494865895307</v>
      </c>
      <c r="AB133" s="5">
        <f t="shared" si="133"/>
        <v>-30049.50289199801</v>
      </c>
      <c r="AC133" s="5">
        <f t="shared" si="133"/>
        <v>-37847.510918100714</v>
      </c>
      <c r="AD133" s="5">
        <f t="shared" si="133"/>
        <v>-45645.518944203446</v>
      </c>
      <c r="AE133" s="5">
        <f t="shared" si="133"/>
        <v>-53443.526970306149</v>
      </c>
      <c r="AF133" s="5">
        <f t="shared" si="133"/>
        <v>-61241.534996408853</v>
      </c>
      <c r="AG133" s="5">
        <f t="shared" si="133"/>
        <v>-61241.534996408853</v>
      </c>
      <c r="AH133" s="5">
        <f t="shared" si="133"/>
        <v>-61241.534996408853</v>
      </c>
    </row>
    <row r="134" spans="1:34" x14ac:dyDescent="0.35">
      <c r="A134" t="s">
        <v>154</v>
      </c>
      <c r="B134" s="3" t="s">
        <v>1262</v>
      </c>
      <c r="C134" s="4" t="s">
        <v>1263</v>
      </c>
      <c r="D134" s="2">
        <f t="shared" si="131"/>
        <v>1460900.6118000001</v>
      </c>
      <c r="E134" s="5">
        <v>0</v>
      </c>
      <c r="F134" s="5">
        <v>0</v>
      </c>
      <c r="G134" s="5">
        <v>0</v>
      </c>
      <c r="H134" s="5">
        <v>95790.403800000015</v>
      </c>
      <c r="I134" s="5">
        <v>72133.664399999994</v>
      </c>
      <c r="J134" s="5">
        <v>89973.1728</v>
      </c>
      <c r="K134" s="5">
        <v>48476.92500000001</v>
      </c>
      <c r="L134" s="5">
        <v>143879.51340000003</v>
      </c>
      <c r="M134" s="5">
        <v>111303.01980000002</v>
      </c>
      <c r="N134" s="5">
        <v>89197.542000000016</v>
      </c>
      <c r="O134" s="5">
        <v>58947.940800000011</v>
      </c>
      <c r="P134" s="5">
        <v>152411.4522</v>
      </c>
      <c r="Q134" s="5">
        <v>153962.7138</v>
      </c>
      <c r="R134" s="5">
        <v>77563.08</v>
      </c>
      <c r="S134" s="5">
        <v>174516.93</v>
      </c>
      <c r="T134" s="5">
        <v>164821.54500000001</v>
      </c>
      <c r="U134" s="5">
        <v>9307.5695999999971</v>
      </c>
      <c r="V134" s="5">
        <v>18615.139200000001</v>
      </c>
      <c r="W134" s="5">
        <f t="shared" ref="W134:AH134" si="134">IF(OR((SLOPE($E134:$V134,$E$1:$V$1)*W$1+INTERCEPT($E134:$V134,$E$1:$V$1))&gt;(AVERAGE($E134:$V134)+_xlfn.STDEV.P($E134:$V134)),(SLOPE($E134:$V134,$E$1:$V$1)*W$1+INTERCEPT($E134:$V134,$E$1:$V$1))&lt;(AVERAGE($E134:$V134)-_xlfn.STDEV.P($E134:$V134))),V134,(SLOPE($E134:$V134,$E$1:$V$1)*W$1+INTERCEPT($E134:$V134,$E$1:$V$1)))</f>
        <v>122379.83874117649</v>
      </c>
      <c r="X134" s="5">
        <f t="shared" si="134"/>
        <v>126718.64859814243</v>
      </c>
      <c r="Y134" s="5">
        <f t="shared" si="134"/>
        <v>131057.45845510838</v>
      </c>
      <c r="Z134" s="5">
        <f t="shared" si="134"/>
        <v>135396.2683120743</v>
      </c>
      <c r="AA134" s="5">
        <f t="shared" si="134"/>
        <v>139735.07816904027</v>
      </c>
      <c r="AB134" s="5">
        <f t="shared" si="134"/>
        <v>139735.07816904027</v>
      </c>
      <c r="AC134" s="5">
        <f t="shared" si="134"/>
        <v>139735.07816904027</v>
      </c>
      <c r="AD134" s="5">
        <f t="shared" si="134"/>
        <v>139735.07816904027</v>
      </c>
      <c r="AE134" s="5">
        <f t="shared" si="134"/>
        <v>139735.07816904027</v>
      </c>
      <c r="AF134" s="5">
        <f t="shared" si="134"/>
        <v>139735.07816904027</v>
      </c>
      <c r="AG134" s="5">
        <f t="shared" si="134"/>
        <v>139735.07816904027</v>
      </c>
      <c r="AH134" s="5">
        <f t="shared" si="134"/>
        <v>139735.07816904027</v>
      </c>
    </row>
    <row r="135" spans="1:34" x14ac:dyDescent="0.35">
      <c r="A135" t="s">
        <v>155</v>
      </c>
      <c r="B135" s="3" t="s">
        <v>1265</v>
      </c>
      <c r="C135" s="4" t="s">
        <v>1263</v>
      </c>
      <c r="D135" s="2">
        <f t="shared" si="131"/>
        <v>1455978.3800745986</v>
      </c>
      <c r="E135" s="5">
        <v>59206.125109788103</v>
      </c>
      <c r="F135" s="5">
        <v>90569.722221911521</v>
      </c>
      <c r="G135" s="5">
        <v>113195.85153148913</v>
      </c>
      <c r="H135" s="5">
        <v>116912.53559675113</v>
      </c>
      <c r="I135" s="5">
        <v>114266.30001227366</v>
      </c>
      <c r="J135" s="5">
        <v>80620.528474112143</v>
      </c>
      <c r="K135" s="5">
        <v>66585.155753977902</v>
      </c>
      <c r="L135" s="5">
        <v>35351.968609056654</v>
      </c>
      <c r="M135" s="5">
        <v>80473.817261009695</v>
      </c>
      <c r="N135" s="5">
        <v>55478.573547259213</v>
      </c>
      <c r="O135" s="5">
        <v>60569.996016777521</v>
      </c>
      <c r="P135" s="5">
        <v>78789.35518464823</v>
      </c>
      <c r="Q135" s="5">
        <v>47599.638028794398</v>
      </c>
      <c r="R135" s="5">
        <v>80642.263468645819</v>
      </c>
      <c r="S135" s="5">
        <v>91395.652014192005</v>
      </c>
      <c r="T135" s="5">
        <v>115478.02595752721</v>
      </c>
      <c r="U135" s="5">
        <v>78169.907840437896</v>
      </c>
      <c r="V135" s="5">
        <v>90672.963445946574</v>
      </c>
      <c r="W135" s="5">
        <f t="shared" ref="W135:AH135" si="135">IF(OR((SLOPE($E135:$V135,$E$1:$V$1)*W$1+INTERCEPT($E135:$V135,$E$1:$V$1))&gt;(AVERAGE($E135:$V135)+_xlfn.STDEV.P($E135:$V135)),(SLOPE($E135:$V135,$E$1:$V$1)*W$1+INTERCEPT($E135:$V135,$E$1:$V$1))&lt;(AVERAGE($E135:$V135)-_xlfn.STDEV.P($E135:$V135))),V135,(SLOPE($E135:$V135,$E$1:$V$1)*W$1+INTERCEPT($E135:$V135,$E$1:$V$1)))</f>
        <v>77709.637367959614</v>
      </c>
      <c r="X135" s="5">
        <f t="shared" si="135"/>
        <v>77375.105745437249</v>
      </c>
      <c r="Y135" s="5">
        <f t="shared" si="135"/>
        <v>77040.57412291487</v>
      </c>
      <c r="Z135" s="5">
        <f t="shared" si="135"/>
        <v>76706.042500392505</v>
      </c>
      <c r="AA135" s="5">
        <f t="shared" si="135"/>
        <v>76371.51087787014</v>
      </c>
      <c r="AB135" s="5">
        <f t="shared" si="135"/>
        <v>76036.97925534776</v>
      </c>
      <c r="AC135" s="5">
        <f t="shared" si="135"/>
        <v>75702.447632825395</v>
      </c>
      <c r="AD135" s="5">
        <f t="shared" si="135"/>
        <v>75367.916010303015</v>
      </c>
      <c r="AE135" s="5">
        <f t="shared" si="135"/>
        <v>75033.38438778065</v>
      </c>
      <c r="AF135" s="5">
        <f t="shared" si="135"/>
        <v>74698.852765258285</v>
      </c>
      <c r="AG135" s="5">
        <f t="shared" si="135"/>
        <v>74364.321142735906</v>
      </c>
      <c r="AH135" s="5">
        <f t="shared" si="135"/>
        <v>74029.789520213541</v>
      </c>
    </row>
    <row r="136" spans="1:34" x14ac:dyDescent="0.35">
      <c r="A136" t="s">
        <v>156</v>
      </c>
      <c r="B136" s="3" t="s">
        <v>1264</v>
      </c>
      <c r="C136" s="4" t="s">
        <v>1263</v>
      </c>
      <c r="D136" s="2">
        <f t="shared" si="131"/>
        <v>1465235.1713999999</v>
      </c>
      <c r="E136" s="5">
        <v>52277.214080000005</v>
      </c>
      <c r="F136" s="5">
        <v>84827.022280000005</v>
      </c>
      <c r="G136" s="5">
        <v>100044.36624</v>
      </c>
      <c r="H136" s="5">
        <v>114562.15679999998</v>
      </c>
      <c r="I136" s="5">
        <v>107747.68367999997</v>
      </c>
      <c r="J136" s="5">
        <v>52952.07736000001</v>
      </c>
      <c r="K136" s="5">
        <v>32195.916479999993</v>
      </c>
      <c r="L136" s="5">
        <v>18534.050080000001</v>
      </c>
      <c r="M136" s="5">
        <v>89592.21544</v>
      </c>
      <c r="N136" s="5">
        <v>83995.788239999994</v>
      </c>
      <c r="O136" s="5">
        <v>72235.061079999985</v>
      </c>
      <c r="P136" s="5">
        <v>79238.825120000009</v>
      </c>
      <c r="Q136" s="5">
        <v>72119.840519999998</v>
      </c>
      <c r="R136" s="5">
        <v>90530.439999999988</v>
      </c>
      <c r="S136" s="5">
        <v>146313.65111999999</v>
      </c>
      <c r="T136" s="5">
        <v>145959.75939999995</v>
      </c>
      <c r="U136" s="5">
        <v>108241.48608</v>
      </c>
      <c r="V136" s="5">
        <v>13867.617399999999</v>
      </c>
      <c r="W136" s="5">
        <f t="shared" ref="W136:AH136" si="136">IF(OR((SLOPE($E136:$V136,$E$1:$V$1)*W$1+INTERCEPT($E136:$V136,$E$1:$V$1))&gt;(AVERAGE($E136:$V136)+_xlfn.STDEV.P($E136:$V136)),(SLOPE($E136:$V136,$E$1:$V$1)*W$1+INTERCEPT($E136:$V136,$E$1:$V$1))&lt;(AVERAGE($E136:$V136)-_xlfn.STDEV.P($E136:$V136))),V136,(SLOPE($E136:$V136,$E$1:$V$1)*W$1+INTERCEPT($E136:$V136,$E$1:$V$1)))</f>
        <v>91346.666319999989</v>
      </c>
      <c r="X136" s="5">
        <f t="shared" si="136"/>
        <v>92393.478146666646</v>
      </c>
      <c r="Y136" s="5">
        <f t="shared" si="136"/>
        <v>93440.289973333318</v>
      </c>
      <c r="Z136" s="5">
        <f t="shared" si="136"/>
        <v>94487.101799999975</v>
      </c>
      <c r="AA136" s="5">
        <f t="shared" si="136"/>
        <v>95533.913626666646</v>
      </c>
      <c r="AB136" s="5">
        <f t="shared" si="136"/>
        <v>96580.725453333318</v>
      </c>
      <c r="AC136" s="5">
        <f t="shared" si="136"/>
        <v>97627.537279999975</v>
      </c>
      <c r="AD136" s="5">
        <f t="shared" si="136"/>
        <v>98674.349106666647</v>
      </c>
      <c r="AE136" s="5">
        <f t="shared" si="136"/>
        <v>99721.160933333304</v>
      </c>
      <c r="AF136" s="5">
        <f t="shared" si="136"/>
        <v>100767.97275999998</v>
      </c>
      <c r="AG136" s="5">
        <f t="shared" si="136"/>
        <v>101814.78458666665</v>
      </c>
      <c r="AH136" s="5">
        <f t="shared" si="136"/>
        <v>102861.5964133333</v>
      </c>
    </row>
    <row r="137" spans="1:34" x14ac:dyDescent="0.35">
      <c r="A137" t="s">
        <v>157</v>
      </c>
      <c r="B137" s="3" t="s">
        <v>1266</v>
      </c>
      <c r="C137" s="4" t="s">
        <v>1263</v>
      </c>
      <c r="D137" s="2">
        <f t="shared" si="131"/>
        <v>1430472.0594060891</v>
      </c>
      <c r="E137" s="5">
        <v>0</v>
      </c>
      <c r="F137" s="5">
        <v>0</v>
      </c>
      <c r="G137" s="5">
        <v>0</v>
      </c>
      <c r="H137" s="5">
        <v>213999.6315001155</v>
      </c>
      <c r="I137" s="5">
        <v>0</v>
      </c>
      <c r="J137" s="5">
        <v>678247.2127128779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89808.052970509496</v>
      </c>
      <c r="Q137" s="5">
        <v>0</v>
      </c>
      <c r="R137" s="5">
        <v>0</v>
      </c>
      <c r="S137" s="5">
        <v>0</v>
      </c>
      <c r="T137" s="5">
        <v>0</v>
      </c>
      <c r="U137" s="5">
        <v>135457.09346984842</v>
      </c>
      <c r="V137" s="5">
        <v>312960.06875273772</v>
      </c>
      <c r="W137" s="5">
        <f t="shared" ref="W137:AH137" si="137">IF(OR((SLOPE($E137:$V137,$E$1:$V$1)*W$1+INTERCEPT($E137:$V137,$E$1:$V$1))&gt;(AVERAGE($E137:$V137)+_xlfn.STDEV.P($E137:$V137)),(SLOPE($E137:$V137,$E$1:$V$1)*W$1+INTERCEPT($E137:$V137,$E$1:$V$1))&lt;(AVERAGE($E137:$V137)-_xlfn.STDEV.P($E137:$V137))),V137,(SLOPE($E137:$V137,$E$1:$V$1)*W$1+INTERCEPT($E137:$V137,$E$1:$V$1)))</f>
        <v>86328.428792548075</v>
      </c>
      <c r="X137" s="5">
        <f t="shared" si="137"/>
        <v>87050.298142605243</v>
      </c>
      <c r="Y137" s="5">
        <f t="shared" si="137"/>
        <v>87772.167492662426</v>
      </c>
      <c r="Z137" s="5">
        <f t="shared" si="137"/>
        <v>88494.036842719594</v>
      </c>
      <c r="AA137" s="5">
        <f t="shared" si="137"/>
        <v>89215.906192776762</v>
      </c>
      <c r="AB137" s="5">
        <f t="shared" si="137"/>
        <v>89937.77554283393</v>
      </c>
      <c r="AC137" s="5">
        <f t="shared" si="137"/>
        <v>90659.644892891112</v>
      </c>
      <c r="AD137" s="5">
        <f t="shared" si="137"/>
        <v>91381.51424294828</v>
      </c>
      <c r="AE137" s="5">
        <f t="shared" si="137"/>
        <v>92103.383593005448</v>
      </c>
      <c r="AF137" s="5">
        <f t="shared" si="137"/>
        <v>92825.252943062616</v>
      </c>
      <c r="AG137" s="5">
        <f t="shared" si="137"/>
        <v>93547.122293119784</v>
      </c>
      <c r="AH137" s="5">
        <f t="shared" si="137"/>
        <v>94268.991643176967</v>
      </c>
    </row>
    <row r="138" spans="1:34" x14ac:dyDescent="0.35">
      <c r="A138" t="s">
        <v>158</v>
      </c>
      <c r="B138" s="3" t="s">
        <v>1262</v>
      </c>
      <c r="C138" s="4" t="s">
        <v>1263</v>
      </c>
      <c r="D138" s="2">
        <f t="shared" si="131"/>
        <v>1416152.4299999997</v>
      </c>
      <c r="E138" s="5">
        <v>57418.200000000012</v>
      </c>
      <c r="F138" s="5">
        <v>76945.680000000008</v>
      </c>
      <c r="G138" s="5">
        <v>165110.40000000002</v>
      </c>
      <c r="H138" s="5">
        <v>82766.880000000005</v>
      </c>
      <c r="I138" s="5">
        <v>143532.26999999996</v>
      </c>
      <c r="J138" s="5">
        <v>53660.88</v>
      </c>
      <c r="K138" s="5">
        <v>0</v>
      </c>
      <c r="L138" s="5">
        <v>176699.88</v>
      </c>
      <c r="M138" s="5">
        <v>57127.14</v>
      </c>
      <c r="N138" s="5">
        <v>88508.7</v>
      </c>
      <c r="O138" s="5">
        <v>85717.17</v>
      </c>
      <c r="P138" s="5">
        <v>73929.239999999991</v>
      </c>
      <c r="Q138" s="5">
        <v>46503.450000000004</v>
      </c>
      <c r="R138" s="5">
        <v>63358.469999999987</v>
      </c>
      <c r="S138" s="5">
        <v>62842.499999999993</v>
      </c>
      <c r="T138" s="5">
        <v>65620.800000000003</v>
      </c>
      <c r="U138" s="5">
        <v>75807.89999999998</v>
      </c>
      <c r="V138" s="5">
        <v>40602.869999999988</v>
      </c>
      <c r="W138" s="5">
        <f t="shared" ref="W138:AH138" si="138">IF(OR((SLOPE($E138:$V138,$E$1:$V$1)*W$1+INTERCEPT($E138:$V138,$E$1:$V$1))&gt;(AVERAGE($E138:$V138)+_xlfn.STDEV.P($E138:$V138)),(SLOPE($E138:$V138,$E$1:$V$1)*W$1+INTERCEPT($E138:$V138,$E$1:$V$1))&lt;(AVERAGE($E138:$V138)-_xlfn.STDEV.P($E138:$V138))),V138,(SLOPE($E138:$V138,$E$1:$V$1)*W$1+INTERCEPT($E138:$V138,$E$1:$V$1)))</f>
        <v>54566.83235294115</v>
      </c>
      <c r="X138" s="5">
        <f t="shared" si="138"/>
        <v>52029.116284829695</v>
      </c>
      <c r="Y138" s="5">
        <f t="shared" si="138"/>
        <v>49491.400216718241</v>
      </c>
      <c r="Z138" s="5">
        <f t="shared" si="138"/>
        <v>46953.684148606786</v>
      </c>
      <c r="AA138" s="5">
        <f t="shared" si="138"/>
        <v>44415.968080495331</v>
      </c>
      <c r="AB138" s="5">
        <f t="shared" si="138"/>
        <v>41878.252012383877</v>
      </c>
      <c r="AC138" s="5">
        <f t="shared" si="138"/>
        <v>39340.535944272415</v>
      </c>
      <c r="AD138" s="5">
        <f t="shared" si="138"/>
        <v>36802.819876160967</v>
      </c>
      <c r="AE138" s="5">
        <f t="shared" si="138"/>
        <v>36802.819876160967</v>
      </c>
      <c r="AF138" s="5">
        <f t="shared" si="138"/>
        <v>36802.819876160967</v>
      </c>
      <c r="AG138" s="5">
        <f t="shared" si="138"/>
        <v>36802.819876160967</v>
      </c>
      <c r="AH138" s="5">
        <f t="shared" si="138"/>
        <v>36802.819876160967</v>
      </c>
    </row>
    <row r="139" spans="1:34" x14ac:dyDescent="0.35">
      <c r="A139" t="s">
        <v>159</v>
      </c>
      <c r="B139" s="3" t="s">
        <v>1266</v>
      </c>
      <c r="C139" s="4" t="s">
        <v>1263</v>
      </c>
      <c r="D139" s="2">
        <f t="shared" si="131"/>
        <v>1397635.5416708624</v>
      </c>
      <c r="E139" s="5">
        <v>0</v>
      </c>
      <c r="F139" s="5">
        <v>0</v>
      </c>
      <c r="G139" s="5">
        <v>64802.16787109671</v>
      </c>
      <c r="H139" s="5">
        <v>0</v>
      </c>
      <c r="I139" s="5">
        <v>191908.41608146211</v>
      </c>
      <c r="J139" s="5">
        <v>0</v>
      </c>
      <c r="K139" s="5">
        <v>0</v>
      </c>
      <c r="L139" s="5">
        <v>116985.53785414505</v>
      </c>
      <c r="M139" s="5">
        <v>61375.937145625052</v>
      </c>
      <c r="N139" s="5">
        <v>0</v>
      </c>
      <c r="O139" s="5">
        <v>194189.27861052251</v>
      </c>
      <c r="P139" s="5">
        <v>97869.737610591299</v>
      </c>
      <c r="Q139" s="5">
        <v>0</v>
      </c>
      <c r="R139" s="5">
        <v>96971.216008234172</v>
      </c>
      <c r="S139" s="5">
        <v>119720.59811626509</v>
      </c>
      <c r="T139" s="5">
        <v>196035.69113404758</v>
      </c>
      <c r="U139" s="5">
        <v>129722.82210733942</v>
      </c>
      <c r="V139" s="5">
        <v>128054.13913153335</v>
      </c>
      <c r="W139" s="5">
        <f t="shared" ref="W139:AH139" si="139">IF(OR((SLOPE($E139:$V139,$E$1:$V$1)*W$1+INTERCEPT($E139:$V139,$E$1:$V$1))&gt;(AVERAGE($E139:$V139)+_xlfn.STDEV.P($E139:$V139)),(SLOPE($E139:$V139,$E$1:$V$1)*W$1+INTERCEPT($E139:$V139,$E$1:$V$1))&lt;(AVERAGE($E139:$V139)-_xlfn.STDEV.P($E139:$V139))),V139,(SLOPE($E139:$V139,$E$1:$V$1)*W$1+INTERCEPT($E139:$V139,$E$1:$V$1)))</f>
        <v>145792.24497250721</v>
      </c>
      <c r="X139" s="5">
        <f t="shared" si="139"/>
        <v>145792.24497250721</v>
      </c>
      <c r="Y139" s="5">
        <f t="shared" si="139"/>
        <v>145792.24497250721</v>
      </c>
      <c r="Z139" s="5">
        <f t="shared" si="139"/>
        <v>145792.24497250721</v>
      </c>
      <c r="AA139" s="5">
        <f t="shared" si="139"/>
        <v>145792.24497250721</v>
      </c>
      <c r="AB139" s="5">
        <f t="shared" si="139"/>
        <v>145792.24497250721</v>
      </c>
      <c r="AC139" s="5">
        <f t="shared" si="139"/>
        <v>145792.24497250721</v>
      </c>
      <c r="AD139" s="5">
        <f t="shared" si="139"/>
        <v>145792.24497250721</v>
      </c>
      <c r="AE139" s="5">
        <f t="shared" si="139"/>
        <v>145792.24497250721</v>
      </c>
      <c r="AF139" s="5">
        <f t="shared" si="139"/>
        <v>145792.24497250721</v>
      </c>
      <c r="AG139" s="5">
        <f t="shared" si="139"/>
        <v>145792.24497250721</v>
      </c>
      <c r="AH139" s="5">
        <f t="shared" si="139"/>
        <v>145792.24497250721</v>
      </c>
    </row>
    <row r="140" spans="1:34" x14ac:dyDescent="0.35">
      <c r="A140" t="s">
        <v>160</v>
      </c>
      <c r="B140" s="3" t="s">
        <v>1265</v>
      </c>
      <c r="C140" s="4" t="s">
        <v>1263</v>
      </c>
      <c r="D140" s="2">
        <f t="shared" si="131"/>
        <v>1383051.1582727805</v>
      </c>
      <c r="E140" s="5">
        <v>56978.150834285494</v>
      </c>
      <c r="F140" s="5">
        <v>74281.157871933814</v>
      </c>
      <c r="G140" s="5">
        <v>112047.59025394336</v>
      </c>
      <c r="H140" s="5">
        <v>84561.013116886912</v>
      </c>
      <c r="I140" s="5">
        <v>84464.727971341898</v>
      </c>
      <c r="J140" s="5">
        <v>56864.874192467832</v>
      </c>
      <c r="K140" s="5">
        <v>69721.773038772808</v>
      </c>
      <c r="L140" s="5">
        <v>68362.453336960811</v>
      </c>
      <c r="M140" s="5">
        <v>102832.53544207626</v>
      </c>
      <c r="N140" s="5">
        <v>76716.605671013604</v>
      </c>
      <c r="O140" s="5">
        <v>82238.841959624784</v>
      </c>
      <c r="P140" s="5">
        <v>80426.415690542126</v>
      </c>
      <c r="Q140" s="5">
        <v>40666.314412541724</v>
      </c>
      <c r="R140" s="5">
        <v>85608.822053700307</v>
      </c>
      <c r="S140" s="5">
        <v>88287.814632688081</v>
      </c>
      <c r="T140" s="5">
        <v>72610.327405123273</v>
      </c>
      <c r="U140" s="5">
        <v>77384.937857737837</v>
      </c>
      <c r="V140" s="5">
        <v>68996.802531139736</v>
      </c>
      <c r="W140" s="5">
        <f t="shared" ref="W140:AH140" si="140">IF(OR((SLOPE($E140:$V140,$E$1:$V$1)*W$1+INTERCEPT($E140:$V140,$E$1:$V$1))&gt;(AVERAGE($E140:$V140)+_xlfn.STDEV.P($E140:$V140)),(SLOPE($E140:$V140,$E$1:$V$1)*W$1+INTERCEPT($E140:$V140,$E$1:$V$1))&lt;(AVERAGE($E140:$V140)-_xlfn.STDEV.P($E140:$V140))),V140,(SLOPE($E140:$V140,$E$1:$V$1)*W$1+INTERCEPT($E140:$V140,$E$1:$V$1)))</f>
        <v>74337.426007738657</v>
      </c>
      <c r="X140" s="5">
        <f t="shared" si="140"/>
        <v>74074.399749648102</v>
      </c>
      <c r="Y140" s="5">
        <f t="shared" si="140"/>
        <v>73811.373491557548</v>
      </c>
      <c r="Z140" s="5">
        <f t="shared" si="140"/>
        <v>73548.347233466993</v>
      </c>
      <c r="AA140" s="5">
        <f t="shared" si="140"/>
        <v>73285.320975376439</v>
      </c>
      <c r="AB140" s="5">
        <f t="shared" si="140"/>
        <v>73022.294717285884</v>
      </c>
      <c r="AC140" s="5">
        <f t="shared" si="140"/>
        <v>72759.268459195329</v>
      </c>
      <c r="AD140" s="5">
        <f t="shared" si="140"/>
        <v>72496.242201104775</v>
      </c>
      <c r="AE140" s="5">
        <f t="shared" si="140"/>
        <v>72233.21594301422</v>
      </c>
      <c r="AF140" s="5">
        <f t="shared" si="140"/>
        <v>71970.189684923665</v>
      </c>
      <c r="AG140" s="5">
        <f t="shared" si="140"/>
        <v>71707.163426833111</v>
      </c>
      <c r="AH140" s="5">
        <f t="shared" si="140"/>
        <v>71444.137168742556</v>
      </c>
    </row>
    <row r="141" spans="1:34" x14ac:dyDescent="0.35">
      <c r="A141" t="s">
        <v>161</v>
      </c>
      <c r="B141" s="3" t="s">
        <v>1262</v>
      </c>
      <c r="C141" s="4" t="s">
        <v>1263</v>
      </c>
      <c r="D141" s="2">
        <f t="shared" si="131"/>
        <v>1301087.5024046155</v>
      </c>
      <c r="E141" s="5">
        <v>0</v>
      </c>
      <c r="F141" s="5">
        <v>33740.435812938005</v>
      </c>
      <c r="G141" s="5">
        <v>72540.035056677312</v>
      </c>
      <c r="H141" s="5">
        <v>93856.99134706115</v>
      </c>
      <c r="I141" s="5">
        <v>91734.425035491891</v>
      </c>
      <c r="J141" s="5">
        <v>100445.31545393923</v>
      </c>
      <c r="K141" s="5">
        <v>0</v>
      </c>
      <c r="L141" s="5">
        <v>0</v>
      </c>
      <c r="M141" s="5">
        <v>407989.19769475522</v>
      </c>
      <c r="N141" s="5">
        <v>15519.839697495723</v>
      </c>
      <c r="O141" s="5">
        <v>0</v>
      </c>
      <c r="P141" s="5">
        <v>143558.51720183544</v>
      </c>
      <c r="Q141" s="5">
        <v>36517.269876460523</v>
      </c>
      <c r="R141" s="5">
        <v>98071.692911969309</v>
      </c>
      <c r="S141" s="5">
        <v>46103.053219031412</v>
      </c>
      <c r="T141" s="5">
        <v>9129.3174691151307</v>
      </c>
      <c r="U141" s="5">
        <v>63585.696172386888</v>
      </c>
      <c r="V141" s="5">
        <v>88295.715455458514</v>
      </c>
      <c r="W141" s="5">
        <f t="shared" ref="W141:AH141" si="141">IF(OR((SLOPE($E141:$V141,$E$1:$V$1)*W$1+INTERCEPT($E141:$V141,$E$1:$V$1))&gt;(AVERAGE($E141:$V141)+_xlfn.STDEV.P($E141:$V141)),(SLOPE($E141:$V141,$E$1:$V$1)*W$1+INTERCEPT($E141:$V141,$E$1:$V$1))&lt;(AVERAGE($E141:$V141)-_xlfn.STDEV.P($E141:$V141))),V141,(SLOPE($E141:$V141,$E$1:$V$1)*W$1+INTERCEPT($E141:$V141,$E$1:$V$1)))</f>
        <v>77517.303139593889</v>
      </c>
      <c r="X141" s="5">
        <f t="shared" si="141"/>
        <v>78068.32041507971</v>
      </c>
      <c r="Y141" s="5">
        <f t="shared" si="141"/>
        <v>78619.337690565531</v>
      </c>
      <c r="Z141" s="5">
        <f t="shared" si="141"/>
        <v>79170.354966051338</v>
      </c>
      <c r="AA141" s="5">
        <f t="shared" si="141"/>
        <v>79721.372241537159</v>
      </c>
      <c r="AB141" s="5">
        <f t="shared" si="141"/>
        <v>80272.389517022966</v>
      </c>
      <c r="AC141" s="5">
        <f t="shared" si="141"/>
        <v>80823.406792508787</v>
      </c>
      <c r="AD141" s="5">
        <f t="shared" si="141"/>
        <v>81374.424067994609</v>
      </c>
      <c r="AE141" s="5">
        <f t="shared" si="141"/>
        <v>81925.441343480416</v>
      </c>
      <c r="AF141" s="5">
        <f t="shared" si="141"/>
        <v>82476.458618966237</v>
      </c>
      <c r="AG141" s="5">
        <f t="shared" si="141"/>
        <v>83027.475894452058</v>
      </c>
      <c r="AH141" s="5">
        <f t="shared" si="141"/>
        <v>83578.493169937865</v>
      </c>
    </row>
    <row r="142" spans="1:34" x14ac:dyDescent="0.35">
      <c r="A142" t="s">
        <v>162</v>
      </c>
      <c r="B142" s="3" t="s">
        <v>1266</v>
      </c>
      <c r="C142" s="4" t="s">
        <v>1263</v>
      </c>
      <c r="D142" s="2">
        <f t="shared" si="131"/>
        <v>1336740.202303543</v>
      </c>
      <c r="E142" s="5">
        <v>0</v>
      </c>
      <c r="F142" s="5">
        <v>0</v>
      </c>
      <c r="G142" s="5">
        <v>133069.85731545929</v>
      </c>
      <c r="H142" s="5">
        <v>0</v>
      </c>
      <c r="I142" s="5">
        <v>160638.72821762043</v>
      </c>
      <c r="J142" s="5">
        <v>0</v>
      </c>
      <c r="K142" s="5">
        <v>140014.58050869033</v>
      </c>
      <c r="L142" s="5">
        <v>0</v>
      </c>
      <c r="M142" s="5">
        <v>139538.53093496079</v>
      </c>
      <c r="N142" s="5">
        <v>0</v>
      </c>
      <c r="O142" s="5">
        <v>0</v>
      </c>
      <c r="P142" s="5">
        <v>224023.32881390452</v>
      </c>
      <c r="Q142" s="5">
        <v>0</v>
      </c>
      <c r="R142" s="5">
        <v>154289.06699155128</v>
      </c>
      <c r="S142" s="5">
        <v>154072.04439176284</v>
      </c>
      <c r="T142" s="5">
        <v>0</v>
      </c>
      <c r="U142" s="5">
        <v>0</v>
      </c>
      <c r="V142" s="5">
        <v>231094.06512959339</v>
      </c>
      <c r="W142" s="5">
        <f t="shared" ref="W142:AH142" si="142">IF(OR((SLOPE($E142:$V142,$E$1:$V$1)*W$1+INTERCEPT($E142:$V142,$E$1:$V$1))&gt;(AVERAGE($E142:$V142)+_xlfn.STDEV.P($E142:$V142)),(SLOPE($E142:$V142,$E$1:$V$1)*W$1+INTERCEPT($E142:$V142,$E$1:$V$1))&lt;(AVERAGE($E142:$V142)-_xlfn.STDEV.P($E142:$V142))),V142,(SLOPE($E142:$V142,$E$1:$V$1)*W$1+INTERCEPT($E142:$V142,$E$1:$V$1)))</f>
        <v>114624.53780739941</v>
      </c>
      <c r="X142" s="5">
        <f t="shared" si="142"/>
        <v>118873.08446371314</v>
      </c>
      <c r="Y142" s="5">
        <f t="shared" si="142"/>
        <v>123121.63112002685</v>
      </c>
      <c r="Z142" s="5">
        <f t="shared" si="142"/>
        <v>127370.17777634057</v>
      </c>
      <c r="AA142" s="5">
        <f t="shared" si="142"/>
        <v>131618.7244326543</v>
      </c>
      <c r="AB142" s="5">
        <f t="shared" si="142"/>
        <v>135867.27108896803</v>
      </c>
      <c r="AC142" s="5">
        <f t="shared" si="142"/>
        <v>140115.81774528173</v>
      </c>
      <c r="AD142" s="5">
        <f t="shared" si="142"/>
        <v>144364.36440159546</v>
      </c>
      <c r="AE142" s="5">
        <f t="shared" si="142"/>
        <v>148612.91105790919</v>
      </c>
      <c r="AF142" s="5">
        <f t="shared" si="142"/>
        <v>152861.4577142229</v>
      </c>
      <c r="AG142" s="5">
        <f t="shared" si="142"/>
        <v>157110.00437053663</v>
      </c>
      <c r="AH142" s="5">
        <f t="shared" si="142"/>
        <v>157110.00437053663</v>
      </c>
    </row>
    <row r="143" spans="1:34" x14ac:dyDescent="0.35">
      <c r="A143" t="s">
        <v>163</v>
      </c>
      <c r="B143" s="3" t="s">
        <v>1265</v>
      </c>
      <c r="C143" s="4" t="s">
        <v>1263</v>
      </c>
      <c r="D143" s="2">
        <f t="shared" si="131"/>
        <v>1317393.416498438</v>
      </c>
      <c r="E143" s="5">
        <v>37666.683084606426</v>
      </c>
      <c r="F143" s="5">
        <v>51738.786596552076</v>
      </c>
      <c r="G143" s="5">
        <v>64047.468615772705</v>
      </c>
      <c r="H143" s="5">
        <v>96294.5696460709</v>
      </c>
      <c r="I143" s="5">
        <v>88335.660642238654</v>
      </c>
      <c r="J143" s="5">
        <v>75650.782037903366</v>
      </c>
      <c r="K143" s="5">
        <v>51139.223289025584</v>
      </c>
      <c r="L143" s="5">
        <v>29390.358212083665</v>
      </c>
      <c r="M143" s="5">
        <v>85314.331818036444</v>
      </c>
      <c r="N143" s="5">
        <v>41463.917365607631</v>
      </c>
      <c r="O143" s="5">
        <v>69866.759541765292</v>
      </c>
      <c r="P143" s="5">
        <v>75603.757464764029</v>
      </c>
      <c r="Q143" s="5">
        <v>39688.739729597772</v>
      </c>
      <c r="R143" s="5">
        <v>74510.43613927449</v>
      </c>
      <c r="S143" s="5">
        <v>70395.785989582786</v>
      </c>
      <c r="T143" s="5">
        <v>89276.152105025321</v>
      </c>
      <c r="U143" s="5">
        <v>121323.39869948133</v>
      </c>
      <c r="V143" s="5">
        <v>155686.60552104958</v>
      </c>
      <c r="W143" s="5">
        <f t="shared" ref="W143:AH143" si="143">IF(OR((SLOPE($E143:$V143,$E$1:$V$1)*W$1+INTERCEPT($E143:$V143,$E$1:$V$1))&gt;(AVERAGE($E143:$V143)+_xlfn.STDEV.P($E143:$V143)),(SLOPE($E143:$V143,$E$1:$V$1)*W$1+INTERCEPT($E143:$V143,$E$1:$V$1))&lt;(AVERAGE($E143:$V143)-_xlfn.STDEV.P($E143:$V143))),V143,(SLOPE($E143:$V143,$E$1:$V$1)*W$1+INTERCEPT($E143:$V143,$E$1:$V$1)))</f>
        <v>101785.91796069307</v>
      </c>
      <c r="X143" s="5">
        <f t="shared" si="143"/>
        <v>101785.91796069307</v>
      </c>
      <c r="Y143" s="5">
        <f t="shared" si="143"/>
        <v>101785.91796069307</v>
      </c>
      <c r="Z143" s="5">
        <f t="shared" si="143"/>
        <v>101785.91796069307</v>
      </c>
      <c r="AA143" s="5">
        <f t="shared" si="143"/>
        <v>101785.91796069307</v>
      </c>
      <c r="AB143" s="5">
        <f t="shared" si="143"/>
        <v>101785.91796069307</v>
      </c>
      <c r="AC143" s="5">
        <f t="shared" si="143"/>
        <v>101785.91796069307</v>
      </c>
      <c r="AD143" s="5">
        <f t="shared" si="143"/>
        <v>101785.91796069307</v>
      </c>
      <c r="AE143" s="5">
        <f t="shared" si="143"/>
        <v>101785.91796069307</v>
      </c>
      <c r="AF143" s="5">
        <f t="shared" si="143"/>
        <v>101785.91796069307</v>
      </c>
      <c r="AG143" s="5">
        <f t="shared" si="143"/>
        <v>101785.91796069307</v>
      </c>
      <c r="AH143" s="5">
        <f t="shared" si="143"/>
        <v>101785.91796069307</v>
      </c>
    </row>
    <row r="144" spans="1:34" x14ac:dyDescent="0.35">
      <c r="A144" t="s">
        <v>164</v>
      </c>
      <c r="B144" s="3" t="s">
        <v>1262</v>
      </c>
      <c r="C144" s="4" t="s">
        <v>1263</v>
      </c>
      <c r="D144" s="2">
        <f t="shared" si="131"/>
        <v>1312297.2183770116</v>
      </c>
      <c r="E144" s="5">
        <v>33952.067839866664</v>
      </c>
      <c r="F144" s="5">
        <v>84382.205938015293</v>
      </c>
      <c r="G144" s="5">
        <v>61068.452687973506</v>
      </c>
      <c r="H144" s="5">
        <v>15844.298325271109</v>
      </c>
      <c r="I144" s="5">
        <v>46808.584195229509</v>
      </c>
      <c r="J144" s="5">
        <v>45314.693210275378</v>
      </c>
      <c r="K144" s="5">
        <v>29651.472580150221</v>
      </c>
      <c r="L144" s="5">
        <v>115482.30007933316</v>
      </c>
      <c r="M144" s="5">
        <v>146808.74133958344</v>
      </c>
      <c r="N144" s="5">
        <v>93861.62327890606</v>
      </c>
      <c r="O144" s="5">
        <v>100045.42656814045</v>
      </c>
      <c r="P144" s="5">
        <v>93662.43781424551</v>
      </c>
      <c r="Q144" s="5">
        <v>146817.79522434078</v>
      </c>
      <c r="R144" s="5">
        <v>0</v>
      </c>
      <c r="S144" s="5">
        <v>135808.27135946666</v>
      </c>
      <c r="T144" s="5">
        <v>49343.671927272895</v>
      </c>
      <c r="U144" s="5">
        <v>61113.722111759998</v>
      </c>
      <c r="V144" s="5">
        <v>52331.453897181149</v>
      </c>
      <c r="W144" s="5">
        <f t="shared" ref="W144:AH144" si="144">IF(OR((SLOPE($E144:$V144,$E$1:$V$1)*W$1+INTERCEPT($E144:$V144,$E$1:$V$1))&gt;(AVERAGE($E144:$V144)+_xlfn.STDEV.P($E144:$V144)),(SLOPE($E144:$V144,$E$1:$V$1)*W$1+INTERCEPT($E144:$V144,$E$1:$V$1))&lt;(AVERAGE($E144:$V144)-_xlfn.STDEV.P($E144:$V144))),V144,(SLOPE($E144:$V144,$E$1:$V$1)*W$1+INTERCEPT($E144:$V144,$E$1:$V$1)))</f>
        <v>88990.159873740908</v>
      </c>
      <c r="X144" s="5">
        <f t="shared" si="144"/>
        <v>90683.292384561515</v>
      </c>
      <c r="Y144" s="5">
        <f t="shared" si="144"/>
        <v>92376.424895382122</v>
      </c>
      <c r="Z144" s="5">
        <f t="shared" si="144"/>
        <v>94069.557406202744</v>
      </c>
      <c r="AA144" s="5">
        <f t="shared" si="144"/>
        <v>95762.689917023352</v>
      </c>
      <c r="AB144" s="5">
        <f t="shared" si="144"/>
        <v>97455.822427843959</v>
      </c>
      <c r="AC144" s="5">
        <f t="shared" si="144"/>
        <v>99148.954938664567</v>
      </c>
      <c r="AD144" s="5">
        <f t="shared" si="144"/>
        <v>100842.08744948517</v>
      </c>
      <c r="AE144" s="5">
        <f t="shared" si="144"/>
        <v>102535.2199603058</v>
      </c>
      <c r="AF144" s="5">
        <f t="shared" si="144"/>
        <v>104228.35247112642</v>
      </c>
      <c r="AG144" s="5">
        <f t="shared" si="144"/>
        <v>105921.48498194703</v>
      </c>
      <c r="AH144" s="5">
        <f t="shared" si="144"/>
        <v>107614.61749276763</v>
      </c>
    </row>
    <row r="145" spans="1:34" x14ac:dyDescent="0.35">
      <c r="A145" t="s">
        <v>165</v>
      </c>
      <c r="B145" s="3" t="s">
        <v>1265</v>
      </c>
      <c r="C145" s="4" t="s">
        <v>1263</v>
      </c>
      <c r="D145" s="2">
        <f t="shared" si="131"/>
        <v>1314358.1639999999</v>
      </c>
      <c r="E145" s="5">
        <v>48759.165000000008</v>
      </c>
      <c r="F145" s="5">
        <v>57955.338000000003</v>
      </c>
      <c r="G145" s="5">
        <v>70596.603000000003</v>
      </c>
      <c r="H145" s="5">
        <v>57649.724999999991</v>
      </c>
      <c r="I145" s="5">
        <v>88072.109999999986</v>
      </c>
      <c r="J145" s="5">
        <v>96851.538</v>
      </c>
      <c r="K145" s="5">
        <v>83154.519000000015</v>
      </c>
      <c r="L145" s="5">
        <v>83043.387000000002</v>
      </c>
      <c r="M145" s="5">
        <v>77514.570000000022</v>
      </c>
      <c r="N145" s="5">
        <v>69874.244999999995</v>
      </c>
      <c r="O145" s="5">
        <v>69012.971999999994</v>
      </c>
      <c r="P145" s="5">
        <v>110576.33999999998</v>
      </c>
      <c r="Q145" s="5">
        <v>42507.99</v>
      </c>
      <c r="R145" s="5">
        <v>83571.264000000039</v>
      </c>
      <c r="S145" s="5">
        <v>64067.597999999984</v>
      </c>
      <c r="T145" s="5">
        <v>65095.568999999996</v>
      </c>
      <c r="U145" s="5">
        <v>77236.740000000005</v>
      </c>
      <c r="V145" s="5">
        <v>68818.490999999995</v>
      </c>
      <c r="W145" s="5">
        <f t="shared" ref="W145:AH145" si="145">IF(OR((SLOPE($E145:$V145,$E$1:$V$1)*W$1+INTERCEPT($E145:$V145,$E$1:$V$1))&gt;(AVERAGE($E145:$V145)+_xlfn.STDEV.P($E145:$V145)),(SLOPE($E145:$V145,$E$1:$V$1)*W$1+INTERCEPT($E145:$V145,$E$1:$V$1))&lt;(AVERAGE($E145:$V145)-_xlfn.STDEV.P($E145:$V145))),V145,(SLOPE($E145:$V145,$E$1:$V$1)*W$1+INTERCEPT($E145:$V145,$E$1:$V$1)))</f>
        <v>75919.680529411751</v>
      </c>
      <c r="X145" s="5">
        <f t="shared" si="145"/>
        <v>76224.920795665617</v>
      </c>
      <c r="Y145" s="5">
        <f t="shared" si="145"/>
        <v>76530.161061919483</v>
      </c>
      <c r="Z145" s="5">
        <f t="shared" si="145"/>
        <v>76835.40132817335</v>
      </c>
      <c r="AA145" s="5">
        <f t="shared" si="145"/>
        <v>77140.64159442723</v>
      </c>
      <c r="AB145" s="5">
        <f t="shared" si="145"/>
        <v>77445.881860681096</v>
      </c>
      <c r="AC145" s="5">
        <f t="shared" si="145"/>
        <v>77751.122126934963</v>
      </c>
      <c r="AD145" s="5">
        <f t="shared" si="145"/>
        <v>78056.362393188829</v>
      </c>
      <c r="AE145" s="5">
        <f t="shared" si="145"/>
        <v>78361.602659442695</v>
      </c>
      <c r="AF145" s="5">
        <f t="shared" si="145"/>
        <v>78666.842925696576</v>
      </c>
      <c r="AG145" s="5">
        <f t="shared" si="145"/>
        <v>78972.083191950442</v>
      </c>
      <c r="AH145" s="5">
        <f t="shared" si="145"/>
        <v>79277.323458204308</v>
      </c>
    </row>
    <row r="146" spans="1:34" x14ac:dyDescent="0.35">
      <c r="A146" t="s">
        <v>166</v>
      </c>
      <c r="B146" s="3" t="s">
        <v>1265</v>
      </c>
      <c r="C146" s="4" t="s">
        <v>1263</v>
      </c>
      <c r="D146" s="2">
        <f t="shared" si="131"/>
        <v>1312643.0777572303</v>
      </c>
      <c r="E146" s="5">
        <v>4467.7912203199367</v>
      </c>
      <c r="F146" s="5">
        <v>50288.976597742592</v>
      </c>
      <c r="G146" s="5">
        <v>66535.490126178716</v>
      </c>
      <c r="H146" s="5">
        <v>89852.245653100967</v>
      </c>
      <c r="I146" s="5">
        <v>87114.407262197856</v>
      </c>
      <c r="J146" s="5">
        <v>83880.147624592486</v>
      </c>
      <c r="K146" s="5">
        <v>42978.045509946329</v>
      </c>
      <c r="L146" s="5">
        <v>27348.297772867492</v>
      </c>
      <c r="M146" s="5">
        <v>98456.880595939365</v>
      </c>
      <c r="N146" s="5">
        <v>44828.342884018231</v>
      </c>
      <c r="O146" s="5">
        <v>75320.641885999765</v>
      </c>
      <c r="P146" s="5">
        <v>42481.624263244114</v>
      </c>
      <c r="Q146" s="5">
        <v>60172.27232754125</v>
      </c>
      <c r="R146" s="5">
        <v>117381.06024295109</v>
      </c>
      <c r="S146" s="5">
        <v>51101.302274164394</v>
      </c>
      <c r="T146" s="5">
        <v>143751.55859049605</v>
      </c>
      <c r="U146" s="5">
        <v>118027.91217047215</v>
      </c>
      <c r="V146" s="5">
        <v>108656.0807554576</v>
      </c>
      <c r="W146" s="5">
        <f t="shared" ref="W146:AH146" si="146">IF(OR((SLOPE($E146:$V146,$E$1:$V$1)*W$1+INTERCEPT($E146:$V146,$E$1:$V$1))&gt;(AVERAGE($E146:$V146)+_xlfn.STDEV.P($E146:$V146)),(SLOPE($E146:$V146,$E$1:$V$1)*W$1+INTERCEPT($E146:$V146,$E$1:$V$1))&lt;(AVERAGE($E146:$V146)-_xlfn.STDEV.P($E146:$V146))),V146,(SLOPE($E146:$V146,$E$1:$V$1)*W$1+INTERCEPT($E146:$V146,$E$1:$V$1)))</f>
        <v>107817.60177112871</v>
      </c>
      <c r="X146" s="5">
        <f t="shared" si="146"/>
        <v>107817.60177112871</v>
      </c>
      <c r="Y146" s="5">
        <f t="shared" si="146"/>
        <v>107817.60177112871</v>
      </c>
      <c r="Z146" s="5">
        <f t="shared" si="146"/>
        <v>107817.60177112871</v>
      </c>
      <c r="AA146" s="5">
        <f t="shared" si="146"/>
        <v>107817.60177112871</v>
      </c>
      <c r="AB146" s="5">
        <f t="shared" si="146"/>
        <v>107817.60177112871</v>
      </c>
      <c r="AC146" s="5">
        <f t="shared" si="146"/>
        <v>107817.60177112871</v>
      </c>
      <c r="AD146" s="5">
        <f t="shared" si="146"/>
        <v>107817.60177112871</v>
      </c>
      <c r="AE146" s="5">
        <f t="shared" si="146"/>
        <v>107817.60177112871</v>
      </c>
      <c r="AF146" s="5">
        <f t="shared" si="146"/>
        <v>107817.60177112871</v>
      </c>
      <c r="AG146" s="5">
        <f t="shared" si="146"/>
        <v>107817.60177112871</v>
      </c>
      <c r="AH146" s="5">
        <f t="shared" si="146"/>
        <v>107817.60177112871</v>
      </c>
    </row>
    <row r="147" spans="1:34" x14ac:dyDescent="0.35">
      <c r="A147" t="s">
        <v>167</v>
      </c>
      <c r="B147" s="3" t="s">
        <v>1262</v>
      </c>
      <c r="C147" s="4" t="s">
        <v>1263</v>
      </c>
      <c r="D147" s="2">
        <f t="shared" si="131"/>
        <v>1309436.8685999999</v>
      </c>
      <c r="E147" s="5">
        <v>281485.00799999997</v>
      </c>
      <c r="F147" s="5">
        <v>21010.121999999996</v>
      </c>
      <c r="G147" s="5">
        <v>32907.42</v>
      </c>
      <c r="H147" s="5">
        <v>36957.563999999991</v>
      </c>
      <c r="I147" s="5">
        <v>32907.42</v>
      </c>
      <c r="J147" s="5">
        <v>33413.687999999995</v>
      </c>
      <c r="K147" s="5">
        <v>70244.684999999983</v>
      </c>
      <c r="L147" s="5">
        <v>57765.178800000002</v>
      </c>
      <c r="M147" s="5">
        <v>61638.128999999994</v>
      </c>
      <c r="N147" s="5">
        <v>102291.44939999998</v>
      </c>
      <c r="O147" s="5">
        <v>78091.838999999978</v>
      </c>
      <c r="P147" s="5">
        <v>114365.94119999997</v>
      </c>
      <c r="Q147" s="5">
        <v>59106.78899999999</v>
      </c>
      <c r="R147" s="5">
        <v>72522.891000000003</v>
      </c>
      <c r="S147" s="5">
        <v>25.313399999999998</v>
      </c>
      <c r="T147" s="5">
        <v>0</v>
      </c>
      <c r="U147" s="5">
        <v>160107.255</v>
      </c>
      <c r="V147" s="5">
        <v>94596.175799999983</v>
      </c>
      <c r="W147" s="5">
        <f t="shared" ref="W147:AH147" si="147">IF(OR((SLOPE($E147:$V147,$E$1:$V$1)*W$1+INTERCEPT($E147:$V147,$E$1:$V$1))&gt;(AVERAGE($E147:$V147)+_xlfn.STDEV.P($E147:$V147)),(SLOPE($E147:$V147,$E$1:$V$1)*W$1+INTERCEPT($E147:$V147,$E$1:$V$1))&lt;(AVERAGE($E147:$V147)-_xlfn.STDEV.P($E147:$V147))),V147,(SLOPE($E147:$V147,$E$1:$V$1)*W$1+INTERCEPT($E147:$V147,$E$1:$V$1)))</f>
        <v>62294.788376470606</v>
      </c>
      <c r="X147" s="5">
        <f t="shared" si="147"/>
        <v>61194.608973993825</v>
      </c>
      <c r="Y147" s="5">
        <f t="shared" si="147"/>
        <v>60094.429571517045</v>
      </c>
      <c r="Z147" s="5">
        <f t="shared" si="147"/>
        <v>58994.250169040271</v>
      </c>
      <c r="AA147" s="5">
        <f t="shared" si="147"/>
        <v>57894.070766563484</v>
      </c>
      <c r="AB147" s="5">
        <f t="shared" si="147"/>
        <v>56793.89136408671</v>
      </c>
      <c r="AC147" s="5">
        <f t="shared" si="147"/>
        <v>55693.71196160993</v>
      </c>
      <c r="AD147" s="5">
        <f t="shared" si="147"/>
        <v>54593.532559133149</v>
      </c>
      <c r="AE147" s="5">
        <f t="shared" si="147"/>
        <v>53493.353156656369</v>
      </c>
      <c r="AF147" s="5">
        <f t="shared" si="147"/>
        <v>52393.173754179588</v>
      </c>
      <c r="AG147" s="5">
        <f t="shared" si="147"/>
        <v>51292.994351702815</v>
      </c>
      <c r="AH147" s="5">
        <f t="shared" si="147"/>
        <v>50192.814949226035</v>
      </c>
    </row>
    <row r="148" spans="1:34" x14ac:dyDescent="0.35">
      <c r="A148" t="s">
        <v>168</v>
      </c>
      <c r="B148" s="3" t="s">
        <v>1262</v>
      </c>
      <c r="C148" s="4" t="s">
        <v>1263</v>
      </c>
      <c r="D148" s="2">
        <f t="shared" si="131"/>
        <v>1289849.5889999997</v>
      </c>
      <c r="E148" s="5">
        <v>37626.119999999988</v>
      </c>
      <c r="F148" s="5">
        <v>6810.8040000000001</v>
      </c>
      <c r="G148" s="5">
        <v>46199.159999999982</v>
      </c>
      <c r="H148" s="5">
        <v>117010.08899999999</v>
      </c>
      <c r="I148" s="5">
        <v>51557.30999999999</v>
      </c>
      <c r="J148" s="5">
        <v>61856.864999999991</v>
      </c>
      <c r="K148" s="5">
        <v>66679.199999999968</v>
      </c>
      <c r="L148" s="5">
        <v>62571.284999999996</v>
      </c>
      <c r="M148" s="5">
        <v>94243.905000000028</v>
      </c>
      <c r="N148" s="5">
        <v>33411.042000000001</v>
      </c>
      <c r="O148" s="5">
        <v>128190.76199999999</v>
      </c>
      <c r="P148" s="5">
        <v>80705.645999999993</v>
      </c>
      <c r="Q148" s="5">
        <v>54534.059999999983</v>
      </c>
      <c r="R148" s="5">
        <v>76919.219999999972</v>
      </c>
      <c r="S148" s="5">
        <v>104162.43599999997</v>
      </c>
      <c r="T148" s="5">
        <v>80908.064999999988</v>
      </c>
      <c r="U148" s="5">
        <v>102757.40999999996</v>
      </c>
      <c r="V148" s="5">
        <v>83706.209999999977</v>
      </c>
      <c r="W148" s="5">
        <f t="shared" ref="W148:AH148" si="148">IF(OR((SLOPE($E148:$V148,$E$1:$V$1)*W$1+INTERCEPT($E148:$V148,$E$1:$V$1))&gt;(AVERAGE($E148:$V148)+_xlfn.STDEV.P($E148:$V148)),(SLOPE($E148:$V148,$E$1:$V$1)*W$1+INTERCEPT($E148:$V148,$E$1:$V$1))&lt;(AVERAGE($E148:$V148)-_xlfn.STDEV.P($E148:$V148))),V148,(SLOPE($E148:$V148,$E$1:$V$1)*W$1+INTERCEPT($E148:$V148,$E$1:$V$1)))</f>
        <v>100242.69829411761</v>
      </c>
      <c r="X148" s="5">
        <f t="shared" si="148"/>
        <v>100242.69829411761</v>
      </c>
      <c r="Y148" s="5">
        <f t="shared" si="148"/>
        <v>100242.69829411761</v>
      </c>
      <c r="Z148" s="5">
        <f t="shared" si="148"/>
        <v>100242.69829411761</v>
      </c>
      <c r="AA148" s="5">
        <f t="shared" si="148"/>
        <v>100242.69829411761</v>
      </c>
      <c r="AB148" s="5">
        <f t="shared" si="148"/>
        <v>100242.69829411761</v>
      </c>
      <c r="AC148" s="5">
        <f t="shared" si="148"/>
        <v>100242.69829411761</v>
      </c>
      <c r="AD148" s="5">
        <f t="shared" si="148"/>
        <v>100242.69829411761</v>
      </c>
      <c r="AE148" s="5">
        <f t="shared" si="148"/>
        <v>100242.69829411761</v>
      </c>
      <c r="AF148" s="5">
        <f t="shared" si="148"/>
        <v>100242.69829411761</v>
      </c>
      <c r="AG148" s="5">
        <f t="shared" si="148"/>
        <v>100242.69829411761</v>
      </c>
      <c r="AH148" s="5">
        <f t="shared" si="148"/>
        <v>100242.69829411761</v>
      </c>
    </row>
    <row r="149" spans="1:34" x14ac:dyDescent="0.35">
      <c r="A149" t="s">
        <v>169</v>
      </c>
      <c r="B149" s="3" t="s">
        <v>1265</v>
      </c>
      <c r="C149" s="4" t="s">
        <v>1263</v>
      </c>
      <c r="D149" s="2">
        <f t="shared" si="131"/>
        <v>1293407.1312911282</v>
      </c>
      <c r="E149" s="5">
        <v>56445.39898735351</v>
      </c>
      <c r="F149" s="5">
        <v>65589.741758131669</v>
      </c>
      <c r="G149" s="5">
        <v>75630.200414947132</v>
      </c>
      <c r="H149" s="5">
        <v>68763.27923299298</v>
      </c>
      <c r="I149" s="5">
        <v>66243.262735794211</v>
      </c>
      <c r="J149" s="5">
        <v>70411.934426641674</v>
      </c>
      <c r="K149" s="5">
        <v>69679.198785020024</v>
      </c>
      <c r="L149" s="5">
        <v>63708.393489103131</v>
      </c>
      <c r="M149" s="5">
        <v>103672.19145646719</v>
      </c>
      <c r="N149" s="5">
        <v>60302.162938862006</v>
      </c>
      <c r="O149" s="5">
        <v>71253.590231207054</v>
      </c>
      <c r="P149" s="5">
        <v>89042.233206521574</v>
      </c>
      <c r="Q149" s="5">
        <v>52390.598375947258</v>
      </c>
      <c r="R149" s="5">
        <v>92542.531170214177</v>
      </c>
      <c r="S149" s="5">
        <v>76422.347054538099</v>
      </c>
      <c r="T149" s="5">
        <v>80630.626077365072</v>
      </c>
      <c r="U149" s="5">
        <v>74090.465384242183</v>
      </c>
      <c r="V149" s="5">
        <v>56588.975565779372</v>
      </c>
      <c r="W149" s="5">
        <f t="shared" ref="W149:AH149" si="149">IF(OR((SLOPE($E149:$V149,$E$1:$V$1)*W$1+INTERCEPT($E149:$V149,$E$1:$V$1))&gt;(AVERAGE($E149:$V149)+_xlfn.STDEV.P($E149:$V149)),(SLOPE($E149:$V149,$E$1:$V$1)*W$1+INTERCEPT($E149:$V149,$E$1:$V$1))&lt;(AVERAGE($E149:$V149)-_xlfn.STDEV.P($E149:$V149))),V149,(SLOPE($E149:$V149,$E$1:$V$1)*W$1+INTERCEPT($E149:$V149,$E$1:$V$1)))</f>
        <v>76422.929515302501</v>
      </c>
      <c r="X149" s="5">
        <f t="shared" si="149"/>
        <v>76903.664018134761</v>
      </c>
      <c r="Y149" s="5">
        <f t="shared" si="149"/>
        <v>77384.398520967021</v>
      </c>
      <c r="Z149" s="5">
        <f t="shared" si="149"/>
        <v>77865.133023799281</v>
      </c>
      <c r="AA149" s="5">
        <f t="shared" si="149"/>
        <v>78345.86752663154</v>
      </c>
      <c r="AB149" s="5">
        <f t="shared" si="149"/>
        <v>78826.6020294638</v>
      </c>
      <c r="AC149" s="5">
        <f t="shared" si="149"/>
        <v>79307.33653229606</v>
      </c>
      <c r="AD149" s="5">
        <f t="shared" si="149"/>
        <v>79788.07103512832</v>
      </c>
      <c r="AE149" s="5">
        <f t="shared" si="149"/>
        <v>80268.805537960579</v>
      </c>
      <c r="AF149" s="5">
        <f t="shared" si="149"/>
        <v>80749.540040792839</v>
      </c>
      <c r="AG149" s="5">
        <f t="shared" si="149"/>
        <v>81230.274543625099</v>
      </c>
      <c r="AH149" s="5">
        <f t="shared" si="149"/>
        <v>81711.009046457359</v>
      </c>
    </row>
    <row r="150" spans="1:34" x14ac:dyDescent="0.35">
      <c r="A150" t="s">
        <v>170</v>
      </c>
      <c r="B150" s="3" t="s">
        <v>1264</v>
      </c>
      <c r="C150" s="4" t="s">
        <v>1263</v>
      </c>
      <c r="D150" s="2">
        <f t="shared" si="131"/>
        <v>1255864.0416000001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97575.77760000003</v>
      </c>
      <c r="K150" s="5">
        <v>96897.225600000005</v>
      </c>
      <c r="L150" s="5">
        <v>49941.427199999998</v>
      </c>
      <c r="M150" s="5">
        <v>38270.332800000004</v>
      </c>
      <c r="N150" s="5">
        <v>100629.26160000001</v>
      </c>
      <c r="O150" s="5">
        <v>61205.390400000004</v>
      </c>
      <c r="P150" s="5">
        <v>136388.95200000005</v>
      </c>
      <c r="Q150" s="5">
        <v>32570.496000000003</v>
      </c>
      <c r="R150" s="5">
        <v>20356.560000000001</v>
      </c>
      <c r="S150" s="5">
        <v>95540.121600000013</v>
      </c>
      <c r="T150" s="5">
        <v>68398.041600000011</v>
      </c>
      <c r="U150" s="5">
        <v>102393.49680000001</v>
      </c>
      <c r="V150" s="5">
        <v>355696.9584</v>
      </c>
      <c r="W150" s="5">
        <f t="shared" ref="W150:AH150" si="150">IF(OR((SLOPE($E150:$V150,$E$1:$V$1)*W$1+INTERCEPT($E150:$V150,$E$1:$V$1))&gt;(AVERAGE($E150:$V150)+_xlfn.STDEV.P($E150:$V150)),(SLOPE($E150:$V150,$E$1:$V$1)*W$1+INTERCEPT($E150:$V150,$E$1:$V$1))&lt;(AVERAGE($E150:$V150)-_xlfn.STDEV.P($E150:$V150))),V150,(SLOPE($E150:$V150,$E$1:$V$1)*W$1+INTERCEPT($E150:$V150,$E$1:$V$1)))</f>
        <v>355696.9584</v>
      </c>
      <c r="X150" s="5">
        <f t="shared" si="150"/>
        <v>355696.9584</v>
      </c>
      <c r="Y150" s="5">
        <f t="shared" si="150"/>
        <v>355696.9584</v>
      </c>
      <c r="Z150" s="5">
        <f t="shared" si="150"/>
        <v>355696.9584</v>
      </c>
      <c r="AA150" s="5">
        <f t="shared" si="150"/>
        <v>355696.9584</v>
      </c>
      <c r="AB150" s="5">
        <f t="shared" si="150"/>
        <v>355696.9584</v>
      </c>
      <c r="AC150" s="5">
        <f t="shared" si="150"/>
        <v>355696.9584</v>
      </c>
      <c r="AD150" s="5">
        <f t="shared" si="150"/>
        <v>355696.9584</v>
      </c>
      <c r="AE150" s="5">
        <f t="shared" si="150"/>
        <v>355696.9584</v>
      </c>
      <c r="AF150" s="5">
        <f t="shared" si="150"/>
        <v>355696.9584</v>
      </c>
      <c r="AG150" s="5">
        <f t="shared" si="150"/>
        <v>355696.9584</v>
      </c>
      <c r="AH150" s="5">
        <f t="shared" si="150"/>
        <v>355696.9584</v>
      </c>
    </row>
    <row r="151" spans="1:34" x14ac:dyDescent="0.35">
      <c r="A151" t="s">
        <v>171</v>
      </c>
      <c r="B151" s="3" t="s">
        <v>1262</v>
      </c>
      <c r="C151" s="4" t="s">
        <v>1263</v>
      </c>
      <c r="D151" s="2">
        <f t="shared" si="131"/>
        <v>1264861.5</v>
      </c>
      <c r="E151" s="5">
        <v>66370.5</v>
      </c>
      <c r="F151" s="5">
        <v>148984.5</v>
      </c>
      <c r="G151" s="5">
        <v>25872</v>
      </c>
      <c r="H151" s="5">
        <v>131565</v>
      </c>
      <c r="I151" s="5">
        <v>36015</v>
      </c>
      <c r="J151" s="5">
        <v>32413.5</v>
      </c>
      <c r="K151" s="5">
        <v>23887.5</v>
      </c>
      <c r="L151" s="5">
        <v>19992</v>
      </c>
      <c r="M151" s="5">
        <v>138973.79999999999</v>
      </c>
      <c r="N151" s="5">
        <v>89875.8</v>
      </c>
      <c r="O151" s="5">
        <v>63415.8</v>
      </c>
      <c r="P151" s="5">
        <v>79306.5</v>
      </c>
      <c r="Q151" s="5">
        <v>134475.6</v>
      </c>
      <c r="R151" s="5">
        <v>95403</v>
      </c>
      <c r="S151" s="5">
        <v>56815.5</v>
      </c>
      <c r="T151" s="5">
        <v>45423</v>
      </c>
      <c r="U151" s="5">
        <v>38367</v>
      </c>
      <c r="V151" s="5">
        <v>37705.5</v>
      </c>
      <c r="W151" s="5">
        <f t="shared" ref="W151:AH151" si="151">IF(OR((SLOPE($E151:$V151,$E$1:$V$1)*W$1+INTERCEPT($E151:$V151,$E$1:$V$1))&gt;(AVERAGE($E151:$V151)+_xlfn.STDEV.P($E151:$V151)),(SLOPE($E151:$V151,$E$1:$V$1)*W$1+INTERCEPT($E151:$V151,$E$1:$V$1))&lt;(AVERAGE($E151:$V151)-_xlfn.STDEV.P($E151:$V151))),V151,(SLOPE($E151:$V151,$E$1:$V$1)*W$1+INTERCEPT($E151:$V151,$E$1:$V$1)))</f>
        <v>59412.692156862737</v>
      </c>
      <c r="X151" s="5">
        <f t="shared" si="151"/>
        <v>58269.808875128991</v>
      </c>
      <c r="Y151" s="5">
        <f t="shared" si="151"/>
        <v>57126.925593395245</v>
      </c>
      <c r="Z151" s="5">
        <f t="shared" si="151"/>
        <v>55984.042311661498</v>
      </c>
      <c r="AA151" s="5">
        <f t="shared" si="151"/>
        <v>54841.159029927752</v>
      </c>
      <c r="AB151" s="5">
        <f t="shared" si="151"/>
        <v>53698.275748194006</v>
      </c>
      <c r="AC151" s="5">
        <f t="shared" si="151"/>
        <v>52555.39246646026</v>
      </c>
      <c r="AD151" s="5">
        <f t="shared" si="151"/>
        <v>51412.509184726514</v>
      </c>
      <c r="AE151" s="5">
        <f t="shared" si="151"/>
        <v>50269.625902992768</v>
      </c>
      <c r="AF151" s="5">
        <f t="shared" si="151"/>
        <v>49126.742621259022</v>
      </c>
      <c r="AG151" s="5">
        <f t="shared" si="151"/>
        <v>47983.859339525276</v>
      </c>
      <c r="AH151" s="5">
        <f t="shared" si="151"/>
        <v>46840.976057791529</v>
      </c>
    </row>
    <row r="152" spans="1:34" x14ac:dyDescent="0.35">
      <c r="A152" t="s">
        <v>172</v>
      </c>
      <c r="B152" s="3" t="s">
        <v>1262</v>
      </c>
      <c r="C152" s="4" t="s">
        <v>1263</v>
      </c>
      <c r="D152" s="2">
        <f t="shared" si="131"/>
        <v>1251030.4677087008</v>
      </c>
      <c r="E152" s="5">
        <v>124738.74507545565</v>
      </c>
      <c r="F152" s="5">
        <v>96486.14945639373</v>
      </c>
      <c r="G152" s="5">
        <v>105716.66287818193</v>
      </c>
      <c r="H152" s="5">
        <v>17984.514077422435</v>
      </c>
      <c r="I152" s="5">
        <v>91075.42385361364</v>
      </c>
      <c r="J152" s="5">
        <v>74589.619282643078</v>
      </c>
      <c r="K152" s="5">
        <v>16024.663184369992</v>
      </c>
      <c r="L152" s="5">
        <v>74013.192549392377</v>
      </c>
      <c r="M152" s="5">
        <v>113848.12266190539</v>
      </c>
      <c r="N152" s="5">
        <v>85941.383082793924</v>
      </c>
      <c r="O152" s="5">
        <v>67495.727618770892</v>
      </c>
      <c r="P152" s="5">
        <v>19944.364970474882</v>
      </c>
      <c r="Q152" s="5">
        <v>105532.2063235417</v>
      </c>
      <c r="R152" s="5">
        <v>73090.909776191183</v>
      </c>
      <c r="S152" s="5">
        <v>30112.532545017566</v>
      </c>
      <c r="T152" s="5">
        <v>52231.947722291843</v>
      </c>
      <c r="U152" s="5">
        <v>62354.001158174462</v>
      </c>
      <c r="V152" s="5">
        <v>39850.301492066385</v>
      </c>
      <c r="W152" s="5">
        <f t="shared" ref="W152:AH152" si="152">IF(OR((SLOPE($E152:$V152,$E$1:$V$1)*W$1+INTERCEPT($E152:$V152,$E$1:$V$1))&gt;(AVERAGE($E152:$V152)+_xlfn.STDEV.P($E152:$V152)),(SLOPE($E152:$V152,$E$1:$V$1)*W$1+INTERCEPT($E152:$V152,$E$1:$V$1))&lt;(AVERAGE($E152:$V152)-_xlfn.STDEV.P($E152:$V152))),V152,(SLOPE($E152:$V152,$E$1:$V$1)*W$1+INTERCEPT($E152:$V152,$E$1:$V$1)))</f>
        <v>45088.927923768744</v>
      </c>
      <c r="X152" s="5">
        <f t="shared" si="152"/>
        <v>42519.163215693523</v>
      </c>
      <c r="Y152" s="5">
        <f t="shared" si="152"/>
        <v>39949.398507618294</v>
      </c>
      <c r="Z152" s="5">
        <f t="shared" si="152"/>
        <v>37379.633799543066</v>
      </c>
      <c r="AA152" s="5">
        <f t="shared" si="152"/>
        <v>37379.633799543066</v>
      </c>
      <c r="AB152" s="5">
        <f t="shared" si="152"/>
        <v>37379.633799543066</v>
      </c>
      <c r="AC152" s="5">
        <f t="shared" si="152"/>
        <v>37379.633799543066</v>
      </c>
      <c r="AD152" s="5">
        <f t="shared" si="152"/>
        <v>37379.633799543066</v>
      </c>
      <c r="AE152" s="5">
        <f t="shared" si="152"/>
        <v>37379.633799543066</v>
      </c>
      <c r="AF152" s="5">
        <f t="shared" si="152"/>
        <v>37379.633799543066</v>
      </c>
      <c r="AG152" s="5">
        <f t="shared" si="152"/>
        <v>37379.633799543066</v>
      </c>
      <c r="AH152" s="5">
        <f t="shared" si="152"/>
        <v>37379.633799543066</v>
      </c>
    </row>
    <row r="153" spans="1:34" x14ac:dyDescent="0.35">
      <c r="A153" t="s">
        <v>173</v>
      </c>
      <c r="B153" s="3" t="s">
        <v>1262</v>
      </c>
      <c r="C153" s="4" t="s">
        <v>1263</v>
      </c>
      <c r="D153" s="2">
        <f t="shared" si="131"/>
        <v>1247917.7336175938</v>
      </c>
      <c r="E153" s="5">
        <v>49955.296943595458</v>
      </c>
      <c r="F153" s="5">
        <v>115137.05182824509</v>
      </c>
      <c r="G153" s="5">
        <v>100849.21115752988</v>
      </c>
      <c r="H153" s="5">
        <v>40047.670201128727</v>
      </c>
      <c r="I153" s="5">
        <v>52771.148754612317</v>
      </c>
      <c r="J153" s="5">
        <v>40986.28747146768</v>
      </c>
      <c r="K153" s="5">
        <v>42222.133544080643</v>
      </c>
      <c r="L153" s="5">
        <v>48281.429478157668</v>
      </c>
      <c r="M153" s="5">
        <v>96187.412048179729</v>
      </c>
      <c r="N153" s="5">
        <v>84485.983411287452</v>
      </c>
      <c r="O153" s="5">
        <v>76898.827142714246</v>
      </c>
      <c r="P153" s="5">
        <v>72325.675220007222</v>
      </c>
      <c r="Q153" s="5">
        <v>132084.308098254</v>
      </c>
      <c r="R153" s="5">
        <v>99409.998009676841</v>
      </c>
      <c r="S153" s="5">
        <v>45575.083015347016</v>
      </c>
      <c r="T153" s="5">
        <v>68727.642350374546</v>
      </c>
      <c r="U153" s="5">
        <v>42707.085800422428</v>
      </c>
      <c r="V153" s="5">
        <v>39265.489142512939</v>
      </c>
      <c r="W153" s="5">
        <f t="shared" ref="W153:AH153" si="153">IF(OR((SLOPE($E153:$V153,$E$1:$V$1)*W$1+INTERCEPT($E153:$V153,$E$1:$V$1))&gt;(AVERAGE($E153:$V153)+_xlfn.STDEV.P($E153:$V153)),(SLOPE($E153:$V153,$E$1:$V$1)*W$1+INTERCEPT($E153:$V153,$E$1:$V$1))&lt;(AVERAGE($E153:$V153)-_xlfn.STDEV.P($E153:$V153))),V153,(SLOPE($E153:$V153,$E$1:$V$1)*W$1+INTERCEPT($E153:$V153,$E$1:$V$1)))</f>
        <v>65967.480467452609</v>
      </c>
      <c r="X153" s="5">
        <f t="shared" si="153"/>
        <v>65613.661255736544</v>
      </c>
      <c r="Y153" s="5">
        <f t="shared" si="153"/>
        <v>65259.842044020479</v>
      </c>
      <c r="Z153" s="5">
        <f t="shared" si="153"/>
        <v>64906.022832304421</v>
      </c>
      <c r="AA153" s="5">
        <f t="shared" si="153"/>
        <v>64552.203620588356</v>
      </c>
      <c r="AB153" s="5">
        <f t="shared" si="153"/>
        <v>64198.384408872291</v>
      </c>
      <c r="AC153" s="5">
        <f t="shared" si="153"/>
        <v>63844.565197156226</v>
      </c>
      <c r="AD153" s="5">
        <f t="shared" si="153"/>
        <v>63490.745985440168</v>
      </c>
      <c r="AE153" s="5">
        <f t="shared" si="153"/>
        <v>63136.926773724103</v>
      </c>
      <c r="AF153" s="5">
        <f t="shared" si="153"/>
        <v>62783.107562008037</v>
      </c>
      <c r="AG153" s="5">
        <f t="shared" si="153"/>
        <v>62429.288350291972</v>
      </c>
      <c r="AH153" s="5">
        <f t="shared" si="153"/>
        <v>62075.469138575907</v>
      </c>
    </row>
    <row r="154" spans="1:34" x14ac:dyDescent="0.35">
      <c r="A154" t="s">
        <v>174</v>
      </c>
      <c r="B154" s="3" t="s">
        <v>1266</v>
      </c>
      <c r="C154" s="4" t="s">
        <v>1263</v>
      </c>
      <c r="D154" s="2">
        <f t="shared" si="131"/>
        <v>1250883.2396223024</v>
      </c>
      <c r="E154" s="5">
        <v>0</v>
      </c>
      <c r="F154" s="5">
        <v>0</v>
      </c>
      <c r="G154" s="5">
        <v>273486.27804151212</v>
      </c>
      <c r="H154" s="5">
        <v>0</v>
      </c>
      <c r="I154" s="5">
        <v>0</v>
      </c>
      <c r="J154" s="5">
        <v>283381.37877274386</v>
      </c>
      <c r="K154" s="5">
        <v>0</v>
      </c>
      <c r="L154" s="5">
        <v>0</v>
      </c>
      <c r="M154" s="5">
        <v>0</v>
      </c>
      <c r="N154" s="5">
        <v>141348.28396740102</v>
      </c>
      <c r="O154" s="5">
        <v>0</v>
      </c>
      <c r="P154" s="5">
        <v>276120.16587974981</v>
      </c>
      <c r="Q154" s="5">
        <v>0</v>
      </c>
      <c r="R154" s="5">
        <v>0</v>
      </c>
      <c r="S154" s="5">
        <v>0</v>
      </c>
      <c r="T154" s="5">
        <v>276547.13296089566</v>
      </c>
      <c r="U154" s="5">
        <v>0</v>
      </c>
      <c r="V154" s="5">
        <v>0</v>
      </c>
      <c r="W154" s="5">
        <f t="shared" ref="W154:AH154" si="154">IF(OR((SLOPE($E154:$V154,$E$1:$V$1)*W$1+INTERCEPT($E154:$V154,$E$1:$V$1))&gt;(AVERAGE($E154:$V154)+_xlfn.STDEV.P($E154:$V154)),(SLOPE($E154:$V154,$E$1:$V$1)*W$1+INTERCEPT($E154:$V154,$E$1:$V$1))&lt;(AVERAGE($E154:$V154)-_xlfn.STDEV.P($E154:$V154))),V154,(SLOPE($E154:$V154,$E$1:$V$1)*W$1+INTERCEPT($E154:$V154,$E$1:$V$1)))</f>
        <v>65356.950331065127</v>
      </c>
      <c r="X154" s="5">
        <f t="shared" si="154"/>
        <v>64921.522648824597</v>
      </c>
      <c r="Y154" s="5">
        <f t="shared" si="154"/>
        <v>64486.094966584074</v>
      </c>
      <c r="Z154" s="5">
        <f t="shared" si="154"/>
        <v>64050.667284343552</v>
      </c>
      <c r="AA154" s="5">
        <f t="shared" si="154"/>
        <v>63615.239602103022</v>
      </c>
      <c r="AB154" s="5">
        <f t="shared" si="154"/>
        <v>63179.811919862492</v>
      </c>
      <c r="AC154" s="5">
        <f t="shared" si="154"/>
        <v>62744.384237621969</v>
      </c>
      <c r="AD154" s="5">
        <f t="shared" si="154"/>
        <v>62308.956555381439</v>
      </c>
      <c r="AE154" s="5">
        <f t="shared" si="154"/>
        <v>61873.528873140909</v>
      </c>
      <c r="AF154" s="5">
        <f t="shared" si="154"/>
        <v>61438.101190900386</v>
      </c>
      <c r="AG154" s="5">
        <f t="shared" si="154"/>
        <v>61002.673508659864</v>
      </c>
      <c r="AH154" s="5">
        <f t="shared" si="154"/>
        <v>60567.245826419334</v>
      </c>
    </row>
    <row r="155" spans="1:34" x14ac:dyDescent="0.35">
      <c r="A155" t="s">
        <v>175</v>
      </c>
      <c r="B155" s="3" t="s">
        <v>1262</v>
      </c>
      <c r="C155" s="4" t="s">
        <v>1263</v>
      </c>
      <c r="D155" s="2">
        <f t="shared" si="131"/>
        <v>1226907.8639999998</v>
      </c>
      <c r="E155" s="5">
        <v>66846.78</v>
      </c>
      <c r="F155" s="5">
        <v>65872.169999999984</v>
      </c>
      <c r="G155" s="5">
        <v>80646.11099999999</v>
      </c>
      <c r="H155" s="5">
        <v>83673.134999999966</v>
      </c>
      <c r="I155" s="5">
        <v>58247.279999999992</v>
      </c>
      <c r="J155" s="5">
        <v>137454.40799999997</v>
      </c>
      <c r="K155" s="5">
        <v>45376.695</v>
      </c>
      <c r="L155" s="5">
        <v>20982.779999999995</v>
      </c>
      <c r="M155" s="5">
        <v>99679.670999999988</v>
      </c>
      <c r="N155" s="5">
        <v>81626.453999999998</v>
      </c>
      <c r="O155" s="5">
        <v>59393.880000000005</v>
      </c>
      <c r="P155" s="5">
        <v>39328.379999999997</v>
      </c>
      <c r="Q155" s="5">
        <v>60769.8</v>
      </c>
      <c r="R155" s="5">
        <v>73497.06</v>
      </c>
      <c r="S155" s="5">
        <v>53030.249999999993</v>
      </c>
      <c r="T155" s="5">
        <v>81695.250000000015</v>
      </c>
      <c r="U155" s="5">
        <v>77682.14999999998</v>
      </c>
      <c r="V155" s="5">
        <v>41105.61</v>
      </c>
      <c r="W155" s="5">
        <f t="shared" ref="W155:AH155" si="155">IF(OR((SLOPE($E155:$V155,$E$1:$V$1)*W$1+INTERCEPT($E155:$V155,$E$1:$V$1))&gt;(AVERAGE($E155:$V155)+_xlfn.STDEV.P($E155:$V155)),(SLOPE($E155:$V155,$E$1:$V$1)*W$1+INTERCEPT($E155:$V155,$E$1:$V$1))&lt;(AVERAGE($E155:$V155)-_xlfn.STDEV.P($E155:$V155))),V155,(SLOPE($E155:$V155,$E$1:$V$1)*W$1+INTERCEPT($E155:$V155,$E$1:$V$1)))</f>
        <v>59176.36323529412</v>
      </c>
      <c r="X155" s="5">
        <f t="shared" si="155"/>
        <v>58230.554312693508</v>
      </c>
      <c r="Y155" s="5">
        <f t="shared" si="155"/>
        <v>57284.745390092889</v>
      </c>
      <c r="Z155" s="5">
        <f t="shared" si="155"/>
        <v>56338.936467492269</v>
      </c>
      <c r="AA155" s="5">
        <f t="shared" si="155"/>
        <v>55393.127544891657</v>
      </c>
      <c r="AB155" s="5">
        <f t="shared" si="155"/>
        <v>54447.31862229103</v>
      </c>
      <c r="AC155" s="5">
        <f t="shared" si="155"/>
        <v>53501.509699690418</v>
      </c>
      <c r="AD155" s="5">
        <f t="shared" si="155"/>
        <v>52555.700777089798</v>
      </c>
      <c r="AE155" s="5">
        <f t="shared" si="155"/>
        <v>51609.891854489179</v>
      </c>
      <c r="AF155" s="5">
        <f t="shared" si="155"/>
        <v>50664.082931888559</v>
      </c>
      <c r="AG155" s="5">
        <f t="shared" si="155"/>
        <v>49718.274009287939</v>
      </c>
      <c r="AH155" s="5">
        <f t="shared" si="155"/>
        <v>48772.465086687327</v>
      </c>
    </row>
    <row r="156" spans="1:34" x14ac:dyDescent="0.35">
      <c r="A156" t="s">
        <v>176</v>
      </c>
      <c r="B156" s="3" t="s">
        <v>1265</v>
      </c>
      <c r="C156" s="4" t="s">
        <v>1263</v>
      </c>
      <c r="D156" s="2">
        <f t="shared" si="131"/>
        <v>1221998.2109999999</v>
      </c>
      <c r="E156" s="5">
        <v>57206.520000000004</v>
      </c>
      <c r="F156" s="5">
        <v>42904.890000000007</v>
      </c>
      <c r="G156" s="5">
        <v>42418.025999999998</v>
      </c>
      <c r="H156" s="5">
        <v>64296.477000000014</v>
      </c>
      <c r="I156" s="5">
        <v>56415.366000000009</v>
      </c>
      <c r="J156" s="5">
        <v>59884.271999999997</v>
      </c>
      <c r="K156" s="5">
        <v>64205.189999999995</v>
      </c>
      <c r="L156" s="5">
        <v>49447.125000000007</v>
      </c>
      <c r="M156" s="5">
        <v>85779.351000000024</v>
      </c>
      <c r="N156" s="5">
        <v>74885.768999999986</v>
      </c>
      <c r="O156" s="5">
        <v>69712.838999999993</v>
      </c>
      <c r="P156" s="5">
        <v>97677.09</v>
      </c>
      <c r="Q156" s="5">
        <v>54467.909999999996</v>
      </c>
      <c r="R156" s="5">
        <v>76802.796000000002</v>
      </c>
      <c r="S156" s="5">
        <v>71356.004999999976</v>
      </c>
      <c r="T156" s="5">
        <v>95699.204999999987</v>
      </c>
      <c r="U156" s="5">
        <v>79115.39999999998</v>
      </c>
      <c r="V156" s="5">
        <v>79723.98</v>
      </c>
      <c r="W156" s="5">
        <f t="shared" ref="W156:AH156" si="156">IF(OR((SLOPE($E156:$V156,$E$1:$V$1)*W$1+INTERCEPT($E156:$V156,$E$1:$V$1))&gt;(AVERAGE($E156:$V156)+_xlfn.STDEV.P($E156:$V156)),(SLOPE($E156:$V156,$E$1:$V$1)*W$1+INTERCEPT($E156:$V156,$E$1:$V$1))&lt;(AVERAGE($E156:$V156)-_xlfn.STDEV.P($E156:$V156))),V156,(SLOPE($E156:$V156,$E$1:$V$1)*W$1+INTERCEPT($E156:$V156,$E$1:$V$1)))</f>
        <v>79723.98</v>
      </c>
      <c r="X156" s="5">
        <f t="shared" si="156"/>
        <v>79723.98</v>
      </c>
      <c r="Y156" s="5">
        <f t="shared" si="156"/>
        <v>79723.98</v>
      </c>
      <c r="Z156" s="5">
        <f t="shared" si="156"/>
        <v>79723.98</v>
      </c>
      <c r="AA156" s="5">
        <f t="shared" si="156"/>
        <v>79723.98</v>
      </c>
      <c r="AB156" s="5">
        <f t="shared" si="156"/>
        <v>79723.98</v>
      </c>
      <c r="AC156" s="5">
        <f t="shared" si="156"/>
        <v>79723.98</v>
      </c>
      <c r="AD156" s="5">
        <f t="shared" si="156"/>
        <v>79723.98</v>
      </c>
      <c r="AE156" s="5">
        <f t="shared" si="156"/>
        <v>79723.98</v>
      </c>
      <c r="AF156" s="5">
        <f t="shared" si="156"/>
        <v>79723.98</v>
      </c>
      <c r="AG156" s="5">
        <f t="shared" si="156"/>
        <v>79723.98</v>
      </c>
      <c r="AH156" s="5">
        <f t="shared" si="156"/>
        <v>79723.98</v>
      </c>
    </row>
    <row r="157" spans="1:34" x14ac:dyDescent="0.35">
      <c r="A157" t="s">
        <v>177</v>
      </c>
      <c r="B157" s="3" t="s">
        <v>1262</v>
      </c>
      <c r="C157" s="4" t="s">
        <v>1263</v>
      </c>
      <c r="D157" s="2">
        <f t="shared" si="131"/>
        <v>1179525.6183929166</v>
      </c>
      <c r="E157" s="5">
        <v>22612.891335874472</v>
      </c>
      <c r="F157" s="5">
        <v>84925.924970373715</v>
      </c>
      <c r="G157" s="5">
        <v>93375.277697430283</v>
      </c>
      <c r="H157" s="5">
        <v>125566.2808720687</v>
      </c>
      <c r="I157" s="5">
        <v>77404.216145811559</v>
      </c>
      <c r="J157" s="5">
        <v>63376.430303212372</v>
      </c>
      <c r="K157" s="5">
        <v>7169.757208439577</v>
      </c>
      <c r="L157" s="5">
        <v>18502.599247586004</v>
      </c>
      <c r="M157" s="5">
        <v>108471.48808897292</v>
      </c>
      <c r="N157" s="5">
        <v>9565.5421381881461</v>
      </c>
      <c r="O157" s="5">
        <v>5930.3847316651318</v>
      </c>
      <c r="P157" s="5">
        <v>9366.9408690904147</v>
      </c>
      <c r="Q157" s="5">
        <v>18193.384613421185</v>
      </c>
      <c r="R157" s="5">
        <v>170859.93992692701</v>
      </c>
      <c r="S157" s="5">
        <v>145521.9375062178</v>
      </c>
      <c r="T157" s="5">
        <v>89677.271788028258</v>
      </c>
      <c r="U157" s="5">
        <v>28213.949912453496</v>
      </c>
      <c r="V157" s="5">
        <v>100791.40103715568</v>
      </c>
      <c r="W157" s="5">
        <f t="shared" ref="W157:AH157" si="157">IF(OR((SLOPE($E157:$V157,$E$1:$V$1)*W$1+INTERCEPT($E157:$V157,$E$1:$V$1))&gt;(AVERAGE($E157:$V157)+_xlfn.STDEV.P($E157:$V157)),(SLOPE($E157:$V157,$E$1:$V$1)*W$1+INTERCEPT($E157:$V157,$E$1:$V$1))&lt;(AVERAGE($E157:$V157)-_xlfn.STDEV.P($E157:$V157))),V157,(SLOPE($E157:$V157,$E$1:$V$1)*W$1+INTERCEPT($E157:$V157,$E$1:$V$1)))</f>
        <v>75813.286396462019</v>
      </c>
      <c r="X157" s="5">
        <f t="shared" si="157"/>
        <v>76895.821699054999</v>
      </c>
      <c r="Y157" s="5">
        <f t="shared" si="157"/>
        <v>77978.357001647979</v>
      </c>
      <c r="Z157" s="5">
        <f t="shared" si="157"/>
        <v>79060.892304240959</v>
      </c>
      <c r="AA157" s="5">
        <f t="shared" si="157"/>
        <v>80143.427606833939</v>
      </c>
      <c r="AB157" s="5">
        <f t="shared" si="157"/>
        <v>81225.962909426918</v>
      </c>
      <c r="AC157" s="5">
        <f t="shared" si="157"/>
        <v>82308.498212019898</v>
      </c>
      <c r="AD157" s="5">
        <f t="shared" si="157"/>
        <v>83391.033514612878</v>
      </c>
      <c r="AE157" s="5">
        <f t="shared" si="157"/>
        <v>84473.568817205858</v>
      </c>
      <c r="AF157" s="5">
        <f t="shared" si="157"/>
        <v>85556.104119798838</v>
      </c>
      <c r="AG157" s="5">
        <f t="shared" si="157"/>
        <v>86638.639422391818</v>
      </c>
      <c r="AH157" s="5">
        <f t="shared" si="157"/>
        <v>87721.174724984798</v>
      </c>
    </row>
    <row r="158" spans="1:34" x14ac:dyDescent="0.35">
      <c r="A158" t="s">
        <v>178</v>
      </c>
      <c r="B158" s="3" t="s">
        <v>1262</v>
      </c>
      <c r="C158" s="4" t="s">
        <v>1263</v>
      </c>
      <c r="D158" s="2">
        <f t="shared" si="131"/>
        <v>1200947.9579999999</v>
      </c>
      <c r="E158" s="5">
        <v>123689.91600000001</v>
      </c>
      <c r="F158" s="5">
        <v>47453.364000000009</v>
      </c>
      <c r="G158" s="5">
        <v>31839.317999999999</v>
      </c>
      <c r="H158" s="5">
        <v>0</v>
      </c>
      <c r="I158" s="5">
        <v>136692.35999999999</v>
      </c>
      <c r="J158" s="5">
        <v>29727.809999999998</v>
      </c>
      <c r="K158" s="5">
        <v>0</v>
      </c>
      <c r="L158" s="5">
        <v>144304.90200000003</v>
      </c>
      <c r="M158" s="5">
        <v>101852.47799999999</v>
      </c>
      <c r="N158" s="5">
        <v>35006.58</v>
      </c>
      <c r="O158" s="5">
        <v>63623.070000000022</v>
      </c>
      <c r="P158" s="5">
        <v>85849.47</v>
      </c>
      <c r="Q158" s="5">
        <v>47175.534000000007</v>
      </c>
      <c r="R158" s="5">
        <v>63178.542000000001</v>
      </c>
      <c r="S158" s="5">
        <v>70679.951999999976</v>
      </c>
      <c r="T158" s="5">
        <v>72458.063999999998</v>
      </c>
      <c r="U158" s="5">
        <v>71068.914000000004</v>
      </c>
      <c r="V158" s="5">
        <v>76347.683999999979</v>
      </c>
      <c r="W158" s="5">
        <f t="shared" ref="W158:AH158" si="158">IF(OR((SLOPE($E158:$V158,$E$1:$V$1)*W$1+INTERCEPT($E158:$V158,$E$1:$V$1))&gt;(AVERAGE($E158:$V158)+_xlfn.STDEV.P($E158:$V158)),(SLOPE($E158:$V158,$E$1:$V$1)*W$1+INTERCEPT($E158:$V158,$E$1:$V$1))&lt;(AVERAGE($E158:$V158)-_xlfn.STDEV.P($E158:$V158))),V158,(SLOPE($E158:$V158,$E$1:$V$1)*W$1+INTERCEPT($E158:$V158,$E$1:$V$1)))</f>
        <v>70991.920588235284</v>
      </c>
      <c r="X158" s="5">
        <f t="shared" si="158"/>
        <v>71441.6668606811</v>
      </c>
      <c r="Y158" s="5">
        <f t="shared" si="158"/>
        <v>71891.413133126916</v>
      </c>
      <c r="Z158" s="5">
        <f t="shared" si="158"/>
        <v>72341.159405572747</v>
      </c>
      <c r="AA158" s="5">
        <f t="shared" si="158"/>
        <v>72790.905678018564</v>
      </c>
      <c r="AB158" s="5">
        <f t="shared" si="158"/>
        <v>73240.65195046438</v>
      </c>
      <c r="AC158" s="5">
        <f t="shared" si="158"/>
        <v>73690.398222910197</v>
      </c>
      <c r="AD158" s="5">
        <f t="shared" si="158"/>
        <v>74140.144495356013</v>
      </c>
      <c r="AE158" s="5">
        <f t="shared" si="158"/>
        <v>74589.890767801844</v>
      </c>
      <c r="AF158" s="5">
        <f t="shared" si="158"/>
        <v>75039.63704024766</v>
      </c>
      <c r="AG158" s="5">
        <f t="shared" si="158"/>
        <v>75489.383312693477</v>
      </c>
      <c r="AH158" s="5">
        <f t="shared" si="158"/>
        <v>75939.129585139293</v>
      </c>
    </row>
    <row r="159" spans="1:34" x14ac:dyDescent="0.35">
      <c r="A159" t="s">
        <v>179</v>
      </c>
      <c r="B159" s="3" t="s">
        <v>1265</v>
      </c>
      <c r="C159" s="4" t="s">
        <v>1263</v>
      </c>
      <c r="D159" s="2">
        <f t="shared" si="131"/>
        <v>1216388.2571619255</v>
      </c>
      <c r="E159" s="5">
        <v>0</v>
      </c>
      <c r="F159" s="5">
        <v>55194.646800530165</v>
      </c>
      <c r="G159" s="5">
        <v>15404.590231797429</v>
      </c>
      <c r="H159" s="5">
        <v>0</v>
      </c>
      <c r="I159" s="5">
        <v>0</v>
      </c>
      <c r="J159" s="5">
        <v>33969.322116860734</v>
      </c>
      <c r="K159" s="5">
        <v>108336.08178873651</v>
      </c>
      <c r="L159" s="5">
        <v>71382.67047840188</v>
      </c>
      <c r="M159" s="5">
        <v>36537.487374076103</v>
      </c>
      <c r="N159" s="5">
        <v>0</v>
      </c>
      <c r="O159" s="5">
        <v>0</v>
      </c>
      <c r="P159" s="5">
        <v>360436.60224359622</v>
      </c>
      <c r="Q159" s="5">
        <v>114024.77689576457</v>
      </c>
      <c r="R159" s="5">
        <v>65977.859962788381</v>
      </c>
      <c r="S159" s="5">
        <v>36971.016556313829</v>
      </c>
      <c r="T159" s="5">
        <v>53916.065811291002</v>
      </c>
      <c r="U159" s="5">
        <v>221724.86917350258</v>
      </c>
      <c r="V159" s="5">
        <v>42512.267728266102</v>
      </c>
      <c r="W159" s="5">
        <f t="shared" ref="W159:AH159" si="159">IF(OR((SLOPE($E159:$V159,$E$1:$V$1)*W$1+INTERCEPT($E159:$V159,$E$1:$V$1))&gt;(AVERAGE($E159:$V159)+_xlfn.STDEV.P($E159:$V159)),(SLOPE($E159:$V159,$E$1:$V$1)*W$1+INTERCEPT($E159:$V159,$E$1:$V$1))&lt;(AVERAGE($E159:$V159)-_xlfn.STDEV.P($E159:$V159))),V159,(SLOPE($E159:$V159,$E$1:$V$1)*W$1+INTERCEPT($E159:$V159,$E$1:$V$1)))</f>
        <v>129263.38302739865</v>
      </c>
      <c r="X159" s="5">
        <f t="shared" si="159"/>
        <v>135756.67330418958</v>
      </c>
      <c r="Y159" s="5">
        <f t="shared" si="159"/>
        <v>142249.96358098055</v>
      </c>
      <c r="Z159" s="5">
        <f t="shared" si="159"/>
        <v>148743.25385777146</v>
      </c>
      <c r="AA159" s="5">
        <f t="shared" si="159"/>
        <v>155236.54413456243</v>
      </c>
      <c r="AB159" s="5">
        <f t="shared" si="159"/>
        <v>155236.54413456243</v>
      </c>
      <c r="AC159" s="5">
        <f t="shared" si="159"/>
        <v>155236.54413456243</v>
      </c>
      <c r="AD159" s="5">
        <f t="shared" si="159"/>
        <v>155236.54413456243</v>
      </c>
      <c r="AE159" s="5">
        <f t="shared" si="159"/>
        <v>155236.54413456243</v>
      </c>
      <c r="AF159" s="5">
        <f t="shared" si="159"/>
        <v>155236.54413456243</v>
      </c>
      <c r="AG159" s="5">
        <f t="shared" si="159"/>
        <v>155236.54413456243</v>
      </c>
      <c r="AH159" s="5">
        <f t="shared" si="159"/>
        <v>155236.54413456243</v>
      </c>
    </row>
    <row r="160" spans="1:34" x14ac:dyDescent="0.35">
      <c r="A160" t="s">
        <v>180</v>
      </c>
      <c r="B160" s="3" t="s">
        <v>1262</v>
      </c>
      <c r="C160" s="4" t="s">
        <v>1263</v>
      </c>
      <c r="D160" s="2">
        <f t="shared" si="131"/>
        <v>1136704.6655999997</v>
      </c>
      <c r="E160" s="5">
        <v>0</v>
      </c>
      <c r="F160" s="5">
        <v>0</v>
      </c>
      <c r="G160" s="5">
        <v>254083.73759999999</v>
      </c>
      <c r="H160" s="5">
        <v>2878.848</v>
      </c>
      <c r="I160" s="5">
        <v>6502.8096000000005</v>
      </c>
      <c r="J160" s="5">
        <v>23708.159999999996</v>
      </c>
      <c r="K160" s="5">
        <v>71632.511999999988</v>
      </c>
      <c r="L160" s="5">
        <v>9483.264000000001</v>
      </c>
      <c r="M160" s="5">
        <v>36070.271999999997</v>
      </c>
      <c r="N160" s="5">
        <v>55206.143999999986</v>
      </c>
      <c r="O160" s="5">
        <v>71700.249599999981</v>
      </c>
      <c r="P160" s="5">
        <v>113291.136</v>
      </c>
      <c r="Q160" s="5">
        <v>37933.05599999999</v>
      </c>
      <c r="R160" s="5">
        <v>99574.271999999997</v>
      </c>
      <c r="S160" s="5">
        <v>104282.03519999998</v>
      </c>
      <c r="T160" s="5">
        <v>84265.574399999983</v>
      </c>
      <c r="U160" s="5">
        <v>82199.57759999999</v>
      </c>
      <c r="V160" s="5">
        <v>83893.017599999977</v>
      </c>
      <c r="W160" s="5">
        <f t="shared" ref="W160:AH160" si="160">IF(OR((SLOPE($E160:$V160,$E$1:$V$1)*W$1+INTERCEPT($E160:$V160,$E$1:$V$1))&gt;(AVERAGE($E160:$V160)+_xlfn.STDEV.P($E160:$V160)),(SLOPE($E160:$V160,$E$1:$V$1)*W$1+INTERCEPT($E160:$V160,$E$1:$V$1))&lt;(AVERAGE($E160:$V160)-_xlfn.STDEV.P($E160:$V160))),V160,(SLOPE($E160:$V160,$E$1:$V$1)*W$1+INTERCEPT($E160:$V160,$E$1:$V$1)))</f>
        <v>91760.76197647056</v>
      </c>
      <c r="X160" s="5">
        <f t="shared" si="160"/>
        <v>94772.393847678002</v>
      </c>
      <c r="Y160" s="5">
        <f t="shared" si="160"/>
        <v>97784.025718885416</v>
      </c>
      <c r="Z160" s="5">
        <f t="shared" si="160"/>
        <v>100795.65759009286</v>
      </c>
      <c r="AA160" s="5">
        <f t="shared" si="160"/>
        <v>103807.28946130029</v>
      </c>
      <c r="AB160" s="5">
        <f t="shared" si="160"/>
        <v>106818.92133250771</v>
      </c>
      <c r="AC160" s="5">
        <f t="shared" si="160"/>
        <v>109830.55320371514</v>
      </c>
      <c r="AD160" s="5">
        <f t="shared" si="160"/>
        <v>112842.18507492257</v>
      </c>
      <c r="AE160" s="5">
        <f t="shared" si="160"/>
        <v>115853.81694613</v>
      </c>
      <c r="AF160" s="5">
        <f t="shared" si="160"/>
        <v>118865.44881733744</v>
      </c>
      <c r="AG160" s="5">
        <f t="shared" si="160"/>
        <v>121877.08068854487</v>
      </c>
      <c r="AH160" s="5">
        <f t="shared" si="160"/>
        <v>121877.08068854487</v>
      </c>
    </row>
    <row r="161" spans="1:34" x14ac:dyDescent="0.35">
      <c r="A161" t="s">
        <v>181</v>
      </c>
      <c r="B161" s="3" t="s">
        <v>1262</v>
      </c>
      <c r="C161" s="4" t="s">
        <v>1263</v>
      </c>
      <c r="D161" s="2">
        <f t="shared" si="131"/>
        <v>1107232.8119999999</v>
      </c>
      <c r="E161" s="5">
        <v>58838.22</v>
      </c>
      <c r="F161" s="5">
        <v>42384.509999999973</v>
      </c>
      <c r="G161" s="5">
        <v>82836.557999999975</v>
      </c>
      <c r="H161" s="5">
        <v>42538.859999999986</v>
      </c>
      <c r="I161" s="5">
        <v>55819.133999999984</v>
      </c>
      <c r="J161" s="5">
        <v>103136.66999999997</v>
      </c>
      <c r="K161" s="5">
        <v>81558.540000000008</v>
      </c>
      <c r="L161" s="5">
        <v>41890.589999999989</v>
      </c>
      <c r="M161" s="5">
        <v>93968.279999999984</v>
      </c>
      <c r="N161" s="5">
        <v>27505.17</v>
      </c>
      <c r="O161" s="5">
        <v>45317.159999999982</v>
      </c>
      <c r="P161" s="5">
        <v>45841.949999999983</v>
      </c>
      <c r="Q161" s="5">
        <v>61986.959999999985</v>
      </c>
      <c r="R161" s="5">
        <v>42261.029999999984</v>
      </c>
      <c r="S161" s="5">
        <v>80755.919999999984</v>
      </c>
      <c r="T161" s="5">
        <v>67173.119999999981</v>
      </c>
      <c r="U161" s="5">
        <v>52046.819999999992</v>
      </c>
      <c r="V161" s="5">
        <v>81373.319999999992</v>
      </c>
      <c r="W161" s="5">
        <f t="shared" ref="W161:AH161" si="161">IF(OR((SLOPE($E161:$V161,$E$1:$V$1)*W$1+INTERCEPT($E161:$V161,$E$1:$V$1))&gt;(AVERAGE($E161:$V161)+_xlfn.STDEV.P($E161:$V161)),(SLOPE($E161:$V161,$E$1:$V$1)*W$1+INTERCEPT($E161:$V161,$E$1:$V$1))&lt;(AVERAGE($E161:$V161)-_xlfn.STDEV.P($E161:$V161))),V161,(SLOPE($E161:$V161,$E$1:$V$1)*W$1+INTERCEPT($E161:$V161,$E$1:$V$1)))</f>
        <v>62492.905176470587</v>
      </c>
      <c r="X161" s="5">
        <f t="shared" si="161"/>
        <v>62596.060037151699</v>
      </c>
      <c r="Y161" s="5">
        <f t="shared" si="161"/>
        <v>62699.214897832819</v>
      </c>
      <c r="Z161" s="5">
        <f t="shared" si="161"/>
        <v>62802.369758513931</v>
      </c>
      <c r="AA161" s="5">
        <f t="shared" si="161"/>
        <v>62905.524619195043</v>
      </c>
      <c r="AB161" s="5">
        <f t="shared" si="161"/>
        <v>63008.679479876162</v>
      </c>
      <c r="AC161" s="5">
        <f t="shared" si="161"/>
        <v>63111.834340557274</v>
      </c>
      <c r="AD161" s="5">
        <f t="shared" si="161"/>
        <v>63214.989201238393</v>
      </c>
      <c r="AE161" s="5">
        <f t="shared" si="161"/>
        <v>63318.144061919505</v>
      </c>
      <c r="AF161" s="5">
        <f t="shared" si="161"/>
        <v>63421.298922600618</v>
      </c>
      <c r="AG161" s="5">
        <f t="shared" si="161"/>
        <v>63524.453783281737</v>
      </c>
      <c r="AH161" s="5">
        <f t="shared" si="161"/>
        <v>63627.608643962849</v>
      </c>
    </row>
    <row r="162" spans="1:34" x14ac:dyDescent="0.35">
      <c r="A162" t="s">
        <v>182</v>
      </c>
      <c r="B162" s="3" t="s">
        <v>1266</v>
      </c>
      <c r="C162" s="4" t="s">
        <v>1263</v>
      </c>
      <c r="D162" s="2">
        <f t="shared" si="131"/>
        <v>1135146.1380676799</v>
      </c>
      <c r="E162" s="5">
        <v>0</v>
      </c>
      <c r="F162" s="5">
        <v>145136.85608769252</v>
      </c>
      <c r="G162" s="5">
        <v>0</v>
      </c>
      <c r="H162" s="5">
        <v>0</v>
      </c>
      <c r="I162" s="5">
        <v>146016.4733973149</v>
      </c>
      <c r="J162" s="5">
        <v>0</v>
      </c>
      <c r="K162" s="5">
        <v>0</v>
      </c>
      <c r="L162" s="5">
        <v>0</v>
      </c>
      <c r="M162" s="5">
        <v>0</v>
      </c>
      <c r="N162" s="5">
        <v>277079.45253104932</v>
      </c>
      <c r="O162" s="5">
        <v>0</v>
      </c>
      <c r="P162" s="5">
        <v>126576.93085466031</v>
      </c>
      <c r="Q162" s="5">
        <v>0</v>
      </c>
      <c r="R162" s="5">
        <v>0</v>
      </c>
      <c r="S162" s="5">
        <v>440336.42519696284</v>
      </c>
      <c r="T162" s="5">
        <v>0</v>
      </c>
      <c r="U162" s="5">
        <v>0</v>
      </c>
      <c r="V162" s="5">
        <v>0</v>
      </c>
      <c r="W162" s="5">
        <f t="shared" ref="W162:AH162" si="162">IF(OR((SLOPE($E162:$V162,$E$1:$V$1)*W$1+INTERCEPT($E162:$V162,$E$1:$V$1))&gt;(AVERAGE($E162:$V162)+_xlfn.STDEV.P($E162:$V162)),(SLOPE($E162:$V162,$E$1:$V$1)*W$1+INTERCEPT($E162:$V162,$E$1:$V$1))&lt;(AVERAGE($E162:$V162)-_xlfn.STDEV.P($E162:$V162))),V162,(SLOPE($E162:$V162,$E$1:$V$1)*W$1+INTERCEPT($E162:$V162,$E$1:$V$1)))</f>
        <v>85244.690828070976</v>
      </c>
      <c r="X162" s="5">
        <f t="shared" si="162"/>
        <v>87579.53466922653</v>
      </c>
      <c r="Y162" s="5">
        <f t="shared" si="162"/>
        <v>89914.37851038207</v>
      </c>
      <c r="Z162" s="5">
        <f t="shared" si="162"/>
        <v>92249.22235153761</v>
      </c>
      <c r="AA162" s="5">
        <f t="shared" si="162"/>
        <v>94584.06619269315</v>
      </c>
      <c r="AB162" s="5">
        <f t="shared" si="162"/>
        <v>96918.91003384869</v>
      </c>
      <c r="AC162" s="5">
        <f t="shared" si="162"/>
        <v>99253.753875004244</v>
      </c>
      <c r="AD162" s="5">
        <f t="shared" si="162"/>
        <v>101588.59771615977</v>
      </c>
      <c r="AE162" s="5">
        <f t="shared" si="162"/>
        <v>103923.44155731532</v>
      </c>
      <c r="AF162" s="5">
        <f t="shared" si="162"/>
        <v>106258.28539847086</v>
      </c>
      <c r="AG162" s="5">
        <f t="shared" si="162"/>
        <v>108593.1292396264</v>
      </c>
      <c r="AH162" s="5">
        <f t="shared" si="162"/>
        <v>110927.97308078196</v>
      </c>
    </row>
    <row r="163" spans="1:34" x14ac:dyDescent="0.35">
      <c r="A163" t="s">
        <v>183</v>
      </c>
      <c r="B163" s="3" t="s">
        <v>1265</v>
      </c>
      <c r="C163" s="4" t="s">
        <v>1263</v>
      </c>
      <c r="D163" s="2">
        <f t="shared" si="131"/>
        <v>1098016.0884</v>
      </c>
      <c r="E163" s="5">
        <v>40500.910799999991</v>
      </c>
      <c r="F163" s="5">
        <v>51497.334000000003</v>
      </c>
      <c r="G163" s="5">
        <v>61409.602799999986</v>
      </c>
      <c r="H163" s="5">
        <v>68611.485599999971</v>
      </c>
      <c r="I163" s="5">
        <v>72638.344799999977</v>
      </c>
      <c r="J163" s="5">
        <v>50645.498400000011</v>
      </c>
      <c r="K163" s="5">
        <v>58389.458399999989</v>
      </c>
      <c r="L163" s="5">
        <v>53897.96160000001</v>
      </c>
      <c r="M163" s="5">
        <v>95715.345599999928</v>
      </c>
      <c r="N163" s="5">
        <v>49948.541999999994</v>
      </c>
      <c r="O163" s="5">
        <v>77594.479199999972</v>
      </c>
      <c r="P163" s="5">
        <v>51497.333999999988</v>
      </c>
      <c r="Q163" s="5">
        <v>59783.371200000001</v>
      </c>
      <c r="R163" s="5">
        <v>72096.267599999977</v>
      </c>
      <c r="S163" s="5">
        <v>53433.323999999993</v>
      </c>
      <c r="T163" s="5">
        <v>62261.438399999985</v>
      </c>
      <c r="U163" s="5">
        <v>73412.74079999997</v>
      </c>
      <c r="V163" s="5">
        <v>44682.6492</v>
      </c>
      <c r="W163" s="5">
        <f t="shared" ref="W163:AH163" si="163">IF(OR((SLOPE($E163:$V163,$E$1:$V$1)*W$1+INTERCEPT($E163:$V163,$E$1:$V$1))&gt;(AVERAGE($E163:$V163)+_xlfn.STDEV.P($E163:$V163)),(SLOPE($E163:$V163,$E$1:$V$1)*W$1+INTERCEPT($E163:$V163,$E$1:$V$1))&lt;(AVERAGE($E163:$V163)-_xlfn.STDEV.P($E163:$V163))),V163,(SLOPE($E163:$V163,$E$1:$V$1)*W$1+INTERCEPT($E163:$V163,$E$1:$V$1)))</f>
        <v>63882.102447058816</v>
      </c>
      <c r="X163" s="5">
        <f t="shared" si="163"/>
        <v>64185.387567801852</v>
      </c>
      <c r="Y163" s="5">
        <f t="shared" si="163"/>
        <v>64488.672688544888</v>
      </c>
      <c r="Z163" s="5">
        <f t="shared" si="163"/>
        <v>64791.957809287916</v>
      </c>
      <c r="AA163" s="5">
        <f t="shared" si="163"/>
        <v>65095.242930030952</v>
      </c>
      <c r="AB163" s="5">
        <f t="shared" si="163"/>
        <v>65398.528050773988</v>
      </c>
      <c r="AC163" s="5">
        <f t="shared" si="163"/>
        <v>65701.813171517017</v>
      </c>
      <c r="AD163" s="5">
        <f t="shared" si="163"/>
        <v>66005.098292260052</v>
      </c>
      <c r="AE163" s="5">
        <f t="shared" si="163"/>
        <v>66308.383413003088</v>
      </c>
      <c r="AF163" s="5">
        <f t="shared" si="163"/>
        <v>66611.668533746124</v>
      </c>
      <c r="AG163" s="5">
        <f t="shared" si="163"/>
        <v>66914.95365448916</v>
      </c>
      <c r="AH163" s="5">
        <f t="shared" si="163"/>
        <v>67218.238775232196</v>
      </c>
    </row>
    <row r="164" spans="1:34" x14ac:dyDescent="0.35">
      <c r="A164" t="s">
        <v>184</v>
      </c>
      <c r="B164" s="3" t="s">
        <v>1262</v>
      </c>
      <c r="C164" s="4" t="s">
        <v>1263</v>
      </c>
      <c r="D164" s="2">
        <f t="shared" si="131"/>
        <v>1109178.5039999997</v>
      </c>
      <c r="E164" s="5">
        <v>41258.195999999996</v>
      </c>
      <c r="F164" s="5">
        <v>71523.143999999971</v>
      </c>
      <c r="G164" s="5">
        <v>75276.935999999972</v>
      </c>
      <c r="H164" s="5">
        <v>54429.983999999989</v>
      </c>
      <c r="I164" s="5">
        <v>73936.295999999988</v>
      </c>
      <c r="J164" s="5">
        <v>77522.507999999973</v>
      </c>
      <c r="K164" s="5">
        <v>57379.391999999985</v>
      </c>
      <c r="L164" s="5">
        <v>54161.856</v>
      </c>
      <c r="M164" s="5">
        <v>59356.835999999996</v>
      </c>
      <c r="N164" s="5">
        <v>67702.319999999978</v>
      </c>
      <c r="O164" s="5">
        <v>61032.635999999977</v>
      </c>
      <c r="P164" s="5">
        <v>60764.50799999998</v>
      </c>
      <c r="Q164" s="5">
        <v>63747.431999999972</v>
      </c>
      <c r="R164" s="5">
        <v>51145.415999999983</v>
      </c>
      <c r="S164" s="5">
        <v>46017.467999999993</v>
      </c>
      <c r="T164" s="5">
        <v>69244.055999999968</v>
      </c>
      <c r="U164" s="5">
        <v>60999.119999999981</v>
      </c>
      <c r="V164" s="5">
        <v>63680.39999999998</v>
      </c>
      <c r="W164" s="5">
        <f t="shared" ref="W164:AH164" si="164">IF(OR((SLOPE($E164:$V164,$E$1:$V$1)*W$1+INTERCEPT($E164:$V164,$E$1:$V$1))&gt;(AVERAGE($E164:$V164)+_xlfn.STDEV.P($E164:$V164)),(SLOPE($E164:$V164,$E$1:$V$1)*W$1+INTERCEPT($E164:$V164,$E$1:$V$1))&lt;(AVERAGE($E164:$V164)-_xlfn.STDEV.P($E164:$V164))),V164,(SLOPE($E164:$V164,$E$1:$V$1)*W$1+INTERCEPT($E164:$V164,$E$1:$V$1)))</f>
        <v>59627.811764705868</v>
      </c>
      <c r="X164" s="5">
        <f t="shared" si="164"/>
        <v>59417.999529411747</v>
      </c>
      <c r="Y164" s="5">
        <f t="shared" si="164"/>
        <v>59208.187294117626</v>
      </c>
      <c r="Z164" s="5">
        <f t="shared" si="164"/>
        <v>58998.375058823513</v>
      </c>
      <c r="AA164" s="5">
        <f t="shared" si="164"/>
        <v>58788.562823529392</v>
      </c>
      <c r="AB164" s="5">
        <f t="shared" si="164"/>
        <v>58578.750588235278</v>
      </c>
      <c r="AC164" s="5">
        <f t="shared" si="164"/>
        <v>58368.938352941157</v>
      </c>
      <c r="AD164" s="5">
        <f t="shared" si="164"/>
        <v>58159.126117647043</v>
      </c>
      <c r="AE164" s="5">
        <f t="shared" si="164"/>
        <v>57949.313882352923</v>
      </c>
      <c r="AF164" s="5">
        <f t="shared" si="164"/>
        <v>57739.501647058802</v>
      </c>
      <c r="AG164" s="5">
        <f t="shared" si="164"/>
        <v>57529.689411764688</v>
      </c>
      <c r="AH164" s="5">
        <f t="shared" si="164"/>
        <v>57319.877176470567</v>
      </c>
    </row>
    <row r="165" spans="1:34" x14ac:dyDescent="0.35">
      <c r="A165" t="s">
        <v>185</v>
      </c>
      <c r="B165" s="3" t="s">
        <v>1262</v>
      </c>
      <c r="C165" s="4" t="s">
        <v>1263</v>
      </c>
      <c r="D165" s="2">
        <f t="shared" si="131"/>
        <v>1096016.3201628709</v>
      </c>
      <c r="E165" s="5">
        <v>17477.389914472977</v>
      </c>
      <c r="F165" s="5">
        <v>28810.569204492222</v>
      </c>
      <c r="G165" s="5">
        <v>37549.264161728701</v>
      </c>
      <c r="H165" s="5">
        <v>33020.70968996243</v>
      </c>
      <c r="I165" s="5">
        <v>87563.846231418225</v>
      </c>
      <c r="J165" s="5">
        <v>64921.07387258685</v>
      </c>
      <c r="K165" s="5">
        <v>35756.711349987891</v>
      </c>
      <c r="L165" s="5">
        <v>91219.710518521213</v>
      </c>
      <c r="M165" s="5">
        <v>67822.179081062117</v>
      </c>
      <c r="N165" s="5">
        <v>53599.687693171167</v>
      </c>
      <c r="O165" s="5">
        <v>132613.52873700982</v>
      </c>
      <c r="P165" s="5">
        <v>71702.112469632702</v>
      </c>
      <c r="Q165" s="5">
        <v>39330.023862865957</v>
      </c>
      <c r="R165" s="5">
        <v>65923.488273889277</v>
      </c>
      <c r="S165" s="5">
        <v>87151.087360293677</v>
      </c>
      <c r="T165" s="5">
        <v>76301.425605020326</v>
      </c>
      <c r="U165" s="5">
        <v>60085.898525128068</v>
      </c>
      <c r="V165" s="5">
        <v>45167.613611627174</v>
      </c>
      <c r="W165" s="5">
        <f t="shared" ref="W165:AH165" si="165">IF(OR((SLOPE($E165:$V165,$E$1:$V$1)*W$1+INTERCEPT($E165:$V165,$E$1:$V$1))&gt;(AVERAGE($E165:$V165)+_xlfn.STDEV.P($E165:$V165)),(SLOPE($E165:$V165,$E$1:$V$1)*W$1+INTERCEPT($E165:$V165,$E$1:$V$1))&lt;(AVERAGE($E165:$V165)-_xlfn.STDEV.P($E165:$V165))),V165,(SLOPE($E165:$V165,$E$1:$V$1)*W$1+INTERCEPT($E165:$V165,$E$1:$V$1)))</f>
        <v>80055.103338893998</v>
      </c>
      <c r="X165" s="5">
        <f t="shared" si="165"/>
        <v>82072.504157240328</v>
      </c>
      <c r="Y165" s="5">
        <f t="shared" si="165"/>
        <v>84089.904975586644</v>
      </c>
      <c r="Z165" s="5">
        <f t="shared" si="165"/>
        <v>86107.305793932959</v>
      </c>
      <c r="AA165" s="5">
        <f t="shared" si="165"/>
        <v>88124.706612279289</v>
      </c>
      <c r="AB165" s="5">
        <f t="shared" si="165"/>
        <v>88124.706612279289</v>
      </c>
      <c r="AC165" s="5">
        <f t="shared" si="165"/>
        <v>88124.706612279289</v>
      </c>
      <c r="AD165" s="5">
        <f t="shared" si="165"/>
        <v>88124.706612279289</v>
      </c>
      <c r="AE165" s="5">
        <f t="shared" si="165"/>
        <v>88124.706612279289</v>
      </c>
      <c r="AF165" s="5">
        <f t="shared" si="165"/>
        <v>88124.706612279289</v>
      </c>
      <c r="AG165" s="5">
        <f t="shared" si="165"/>
        <v>88124.706612279289</v>
      </c>
      <c r="AH165" s="5">
        <f t="shared" si="165"/>
        <v>88124.706612279289</v>
      </c>
    </row>
    <row r="166" spans="1:34" x14ac:dyDescent="0.35">
      <c r="A166" t="s">
        <v>186</v>
      </c>
      <c r="B166" s="3" t="s">
        <v>1265</v>
      </c>
      <c r="C166" s="4" t="s">
        <v>1263</v>
      </c>
      <c r="D166" s="2">
        <f t="shared" si="131"/>
        <v>1086125.1688044714</v>
      </c>
      <c r="E166" s="5">
        <v>45727.970102687759</v>
      </c>
      <c r="F166" s="5">
        <v>65101.231850788463</v>
      </c>
      <c r="G166" s="5">
        <v>71643.180733132787</v>
      </c>
      <c r="H166" s="5">
        <v>84368.407941337631</v>
      </c>
      <c r="I166" s="5">
        <v>85398.954328981054</v>
      </c>
      <c r="J166" s="5">
        <v>54214.82270681009</v>
      </c>
      <c r="K166" s="5">
        <v>67778.631779469899</v>
      </c>
      <c r="L166" s="5">
        <v>62838.071156355843</v>
      </c>
      <c r="M166" s="5">
        <v>60074.792362037449</v>
      </c>
      <c r="N166" s="5">
        <v>56735.619998153576</v>
      </c>
      <c r="O166" s="5">
        <v>56033.433979122041</v>
      </c>
      <c r="P166" s="5">
        <v>61100.287051702224</v>
      </c>
      <c r="Q166" s="5">
        <v>45889.624438004372</v>
      </c>
      <c r="R166" s="5">
        <v>51542.474476107294</v>
      </c>
      <c r="S166" s="5">
        <v>55295.886074239977</v>
      </c>
      <c r="T166" s="5">
        <v>63398.809631985365</v>
      </c>
      <c r="U166" s="5">
        <v>60292.015375119146</v>
      </c>
      <c r="V166" s="5">
        <v>38690.954818436323</v>
      </c>
      <c r="W166" s="5">
        <f t="shared" ref="W166:AH166" si="166">IF(OR((SLOPE($E166:$V166,$E$1:$V$1)*W$1+INTERCEPT($E166:$V166,$E$1:$V$1))&gt;(AVERAGE($E166:$V166)+_xlfn.STDEV.P($E166:$V166)),(SLOPE($E166:$V166,$E$1:$V$1)*W$1+INTERCEPT($E166:$V166,$E$1:$V$1))&lt;(AVERAGE($E166:$V166)-_xlfn.STDEV.P($E166:$V166))),V166,(SLOPE($E166:$V166,$E$1:$V$1)*W$1+INTERCEPT($E166:$V166,$E$1:$V$1)))</f>
        <v>50155.271607644812</v>
      </c>
      <c r="X166" s="5">
        <f t="shared" si="166"/>
        <v>49083.164707838587</v>
      </c>
      <c r="Y166" s="5">
        <f t="shared" si="166"/>
        <v>49083.164707838587</v>
      </c>
      <c r="Z166" s="5">
        <f t="shared" si="166"/>
        <v>49083.164707838587</v>
      </c>
      <c r="AA166" s="5">
        <f t="shared" si="166"/>
        <v>49083.164707838587</v>
      </c>
      <c r="AB166" s="5">
        <f t="shared" si="166"/>
        <v>49083.164707838587</v>
      </c>
      <c r="AC166" s="5">
        <f t="shared" si="166"/>
        <v>49083.164707838587</v>
      </c>
      <c r="AD166" s="5">
        <f t="shared" si="166"/>
        <v>49083.164707838587</v>
      </c>
      <c r="AE166" s="5">
        <f t="shared" si="166"/>
        <v>49083.164707838587</v>
      </c>
      <c r="AF166" s="5">
        <f t="shared" si="166"/>
        <v>49083.164707838587</v>
      </c>
      <c r="AG166" s="5">
        <f t="shared" si="166"/>
        <v>49083.164707838587</v>
      </c>
      <c r="AH166" s="5">
        <f t="shared" si="166"/>
        <v>49083.164707838587</v>
      </c>
    </row>
    <row r="167" spans="1:34" x14ac:dyDescent="0.35">
      <c r="A167" t="s">
        <v>187</v>
      </c>
      <c r="B167" s="3" t="s">
        <v>1265</v>
      </c>
      <c r="C167" s="4" t="s">
        <v>1263</v>
      </c>
      <c r="D167" s="2">
        <f t="shared" si="131"/>
        <v>1078459.3308701024</v>
      </c>
      <c r="E167" s="5">
        <v>0</v>
      </c>
      <c r="F167" s="5">
        <v>13666.232267591611</v>
      </c>
      <c r="G167" s="5">
        <v>131613.40908816698</v>
      </c>
      <c r="H167" s="5">
        <v>42152.734194260345</v>
      </c>
      <c r="I167" s="5">
        <v>69766.11572605517</v>
      </c>
      <c r="J167" s="5">
        <v>57739.831330574561</v>
      </c>
      <c r="K167" s="5">
        <v>0</v>
      </c>
      <c r="L167" s="5">
        <v>0</v>
      </c>
      <c r="M167" s="5">
        <v>104952.86763947368</v>
      </c>
      <c r="N167" s="5">
        <v>4099.8696802774839</v>
      </c>
      <c r="O167" s="5">
        <v>0</v>
      </c>
      <c r="P167" s="5">
        <v>406266.71591045958</v>
      </c>
      <c r="Q167" s="5">
        <v>0</v>
      </c>
      <c r="R167" s="5">
        <v>0</v>
      </c>
      <c r="S167" s="5">
        <v>0</v>
      </c>
      <c r="T167" s="5">
        <v>93089.818796078209</v>
      </c>
      <c r="U167" s="5">
        <v>77669.753387478995</v>
      </c>
      <c r="V167" s="5">
        <v>77441.982849685795</v>
      </c>
      <c r="W167" s="5">
        <f t="shared" ref="W167:AH167" si="167">IF(OR((SLOPE($E167:$V167,$E$1:$V$1)*W$1+INTERCEPT($E167:$V167,$E$1:$V$1))&gt;(AVERAGE($E167:$V167)+_xlfn.STDEV.P($E167:$V167)),(SLOPE($E167:$V167,$E$1:$V$1)*W$1+INTERCEPT($E167:$V167,$E$1:$V$1))&lt;(AVERAGE($E167:$V167)-_xlfn.STDEV.P($E167:$V167))),V167,(SLOPE($E167:$V167,$E$1:$V$1)*W$1+INTERCEPT($E167:$V167,$E$1:$V$1)))</f>
        <v>81585.843506380217</v>
      </c>
      <c r="X167" s="5">
        <f t="shared" si="167"/>
        <v>83867.047320676938</v>
      </c>
      <c r="Y167" s="5">
        <f t="shared" si="167"/>
        <v>86148.251134973689</v>
      </c>
      <c r="Z167" s="5">
        <f t="shared" si="167"/>
        <v>88429.45494927041</v>
      </c>
      <c r="AA167" s="5">
        <f t="shared" si="167"/>
        <v>90710.658763567146</v>
      </c>
      <c r="AB167" s="5">
        <f t="shared" si="167"/>
        <v>92991.862577863882</v>
      </c>
      <c r="AC167" s="5">
        <f t="shared" si="167"/>
        <v>95273.066392160617</v>
      </c>
      <c r="AD167" s="5">
        <f t="shared" si="167"/>
        <v>97554.270206457353</v>
      </c>
      <c r="AE167" s="5">
        <f t="shared" si="167"/>
        <v>99835.474020754074</v>
      </c>
      <c r="AF167" s="5">
        <f t="shared" si="167"/>
        <v>102116.67783505082</v>
      </c>
      <c r="AG167" s="5">
        <f t="shared" si="167"/>
        <v>104397.88164934755</v>
      </c>
      <c r="AH167" s="5">
        <f t="shared" si="167"/>
        <v>106679.08546364428</v>
      </c>
    </row>
    <row r="168" spans="1:34" x14ac:dyDescent="0.35">
      <c r="A168" t="s">
        <v>188</v>
      </c>
      <c r="B168" s="3" t="s">
        <v>1265</v>
      </c>
      <c r="C168" s="4" t="s">
        <v>1263</v>
      </c>
      <c r="D168" s="2">
        <f t="shared" si="131"/>
        <v>1073538.827021278</v>
      </c>
      <c r="E168" s="5">
        <v>0</v>
      </c>
      <c r="F168" s="5">
        <v>0</v>
      </c>
      <c r="G168" s="5">
        <v>0</v>
      </c>
      <c r="H168" s="5">
        <v>0</v>
      </c>
      <c r="I168" s="5">
        <v>24558.800059965641</v>
      </c>
      <c r="J168" s="5">
        <v>314671.90516833967</v>
      </c>
      <c r="K168" s="5">
        <v>0</v>
      </c>
      <c r="L168" s="5">
        <v>0</v>
      </c>
      <c r="M168" s="5">
        <v>0</v>
      </c>
      <c r="N168" s="5">
        <v>128933.70031481962</v>
      </c>
      <c r="O168" s="5">
        <v>233308.60056967361</v>
      </c>
      <c r="P168" s="5">
        <v>372065.82090847945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f t="shared" ref="W168:AH168" si="168">IF(OR((SLOPE($E168:$V168,$E$1:$V$1)*W$1+INTERCEPT($E168:$V168,$E$1:$V$1))&gt;(AVERAGE($E168:$V168)+_xlfn.STDEV.P($E168:$V168)),(SLOPE($E168:$V168,$E$1:$V$1)*W$1+INTERCEPT($E168:$V168,$E$1:$V$1))&lt;(AVERAGE($E168:$V168)-_xlfn.STDEV.P($E168:$V168))),V168,(SLOPE($E168:$V168,$E$1:$V$1)*W$1+INTERCEPT($E168:$V168,$E$1:$V$1)))</f>
        <v>62243.556434334096</v>
      </c>
      <c r="X168" s="5">
        <f t="shared" si="168"/>
        <v>62517.504906829628</v>
      </c>
      <c r="Y168" s="5">
        <f t="shared" si="168"/>
        <v>62791.453379325161</v>
      </c>
      <c r="Z168" s="5">
        <f t="shared" si="168"/>
        <v>63065.401851820687</v>
      </c>
      <c r="AA168" s="5">
        <f t="shared" si="168"/>
        <v>63339.350324316219</v>
      </c>
      <c r="AB168" s="5">
        <f t="shared" si="168"/>
        <v>63613.298796811752</v>
      </c>
      <c r="AC168" s="5">
        <f t="shared" si="168"/>
        <v>63887.247269307278</v>
      </c>
      <c r="AD168" s="5">
        <f t="shared" si="168"/>
        <v>64161.195741802811</v>
      </c>
      <c r="AE168" s="5">
        <f t="shared" si="168"/>
        <v>64435.144214298343</v>
      </c>
      <c r="AF168" s="5">
        <f t="shared" si="168"/>
        <v>64709.092686793876</v>
      </c>
      <c r="AG168" s="5">
        <f t="shared" si="168"/>
        <v>64983.041159289409</v>
      </c>
      <c r="AH168" s="5">
        <f t="shared" si="168"/>
        <v>65256.989631784934</v>
      </c>
    </row>
    <row r="169" spans="1:34" x14ac:dyDescent="0.35">
      <c r="A169" t="s">
        <v>189</v>
      </c>
      <c r="B169" s="3" t="s">
        <v>1266</v>
      </c>
      <c r="C169" s="4" t="s">
        <v>1263</v>
      </c>
      <c r="D169" s="2">
        <f t="shared" si="131"/>
        <v>1072790.2048703807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147659.72851468791</v>
      </c>
      <c r="L169" s="5">
        <v>0</v>
      </c>
      <c r="M169" s="5">
        <v>0</v>
      </c>
      <c r="N169" s="5">
        <v>80111.732358179113</v>
      </c>
      <c r="O169" s="5">
        <v>237039.00772885201</v>
      </c>
      <c r="P169" s="5">
        <v>134474.97113194645</v>
      </c>
      <c r="Q169" s="5">
        <v>0</v>
      </c>
      <c r="R169" s="5">
        <v>0</v>
      </c>
      <c r="S169" s="5">
        <v>394396.22084026644</v>
      </c>
      <c r="T169" s="5">
        <v>0</v>
      </c>
      <c r="U169" s="5">
        <v>79108.544296448788</v>
      </c>
      <c r="V169" s="5">
        <v>0</v>
      </c>
      <c r="W169" s="5">
        <f t="shared" ref="W169:AH169" si="169">IF(OR((SLOPE($E169:$V169,$E$1:$V$1)*W$1+INTERCEPT($E169:$V169,$E$1:$V$1))&gt;(AVERAGE($E169:$V169)+_xlfn.STDEV.P($E169:$V169)),(SLOPE($E169:$V169,$E$1:$V$1)*W$1+INTERCEPT($E169:$V169,$E$1:$V$1))&lt;(AVERAGE($E169:$V169)-_xlfn.STDEV.P($E169:$V169))),V169,(SLOPE($E169:$V169,$E$1:$V$1)*W$1+INTERCEPT($E169:$V169,$E$1:$V$1)))</f>
        <v>120876.82408417825</v>
      </c>
      <c r="X169" s="5">
        <f t="shared" si="169"/>
        <v>127327.07337449887</v>
      </c>
      <c r="Y169" s="5">
        <f t="shared" si="169"/>
        <v>133777.32266481951</v>
      </c>
      <c r="Z169" s="5">
        <f t="shared" si="169"/>
        <v>140227.57195514016</v>
      </c>
      <c r="AA169" s="5">
        <f t="shared" si="169"/>
        <v>146677.82124546077</v>
      </c>
      <c r="AB169" s="5">
        <f t="shared" si="169"/>
        <v>153128.07053578141</v>
      </c>
      <c r="AC169" s="5">
        <f t="shared" si="169"/>
        <v>159578.31982610203</v>
      </c>
      <c r="AD169" s="5">
        <f t="shared" si="169"/>
        <v>159578.31982610203</v>
      </c>
      <c r="AE169" s="5">
        <f t="shared" si="169"/>
        <v>159578.31982610203</v>
      </c>
      <c r="AF169" s="5">
        <f t="shared" si="169"/>
        <v>159578.31982610203</v>
      </c>
      <c r="AG169" s="5">
        <f t="shared" si="169"/>
        <v>159578.31982610203</v>
      </c>
      <c r="AH169" s="5">
        <f t="shared" si="169"/>
        <v>159578.31982610203</v>
      </c>
    </row>
    <row r="170" spans="1:34" x14ac:dyDescent="0.35">
      <c r="A170" t="s">
        <v>190</v>
      </c>
      <c r="B170" s="3" t="s">
        <v>1262</v>
      </c>
      <c r="C170" s="4" t="s">
        <v>1263</v>
      </c>
      <c r="D170" s="2">
        <f t="shared" si="131"/>
        <v>1060884.3195999998</v>
      </c>
      <c r="E170" s="5">
        <v>146590.24239999999</v>
      </c>
      <c r="F170" s="5">
        <v>23941.537200000002</v>
      </c>
      <c r="G170" s="5">
        <v>63784.142799999987</v>
      </c>
      <c r="H170" s="5">
        <v>40650.439199999986</v>
      </c>
      <c r="I170" s="5">
        <v>30009.756000000005</v>
      </c>
      <c r="J170" s="5">
        <v>21174.075999999994</v>
      </c>
      <c r="K170" s="5">
        <v>20492.466400000005</v>
      </c>
      <c r="L170" s="5">
        <v>12493.020399999999</v>
      </c>
      <c r="M170" s="5">
        <v>92345.478399999978</v>
      </c>
      <c r="N170" s="5">
        <v>116271.23760000001</v>
      </c>
      <c r="O170" s="5">
        <v>90010.334399999992</v>
      </c>
      <c r="P170" s="5">
        <v>111383.21319999998</v>
      </c>
      <c r="Q170" s="5">
        <v>92377.034400000004</v>
      </c>
      <c r="R170" s="5">
        <v>91916.316799999971</v>
      </c>
      <c r="S170" s="5">
        <v>48129.211199999998</v>
      </c>
      <c r="T170" s="5">
        <v>23278.861200000003</v>
      </c>
      <c r="U170" s="5">
        <v>17254.820799999998</v>
      </c>
      <c r="V170" s="5">
        <v>18782.131200000007</v>
      </c>
      <c r="W170" s="5">
        <f t="shared" ref="W170:AH170" si="170">IF(OR((SLOPE($E170:$V170,$E$1:$V$1)*W$1+INTERCEPT($E170:$V170,$E$1:$V$1))&gt;(AVERAGE($E170:$V170)+_xlfn.STDEV.P($E170:$V170)),(SLOPE($E170:$V170,$E$1:$V$1)*W$1+INTERCEPT($E170:$V170,$E$1:$V$1))&lt;(AVERAGE($E170:$V170)-_xlfn.STDEV.P($E170:$V170))),V170,(SLOPE($E170:$V170,$E$1:$V$1)*W$1+INTERCEPT($E170:$V170,$E$1:$V$1)))</f>
        <v>49616.158794771225</v>
      </c>
      <c r="X170" s="5">
        <f t="shared" si="170"/>
        <v>48634.910483109721</v>
      </c>
      <c r="Y170" s="5">
        <f t="shared" si="170"/>
        <v>47653.662171448217</v>
      </c>
      <c r="Z170" s="5">
        <f t="shared" si="170"/>
        <v>46672.413859786706</v>
      </c>
      <c r="AA170" s="5">
        <f t="shared" si="170"/>
        <v>45691.165548125202</v>
      </c>
      <c r="AB170" s="5">
        <f t="shared" si="170"/>
        <v>44709.917236463691</v>
      </c>
      <c r="AC170" s="5">
        <f t="shared" si="170"/>
        <v>43728.668924802187</v>
      </c>
      <c r="AD170" s="5">
        <f t="shared" si="170"/>
        <v>42747.420613140683</v>
      </c>
      <c r="AE170" s="5">
        <f t="shared" si="170"/>
        <v>41766.172301479179</v>
      </c>
      <c r="AF170" s="5">
        <f t="shared" si="170"/>
        <v>40784.923989817667</v>
      </c>
      <c r="AG170" s="5">
        <f t="shared" si="170"/>
        <v>39803.675678156163</v>
      </c>
      <c r="AH170" s="5">
        <f t="shared" si="170"/>
        <v>38822.427366494652</v>
      </c>
    </row>
    <row r="171" spans="1:34" x14ac:dyDescent="0.35">
      <c r="A171" t="s">
        <v>191</v>
      </c>
      <c r="B171" s="3" t="s">
        <v>1262</v>
      </c>
      <c r="C171" s="4" t="s">
        <v>1263</v>
      </c>
      <c r="D171" s="2">
        <f t="shared" si="131"/>
        <v>1044154.5361455152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13434.765594283152</v>
      </c>
      <c r="R171" s="5">
        <v>197515.5117502269</v>
      </c>
      <c r="S171" s="5">
        <v>283740.89997116278</v>
      </c>
      <c r="T171" s="5">
        <v>181483.18946853682</v>
      </c>
      <c r="U171" s="5">
        <v>187601.78484747745</v>
      </c>
      <c r="V171" s="5">
        <v>180378.38451382812</v>
      </c>
      <c r="W171" s="5">
        <f t="shared" ref="W171:AH171" si="171">IF(OR((SLOPE($E171:$V171,$E$1:$V$1)*W$1+INTERCEPT($E171:$V171,$E$1:$V$1))&gt;(AVERAGE($E171:$V171)+_xlfn.STDEV.P($E171:$V171)),(SLOPE($E171:$V171,$E$1:$V$1)*W$1+INTERCEPT($E171:$V171,$E$1:$V$1))&lt;(AVERAGE($E171:$V171)-_xlfn.STDEV.P($E171:$V171))),V171,(SLOPE($E171:$V171,$E$1:$V$1)*W$1+INTERCEPT($E171:$V171,$E$1:$V$1)))</f>
        <v>180378.38451382812</v>
      </c>
      <c r="X171" s="5">
        <f t="shared" si="171"/>
        <v>180378.38451382812</v>
      </c>
      <c r="Y171" s="5">
        <f t="shared" si="171"/>
        <v>180378.38451382812</v>
      </c>
      <c r="Z171" s="5">
        <f t="shared" si="171"/>
        <v>180378.38451382812</v>
      </c>
      <c r="AA171" s="5">
        <f t="shared" si="171"/>
        <v>180378.38451382812</v>
      </c>
      <c r="AB171" s="5">
        <f t="shared" si="171"/>
        <v>180378.38451382812</v>
      </c>
      <c r="AC171" s="5">
        <f t="shared" si="171"/>
        <v>180378.38451382812</v>
      </c>
      <c r="AD171" s="5">
        <f t="shared" si="171"/>
        <v>180378.38451382812</v>
      </c>
      <c r="AE171" s="5">
        <f t="shared" si="171"/>
        <v>180378.38451382812</v>
      </c>
      <c r="AF171" s="5">
        <f t="shared" si="171"/>
        <v>180378.38451382812</v>
      </c>
      <c r="AG171" s="5">
        <f t="shared" si="171"/>
        <v>180378.38451382812</v>
      </c>
      <c r="AH171" s="5">
        <f t="shared" si="171"/>
        <v>180378.38451382812</v>
      </c>
    </row>
    <row r="172" spans="1:34" x14ac:dyDescent="0.35">
      <c r="A172" t="s">
        <v>192</v>
      </c>
      <c r="B172" s="3" t="s">
        <v>1266</v>
      </c>
      <c r="C172" s="4" t="s">
        <v>1268</v>
      </c>
      <c r="D172" s="2">
        <f t="shared" si="131"/>
        <v>1056058.1417900403</v>
      </c>
      <c r="E172" s="5">
        <v>0</v>
      </c>
      <c r="F172" s="5">
        <v>0</v>
      </c>
      <c r="G172" s="5">
        <v>0</v>
      </c>
      <c r="H172" s="5">
        <v>0</v>
      </c>
      <c r="I172" s="5">
        <v>355945.86938429589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352536.7250689427</v>
      </c>
      <c r="Q172" s="5">
        <v>0</v>
      </c>
      <c r="R172" s="5">
        <v>0</v>
      </c>
      <c r="S172" s="5">
        <v>0</v>
      </c>
      <c r="T172" s="5">
        <v>347575.54733680165</v>
      </c>
      <c r="U172" s="5">
        <v>0</v>
      </c>
      <c r="V172" s="5">
        <v>0</v>
      </c>
      <c r="W172" s="5">
        <f t="shared" ref="W172:AH172" si="172">IF(OR((SLOPE($E172:$V172,$E$1:$V$1)*W$1+INTERCEPT($E172:$V172,$E$1:$V$1))&gt;(AVERAGE($E172:$V172)+_xlfn.STDEV.P($E172:$V172)),(SLOPE($E172:$V172,$E$1:$V$1)*W$1+INTERCEPT($E172:$V172,$E$1:$V$1))&lt;(AVERAGE($E172:$V172)-_xlfn.STDEV.P($E172:$V172))),V172,(SLOPE($E172:$V172,$E$1:$V$1)*W$1+INTERCEPT($E172:$V172,$E$1:$V$1)))</f>
        <v>88842.964572627796</v>
      </c>
      <c r="X172" s="5">
        <f t="shared" si="172"/>
        <v>92019.076973313524</v>
      </c>
      <c r="Y172" s="5">
        <f t="shared" si="172"/>
        <v>95195.189373999252</v>
      </c>
      <c r="Z172" s="5">
        <f t="shared" si="172"/>
        <v>98371.30177468498</v>
      </c>
      <c r="AA172" s="5">
        <f t="shared" si="172"/>
        <v>101547.41417537071</v>
      </c>
      <c r="AB172" s="5">
        <f t="shared" si="172"/>
        <v>104723.52657605644</v>
      </c>
      <c r="AC172" s="5">
        <f t="shared" si="172"/>
        <v>107899.63897674216</v>
      </c>
      <c r="AD172" s="5">
        <f t="shared" si="172"/>
        <v>111075.75137742789</v>
      </c>
      <c r="AE172" s="5">
        <f t="shared" si="172"/>
        <v>114251.86377811362</v>
      </c>
      <c r="AF172" s="5">
        <f t="shared" si="172"/>
        <v>117427.97617879935</v>
      </c>
      <c r="AG172" s="5">
        <f t="shared" si="172"/>
        <v>120604.08857948511</v>
      </c>
      <c r="AH172" s="5">
        <f t="shared" si="172"/>
        <v>123780.20098017083</v>
      </c>
    </row>
    <row r="173" spans="1:34" x14ac:dyDescent="0.35">
      <c r="A173" t="s">
        <v>193</v>
      </c>
      <c r="B173" s="3" t="s">
        <v>1266</v>
      </c>
      <c r="C173" s="4" t="s">
        <v>1263</v>
      </c>
      <c r="D173" s="2">
        <f t="shared" si="131"/>
        <v>1045715.958</v>
      </c>
      <c r="E173" s="5">
        <v>22991.976000000002</v>
      </c>
      <c r="F173" s="5">
        <v>62096.768999999986</v>
      </c>
      <c r="G173" s="5">
        <v>0</v>
      </c>
      <c r="H173" s="5">
        <v>0</v>
      </c>
      <c r="I173" s="5">
        <v>88700.094000000012</v>
      </c>
      <c r="J173" s="5">
        <v>44911.44000000001</v>
      </c>
      <c r="K173" s="5">
        <v>31689.377999999997</v>
      </c>
      <c r="L173" s="5">
        <v>116778.12299999999</v>
      </c>
      <c r="M173" s="5">
        <v>77757.119999999981</v>
      </c>
      <c r="N173" s="5">
        <v>108776.17799999996</v>
      </c>
      <c r="O173" s="5">
        <v>27851.795999999998</v>
      </c>
      <c r="P173" s="5">
        <v>25924.626</v>
      </c>
      <c r="Q173" s="5">
        <v>33063.533999999992</v>
      </c>
      <c r="R173" s="5">
        <v>42866.963999999993</v>
      </c>
      <c r="S173" s="5">
        <v>99240.875999999989</v>
      </c>
      <c r="T173" s="5">
        <v>215038.65599999996</v>
      </c>
      <c r="U173" s="5">
        <v>31588.83</v>
      </c>
      <c r="V173" s="5">
        <v>16439.597999999998</v>
      </c>
      <c r="W173" s="5">
        <f t="shared" ref="W173:AH173" si="173">IF(OR((SLOPE($E173:$V173,$E$1:$V$1)*W$1+INTERCEPT($E173:$V173,$E$1:$V$1))&gt;(AVERAGE($E173:$V173)+_xlfn.STDEV.P($E173:$V173)),(SLOPE($E173:$V173,$E$1:$V$1)*W$1+INTERCEPT($E173:$V173,$E$1:$V$1))&lt;(AVERAGE($E173:$V173)-_xlfn.STDEV.P($E173:$V173))),V173,(SLOPE($E173:$V173,$E$1:$V$1)*W$1+INTERCEPT($E173:$V173,$E$1:$V$1)))</f>
        <v>83174.992352941161</v>
      </c>
      <c r="X173" s="5">
        <f t="shared" si="173"/>
        <v>85814.956705882345</v>
      </c>
      <c r="Y173" s="5">
        <f t="shared" si="173"/>
        <v>88454.921058823529</v>
      </c>
      <c r="Z173" s="5">
        <f t="shared" si="173"/>
        <v>91094.885411764699</v>
      </c>
      <c r="AA173" s="5">
        <f t="shared" si="173"/>
        <v>93734.849764705868</v>
      </c>
      <c r="AB173" s="5">
        <f t="shared" si="173"/>
        <v>96374.814117647053</v>
      </c>
      <c r="AC173" s="5">
        <f t="shared" si="173"/>
        <v>99014.778470588222</v>
      </c>
      <c r="AD173" s="5">
        <f t="shared" si="173"/>
        <v>101654.74282352941</v>
      </c>
      <c r="AE173" s="5">
        <f t="shared" si="173"/>
        <v>104294.70717647058</v>
      </c>
      <c r="AF173" s="5">
        <f t="shared" si="173"/>
        <v>106934.67152941175</v>
      </c>
      <c r="AG173" s="5">
        <f t="shared" si="173"/>
        <v>109574.63588235293</v>
      </c>
      <c r="AH173" s="5">
        <f t="shared" si="173"/>
        <v>109574.63588235293</v>
      </c>
    </row>
    <row r="174" spans="1:34" x14ac:dyDescent="0.35">
      <c r="A174" t="s">
        <v>194</v>
      </c>
      <c r="B174" s="3" t="s">
        <v>1265</v>
      </c>
      <c r="C174" s="4" t="s">
        <v>1263</v>
      </c>
      <c r="D174" s="2">
        <f t="shared" si="131"/>
        <v>1037483.9492647892</v>
      </c>
      <c r="E174" s="5">
        <v>38256.736366653444</v>
      </c>
      <c r="F174" s="5">
        <v>89257.647147430456</v>
      </c>
      <c r="G174" s="5">
        <v>80742.69844135044</v>
      </c>
      <c r="H174" s="5">
        <v>51533.599514996269</v>
      </c>
      <c r="I174" s="5">
        <v>53107.45259337125</v>
      </c>
      <c r="J174" s="5">
        <v>41646.573766230329</v>
      </c>
      <c r="K174" s="5">
        <v>48910.511051037945</v>
      </c>
      <c r="L174" s="5">
        <v>42050.125837608532</v>
      </c>
      <c r="M174" s="5">
        <v>103228.61985854381</v>
      </c>
      <c r="N174" s="5">
        <v>40758.759209198295</v>
      </c>
      <c r="O174" s="5">
        <v>53180.091966219326</v>
      </c>
      <c r="P174" s="5">
        <v>71711.203083906294</v>
      </c>
      <c r="Q174" s="5">
        <v>90557.084817268289</v>
      </c>
      <c r="R174" s="5">
        <v>64180.921431989067</v>
      </c>
      <c r="S174" s="5">
        <v>34705.478138525272</v>
      </c>
      <c r="T174" s="5">
        <v>51856.441172098821</v>
      </c>
      <c r="U174" s="5">
        <v>41283.376901989941</v>
      </c>
      <c r="V174" s="5">
        <v>40516.627966371372</v>
      </c>
      <c r="W174" s="5">
        <f t="shared" ref="W174:AH174" si="174">IF(OR((SLOPE($E174:$V174,$E$1:$V$1)*W$1+INTERCEPT($E174:$V174,$E$1:$V$1))&gt;(AVERAGE($E174:$V174)+_xlfn.STDEV.P($E174:$V174)),(SLOPE($E174:$V174,$E$1:$V$1)*W$1+INTERCEPT($E174:$V174,$E$1:$V$1))&lt;(AVERAGE($E174:$V174)-_xlfn.STDEV.P($E174:$V174))),V174,(SLOPE($E174:$V174,$E$1:$V$1)*W$1+INTERCEPT($E174:$V174,$E$1:$V$1)))</f>
        <v>50629.484619394825</v>
      </c>
      <c r="X174" s="5">
        <f t="shared" si="174"/>
        <v>49891.746454975626</v>
      </c>
      <c r="Y174" s="5">
        <f t="shared" si="174"/>
        <v>49154.008290556434</v>
      </c>
      <c r="Z174" s="5">
        <f t="shared" si="174"/>
        <v>48416.270126137242</v>
      </c>
      <c r="AA174" s="5">
        <f t="shared" si="174"/>
        <v>47678.531961718043</v>
      </c>
      <c r="AB174" s="5">
        <f t="shared" si="174"/>
        <v>46940.793797298851</v>
      </c>
      <c r="AC174" s="5">
        <f t="shared" si="174"/>
        <v>46203.055632879652</v>
      </c>
      <c r="AD174" s="5">
        <f t="shared" si="174"/>
        <v>45465.31746846046</v>
      </c>
      <c r="AE174" s="5">
        <f t="shared" si="174"/>
        <v>44727.579304041268</v>
      </c>
      <c r="AF174" s="5">
        <f t="shared" si="174"/>
        <v>43989.841139622069</v>
      </c>
      <c r="AG174" s="5">
        <f t="shared" si="174"/>
        <v>43252.10297520287</v>
      </c>
      <c r="AH174" s="5">
        <f t="shared" si="174"/>
        <v>42514.364810783678</v>
      </c>
    </row>
    <row r="175" spans="1:34" x14ac:dyDescent="0.35">
      <c r="A175" t="s">
        <v>195</v>
      </c>
      <c r="B175" s="3" t="s">
        <v>1265</v>
      </c>
      <c r="C175" s="4" t="s">
        <v>1263</v>
      </c>
      <c r="D175" s="2">
        <f t="shared" si="131"/>
        <v>1039387.9150844696</v>
      </c>
      <c r="E175" s="5">
        <v>125365.2859420109</v>
      </c>
      <c r="F175" s="5">
        <v>101790.34392061575</v>
      </c>
      <c r="G175" s="5">
        <v>135077.9614703682</v>
      </c>
      <c r="H175" s="5">
        <v>0</v>
      </c>
      <c r="I175" s="5">
        <v>0</v>
      </c>
      <c r="J175" s="5">
        <v>31341.321485502725</v>
      </c>
      <c r="K175" s="5">
        <v>156706.60742751363</v>
      </c>
      <c r="L175" s="5">
        <v>0</v>
      </c>
      <c r="M175" s="5">
        <v>0</v>
      </c>
      <c r="N175" s="5">
        <v>147730.45295406564</v>
      </c>
      <c r="O175" s="5">
        <v>0</v>
      </c>
      <c r="P175" s="5">
        <v>0</v>
      </c>
      <c r="Q175" s="5">
        <v>125365.2859420109</v>
      </c>
      <c r="R175" s="5">
        <v>66192.870977381754</v>
      </c>
      <c r="S175" s="5">
        <v>54847.312599629768</v>
      </c>
      <c r="T175" s="5">
        <v>0</v>
      </c>
      <c r="U175" s="5">
        <v>0</v>
      </c>
      <c r="V175" s="5">
        <v>94970.47236537037</v>
      </c>
      <c r="W175" s="5">
        <f t="shared" ref="W175:AH175" si="175">IF(OR((SLOPE($E175:$V175,$E$1:$V$1)*W$1+INTERCEPT($E175:$V175,$E$1:$V$1))&gt;(AVERAGE($E175:$V175)+_xlfn.STDEV.P($E175:$V175)),(SLOPE($E175:$V175,$E$1:$V$1)*W$1+INTERCEPT($E175:$V175,$E$1:$V$1))&lt;(AVERAGE($E175:$V175)-_xlfn.STDEV.P($E175:$V175))),V175,(SLOPE($E175:$V175,$E$1:$V$1)*W$1+INTERCEPT($E175:$V175,$E$1:$V$1)))</f>
        <v>32467.703998263081</v>
      </c>
      <c r="X175" s="5">
        <f t="shared" si="175"/>
        <v>29807.065149633061</v>
      </c>
      <c r="Y175" s="5">
        <f t="shared" si="175"/>
        <v>27146.426301003034</v>
      </c>
      <c r="Z175" s="5">
        <f t="shared" si="175"/>
        <v>24485.787452373013</v>
      </c>
      <c r="AA175" s="5">
        <f t="shared" si="175"/>
        <v>21825.148603742986</v>
      </c>
      <c r="AB175" s="5">
        <f t="shared" si="175"/>
        <v>19164.509755112958</v>
      </c>
      <c r="AC175" s="5">
        <f t="shared" si="175"/>
        <v>16503.870906482931</v>
      </c>
      <c r="AD175" s="5">
        <f t="shared" si="175"/>
        <v>13843.232057852918</v>
      </c>
      <c r="AE175" s="5">
        <f t="shared" si="175"/>
        <v>11182.59320922289</v>
      </c>
      <c r="AF175" s="5">
        <f t="shared" si="175"/>
        <v>8521.9543605928629</v>
      </c>
      <c r="AG175" s="5">
        <f t="shared" si="175"/>
        <v>5861.3155119628354</v>
      </c>
      <c r="AH175" s="5">
        <f t="shared" si="175"/>
        <v>3200.6766633328225</v>
      </c>
    </row>
    <row r="176" spans="1:34" x14ac:dyDescent="0.35">
      <c r="A176" t="s">
        <v>196</v>
      </c>
      <c r="B176" s="3" t="s">
        <v>1265</v>
      </c>
      <c r="C176" s="4" t="s">
        <v>1263</v>
      </c>
      <c r="D176" s="2">
        <f t="shared" si="131"/>
        <v>1033895.1</v>
      </c>
      <c r="E176" s="5">
        <v>55125</v>
      </c>
      <c r="F176" s="5">
        <v>120466.5</v>
      </c>
      <c r="G176" s="5">
        <v>107280.6</v>
      </c>
      <c r="H176" s="5">
        <v>44320.5</v>
      </c>
      <c r="I176" s="5">
        <v>22270.5</v>
      </c>
      <c r="J176" s="5">
        <v>31605</v>
      </c>
      <c r="K176" s="5">
        <v>19624.5</v>
      </c>
      <c r="L176" s="5">
        <v>13450.5</v>
      </c>
      <c r="M176" s="5">
        <v>118776</v>
      </c>
      <c r="N176" s="5">
        <v>49024.5</v>
      </c>
      <c r="O176" s="5">
        <v>53361</v>
      </c>
      <c r="P176" s="5">
        <v>62989.5</v>
      </c>
      <c r="Q176" s="5">
        <v>105105</v>
      </c>
      <c r="R176" s="5">
        <v>64650.6</v>
      </c>
      <c r="S176" s="5">
        <v>78204</v>
      </c>
      <c r="T176" s="5">
        <v>32707.5</v>
      </c>
      <c r="U176" s="5">
        <v>17640</v>
      </c>
      <c r="V176" s="5">
        <v>37293.9</v>
      </c>
      <c r="W176" s="5">
        <f t="shared" ref="W176:AH176" si="176">IF(OR((SLOPE($E176:$V176,$E$1:$V$1)*W$1+INTERCEPT($E176:$V176,$E$1:$V$1))&gt;(AVERAGE($E176:$V176)+_xlfn.STDEV.P($E176:$V176)),(SLOPE($E176:$V176,$E$1:$V$1)*W$1+INTERCEPT($E176:$V176,$E$1:$V$1))&lt;(AVERAGE($E176:$V176)-_xlfn.STDEV.P($E176:$V176))),V176,(SLOPE($E176:$V176,$E$1:$V$1)*W$1+INTERCEPT($E176:$V176,$E$1:$V$1)))</f>
        <v>44894.184313725491</v>
      </c>
      <c r="X176" s="5">
        <f t="shared" si="176"/>
        <v>43573.717750258002</v>
      </c>
      <c r="Y176" s="5">
        <f t="shared" si="176"/>
        <v>42253.251186790512</v>
      </c>
      <c r="Z176" s="5">
        <f t="shared" si="176"/>
        <v>40932.784623323016</v>
      </c>
      <c r="AA176" s="5">
        <f t="shared" si="176"/>
        <v>39612.318059855519</v>
      </c>
      <c r="AB176" s="5">
        <f t="shared" si="176"/>
        <v>38291.85149638803</v>
      </c>
      <c r="AC176" s="5">
        <f t="shared" si="176"/>
        <v>36971.38493292054</v>
      </c>
      <c r="AD176" s="5">
        <f t="shared" si="176"/>
        <v>35650.918369453044</v>
      </c>
      <c r="AE176" s="5">
        <f t="shared" si="176"/>
        <v>34330.451805985555</v>
      </c>
      <c r="AF176" s="5">
        <f t="shared" si="176"/>
        <v>33009.985242518065</v>
      </c>
      <c r="AG176" s="5">
        <f t="shared" si="176"/>
        <v>31689.518679050569</v>
      </c>
      <c r="AH176" s="5">
        <f t="shared" si="176"/>
        <v>30369.052115583079</v>
      </c>
    </row>
    <row r="177" spans="1:34" x14ac:dyDescent="0.35">
      <c r="A177" t="s">
        <v>197</v>
      </c>
      <c r="B177" s="3" t="s">
        <v>1262</v>
      </c>
      <c r="C177" s="4" t="s">
        <v>1263</v>
      </c>
      <c r="D177" s="2">
        <f t="shared" si="131"/>
        <v>1020354.9299999997</v>
      </c>
      <c r="E177" s="5">
        <v>23242.464000000004</v>
      </c>
      <c r="F177" s="5">
        <v>41266.133999999991</v>
      </c>
      <c r="G177" s="5">
        <v>44924.669999999991</v>
      </c>
      <c r="H177" s="5">
        <v>41696.549999999981</v>
      </c>
      <c r="I177" s="5">
        <v>36908.171999999991</v>
      </c>
      <c r="J177" s="5">
        <v>50842.889999999985</v>
      </c>
      <c r="K177" s="5">
        <v>64239.587999999996</v>
      </c>
      <c r="L177" s="5">
        <v>59827.823999999986</v>
      </c>
      <c r="M177" s="5">
        <v>91678.607999999993</v>
      </c>
      <c r="N177" s="5">
        <v>77743.89</v>
      </c>
      <c r="O177" s="5">
        <v>65100.419999999991</v>
      </c>
      <c r="P177" s="5">
        <v>36908.171999999999</v>
      </c>
      <c r="Q177" s="5">
        <v>0</v>
      </c>
      <c r="R177" s="5">
        <v>0</v>
      </c>
      <c r="S177" s="5">
        <v>15871.59</v>
      </c>
      <c r="T177" s="5">
        <v>298278.28799999988</v>
      </c>
      <c r="U177" s="5">
        <v>19799.135999999999</v>
      </c>
      <c r="V177" s="5">
        <v>52026.534</v>
      </c>
      <c r="W177" s="5">
        <f t="shared" ref="W177:AH177" si="177">IF(OR((SLOPE($E177:$V177,$E$1:$V$1)*W$1+INTERCEPT($E177:$V177,$E$1:$V$1))&gt;(AVERAGE($E177:$V177)+_xlfn.STDEV.P($E177:$V177)),(SLOPE($E177:$V177,$E$1:$V$1)*W$1+INTERCEPT($E177:$V177,$E$1:$V$1))&lt;(AVERAGE($E177:$V177)-_xlfn.STDEV.P($E177:$V177))),V177,(SLOPE($E177:$V177,$E$1:$V$1)*W$1+INTERCEPT($E177:$V177,$E$1:$V$1)))</f>
        <v>79764.805647058791</v>
      </c>
      <c r="X177" s="5">
        <f t="shared" si="177"/>
        <v>82194.113083591306</v>
      </c>
      <c r="Y177" s="5">
        <f t="shared" si="177"/>
        <v>84623.420520123807</v>
      </c>
      <c r="Z177" s="5">
        <f t="shared" si="177"/>
        <v>87052.727956656308</v>
      </c>
      <c r="AA177" s="5">
        <f t="shared" si="177"/>
        <v>89482.035393188824</v>
      </c>
      <c r="AB177" s="5">
        <f t="shared" si="177"/>
        <v>91911.342829721325</v>
      </c>
      <c r="AC177" s="5">
        <f t="shared" si="177"/>
        <v>94340.650266253826</v>
      </c>
      <c r="AD177" s="5">
        <f t="shared" si="177"/>
        <v>96769.957702786342</v>
      </c>
      <c r="AE177" s="5">
        <f t="shared" si="177"/>
        <v>99199.265139318843</v>
      </c>
      <c r="AF177" s="5">
        <f t="shared" si="177"/>
        <v>101628.57257585134</v>
      </c>
      <c r="AG177" s="5">
        <f t="shared" si="177"/>
        <v>104057.88001238386</v>
      </c>
      <c r="AH177" s="5">
        <f t="shared" si="177"/>
        <v>106487.18744891636</v>
      </c>
    </row>
    <row r="178" spans="1:34" x14ac:dyDescent="0.35">
      <c r="A178" t="s">
        <v>198</v>
      </c>
      <c r="B178" s="3" t="s">
        <v>1262</v>
      </c>
      <c r="C178" s="4" t="s">
        <v>1263</v>
      </c>
      <c r="D178" s="2">
        <f t="shared" si="131"/>
        <v>1023956.4888000002</v>
      </c>
      <c r="E178" s="5">
        <v>27155.015999999996</v>
      </c>
      <c r="F178" s="5">
        <v>51215.270400000009</v>
      </c>
      <c r="G178" s="5">
        <v>71482.924800000008</v>
      </c>
      <c r="H178" s="5">
        <v>59543.820000000014</v>
      </c>
      <c r="I178" s="5">
        <v>72848.260800000018</v>
      </c>
      <c r="J178" s="5">
        <v>78946.761600000027</v>
      </c>
      <c r="K178" s="5">
        <v>76610.520000000019</v>
      </c>
      <c r="L178" s="5">
        <v>38639.008799999996</v>
      </c>
      <c r="M178" s="5">
        <v>88397.920800000007</v>
      </c>
      <c r="N178" s="5">
        <v>51503.507999999994</v>
      </c>
      <c r="O178" s="5">
        <v>45207.792000000009</v>
      </c>
      <c r="P178" s="5">
        <v>64459.029600000002</v>
      </c>
      <c r="Q178" s="5">
        <v>35802.144</v>
      </c>
      <c r="R178" s="5">
        <v>39063.779999999992</v>
      </c>
      <c r="S178" s="5">
        <v>65384.423999999992</v>
      </c>
      <c r="T178" s="5">
        <v>58557.744000000006</v>
      </c>
      <c r="U178" s="5">
        <v>54537.588000000003</v>
      </c>
      <c r="V178" s="5">
        <v>44600.976000000002</v>
      </c>
      <c r="W178" s="5">
        <f t="shared" ref="W178:AH178" si="178">IF(OR((SLOPE($E178:$V178,$E$1:$V$1)*W$1+INTERCEPT($E178:$V178,$E$1:$V$1))&gt;(AVERAGE($E178:$V178)+_xlfn.STDEV.P($E178:$V178)),(SLOPE($E178:$V178,$E$1:$V$1)*W$1+INTERCEPT($E178:$V178,$E$1:$V$1))&lt;(AVERAGE($E178:$V178)-_xlfn.STDEV.P($E178:$V178))),V178,(SLOPE($E178:$V178,$E$1:$V$1)*W$1+INTERCEPT($E178:$V178,$E$1:$V$1)))</f>
        <v>52559.189364705882</v>
      </c>
      <c r="X178" s="5">
        <f t="shared" si="178"/>
        <v>52103.685971517029</v>
      </c>
      <c r="Y178" s="5">
        <f t="shared" si="178"/>
        <v>51648.182578328175</v>
      </c>
      <c r="Z178" s="5">
        <f t="shared" si="178"/>
        <v>51192.679185139321</v>
      </c>
      <c r="AA178" s="5">
        <f t="shared" si="178"/>
        <v>50737.17579195046</v>
      </c>
      <c r="AB178" s="5">
        <f t="shared" si="178"/>
        <v>50281.672398761606</v>
      </c>
      <c r="AC178" s="5">
        <f t="shared" si="178"/>
        <v>49826.169005572752</v>
      </c>
      <c r="AD178" s="5">
        <f t="shared" si="178"/>
        <v>49370.665612383898</v>
      </c>
      <c r="AE178" s="5">
        <f t="shared" si="178"/>
        <v>48915.162219195045</v>
      </c>
      <c r="AF178" s="5">
        <f t="shared" si="178"/>
        <v>48459.658826006184</v>
      </c>
      <c r="AG178" s="5">
        <f t="shared" si="178"/>
        <v>48004.15543281733</v>
      </c>
      <c r="AH178" s="5">
        <f t="shared" si="178"/>
        <v>47548.652039628476</v>
      </c>
    </row>
    <row r="179" spans="1:34" x14ac:dyDescent="0.35">
      <c r="A179" t="s">
        <v>199</v>
      </c>
      <c r="B179" s="3" t="s">
        <v>1262</v>
      </c>
      <c r="C179" s="4" t="s">
        <v>1263</v>
      </c>
      <c r="D179" s="2">
        <f t="shared" si="131"/>
        <v>899945.76000000013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61669.439999999995</v>
      </c>
      <c r="S179" s="5">
        <v>224004.48000000007</v>
      </c>
      <c r="T179" s="5">
        <v>198908.63999999998</v>
      </c>
      <c r="U179" s="5">
        <v>155584.79999999999</v>
      </c>
      <c r="V179" s="5">
        <v>259778.40000000005</v>
      </c>
      <c r="W179" s="5">
        <f t="shared" ref="W179:AH179" si="179">IF(OR((SLOPE($E179:$V179,$E$1:$V$1)*W$1+INTERCEPT($E179:$V179,$E$1:$V$1))&gt;(AVERAGE($E179:$V179)+_xlfn.STDEV.P($E179:$V179)),(SLOPE($E179:$V179,$E$1:$V$1)*W$1+INTERCEPT($E179:$V179,$E$1:$V$1))&lt;(AVERAGE($E179:$V179)-_xlfn.STDEV.P($E179:$V179))),V179,(SLOPE($E179:$V179,$E$1:$V$1)*W$1+INTERCEPT($E179:$V179,$E$1:$V$1)))</f>
        <v>259778.40000000005</v>
      </c>
      <c r="X179" s="5">
        <f t="shared" si="179"/>
        <v>259778.40000000005</v>
      </c>
      <c r="Y179" s="5">
        <f t="shared" si="179"/>
        <v>259778.40000000005</v>
      </c>
      <c r="Z179" s="5">
        <f t="shared" si="179"/>
        <v>259778.40000000005</v>
      </c>
      <c r="AA179" s="5">
        <f t="shared" si="179"/>
        <v>259778.40000000005</v>
      </c>
      <c r="AB179" s="5">
        <f t="shared" si="179"/>
        <v>259778.40000000005</v>
      </c>
      <c r="AC179" s="5">
        <f t="shared" si="179"/>
        <v>259778.40000000005</v>
      </c>
      <c r="AD179" s="5">
        <f t="shared" si="179"/>
        <v>259778.40000000005</v>
      </c>
      <c r="AE179" s="5">
        <f t="shared" si="179"/>
        <v>259778.40000000005</v>
      </c>
      <c r="AF179" s="5">
        <f t="shared" si="179"/>
        <v>259778.40000000005</v>
      </c>
      <c r="AG179" s="5">
        <f t="shared" si="179"/>
        <v>259778.40000000005</v>
      </c>
      <c r="AH179" s="5">
        <f t="shared" si="179"/>
        <v>259778.40000000005</v>
      </c>
    </row>
    <row r="180" spans="1:34" x14ac:dyDescent="0.35">
      <c r="A180" t="s">
        <v>200</v>
      </c>
      <c r="B180" s="3" t="s">
        <v>1266</v>
      </c>
      <c r="C180" s="4" t="s">
        <v>1263</v>
      </c>
      <c r="D180" s="2">
        <f t="shared" si="131"/>
        <v>1023200.7865672545</v>
      </c>
      <c r="E180" s="5">
        <v>0</v>
      </c>
      <c r="F180" s="5">
        <v>60308.645456021732</v>
      </c>
      <c r="G180" s="5">
        <v>0</v>
      </c>
      <c r="H180" s="5">
        <v>30154.322728010859</v>
      </c>
      <c r="I180" s="5">
        <v>120617.29091204346</v>
      </c>
      <c r="J180" s="5">
        <v>60308.645456021732</v>
      </c>
      <c r="K180" s="5">
        <v>90462.968184032594</v>
      </c>
      <c r="L180" s="5">
        <v>0</v>
      </c>
      <c r="M180" s="5">
        <v>0</v>
      </c>
      <c r="N180" s="5">
        <v>60308.645456021732</v>
      </c>
      <c r="O180" s="5">
        <v>420114.33200703707</v>
      </c>
      <c r="P180" s="5">
        <v>60308.645456021732</v>
      </c>
      <c r="Q180" s="5">
        <v>0</v>
      </c>
      <c r="R180" s="5">
        <v>0</v>
      </c>
      <c r="S180" s="5">
        <v>60308.645456021732</v>
      </c>
      <c r="T180" s="5">
        <v>0</v>
      </c>
      <c r="U180" s="5">
        <v>60308.645456021732</v>
      </c>
      <c r="V180" s="5">
        <v>0</v>
      </c>
      <c r="W180" s="5">
        <f t="shared" ref="W180:AH180" si="180">IF(OR((SLOPE($E180:$V180,$E$1:$V$1)*W$1+INTERCEPT($E180:$V180,$E$1:$V$1))&gt;(AVERAGE($E180:$V180)+_xlfn.STDEV.P($E180:$V180)),(SLOPE($E180:$V180,$E$1:$V$1)*W$1+INTERCEPT($E180:$V180,$E$1:$V$1))&lt;(AVERAGE($E180:$V180)-_xlfn.STDEV.P($E180:$V180))),V180,(SLOPE($E180:$V180,$E$1:$V$1)*W$1+INTERCEPT($E180:$V180,$E$1:$V$1)))</f>
        <v>56784.306196004225</v>
      </c>
      <c r="X180" s="5">
        <f t="shared" si="180"/>
        <v>56777.97125425464</v>
      </c>
      <c r="Y180" s="5">
        <f t="shared" si="180"/>
        <v>56771.636312505063</v>
      </c>
      <c r="Z180" s="5">
        <f t="shared" si="180"/>
        <v>56765.301370755478</v>
      </c>
      <c r="AA180" s="5">
        <f t="shared" si="180"/>
        <v>56758.966429005894</v>
      </c>
      <c r="AB180" s="5">
        <f t="shared" si="180"/>
        <v>56752.631487256316</v>
      </c>
      <c r="AC180" s="5">
        <f t="shared" si="180"/>
        <v>56746.296545506731</v>
      </c>
      <c r="AD180" s="5">
        <f t="shared" si="180"/>
        <v>56739.961603757154</v>
      </c>
      <c r="AE180" s="5">
        <f t="shared" si="180"/>
        <v>56733.626662007569</v>
      </c>
      <c r="AF180" s="5">
        <f t="shared" si="180"/>
        <v>56727.291720257985</v>
      </c>
      <c r="AG180" s="5">
        <f t="shared" si="180"/>
        <v>56720.956778508407</v>
      </c>
      <c r="AH180" s="5">
        <f t="shared" si="180"/>
        <v>56714.621836758823</v>
      </c>
    </row>
    <row r="181" spans="1:34" x14ac:dyDescent="0.35">
      <c r="A181" t="s">
        <v>201</v>
      </c>
      <c r="B181" s="3" t="s">
        <v>1262</v>
      </c>
      <c r="C181" s="4" t="s">
        <v>1263</v>
      </c>
      <c r="D181" s="2">
        <f t="shared" si="131"/>
        <v>1006854.5970000002</v>
      </c>
      <c r="E181" s="5">
        <v>18082.763999999999</v>
      </c>
      <c r="F181" s="5">
        <v>57771.881999999991</v>
      </c>
      <c r="G181" s="5">
        <v>64031.877</v>
      </c>
      <c r="H181" s="5">
        <v>50124.941999999995</v>
      </c>
      <c r="I181" s="5">
        <v>25984.601999999999</v>
      </c>
      <c r="J181" s="5">
        <v>11545.379999999997</v>
      </c>
      <c r="K181" s="5">
        <v>71146.530000000013</v>
      </c>
      <c r="L181" s="5">
        <v>70291.872000000003</v>
      </c>
      <c r="M181" s="5">
        <v>106899.72300000004</v>
      </c>
      <c r="N181" s="5">
        <v>60650.729999999989</v>
      </c>
      <c r="O181" s="5">
        <v>76079.555999999997</v>
      </c>
      <c r="P181" s="5">
        <v>35430.821999999993</v>
      </c>
      <c r="Q181" s="5">
        <v>13052.277</v>
      </c>
      <c r="R181" s="5">
        <v>101202.00300000003</v>
      </c>
      <c r="S181" s="5">
        <v>98210.700000000012</v>
      </c>
      <c r="T181" s="5">
        <v>44907.029999999992</v>
      </c>
      <c r="U181" s="5">
        <v>43969.905000000006</v>
      </c>
      <c r="V181" s="5">
        <v>57472.002</v>
      </c>
      <c r="W181" s="5">
        <f t="shared" ref="W181:AH181" si="181">IF(OR((SLOPE($E181:$V181,$E$1:$V$1)*W$1+INTERCEPT($E181:$V181,$E$1:$V$1))&gt;(AVERAGE($E181:$V181)+_xlfn.STDEV.P($E181:$V181)),(SLOPE($E181:$V181,$E$1:$V$1)*W$1+INTERCEPT($E181:$V181,$E$1:$V$1))&lt;(AVERAGE($E181:$V181)-_xlfn.STDEV.P($E181:$V181))),V181,(SLOPE($E181:$V181,$E$1:$V$1)*W$1+INTERCEPT($E181:$V181,$E$1:$V$1)))</f>
        <v>67926.054000000004</v>
      </c>
      <c r="X181" s="5">
        <f t="shared" si="181"/>
        <v>69188.126368421072</v>
      </c>
      <c r="Y181" s="5">
        <f t="shared" si="181"/>
        <v>70450.198736842111</v>
      </c>
      <c r="Z181" s="5">
        <f t="shared" si="181"/>
        <v>71712.271105263164</v>
      </c>
      <c r="AA181" s="5">
        <f t="shared" si="181"/>
        <v>72974.343473684217</v>
      </c>
      <c r="AB181" s="5">
        <f t="shared" si="181"/>
        <v>74236.415842105271</v>
      </c>
      <c r="AC181" s="5">
        <f t="shared" si="181"/>
        <v>75498.488210526324</v>
      </c>
      <c r="AD181" s="5">
        <f t="shared" si="181"/>
        <v>76760.560578947378</v>
      </c>
      <c r="AE181" s="5">
        <f t="shared" si="181"/>
        <v>78022.632947368431</v>
      </c>
      <c r="AF181" s="5">
        <f t="shared" si="181"/>
        <v>79284.705315789484</v>
      </c>
      <c r="AG181" s="5">
        <f t="shared" si="181"/>
        <v>80546.777684210538</v>
      </c>
      <c r="AH181" s="5">
        <f t="shared" si="181"/>
        <v>81808.850052631591</v>
      </c>
    </row>
    <row r="182" spans="1:34" x14ac:dyDescent="0.35">
      <c r="A182" t="s">
        <v>202</v>
      </c>
      <c r="B182" s="3" t="s">
        <v>1265</v>
      </c>
      <c r="C182" s="4" t="s">
        <v>1263</v>
      </c>
      <c r="D182" s="2">
        <f t="shared" si="131"/>
        <v>890056.65840000007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117253.7856</v>
      </c>
      <c r="L182" s="5">
        <v>86583.23520000001</v>
      </c>
      <c r="M182" s="5">
        <v>0</v>
      </c>
      <c r="N182" s="5">
        <v>108568.32000000001</v>
      </c>
      <c r="O182" s="5">
        <v>39627.436799999996</v>
      </c>
      <c r="P182" s="5">
        <v>96082.963200000013</v>
      </c>
      <c r="Q182" s="5">
        <v>0</v>
      </c>
      <c r="R182" s="5">
        <v>0</v>
      </c>
      <c r="S182" s="5">
        <v>203.56559999999999</v>
      </c>
      <c r="T182" s="5">
        <v>26056.396799999999</v>
      </c>
      <c r="U182" s="5">
        <v>99272.157599999991</v>
      </c>
      <c r="V182" s="5">
        <v>316408.79760000005</v>
      </c>
      <c r="W182" s="5">
        <f t="shared" ref="W182:AH182" si="182">IF(OR((SLOPE($E182:$V182,$E$1:$V$1)*W$1+INTERCEPT($E182:$V182,$E$1:$V$1))&gt;(AVERAGE($E182:$V182)+_xlfn.STDEV.P($E182:$V182)),(SLOPE($E182:$V182,$E$1:$V$1)*W$1+INTERCEPT($E182:$V182,$E$1:$V$1))&lt;(AVERAGE($E182:$V182)-_xlfn.STDEV.P($E182:$V182))),V182,(SLOPE($E182:$V182,$E$1:$V$1)*W$1+INTERCEPT($E182:$V182,$E$1:$V$1)))</f>
        <v>118769.66189803924</v>
      </c>
      <c r="X182" s="5">
        <f t="shared" si="182"/>
        <v>126066.72187327144</v>
      </c>
      <c r="Y182" s="5">
        <f t="shared" si="182"/>
        <v>126066.72187327144</v>
      </c>
      <c r="Z182" s="5">
        <f t="shared" si="182"/>
        <v>126066.72187327144</v>
      </c>
      <c r="AA182" s="5">
        <f t="shared" si="182"/>
        <v>126066.72187327144</v>
      </c>
      <c r="AB182" s="5">
        <f t="shared" si="182"/>
        <v>126066.72187327144</v>
      </c>
      <c r="AC182" s="5">
        <f t="shared" si="182"/>
        <v>126066.72187327144</v>
      </c>
      <c r="AD182" s="5">
        <f t="shared" si="182"/>
        <v>126066.72187327144</v>
      </c>
      <c r="AE182" s="5">
        <f t="shared" si="182"/>
        <v>126066.72187327144</v>
      </c>
      <c r="AF182" s="5">
        <f t="shared" si="182"/>
        <v>126066.72187327144</v>
      </c>
      <c r="AG182" s="5">
        <f t="shared" si="182"/>
        <v>126066.72187327144</v>
      </c>
      <c r="AH182" s="5">
        <f t="shared" si="182"/>
        <v>126066.72187327144</v>
      </c>
    </row>
    <row r="183" spans="1:34" x14ac:dyDescent="0.35">
      <c r="A183" t="s">
        <v>203</v>
      </c>
      <c r="B183" s="3" t="s">
        <v>1262</v>
      </c>
      <c r="C183" s="4" t="s">
        <v>1263</v>
      </c>
      <c r="D183" s="2">
        <f t="shared" si="131"/>
        <v>972463.46853410243</v>
      </c>
      <c r="E183" s="5">
        <v>0</v>
      </c>
      <c r="F183" s="5">
        <v>4933.9029887120932</v>
      </c>
      <c r="G183" s="5">
        <v>21101.24581779548</v>
      </c>
      <c r="H183" s="5">
        <v>11453.703366653075</v>
      </c>
      <c r="I183" s="5">
        <v>21717.983691384477</v>
      </c>
      <c r="J183" s="5">
        <v>62466.736053515611</v>
      </c>
      <c r="K183" s="5">
        <v>25902.99069073849</v>
      </c>
      <c r="L183" s="5">
        <v>19691.559249592021</v>
      </c>
      <c r="M183" s="5">
        <v>39911.750962260347</v>
      </c>
      <c r="N183" s="5">
        <v>33612.21411060114</v>
      </c>
      <c r="O183" s="5">
        <v>48986.608245070071</v>
      </c>
      <c r="P183" s="5">
        <v>59779.521032877776</v>
      </c>
      <c r="Q183" s="5">
        <v>78061.393714266349</v>
      </c>
      <c r="R183" s="5">
        <v>107312.39000448806</v>
      </c>
      <c r="S183" s="5">
        <v>82554.769650414877</v>
      </c>
      <c r="T183" s="5">
        <v>78766.236998368069</v>
      </c>
      <c r="U183" s="5">
        <v>168105.12325826209</v>
      </c>
      <c r="V183" s="5">
        <v>108105.3386991025</v>
      </c>
      <c r="W183" s="5">
        <f t="shared" ref="W183:AH183" si="183">IF(OR((SLOPE($E183:$V183,$E$1:$V$1)*W$1+INTERCEPT($E183:$V183,$E$1:$V$1))&gt;(AVERAGE($E183:$V183)+_xlfn.STDEV.P($E183:$V183)),(SLOPE($E183:$V183,$E$1:$V$1)*W$1+INTERCEPT($E183:$V183,$E$1:$V$1))&lt;(AVERAGE($E183:$V183)-_xlfn.STDEV.P($E183:$V183))),V183,(SLOPE($E183:$V183,$E$1:$V$1)*W$1+INTERCEPT($E183:$V183,$E$1:$V$1)))</f>
        <v>108105.3386991025</v>
      </c>
      <c r="X183" s="5">
        <f t="shared" si="183"/>
        <v>108105.3386991025</v>
      </c>
      <c r="Y183" s="5">
        <f t="shared" si="183"/>
        <v>108105.3386991025</v>
      </c>
      <c r="Z183" s="5">
        <f t="shared" si="183"/>
        <v>108105.3386991025</v>
      </c>
      <c r="AA183" s="5">
        <f t="shared" si="183"/>
        <v>108105.3386991025</v>
      </c>
      <c r="AB183" s="5">
        <f t="shared" si="183"/>
        <v>108105.3386991025</v>
      </c>
      <c r="AC183" s="5">
        <f t="shared" si="183"/>
        <v>108105.3386991025</v>
      </c>
      <c r="AD183" s="5">
        <f t="shared" si="183"/>
        <v>108105.3386991025</v>
      </c>
      <c r="AE183" s="5">
        <f t="shared" si="183"/>
        <v>108105.3386991025</v>
      </c>
      <c r="AF183" s="5">
        <f t="shared" si="183"/>
        <v>108105.3386991025</v>
      </c>
      <c r="AG183" s="5">
        <f t="shared" si="183"/>
        <v>108105.3386991025</v>
      </c>
      <c r="AH183" s="5">
        <f t="shared" si="183"/>
        <v>108105.3386991025</v>
      </c>
    </row>
    <row r="184" spans="1:34" x14ac:dyDescent="0.35">
      <c r="A184" t="s">
        <v>204</v>
      </c>
      <c r="B184" s="3" t="s">
        <v>1262</v>
      </c>
      <c r="C184" s="4" t="s">
        <v>1263</v>
      </c>
      <c r="D184" s="2">
        <f t="shared" si="131"/>
        <v>974051.39999999979</v>
      </c>
      <c r="E184" s="5">
        <v>54756.519999999982</v>
      </c>
      <c r="F184" s="5">
        <v>55456.239999999983</v>
      </c>
      <c r="G184" s="5">
        <v>308.69999999999993</v>
      </c>
      <c r="H184" s="5">
        <v>0</v>
      </c>
      <c r="I184" s="5">
        <v>0</v>
      </c>
      <c r="J184" s="5">
        <v>0</v>
      </c>
      <c r="K184" s="5">
        <v>576.23999999999978</v>
      </c>
      <c r="L184" s="5">
        <v>202905.07999999993</v>
      </c>
      <c r="M184" s="5">
        <v>135978.91999999995</v>
      </c>
      <c r="N184" s="5">
        <v>35130.05999999999</v>
      </c>
      <c r="O184" s="5">
        <v>83877.219999999987</v>
      </c>
      <c r="P184" s="5">
        <v>8794.5199999999986</v>
      </c>
      <c r="Q184" s="5">
        <v>112558.87999999996</v>
      </c>
      <c r="R184" s="5">
        <v>36460.899999999994</v>
      </c>
      <c r="S184" s="5">
        <v>235654.71999999994</v>
      </c>
      <c r="T184" s="5">
        <v>10372.319999999998</v>
      </c>
      <c r="U184" s="5">
        <v>1221.0799999999995</v>
      </c>
      <c r="V184" s="5">
        <v>0</v>
      </c>
      <c r="W184" s="5">
        <f t="shared" ref="W184:AH184" si="184">IF(OR((SLOPE($E184:$V184,$E$1:$V$1)*W$1+INTERCEPT($E184:$V184,$E$1:$V$1))&gt;(AVERAGE($E184:$V184)+_xlfn.STDEV.P($E184:$V184)),(SLOPE($E184:$V184,$E$1:$V$1)*W$1+INTERCEPT($E184:$V184,$E$1:$V$1))&lt;(AVERAGE($E184:$V184)-_xlfn.STDEV.P($E184:$V184))),V184,(SLOPE($E184:$V184,$E$1:$V$1)*W$1+INTERCEPT($E184:$V184,$E$1:$V$1)))</f>
        <v>70563.574117647047</v>
      </c>
      <c r="X184" s="5">
        <f t="shared" si="184"/>
        <v>72295.111744066031</v>
      </c>
      <c r="Y184" s="5">
        <f t="shared" si="184"/>
        <v>74026.649370485015</v>
      </c>
      <c r="Z184" s="5">
        <f t="shared" si="184"/>
        <v>75758.186996903998</v>
      </c>
      <c r="AA184" s="5">
        <f t="shared" si="184"/>
        <v>77489.724623322982</v>
      </c>
      <c r="AB184" s="5">
        <f t="shared" si="184"/>
        <v>79221.26224974198</v>
      </c>
      <c r="AC184" s="5">
        <f t="shared" si="184"/>
        <v>80952.799876160978</v>
      </c>
      <c r="AD184" s="5">
        <f t="shared" si="184"/>
        <v>82684.337502579961</v>
      </c>
      <c r="AE184" s="5">
        <f t="shared" si="184"/>
        <v>84415.875128998945</v>
      </c>
      <c r="AF184" s="5">
        <f t="shared" si="184"/>
        <v>86147.412755417929</v>
      </c>
      <c r="AG184" s="5">
        <f t="shared" si="184"/>
        <v>87878.950381836912</v>
      </c>
      <c r="AH184" s="5">
        <f t="shared" si="184"/>
        <v>89610.48800825591</v>
      </c>
    </row>
    <row r="185" spans="1:34" x14ac:dyDescent="0.35">
      <c r="A185" t="s">
        <v>205</v>
      </c>
      <c r="B185" s="3" t="s">
        <v>1262</v>
      </c>
      <c r="C185" s="4" t="s">
        <v>1263</v>
      </c>
      <c r="D185" s="2">
        <f t="shared" si="131"/>
        <v>956796.86252863484</v>
      </c>
      <c r="E185" s="5">
        <v>18438.597799943262</v>
      </c>
      <c r="F185" s="5">
        <v>49146.488120901413</v>
      </c>
      <c r="G185" s="5">
        <v>58747.036223503448</v>
      </c>
      <c r="H185" s="5">
        <v>47240.242107749385</v>
      </c>
      <c r="I185" s="5">
        <v>31227.775597272321</v>
      </c>
      <c r="J185" s="5">
        <v>55835.678676143987</v>
      </c>
      <c r="K185" s="5">
        <v>73823.709236614959</v>
      </c>
      <c r="L185" s="5">
        <v>57222.039412981816</v>
      </c>
      <c r="M185" s="5">
        <v>72853.256720828445</v>
      </c>
      <c r="N185" s="5">
        <v>60098.737941920328</v>
      </c>
      <c r="O185" s="5">
        <v>53444.206405098703</v>
      </c>
      <c r="P185" s="5">
        <v>55246.475362987898</v>
      </c>
      <c r="Q185" s="5">
        <v>34797.654494629765</v>
      </c>
      <c r="R185" s="5">
        <v>86266.296849734557</v>
      </c>
      <c r="S185" s="5">
        <v>54137.386773517632</v>
      </c>
      <c r="T185" s="5">
        <v>65124.295612957503</v>
      </c>
      <c r="U185" s="5">
        <v>37362.421857779773</v>
      </c>
      <c r="V185" s="5">
        <v>45784.563334069651</v>
      </c>
      <c r="W185" s="5">
        <f t="shared" ref="W185:AH185" si="185">IF(OR((SLOPE($E185:$V185,$E$1:$V$1)*W$1+INTERCEPT($E185:$V185,$E$1:$V$1))&gt;(AVERAGE($E185:$V185)+_xlfn.STDEV.P($E185:$V185)),(SLOPE($E185:$V185,$E$1:$V$1)*W$1+INTERCEPT($E185:$V185,$E$1:$V$1))&lt;(AVERAGE($E185:$V185)-_xlfn.STDEV.P($E185:$V185))),V185,(SLOPE($E185:$V185,$E$1:$V$1)*W$1+INTERCEPT($E185:$V185,$E$1:$V$1)))</f>
        <v>59802.437313851071</v>
      </c>
      <c r="X185" s="5">
        <f t="shared" si="185"/>
        <v>60502.127425667939</v>
      </c>
      <c r="Y185" s="5">
        <f t="shared" si="185"/>
        <v>61201.817537484807</v>
      </c>
      <c r="Z185" s="5">
        <f t="shared" si="185"/>
        <v>61901.507649301675</v>
      </c>
      <c r="AA185" s="5">
        <f t="shared" si="185"/>
        <v>62601.197761118543</v>
      </c>
      <c r="AB185" s="5">
        <f t="shared" si="185"/>
        <v>63300.887872935404</v>
      </c>
      <c r="AC185" s="5">
        <f t="shared" si="185"/>
        <v>64000.577984752279</v>
      </c>
      <c r="AD185" s="5">
        <f t="shared" si="185"/>
        <v>64700.26809656914</v>
      </c>
      <c r="AE185" s="5">
        <f t="shared" si="185"/>
        <v>65399.958208386015</v>
      </c>
      <c r="AF185" s="5">
        <f t="shared" si="185"/>
        <v>66099.648320202876</v>
      </c>
      <c r="AG185" s="5">
        <f t="shared" si="185"/>
        <v>66799.338432019751</v>
      </c>
      <c r="AH185" s="5">
        <f t="shared" si="185"/>
        <v>67499.028543836612</v>
      </c>
    </row>
    <row r="186" spans="1:34" x14ac:dyDescent="0.35">
      <c r="A186" t="s">
        <v>206</v>
      </c>
      <c r="B186" s="3" t="s">
        <v>1265</v>
      </c>
      <c r="C186" s="4" t="s">
        <v>1263</v>
      </c>
      <c r="D186" s="2">
        <f t="shared" si="131"/>
        <v>944730.40938618127</v>
      </c>
      <c r="E186" s="5">
        <v>38923.653383140409</v>
      </c>
      <c r="F186" s="5">
        <v>58095.005049463296</v>
      </c>
      <c r="G186" s="5">
        <v>47637.904140559898</v>
      </c>
      <c r="H186" s="5">
        <v>59468.159714268782</v>
      </c>
      <c r="I186" s="5">
        <v>54081.168336954928</v>
      </c>
      <c r="J186" s="5">
        <v>61105.38258384457</v>
      </c>
      <c r="K186" s="5">
        <v>39504.603433635042</v>
      </c>
      <c r="L186" s="5">
        <v>54345.236541725208</v>
      </c>
      <c r="M186" s="5">
        <v>67126.137652607154</v>
      </c>
      <c r="N186" s="5">
        <v>39610.230715543155</v>
      </c>
      <c r="O186" s="5">
        <v>56774.664025611855</v>
      </c>
      <c r="P186" s="5">
        <v>60788.500738120216</v>
      </c>
      <c r="Q186" s="5">
        <v>37127.989590702455</v>
      </c>
      <c r="R186" s="5">
        <v>53077.709158827827</v>
      </c>
      <c r="S186" s="5">
        <v>61316.637147660804</v>
      </c>
      <c r="T186" s="5">
        <v>60049.109764763416</v>
      </c>
      <c r="U186" s="5">
        <v>46000.681270984111</v>
      </c>
      <c r="V186" s="5">
        <v>49697.636137768146</v>
      </c>
      <c r="W186" s="5">
        <f t="shared" ref="W186:AH186" si="186">IF(OR((SLOPE($E186:$V186,$E$1:$V$1)*W$1+INTERCEPT($E186:$V186,$E$1:$V$1))&gt;(AVERAGE($E186:$V186)+_xlfn.STDEV.P($E186:$V186)),(SLOPE($E186:$V186,$E$1:$V$1)*W$1+INTERCEPT($E186:$V186,$E$1:$V$1))&lt;(AVERAGE($E186:$V186)-_xlfn.STDEV.P($E186:$V186))),V186,(SLOPE($E186:$V186,$E$1:$V$1)*W$1+INTERCEPT($E186:$V186,$E$1:$V$1)))</f>
        <v>53394.245817356394</v>
      </c>
      <c r="X186" s="5">
        <f t="shared" si="186"/>
        <v>53489.953509322673</v>
      </c>
      <c r="Y186" s="5">
        <f t="shared" si="186"/>
        <v>53585.661201288953</v>
      </c>
      <c r="Z186" s="5">
        <f t="shared" si="186"/>
        <v>53681.368893255232</v>
      </c>
      <c r="AA186" s="5">
        <f t="shared" si="186"/>
        <v>53777.076585221512</v>
      </c>
      <c r="AB186" s="5">
        <f t="shared" si="186"/>
        <v>53872.784277187791</v>
      </c>
      <c r="AC186" s="5">
        <f t="shared" si="186"/>
        <v>53968.491969154071</v>
      </c>
      <c r="AD186" s="5">
        <f t="shared" si="186"/>
        <v>54064.19966112035</v>
      </c>
      <c r="AE186" s="5">
        <f t="shared" si="186"/>
        <v>54159.90735308663</v>
      </c>
      <c r="AF186" s="5">
        <f t="shared" si="186"/>
        <v>54255.615045052909</v>
      </c>
      <c r="AG186" s="5">
        <f t="shared" si="186"/>
        <v>54351.322737019189</v>
      </c>
      <c r="AH186" s="5">
        <f t="shared" si="186"/>
        <v>54447.030428985468</v>
      </c>
    </row>
    <row r="187" spans="1:34" x14ac:dyDescent="0.35">
      <c r="A187" t="s">
        <v>207</v>
      </c>
      <c r="B187" s="3" t="s">
        <v>1262</v>
      </c>
      <c r="C187" s="4" t="s">
        <v>1263</v>
      </c>
      <c r="D187" s="2">
        <f t="shared" si="131"/>
        <v>933488.67733333295</v>
      </c>
      <c r="E187" s="5">
        <v>163413.43199999994</v>
      </c>
      <c r="F187" s="5">
        <v>43769.543999999994</v>
      </c>
      <c r="G187" s="5">
        <v>59691.146666666638</v>
      </c>
      <c r="H187" s="5">
        <v>67366.571999999986</v>
      </c>
      <c r="I187" s="5">
        <v>41242.777333333332</v>
      </c>
      <c r="J187" s="5">
        <v>58335.610666666646</v>
      </c>
      <c r="K187" s="5">
        <v>58412.899999999987</v>
      </c>
      <c r="L187" s="5">
        <v>321.04799999999989</v>
      </c>
      <c r="M187" s="5">
        <v>0</v>
      </c>
      <c r="N187" s="5">
        <v>463.73599999999976</v>
      </c>
      <c r="O187" s="5">
        <v>4233.0773333333327</v>
      </c>
      <c r="P187" s="5">
        <v>1682.5293333333327</v>
      </c>
      <c r="Q187" s="5">
        <v>6117.7479999999978</v>
      </c>
      <c r="R187" s="5">
        <v>10196.246666666664</v>
      </c>
      <c r="S187" s="5">
        <v>84970.703999999969</v>
      </c>
      <c r="T187" s="5">
        <v>75160.903999999966</v>
      </c>
      <c r="U187" s="5">
        <v>138003.07733333326</v>
      </c>
      <c r="V187" s="5">
        <v>120107.62399999992</v>
      </c>
      <c r="W187" s="5">
        <f t="shared" ref="W187:AH187" si="187">IF(OR((SLOPE($E187:$V187,$E$1:$V$1)*W$1+INTERCEPT($E187:$V187,$E$1:$V$1))&gt;(AVERAGE($E187:$V187)+_xlfn.STDEV.P($E187:$V187)),(SLOPE($E187:$V187,$E$1:$V$1)*W$1+INTERCEPT($E187:$V187,$E$1:$V$1))&lt;(AVERAGE($E187:$V187)-_xlfn.STDEV.P($E187:$V187))),V187,(SLOPE($E187:$V187,$E$1:$V$1)*W$1+INTERCEPT($E187:$V187,$E$1:$V$1)))</f>
        <v>53386.567538126328</v>
      </c>
      <c r="X187" s="5">
        <f t="shared" si="187"/>
        <v>53547.208113289729</v>
      </c>
      <c r="Y187" s="5">
        <f t="shared" si="187"/>
        <v>53707.848688453123</v>
      </c>
      <c r="Z187" s="5">
        <f t="shared" si="187"/>
        <v>53868.489263616524</v>
      </c>
      <c r="AA187" s="5">
        <f t="shared" si="187"/>
        <v>54029.129838779918</v>
      </c>
      <c r="AB187" s="5">
        <f t="shared" si="187"/>
        <v>54189.770413943319</v>
      </c>
      <c r="AC187" s="5">
        <f t="shared" si="187"/>
        <v>54350.41098910672</v>
      </c>
      <c r="AD187" s="5">
        <f t="shared" si="187"/>
        <v>54511.051564270114</v>
      </c>
      <c r="AE187" s="5">
        <f t="shared" si="187"/>
        <v>54671.692139433508</v>
      </c>
      <c r="AF187" s="5">
        <f t="shared" si="187"/>
        <v>54832.332714596909</v>
      </c>
      <c r="AG187" s="5">
        <f t="shared" si="187"/>
        <v>54992.97328976031</v>
      </c>
      <c r="AH187" s="5">
        <f t="shared" si="187"/>
        <v>55153.613864923704</v>
      </c>
    </row>
    <row r="188" spans="1:34" x14ac:dyDescent="0.35">
      <c r="A188" t="s">
        <v>208</v>
      </c>
      <c r="B188" s="3" t="s">
        <v>1262</v>
      </c>
      <c r="C188" s="4" t="s">
        <v>1263</v>
      </c>
      <c r="D188" s="2">
        <f t="shared" si="131"/>
        <v>915291.63473835227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4631.162246256672</v>
      </c>
      <c r="R188" s="5">
        <v>125286.41568841458</v>
      </c>
      <c r="S188" s="5">
        <v>286813.51371658384</v>
      </c>
      <c r="T188" s="5">
        <v>161380.07700447852</v>
      </c>
      <c r="U188" s="5">
        <v>192070.71569990963</v>
      </c>
      <c r="V188" s="5">
        <v>145109.75038270905</v>
      </c>
      <c r="W188" s="5">
        <f t="shared" ref="W188:AH188" si="188">IF(OR((SLOPE($E188:$V188,$E$1:$V$1)*W$1+INTERCEPT($E188:$V188,$E$1:$V$1))&gt;(AVERAGE($E188:$V188)+_xlfn.STDEV.P($E188:$V188)),(SLOPE($E188:$V188,$E$1:$V$1)*W$1+INTERCEPT($E188:$V188,$E$1:$V$1))&lt;(AVERAGE($E188:$V188)-_xlfn.STDEV.P($E188:$V188))),V188,(SLOPE($E188:$V188,$E$1:$V$1)*W$1+INTERCEPT($E188:$V188,$E$1:$V$1)))</f>
        <v>145109.75038270905</v>
      </c>
      <c r="X188" s="5">
        <f t="shared" si="188"/>
        <v>145109.75038270905</v>
      </c>
      <c r="Y188" s="5">
        <f t="shared" si="188"/>
        <v>145109.75038270905</v>
      </c>
      <c r="Z188" s="5">
        <f t="shared" si="188"/>
        <v>145109.75038270905</v>
      </c>
      <c r="AA188" s="5">
        <f t="shared" si="188"/>
        <v>145109.75038270905</v>
      </c>
      <c r="AB188" s="5">
        <f t="shared" si="188"/>
        <v>145109.75038270905</v>
      </c>
      <c r="AC188" s="5">
        <f t="shared" si="188"/>
        <v>145109.75038270905</v>
      </c>
      <c r="AD188" s="5">
        <f t="shared" si="188"/>
        <v>145109.75038270905</v>
      </c>
      <c r="AE188" s="5">
        <f t="shared" si="188"/>
        <v>145109.75038270905</v>
      </c>
      <c r="AF188" s="5">
        <f t="shared" si="188"/>
        <v>145109.75038270905</v>
      </c>
      <c r="AG188" s="5">
        <f t="shared" si="188"/>
        <v>145109.75038270905</v>
      </c>
      <c r="AH188" s="5">
        <f t="shared" si="188"/>
        <v>145109.75038270905</v>
      </c>
    </row>
    <row r="189" spans="1:34" x14ac:dyDescent="0.35">
      <c r="A189" t="s">
        <v>209</v>
      </c>
      <c r="B189" s="3" t="s">
        <v>1262</v>
      </c>
      <c r="C189" s="4" t="s">
        <v>1263</v>
      </c>
      <c r="D189" s="2">
        <f t="shared" si="131"/>
        <v>946403.64000000013</v>
      </c>
      <c r="E189" s="5">
        <v>25511.850000000006</v>
      </c>
      <c r="F189" s="5">
        <v>41879.564999999988</v>
      </c>
      <c r="G189" s="5">
        <v>63206.32499999999</v>
      </c>
      <c r="H189" s="5">
        <v>54176.850000000006</v>
      </c>
      <c r="I189" s="5">
        <v>56126.070000000014</v>
      </c>
      <c r="J189" s="5">
        <v>62203.05</v>
      </c>
      <c r="K189" s="5">
        <v>55094.12999999999</v>
      </c>
      <c r="L189" s="5">
        <v>53030.25</v>
      </c>
      <c r="M189" s="5">
        <v>12325.95</v>
      </c>
      <c r="N189" s="5">
        <v>7596.2250000000004</v>
      </c>
      <c r="O189" s="5">
        <v>1547.91</v>
      </c>
      <c r="P189" s="5">
        <v>253398.6</v>
      </c>
      <c r="Q189" s="5">
        <v>52428.285000000003</v>
      </c>
      <c r="R189" s="5">
        <v>26801.775000000001</v>
      </c>
      <c r="S189" s="5">
        <v>47497.905000000006</v>
      </c>
      <c r="T189" s="5">
        <v>43570.8</v>
      </c>
      <c r="U189" s="5">
        <v>36117.9</v>
      </c>
      <c r="V189" s="5">
        <v>53890.2</v>
      </c>
      <c r="W189" s="5">
        <f t="shared" ref="W189:AH189" si="189">IF(OR((SLOPE($E189:$V189,$E$1:$V$1)*W$1+INTERCEPT($E189:$V189,$E$1:$V$1))&gt;(AVERAGE($E189:$V189)+_xlfn.STDEV.P($E189:$V189)),(SLOPE($E189:$V189,$E$1:$V$1)*W$1+INTERCEPT($E189:$V189,$E$1:$V$1))&lt;(AVERAGE($E189:$V189)-_xlfn.STDEV.P($E189:$V189))),V189,(SLOPE($E189:$V189,$E$1:$V$1)*W$1+INTERCEPT($E189:$V189,$E$1:$V$1)))</f>
        <v>58139.552058823545</v>
      </c>
      <c r="X189" s="5">
        <f t="shared" si="189"/>
        <v>58724.980696594444</v>
      </c>
      <c r="Y189" s="5">
        <f t="shared" si="189"/>
        <v>59310.409334365337</v>
      </c>
      <c r="Z189" s="5">
        <f t="shared" si="189"/>
        <v>59895.837972136236</v>
      </c>
      <c r="AA189" s="5">
        <f t="shared" si="189"/>
        <v>60481.266609907136</v>
      </c>
      <c r="AB189" s="5">
        <f t="shared" si="189"/>
        <v>61066.695247678035</v>
      </c>
      <c r="AC189" s="5">
        <f t="shared" si="189"/>
        <v>61652.123885448935</v>
      </c>
      <c r="AD189" s="5">
        <f t="shared" si="189"/>
        <v>62237.552523219827</v>
      </c>
      <c r="AE189" s="5">
        <f t="shared" si="189"/>
        <v>62822.981160990726</v>
      </c>
      <c r="AF189" s="5">
        <f t="shared" si="189"/>
        <v>63408.409798761626</v>
      </c>
      <c r="AG189" s="5">
        <f t="shared" si="189"/>
        <v>63993.838436532518</v>
      </c>
      <c r="AH189" s="5">
        <f t="shared" si="189"/>
        <v>64579.267074303425</v>
      </c>
    </row>
    <row r="190" spans="1:34" x14ac:dyDescent="0.35">
      <c r="A190" t="s">
        <v>210</v>
      </c>
      <c r="B190" s="3" t="s">
        <v>1262</v>
      </c>
      <c r="C190" s="4" t="s">
        <v>1263</v>
      </c>
      <c r="D190" s="2">
        <f t="shared" si="131"/>
        <v>928510.02457899053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131050.35522788462</v>
      </c>
      <c r="Q190" s="5">
        <v>23363.208323650226</v>
      </c>
      <c r="R190" s="5">
        <v>111068.21902053688</v>
      </c>
      <c r="S190" s="5">
        <v>204892.97024793105</v>
      </c>
      <c r="T190" s="5">
        <v>134194.75229604598</v>
      </c>
      <c r="U190" s="5">
        <v>147110.44778032144</v>
      </c>
      <c r="V190" s="5">
        <v>176830.0716826203</v>
      </c>
      <c r="W190" s="5">
        <f t="shared" ref="W190:AH190" si="190">IF(OR((SLOPE($E190:$V190,$E$1:$V$1)*W$1+INTERCEPT($E190:$V190,$E$1:$V$1))&gt;(AVERAGE($E190:$V190)+_xlfn.STDEV.P($E190:$V190)),(SLOPE($E190:$V190,$E$1:$V$1)*W$1+INTERCEPT($E190:$V190,$E$1:$V$1))&lt;(AVERAGE($E190:$V190)-_xlfn.STDEV.P($E190:$V190))),V190,(SLOPE($E190:$V190,$E$1:$V$1)*W$1+INTERCEPT($E190:$V190,$E$1:$V$1)))</f>
        <v>176830.0716826203</v>
      </c>
      <c r="X190" s="5">
        <f t="shared" si="190"/>
        <v>176830.0716826203</v>
      </c>
      <c r="Y190" s="5">
        <f t="shared" si="190"/>
        <v>176830.0716826203</v>
      </c>
      <c r="Z190" s="5">
        <f t="shared" si="190"/>
        <v>176830.0716826203</v>
      </c>
      <c r="AA190" s="5">
        <f t="shared" si="190"/>
        <v>176830.0716826203</v>
      </c>
      <c r="AB190" s="5">
        <f t="shared" si="190"/>
        <v>176830.0716826203</v>
      </c>
      <c r="AC190" s="5">
        <f t="shared" si="190"/>
        <v>176830.0716826203</v>
      </c>
      <c r="AD190" s="5">
        <f t="shared" si="190"/>
        <v>176830.0716826203</v>
      </c>
      <c r="AE190" s="5">
        <f t="shared" si="190"/>
        <v>176830.0716826203</v>
      </c>
      <c r="AF190" s="5">
        <f t="shared" si="190"/>
        <v>176830.0716826203</v>
      </c>
      <c r="AG190" s="5">
        <f t="shared" si="190"/>
        <v>176830.0716826203</v>
      </c>
      <c r="AH190" s="5">
        <f t="shared" si="190"/>
        <v>176830.0716826203</v>
      </c>
    </row>
    <row r="191" spans="1:34" x14ac:dyDescent="0.35">
      <c r="A191" t="s">
        <v>211</v>
      </c>
      <c r="B191" s="3" t="s">
        <v>1264</v>
      </c>
      <c r="C191" s="4" t="s">
        <v>1263</v>
      </c>
      <c r="D191" s="2">
        <f t="shared" si="131"/>
        <v>933617.51263157674</v>
      </c>
      <c r="E191" s="5">
        <v>0</v>
      </c>
      <c r="F191" s="5">
        <v>0</v>
      </c>
      <c r="G191" s="5">
        <v>77948.287710208228</v>
      </c>
      <c r="H191" s="5">
        <v>0</v>
      </c>
      <c r="I191" s="5">
        <v>0</v>
      </c>
      <c r="J191" s="5">
        <v>77861.525794201923</v>
      </c>
      <c r="K191" s="5">
        <v>78532.375476831774</v>
      </c>
      <c r="L191" s="5">
        <v>0</v>
      </c>
      <c r="M191" s="5">
        <v>104221.61478500761</v>
      </c>
      <c r="N191" s="5">
        <v>0</v>
      </c>
      <c r="O191" s="5">
        <v>51872.348541593412</v>
      </c>
      <c r="P191" s="5">
        <v>309709.26421756041</v>
      </c>
      <c r="Q191" s="5">
        <v>0</v>
      </c>
      <c r="R191" s="5">
        <v>77930.93532700697</v>
      </c>
      <c r="S191" s="5">
        <v>0</v>
      </c>
      <c r="T191" s="5">
        <v>77861.052878097922</v>
      </c>
      <c r="U191" s="5">
        <v>77680.107901068433</v>
      </c>
      <c r="V191" s="5">
        <v>0</v>
      </c>
      <c r="W191" s="5">
        <f t="shared" ref="W191:AH191" si="191">IF(OR((SLOPE($E191:$V191,$E$1:$V$1)*W$1+INTERCEPT($E191:$V191,$E$1:$V$1))&gt;(AVERAGE($E191:$V191)+_xlfn.STDEV.P($E191:$V191)),(SLOPE($E191:$V191,$E$1:$V$1)*W$1+INTERCEPT($E191:$V191,$E$1:$V$1))&lt;(AVERAGE($E191:$V191)-_xlfn.STDEV.P($E191:$V191))),V191,(SLOPE($E191:$V191,$E$1:$V$1)*W$1+INTERCEPT($E191:$V191,$E$1:$V$1)))</f>
        <v>76648.964861482935</v>
      </c>
      <c r="X191" s="5">
        <f t="shared" si="191"/>
        <v>79257.52541630817</v>
      </c>
      <c r="Y191" s="5">
        <f t="shared" si="191"/>
        <v>81866.085971133405</v>
      </c>
      <c r="Z191" s="5">
        <f t="shared" si="191"/>
        <v>84474.646525958655</v>
      </c>
      <c r="AA191" s="5">
        <f t="shared" si="191"/>
        <v>87083.20708078389</v>
      </c>
      <c r="AB191" s="5">
        <f t="shared" si="191"/>
        <v>89691.767635609125</v>
      </c>
      <c r="AC191" s="5">
        <f t="shared" si="191"/>
        <v>92300.328190434375</v>
      </c>
      <c r="AD191" s="5">
        <f t="shared" si="191"/>
        <v>94908.88874525961</v>
      </c>
      <c r="AE191" s="5">
        <f t="shared" si="191"/>
        <v>97517.449300084845</v>
      </c>
      <c r="AF191" s="5">
        <f t="shared" si="191"/>
        <v>100126.00985491009</v>
      </c>
      <c r="AG191" s="5">
        <f t="shared" si="191"/>
        <v>102734.57040973533</v>
      </c>
      <c r="AH191" s="5">
        <f t="shared" si="191"/>
        <v>105343.13096456057</v>
      </c>
    </row>
    <row r="192" spans="1:34" x14ac:dyDescent="0.35">
      <c r="A192" t="s">
        <v>212</v>
      </c>
      <c r="B192" s="3" t="s">
        <v>1262</v>
      </c>
      <c r="C192" s="4" t="s">
        <v>1263</v>
      </c>
      <c r="D192" s="2">
        <f t="shared" si="131"/>
        <v>923792.68800000008</v>
      </c>
      <c r="E192" s="5">
        <v>28779.659999999993</v>
      </c>
      <c r="F192" s="5">
        <v>47159.657999999989</v>
      </c>
      <c r="G192" s="5">
        <v>93058.056000000011</v>
      </c>
      <c r="H192" s="5">
        <v>91384.01999999999</v>
      </c>
      <c r="I192" s="5">
        <v>51402.077999999994</v>
      </c>
      <c r="J192" s="5">
        <v>71891.820000000007</v>
      </c>
      <c r="K192" s="5">
        <v>58877.909999999982</v>
      </c>
      <c r="L192" s="5">
        <v>72006.480000000025</v>
      </c>
      <c r="M192" s="5">
        <v>90982.709999999963</v>
      </c>
      <c r="N192" s="5">
        <v>152451.93599999999</v>
      </c>
      <c r="O192" s="5">
        <v>49762.439999999995</v>
      </c>
      <c r="P192" s="5">
        <v>40876.289999999994</v>
      </c>
      <c r="Q192" s="5">
        <v>9000.8099999999977</v>
      </c>
      <c r="R192" s="5">
        <v>17084.339999999997</v>
      </c>
      <c r="S192" s="5">
        <v>17772.3</v>
      </c>
      <c r="T192" s="5">
        <v>14963.129999999996</v>
      </c>
      <c r="U192" s="5">
        <v>7796.8799999999983</v>
      </c>
      <c r="V192" s="5">
        <v>8542.1699999999983</v>
      </c>
      <c r="W192" s="5">
        <f t="shared" ref="W192:AH192" si="192">IF(OR((SLOPE($E192:$V192,$E$1:$V$1)*W$1+INTERCEPT($E192:$V192,$E$1:$V$1))&gt;(AVERAGE($E192:$V192)+_xlfn.STDEV.P($E192:$V192)),(SLOPE($E192:$V192,$E$1:$V$1)*W$1+INTERCEPT($E192:$V192,$E$1:$V$1))&lt;(AVERAGE($E192:$V192)-_xlfn.STDEV.P($E192:$V192))),V192,(SLOPE($E192:$V192,$E$1:$V$1)*W$1+INTERCEPT($E192:$V192,$E$1:$V$1)))</f>
        <v>15990.348705882367</v>
      </c>
      <c r="X192" s="5">
        <f t="shared" si="192"/>
        <v>15990.348705882367</v>
      </c>
      <c r="Y192" s="5">
        <f t="shared" si="192"/>
        <v>15990.348705882367</v>
      </c>
      <c r="Z192" s="5">
        <f t="shared" si="192"/>
        <v>15990.348705882367</v>
      </c>
      <c r="AA192" s="5">
        <f t="shared" si="192"/>
        <v>15990.348705882367</v>
      </c>
      <c r="AB192" s="5">
        <f t="shared" si="192"/>
        <v>15990.348705882367</v>
      </c>
      <c r="AC192" s="5">
        <f t="shared" si="192"/>
        <v>15990.348705882367</v>
      </c>
      <c r="AD192" s="5">
        <f t="shared" si="192"/>
        <v>15990.348705882367</v>
      </c>
      <c r="AE192" s="5">
        <f t="shared" si="192"/>
        <v>15990.348705882367</v>
      </c>
      <c r="AF192" s="5">
        <f t="shared" si="192"/>
        <v>15990.348705882367</v>
      </c>
      <c r="AG192" s="5">
        <f t="shared" si="192"/>
        <v>15990.348705882367</v>
      </c>
      <c r="AH192" s="5">
        <f t="shared" si="192"/>
        <v>15990.348705882367</v>
      </c>
    </row>
    <row r="193" spans="1:34" x14ac:dyDescent="0.35">
      <c r="A193" t="s">
        <v>213</v>
      </c>
      <c r="B193" s="3" t="s">
        <v>1265</v>
      </c>
      <c r="C193" s="4" t="s">
        <v>1263</v>
      </c>
      <c r="D193" s="2">
        <f t="shared" si="131"/>
        <v>921485.59822983679</v>
      </c>
      <c r="E193" s="5">
        <v>97945.796425422523</v>
      </c>
      <c r="F193" s="5">
        <v>0</v>
      </c>
      <c r="G193" s="5">
        <v>0</v>
      </c>
      <c r="H193" s="5">
        <v>97510.118709879898</v>
      </c>
      <c r="I193" s="5">
        <v>187205.2683972143</v>
      </c>
      <c r="J193" s="5">
        <v>0</v>
      </c>
      <c r="K193" s="5">
        <v>0</v>
      </c>
      <c r="L193" s="5">
        <v>224646.32207665715</v>
      </c>
      <c r="M193" s="5">
        <v>98163.635283193827</v>
      </c>
      <c r="N193" s="5">
        <v>216014.45733746924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f t="shared" ref="W193:AH193" si="193">IF(OR((SLOPE($E193:$V193,$E$1:$V$1)*W$1+INTERCEPT($E193:$V193,$E$1:$V$1))&gt;(AVERAGE($E193:$V193)+_xlfn.STDEV.P($E193:$V193)),(SLOPE($E193:$V193,$E$1:$V$1)*W$1+INTERCEPT($E193:$V193,$E$1:$V$1))&lt;(AVERAGE($E193:$V193)-_xlfn.STDEV.P($E193:$V193))),V193,(SLOPE($E193:$V193,$E$1:$V$1)*W$1+INTERCEPT($E193:$V193,$E$1:$V$1)))</f>
        <v>2383.5913579502085</v>
      </c>
      <c r="X193" s="5">
        <f t="shared" si="193"/>
        <v>-2754.3089565920818</v>
      </c>
      <c r="Y193" s="5">
        <f t="shared" si="193"/>
        <v>-7892.2092711343721</v>
      </c>
      <c r="Z193" s="5">
        <f t="shared" si="193"/>
        <v>-13030.109585676677</v>
      </c>
      <c r="AA193" s="5">
        <f t="shared" si="193"/>
        <v>-18168.009900218982</v>
      </c>
      <c r="AB193" s="5">
        <f t="shared" si="193"/>
        <v>-23305.910214761272</v>
      </c>
      <c r="AC193" s="5">
        <f t="shared" si="193"/>
        <v>-23305.910214761272</v>
      </c>
      <c r="AD193" s="5">
        <f t="shared" si="193"/>
        <v>-23305.910214761272</v>
      </c>
      <c r="AE193" s="5">
        <f t="shared" si="193"/>
        <v>-23305.910214761272</v>
      </c>
      <c r="AF193" s="5">
        <f t="shared" si="193"/>
        <v>-23305.910214761272</v>
      </c>
      <c r="AG193" s="5">
        <f t="shared" si="193"/>
        <v>-23305.910214761272</v>
      </c>
      <c r="AH193" s="5">
        <f t="shared" si="193"/>
        <v>-23305.910214761272</v>
      </c>
    </row>
    <row r="194" spans="1:34" x14ac:dyDescent="0.35">
      <c r="A194" t="s">
        <v>214</v>
      </c>
      <c r="B194" s="3" t="s">
        <v>1265</v>
      </c>
      <c r="C194" s="4" t="s">
        <v>1263</v>
      </c>
      <c r="D194" s="2">
        <f t="shared" si="131"/>
        <v>900268.42500000005</v>
      </c>
      <c r="E194" s="5">
        <v>33538.049999999996</v>
      </c>
      <c r="F194" s="5">
        <v>44770.32</v>
      </c>
      <c r="G194" s="5">
        <v>46278.539999999979</v>
      </c>
      <c r="H194" s="5">
        <v>13752.585000000001</v>
      </c>
      <c r="I194" s="5">
        <v>3075.9749999999999</v>
      </c>
      <c r="J194" s="5">
        <v>122225.355</v>
      </c>
      <c r="K194" s="5">
        <v>47786.76</v>
      </c>
      <c r="L194" s="5">
        <v>31811.535</v>
      </c>
      <c r="M194" s="5">
        <v>60943.995000000003</v>
      </c>
      <c r="N194" s="5">
        <v>47231.100000000006</v>
      </c>
      <c r="O194" s="5">
        <v>58641.974999999984</v>
      </c>
      <c r="P194" s="5">
        <v>56498.715000000004</v>
      </c>
      <c r="Q194" s="5">
        <v>46873.890000000007</v>
      </c>
      <c r="R194" s="5">
        <v>46258.694999999992</v>
      </c>
      <c r="S194" s="5">
        <v>65925.090000000026</v>
      </c>
      <c r="T194" s="5">
        <v>70390.215000000026</v>
      </c>
      <c r="U194" s="5">
        <v>53462.430000000008</v>
      </c>
      <c r="V194" s="5">
        <v>50803.200000000012</v>
      </c>
      <c r="W194" s="5">
        <f t="shared" ref="W194:AH194" si="194">IF(OR((SLOPE($E194:$V194,$E$1:$V$1)*W$1+INTERCEPT($E194:$V194,$E$1:$V$1))&gt;(AVERAGE($E194:$V194)+_xlfn.STDEV.P($E194:$V194)),(SLOPE($E194:$V194,$E$1:$V$1)*W$1+INTERCEPT($E194:$V194,$E$1:$V$1))&lt;(AVERAGE($E194:$V194)-_xlfn.STDEV.P($E194:$V194))),V194,(SLOPE($E194:$V194,$E$1:$V$1)*W$1+INTERCEPT($E194:$V194,$E$1:$V$1)))</f>
        <v>62591.000294117664</v>
      </c>
      <c r="X194" s="5">
        <f t="shared" si="194"/>
        <v>63914.799009287948</v>
      </c>
      <c r="Y194" s="5">
        <f t="shared" si="194"/>
        <v>65238.597724458225</v>
      </c>
      <c r="Z194" s="5">
        <f t="shared" si="194"/>
        <v>66562.396439628501</v>
      </c>
      <c r="AA194" s="5">
        <f t="shared" si="194"/>
        <v>67886.195154798785</v>
      </c>
      <c r="AB194" s="5">
        <f t="shared" si="194"/>
        <v>69209.993869969068</v>
      </c>
      <c r="AC194" s="5">
        <f t="shared" si="194"/>
        <v>70533.792585139337</v>
      </c>
      <c r="AD194" s="5">
        <f t="shared" si="194"/>
        <v>71857.591300309621</v>
      </c>
      <c r="AE194" s="5">
        <f t="shared" si="194"/>
        <v>73181.390015479905</v>
      </c>
      <c r="AF194" s="5">
        <f t="shared" si="194"/>
        <v>73181.390015479905</v>
      </c>
      <c r="AG194" s="5">
        <f t="shared" si="194"/>
        <v>73181.390015479905</v>
      </c>
      <c r="AH194" s="5">
        <f t="shared" si="194"/>
        <v>73181.390015479905</v>
      </c>
    </row>
    <row r="195" spans="1:34" x14ac:dyDescent="0.35">
      <c r="A195" t="s">
        <v>215</v>
      </c>
      <c r="B195" s="3" t="s">
        <v>1265</v>
      </c>
      <c r="C195" s="4" t="s">
        <v>1263</v>
      </c>
      <c r="D195" s="2">
        <f t="shared" si="131"/>
        <v>893335.02300000016</v>
      </c>
      <c r="E195" s="5">
        <v>2923.83</v>
      </c>
      <c r="F195" s="5">
        <v>12257.595000000003</v>
      </c>
      <c r="G195" s="5">
        <v>57127.139999999985</v>
      </c>
      <c r="H195" s="5">
        <v>49480.200000000004</v>
      </c>
      <c r="I195" s="5">
        <v>47426.022000000004</v>
      </c>
      <c r="J195" s="5">
        <v>42395.534999999996</v>
      </c>
      <c r="K195" s="5">
        <v>86927.714999999997</v>
      </c>
      <c r="L195" s="5">
        <v>8636.5440000000017</v>
      </c>
      <c r="M195" s="5">
        <v>0</v>
      </c>
      <c r="N195" s="5">
        <v>125604.738</v>
      </c>
      <c r="O195" s="5">
        <v>50154.930000000008</v>
      </c>
      <c r="P195" s="5">
        <v>30250.395000000004</v>
      </c>
      <c r="Q195" s="5">
        <v>52966.305000000015</v>
      </c>
      <c r="R195" s="5">
        <v>62450.01</v>
      </c>
      <c r="S195" s="5">
        <v>74520.180000000022</v>
      </c>
      <c r="T195" s="5">
        <v>66280.977000000028</v>
      </c>
      <c r="U195" s="5">
        <v>73433.11500000002</v>
      </c>
      <c r="V195" s="5">
        <v>50499.792000000001</v>
      </c>
      <c r="W195" s="5">
        <f t="shared" ref="W195:AH195" si="195">IF(OR((SLOPE($E195:$V195,$E$1:$V$1)*W$1+INTERCEPT($E195:$V195,$E$1:$V$1))&gt;(AVERAGE($E195:$V195)+_xlfn.STDEV.P($E195:$V195)),(SLOPE($E195:$V195,$E$1:$V$1)*W$1+INTERCEPT($E195:$V195,$E$1:$V$1))&lt;(AVERAGE($E195:$V195)-_xlfn.STDEV.P($E195:$V195))),V195,(SLOPE($E195:$V195,$E$1:$V$1)*W$1+INTERCEPT($E195:$V195,$E$1:$V$1)))</f>
        <v>72147.845000000016</v>
      </c>
      <c r="X195" s="5">
        <f t="shared" si="195"/>
        <v>74518.17357894739</v>
      </c>
      <c r="Y195" s="5">
        <f t="shared" si="195"/>
        <v>76888.502157894749</v>
      </c>
      <c r="Z195" s="5">
        <f t="shared" si="195"/>
        <v>79258.830736842123</v>
      </c>
      <c r="AA195" s="5">
        <f t="shared" si="195"/>
        <v>79258.830736842123</v>
      </c>
      <c r="AB195" s="5">
        <f t="shared" si="195"/>
        <v>79258.830736842123</v>
      </c>
      <c r="AC195" s="5">
        <f t="shared" si="195"/>
        <v>79258.830736842123</v>
      </c>
      <c r="AD195" s="5">
        <f t="shared" si="195"/>
        <v>79258.830736842123</v>
      </c>
      <c r="AE195" s="5">
        <f t="shared" si="195"/>
        <v>79258.830736842123</v>
      </c>
      <c r="AF195" s="5">
        <f t="shared" si="195"/>
        <v>79258.830736842123</v>
      </c>
      <c r="AG195" s="5">
        <f t="shared" si="195"/>
        <v>79258.830736842123</v>
      </c>
      <c r="AH195" s="5">
        <f t="shared" si="195"/>
        <v>79258.830736842123</v>
      </c>
    </row>
    <row r="196" spans="1:34" x14ac:dyDescent="0.35">
      <c r="A196" t="s">
        <v>216</v>
      </c>
      <c r="B196" s="3" t="s">
        <v>1262</v>
      </c>
      <c r="C196" s="4" t="s">
        <v>1263</v>
      </c>
      <c r="D196" s="2">
        <f t="shared" ref="D196:D259" si="196">SUM(E196:V196)</f>
        <v>892556.65800000005</v>
      </c>
      <c r="E196" s="5">
        <v>132802.74000000002</v>
      </c>
      <c r="F196" s="5">
        <v>9446.2199999999993</v>
      </c>
      <c r="G196" s="5">
        <v>889.05600000000004</v>
      </c>
      <c r="H196" s="5">
        <v>4167.45</v>
      </c>
      <c r="I196" s="5">
        <v>2500.4699999999998</v>
      </c>
      <c r="J196" s="5">
        <v>38562.803999999989</v>
      </c>
      <c r="K196" s="5">
        <v>29894.508000000002</v>
      </c>
      <c r="L196" s="5">
        <v>16503.101999999999</v>
      </c>
      <c r="M196" s="5">
        <v>38062.710000000014</v>
      </c>
      <c r="N196" s="5">
        <v>19559.232</v>
      </c>
      <c r="O196" s="5">
        <v>52065.342000000011</v>
      </c>
      <c r="P196" s="5">
        <v>155306.97</v>
      </c>
      <c r="Q196" s="5">
        <v>23448.852000000003</v>
      </c>
      <c r="R196" s="5">
        <v>57177.414000000004</v>
      </c>
      <c r="S196" s="5">
        <v>180922.89600000001</v>
      </c>
      <c r="T196" s="5">
        <v>52621.002</v>
      </c>
      <c r="U196" s="5">
        <v>32895.072</v>
      </c>
      <c r="V196" s="5">
        <v>45730.818000000007</v>
      </c>
      <c r="W196" s="5">
        <f t="shared" ref="W196:AH196" si="197">IF(OR((SLOPE($E196:$V196,$E$1:$V$1)*W$1+INTERCEPT($E196:$V196,$E$1:$V$1))&gt;(AVERAGE($E196:$V196)+_xlfn.STDEV.P($E196:$V196)),(SLOPE($E196:$V196,$E$1:$V$1)*W$1+INTERCEPT($E196:$V196,$E$1:$V$1))&lt;(AVERAGE($E196:$V196)-_xlfn.STDEV.P($E196:$V196))),V196,(SLOPE($E196:$V196,$E$1:$V$1)*W$1+INTERCEPT($E196:$V196,$E$1:$V$1)))</f>
        <v>74977.41917647059</v>
      </c>
      <c r="X196" s="5">
        <f t="shared" si="197"/>
        <v>77650.149510835909</v>
      </c>
      <c r="Y196" s="5">
        <f t="shared" si="197"/>
        <v>80322.879845201242</v>
      </c>
      <c r="Z196" s="5">
        <f t="shared" si="197"/>
        <v>82995.610179566575</v>
      </c>
      <c r="AA196" s="5">
        <f t="shared" si="197"/>
        <v>85668.340513931893</v>
      </c>
      <c r="AB196" s="5">
        <f t="shared" si="197"/>
        <v>88341.070848297211</v>
      </c>
      <c r="AC196" s="5">
        <f t="shared" si="197"/>
        <v>91013.801182662544</v>
      </c>
      <c r="AD196" s="5">
        <f t="shared" si="197"/>
        <v>93686.531517027863</v>
      </c>
      <c r="AE196" s="5">
        <f t="shared" si="197"/>
        <v>96359.261851393196</v>
      </c>
      <c r="AF196" s="5">
        <f t="shared" si="197"/>
        <v>99031.992185758514</v>
      </c>
      <c r="AG196" s="5">
        <f t="shared" si="197"/>
        <v>99031.992185758514</v>
      </c>
      <c r="AH196" s="5">
        <f t="shared" si="197"/>
        <v>99031.992185758514</v>
      </c>
    </row>
    <row r="197" spans="1:34" x14ac:dyDescent="0.35">
      <c r="A197" t="s">
        <v>217</v>
      </c>
      <c r="B197" s="3" t="s">
        <v>1265</v>
      </c>
      <c r="C197" s="4" t="s">
        <v>1263</v>
      </c>
      <c r="D197" s="2">
        <f t="shared" si="196"/>
        <v>878018.65199999965</v>
      </c>
      <c r="E197" s="5">
        <v>18601.379999999994</v>
      </c>
      <c r="F197" s="5">
        <v>39146.68799999998</v>
      </c>
      <c r="G197" s="5">
        <v>31538.555999999986</v>
      </c>
      <c r="H197" s="5">
        <v>44810.891999999985</v>
      </c>
      <c r="I197" s="5">
        <v>30197.915999999987</v>
      </c>
      <c r="J197" s="5">
        <v>32678.099999999988</v>
      </c>
      <c r="K197" s="5">
        <v>55267.883999999976</v>
      </c>
      <c r="L197" s="5">
        <v>46553.723999999973</v>
      </c>
      <c r="M197" s="5">
        <v>70718.759999999966</v>
      </c>
      <c r="N197" s="5">
        <v>46754.819999999978</v>
      </c>
      <c r="O197" s="5">
        <v>61501.859999999971</v>
      </c>
      <c r="P197" s="5">
        <v>75075.839999999982</v>
      </c>
      <c r="Q197" s="5">
        <v>18701.927999999993</v>
      </c>
      <c r="R197" s="5">
        <v>0</v>
      </c>
      <c r="S197" s="5">
        <v>130712.39999999992</v>
      </c>
      <c r="T197" s="5">
        <v>115328.55599999995</v>
      </c>
      <c r="U197" s="5">
        <v>16959.095999999994</v>
      </c>
      <c r="V197" s="5">
        <v>43470.251999999993</v>
      </c>
      <c r="W197" s="5">
        <f t="shared" ref="W197:AH197" si="198">IF(OR((SLOPE($E197:$V197,$E$1:$V$1)*W$1+INTERCEPT($E197:$V197,$E$1:$V$1))&gt;(AVERAGE($E197:$V197)+_xlfn.STDEV.P($E197:$V197)),(SLOPE($E197:$V197,$E$1:$V$1)*W$1+INTERCEPT($E197:$V197,$E$1:$V$1))&lt;(AVERAGE($E197:$V197)-_xlfn.STDEV.P($E197:$V197))),V197,(SLOPE($E197:$V197,$E$1:$V$1)*W$1+INTERCEPT($E197:$V197,$E$1:$V$1)))</f>
        <v>67155.76823529409</v>
      </c>
      <c r="X197" s="5">
        <f t="shared" si="198"/>
        <v>69090.18447058821</v>
      </c>
      <c r="Y197" s="5">
        <f t="shared" si="198"/>
        <v>71024.600705882331</v>
      </c>
      <c r="Z197" s="5">
        <f t="shared" si="198"/>
        <v>72959.016941176436</v>
      </c>
      <c r="AA197" s="5">
        <f t="shared" si="198"/>
        <v>74893.433176470571</v>
      </c>
      <c r="AB197" s="5">
        <f t="shared" si="198"/>
        <v>76827.849411764677</v>
      </c>
      <c r="AC197" s="5">
        <f t="shared" si="198"/>
        <v>78762.265647058797</v>
      </c>
      <c r="AD197" s="5">
        <f t="shared" si="198"/>
        <v>80696.681882352917</v>
      </c>
      <c r="AE197" s="5">
        <f t="shared" si="198"/>
        <v>80696.681882352917</v>
      </c>
      <c r="AF197" s="5">
        <f t="shared" si="198"/>
        <v>80696.681882352917</v>
      </c>
      <c r="AG197" s="5">
        <f t="shared" si="198"/>
        <v>80696.681882352917</v>
      </c>
      <c r="AH197" s="5">
        <f t="shared" si="198"/>
        <v>80696.681882352917</v>
      </c>
    </row>
    <row r="198" spans="1:34" x14ac:dyDescent="0.35">
      <c r="A198" t="s">
        <v>218</v>
      </c>
      <c r="B198" s="3" t="s">
        <v>1262</v>
      </c>
      <c r="C198" s="4" t="s">
        <v>1263</v>
      </c>
      <c r="D198" s="2">
        <f t="shared" si="196"/>
        <v>896435.69399999978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18860.688000000002</v>
      </c>
      <c r="K198" s="5">
        <v>194544.50399999996</v>
      </c>
      <c r="L198" s="5">
        <v>349.27199999999988</v>
      </c>
      <c r="M198" s="5">
        <v>27112.239000000005</v>
      </c>
      <c r="N198" s="5">
        <v>38798.29800000001</v>
      </c>
      <c r="O198" s="5">
        <v>171841.82399999996</v>
      </c>
      <c r="P198" s="5">
        <v>4686.0659999999998</v>
      </c>
      <c r="Q198" s="5">
        <v>5297.2919999999995</v>
      </c>
      <c r="R198" s="5">
        <v>4700.6189999999997</v>
      </c>
      <c r="S198" s="5">
        <v>337309.43400000001</v>
      </c>
      <c r="T198" s="5">
        <v>86910.515999999989</v>
      </c>
      <c r="U198" s="5">
        <v>3841.9919999999993</v>
      </c>
      <c r="V198" s="5">
        <v>2182.9499999999998</v>
      </c>
      <c r="W198" s="5">
        <f t="shared" ref="W198:AH198" si="199">IF(OR((SLOPE($E198:$V198,$E$1:$V$1)*W$1+INTERCEPT($E198:$V198,$E$1:$V$1))&gt;(AVERAGE($E198:$V198)+_xlfn.STDEV.P($E198:$V198)),(SLOPE($E198:$V198,$E$1:$V$1)*W$1+INTERCEPT($E198:$V198,$E$1:$V$1))&lt;(AVERAGE($E198:$V198)-_xlfn.STDEV.P($E198:$V198))),V198,(SLOPE($E198:$V198,$E$1:$V$1)*W$1+INTERCEPT($E198:$V198,$E$1:$V$1)))</f>
        <v>93519.765705882339</v>
      </c>
      <c r="X198" s="5">
        <f t="shared" si="199"/>
        <v>98121.637569659433</v>
      </c>
      <c r="Y198" s="5">
        <f t="shared" si="199"/>
        <v>102723.50943343651</v>
      </c>
      <c r="Z198" s="5">
        <f t="shared" si="199"/>
        <v>107325.38129721361</v>
      </c>
      <c r="AA198" s="5">
        <f t="shared" si="199"/>
        <v>111927.2531609907</v>
      </c>
      <c r="AB198" s="5">
        <f t="shared" si="199"/>
        <v>116529.12502476778</v>
      </c>
      <c r="AC198" s="5">
        <f t="shared" si="199"/>
        <v>121130.99688854488</v>
      </c>
      <c r="AD198" s="5">
        <f t="shared" si="199"/>
        <v>125732.86875232197</v>
      </c>
      <c r="AE198" s="5">
        <f t="shared" si="199"/>
        <v>130334.74061609906</v>
      </c>
      <c r="AF198" s="5">
        <f t="shared" si="199"/>
        <v>134936.61247987614</v>
      </c>
      <c r="AG198" s="5">
        <f t="shared" si="199"/>
        <v>139538.48434365325</v>
      </c>
      <c r="AH198" s="5">
        <f t="shared" si="199"/>
        <v>139538.48434365325</v>
      </c>
    </row>
    <row r="199" spans="1:34" x14ac:dyDescent="0.35">
      <c r="A199" t="s">
        <v>219</v>
      </c>
      <c r="B199" s="3" t="s">
        <v>1266</v>
      </c>
      <c r="C199" s="4" t="s">
        <v>1266</v>
      </c>
      <c r="D199" s="2">
        <f t="shared" si="196"/>
        <v>891996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891996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f t="shared" ref="W199:AH199" si="200">IF(OR((SLOPE($E199:$V199,$E$1:$V$1)*W$1+INTERCEPT($E199:$V199,$E$1:$V$1))&gt;(AVERAGE($E199:$V199)+_xlfn.STDEV.P($E199:$V199)),(SLOPE($E199:$V199,$E$1:$V$1)*W$1+INTERCEPT($E199:$V199,$E$1:$V$1))&lt;(AVERAGE($E199:$V199)-_xlfn.STDEV.P($E199:$V199))),V199,(SLOPE($E199:$V199,$E$1:$V$1)*W$1+INTERCEPT($E199:$V199,$E$1:$V$1)))</f>
        <v>93280.627450980392</v>
      </c>
      <c r="X199" s="5">
        <f t="shared" si="200"/>
        <v>97883.289989680081</v>
      </c>
      <c r="Y199" s="5">
        <f t="shared" si="200"/>
        <v>102485.95252837977</v>
      </c>
      <c r="Z199" s="5">
        <f t="shared" si="200"/>
        <v>107088.61506707946</v>
      </c>
      <c r="AA199" s="5">
        <f t="shared" si="200"/>
        <v>111691.27760577915</v>
      </c>
      <c r="AB199" s="5">
        <f t="shared" si="200"/>
        <v>116293.94014447885</v>
      </c>
      <c r="AC199" s="5">
        <f t="shared" si="200"/>
        <v>120896.60268317854</v>
      </c>
      <c r="AD199" s="5">
        <f t="shared" si="200"/>
        <v>125499.26522187823</v>
      </c>
      <c r="AE199" s="5">
        <f t="shared" si="200"/>
        <v>130101.92776057792</v>
      </c>
      <c r="AF199" s="5">
        <f t="shared" si="200"/>
        <v>134704.59029927762</v>
      </c>
      <c r="AG199" s="5">
        <f t="shared" si="200"/>
        <v>139307.25283797731</v>
      </c>
      <c r="AH199" s="5">
        <f t="shared" si="200"/>
        <v>143909.915376677</v>
      </c>
    </row>
    <row r="200" spans="1:34" x14ac:dyDescent="0.35">
      <c r="A200" t="s">
        <v>220</v>
      </c>
      <c r="B200" s="3" t="s">
        <v>1265</v>
      </c>
      <c r="C200" s="4" t="s">
        <v>1263</v>
      </c>
      <c r="D200" s="2">
        <f t="shared" si="196"/>
        <v>884554.90962002694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156622.14877207126</v>
      </c>
      <c r="L200" s="5">
        <v>0</v>
      </c>
      <c r="M200" s="5">
        <v>154909.74661216329</v>
      </c>
      <c r="N200" s="5">
        <v>110841.49468599484</v>
      </c>
      <c r="O200" s="5">
        <v>151401.41047966891</v>
      </c>
      <c r="P200" s="5">
        <v>201228.13674235716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109551.97232777145</v>
      </c>
      <c r="W200" s="5">
        <f t="shared" ref="W200:AH200" si="201">IF(OR((SLOPE($E200:$V200,$E$1:$V$1)*W$1+INTERCEPT($E200:$V200,$E$1:$V$1))&gt;(AVERAGE($E200:$V200)+_xlfn.STDEV.P($E200:$V200)),(SLOPE($E200:$V200,$E$1:$V$1)*W$1+INTERCEPT($E200:$V200,$E$1:$V$1))&lt;(AVERAGE($E200:$V200)-_xlfn.STDEV.P($E200:$V200))),V200,(SLOPE($E200:$V200,$E$1:$V$1)*W$1+INTERCEPT($E200:$V200,$E$1:$V$1)))</f>
        <v>73608.110491338579</v>
      </c>
      <c r="X200" s="5">
        <f t="shared" si="201"/>
        <v>76183.496919549492</v>
      </c>
      <c r="Y200" s="5">
        <f t="shared" si="201"/>
        <v>78758.88334776042</v>
      </c>
      <c r="Z200" s="5">
        <f t="shared" si="201"/>
        <v>81334.269775971334</v>
      </c>
      <c r="AA200" s="5">
        <f t="shared" si="201"/>
        <v>83909.656204182262</v>
      </c>
      <c r="AB200" s="5">
        <f t="shared" si="201"/>
        <v>86485.042632393175</v>
      </c>
      <c r="AC200" s="5">
        <f t="shared" si="201"/>
        <v>89060.429060604103</v>
      </c>
      <c r="AD200" s="5">
        <f t="shared" si="201"/>
        <v>91635.815488815017</v>
      </c>
      <c r="AE200" s="5">
        <f t="shared" si="201"/>
        <v>94211.201917025945</v>
      </c>
      <c r="AF200" s="5">
        <f t="shared" si="201"/>
        <v>96786.588345236858</v>
      </c>
      <c r="AG200" s="5">
        <f t="shared" si="201"/>
        <v>99361.974773447771</v>
      </c>
      <c r="AH200" s="5">
        <f t="shared" si="201"/>
        <v>101937.3612016587</v>
      </c>
    </row>
    <row r="201" spans="1:34" x14ac:dyDescent="0.35">
      <c r="A201" t="s">
        <v>221</v>
      </c>
      <c r="B201" s="3" t="s">
        <v>1262</v>
      </c>
      <c r="C201" s="4" t="s">
        <v>1263</v>
      </c>
      <c r="D201" s="2">
        <f t="shared" si="196"/>
        <v>872004.03920000012</v>
      </c>
      <c r="E201" s="5">
        <v>36911.798000000003</v>
      </c>
      <c r="F201" s="5">
        <v>55813.959600000002</v>
      </c>
      <c r="G201" s="5">
        <v>103671.29919999999</v>
      </c>
      <c r="H201" s="5">
        <v>41042.321599999996</v>
      </c>
      <c r="I201" s="5">
        <v>62020.12319999998</v>
      </c>
      <c r="J201" s="5">
        <v>41748.039199999992</v>
      </c>
      <c r="K201" s="5">
        <v>43069.529999999992</v>
      </c>
      <c r="L201" s="5">
        <v>45754.024399999988</v>
      </c>
      <c r="M201" s="5">
        <v>106521.84479999999</v>
      </c>
      <c r="N201" s="5">
        <v>37029.417599999993</v>
      </c>
      <c r="O201" s="5">
        <v>65777.031599999988</v>
      </c>
      <c r="P201" s="5">
        <v>24817.7356</v>
      </c>
      <c r="Q201" s="5">
        <v>15698.757199999996</v>
      </c>
      <c r="R201" s="5">
        <v>62123.905199999987</v>
      </c>
      <c r="S201" s="5">
        <v>56789.510399999999</v>
      </c>
      <c r="T201" s="5">
        <v>23364.787599999996</v>
      </c>
      <c r="U201" s="5">
        <v>29771.596399999999</v>
      </c>
      <c r="V201" s="5">
        <v>20078.357600000003</v>
      </c>
      <c r="W201" s="5">
        <f t="shared" ref="W201:AH201" si="202">IF(OR((SLOPE($E201:$V201,$E$1:$V$1)*W$1+INTERCEPT($E201:$V201,$E$1:$V$1))&gt;(AVERAGE($E201:$V201)+_xlfn.STDEV.P($E201:$V201)),(SLOPE($E201:$V201,$E$1:$V$1)*W$1+INTERCEPT($E201:$V201,$E$1:$V$1))&lt;(AVERAGE($E201:$V201)-_xlfn.STDEV.P($E201:$V201))),V201,(SLOPE($E201:$V201,$E$1:$V$1)*W$1+INTERCEPT($E201:$V201,$E$1:$V$1)))</f>
        <v>30506.798036601307</v>
      </c>
      <c r="X201" s="5">
        <f t="shared" si="202"/>
        <v>28618.601109459923</v>
      </c>
      <c r="Y201" s="5">
        <f t="shared" si="202"/>
        <v>26730.404182318547</v>
      </c>
      <c r="Z201" s="5">
        <f t="shared" si="202"/>
        <v>24842.207255177163</v>
      </c>
      <c r="AA201" s="5">
        <f t="shared" si="202"/>
        <v>24842.207255177163</v>
      </c>
      <c r="AB201" s="5">
        <f t="shared" si="202"/>
        <v>24842.207255177163</v>
      </c>
      <c r="AC201" s="5">
        <f t="shared" si="202"/>
        <v>24842.207255177163</v>
      </c>
      <c r="AD201" s="5">
        <f t="shared" si="202"/>
        <v>24842.207255177163</v>
      </c>
      <c r="AE201" s="5">
        <f t="shared" si="202"/>
        <v>24842.207255177163</v>
      </c>
      <c r="AF201" s="5">
        <f t="shared" si="202"/>
        <v>24842.207255177163</v>
      </c>
      <c r="AG201" s="5">
        <f t="shared" si="202"/>
        <v>24842.207255177163</v>
      </c>
      <c r="AH201" s="5">
        <f t="shared" si="202"/>
        <v>24842.207255177163</v>
      </c>
    </row>
    <row r="202" spans="1:34" x14ac:dyDescent="0.35">
      <c r="A202" t="s">
        <v>222</v>
      </c>
      <c r="B202" s="3" t="s">
        <v>1262</v>
      </c>
      <c r="C202" s="4" t="s">
        <v>1263</v>
      </c>
      <c r="D202" s="2">
        <f t="shared" si="196"/>
        <v>861042.79799999984</v>
      </c>
      <c r="E202" s="5">
        <v>42280.434000000008</v>
      </c>
      <c r="F202" s="5">
        <v>47575.961999999992</v>
      </c>
      <c r="G202" s="5">
        <v>48145.733999999997</v>
      </c>
      <c r="H202" s="5">
        <v>58032.954000000005</v>
      </c>
      <c r="I202" s="5">
        <v>32611.068000000007</v>
      </c>
      <c r="J202" s="5">
        <v>54631.079999999994</v>
      </c>
      <c r="K202" s="5">
        <v>47307.833999999995</v>
      </c>
      <c r="L202" s="5">
        <v>39398.057999999997</v>
      </c>
      <c r="M202" s="5">
        <v>63780.948000000004</v>
      </c>
      <c r="N202" s="5">
        <v>52620.119999999995</v>
      </c>
      <c r="O202" s="5">
        <v>38878.55999999999</v>
      </c>
      <c r="P202" s="5">
        <v>56491.218000000008</v>
      </c>
      <c r="Q202" s="5">
        <v>48564.683999999994</v>
      </c>
      <c r="R202" s="5">
        <v>48212.765999999996</v>
      </c>
      <c r="S202" s="5">
        <v>40219.200000000004</v>
      </c>
      <c r="T202" s="5">
        <v>55435.463999999993</v>
      </c>
      <c r="U202" s="5">
        <v>42699.384000000005</v>
      </c>
      <c r="V202" s="5">
        <v>44157.33</v>
      </c>
      <c r="W202" s="5">
        <f t="shared" ref="W202:AH202" si="203">IF(OR((SLOPE($E202:$V202,$E$1:$V$1)*W$1+INTERCEPT($E202:$V202,$E$1:$V$1))&gt;(AVERAGE($E202:$V202)+_xlfn.STDEV.P($E202:$V202)),(SLOPE($E202:$V202,$E$1:$V$1)*W$1+INTERCEPT($E202:$V202,$E$1:$V$1))&lt;(AVERAGE($E202:$V202)-_xlfn.STDEV.P($E202:$V202))),V202,(SLOPE($E202:$V202,$E$1:$V$1)*W$1+INTERCEPT($E202:$V202,$E$1:$V$1)))</f>
        <v>47725.141058823523</v>
      </c>
      <c r="X202" s="5">
        <f t="shared" si="203"/>
        <v>47713.502117647047</v>
      </c>
      <c r="Y202" s="5">
        <f t="shared" si="203"/>
        <v>47701.863176470579</v>
      </c>
      <c r="Z202" s="5">
        <f t="shared" si="203"/>
        <v>47690.22423529411</v>
      </c>
      <c r="AA202" s="5">
        <f t="shared" si="203"/>
        <v>47678.585294117634</v>
      </c>
      <c r="AB202" s="5">
        <f t="shared" si="203"/>
        <v>47666.946352941166</v>
      </c>
      <c r="AC202" s="5">
        <f t="shared" si="203"/>
        <v>47655.307411764697</v>
      </c>
      <c r="AD202" s="5">
        <f t="shared" si="203"/>
        <v>47643.668470588229</v>
      </c>
      <c r="AE202" s="5">
        <f t="shared" si="203"/>
        <v>47632.029529411753</v>
      </c>
      <c r="AF202" s="5">
        <f t="shared" si="203"/>
        <v>47620.390588235285</v>
      </c>
      <c r="AG202" s="5">
        <f t="shared" si="203"/>
        <v>47608.751647058816</v>
      </c>
      <c r="AH202" s="5">
        <f t="shared" si="203"/>
        <v>47597.11270588234</v>
      </c>
    </row>
    <row r="203" spans="1:34" x14ac:dyDescent="0.35">
      <c r="A203" t="s">
        <v>223</v>
      </c>
      <c r="B203" s="3" t="s">
        <v>1265</v>
      </c>
      <c r="C203" s="4" t="s">
        <v>1263</v>
      </c>
      <c r="D203" s="2">
        <f t="shared" si="196"/>
        <v>840522.71309461305</v>
      </c>
      <c r="E203" s="5">
        <v>0</v>
      </c>
      <c r="F203" s="5">
        <v>44026.150734241186</v>
      </c>
      <c r="G203" s="5">
        <v>52249.975589029942</v>
      </c>
      <c r="H203" s="5">
        <v>52441.227329838985</v>
      </c>
      <c r="I203" s="5">
        <v>7344.0668470671662</v>
      </c>
      <c r="J203" s="5">
        <v>25398.23117944062</v>
      </c>
      <c r="K203" s="5">
        <v>163252.48595459721</v>
      </c>
      <c r="L203" s="5">
        <v>0</v>
      </c>
      <c r="M203" s="5">
        <v>32818.798722831394</v>
      </c>
      <c r="N203" s="5">
        <v>16160.772098363946</v>
      </c>
      <c r="O203" s="5">
        <v>63027.011183619383</v>
      </c>
      <c r="P203" s="5">
        <v>51331.967233146541</v>
      </c>
      <c r="Q203" s="5">
        <v>78183.711642735871</v>
      </c>
      <c r="R203" s="5">
        <v>46971.42754270041</v>
      </c>
      <c r="S203" s="5">
        <v>60779.80322911316</v>
      </c>
      <c r="T203" s="5">
        <v>60588.551488304125</v>
      </c>
      <c r="U203" s="5">
        <v>28267.007291576228</v>
      </c>
      <c r="V203" s="5">
        <v>57681.525028006698</v>
      </c>
      <c r="W203" s="5">
        <f t="shared" ref="W203:AH203" si="204">IF(OR((SLOPE($E203:$V203,$E$1:$V$1)*W$1+INTERCEPT($E203:$V203,$E$1:$V$1))&gt;(AVERAGE($E203:$V203)+_xlfn.STDEV.P($E203:$V203)),(SLOPE($E203:$V203,$E$1:$V$1)*W$1+INTERCEPT($E203:$V203,$E$1:$V$1))&lt;(AVERAGE($E203:$V203)-_xlfn.STDEV.P($E203:$V203))),V203,(SLOPE($E203:$V203,$E$1:$V$1)*W$1+INTERCEPT($E203:$V203,$E$1:$V$1)))</f>
        <v>59276.977050108791</v>
      </c>
      <c r="X203" s="5">
        <f t="shared" si="204"/>
        <v>60601.321341379815</v>
      </c>
      <c r="Y203" s="5">
        <f t="shared" si="204"/>
        <v>61925.665632650838</v>
      </c>
      <c r="Z203" s="5">
        <f t="shared" si="204"/>
        <v>63250.009923921869</v>
      </c>
      <c r="AA203" s="5">
        <f t="shared" si="204"/>
        <v>64574.354215192885</v>
      </c>
      <c r="AB203" s="5">
        <f t="shared" si="204"/>
        <v>65898.698506463916</v>
      </c>
      <c r="AC203" s="5">
        <f t="shared" si="204"/>
        <v>67223.042797734932</v>
      </c>
      <c r="AD203" s="5">
        <f t="shared" si="204"/>
        <v>68547.387089005962</v>
      </c>
      <c r="AE203" s="5">
        <f t="shared" si="204"/>
        <v>69871.731380276993</v>
      </c>
      <c r="AF203" s="5">
        <f t="shared" si="204"/>
        <v>71196.075671548009</v>
      </c>
      <c r="AG203" s="5">
        <f t="shared" si="204"/>
        <v>72520.41996281904</v>
      </c>
      <c r="AH203" s="5">
        <f t="shared" si="204"/>
        <v>73844.764254090056</v>
      </c>
    </row>
    <row r="204" spans="1:34" x14ac:dyDescent="0.35">
      <c r="A204" t="s">
        <v>224</v>
      </c>
      <c r="B204" s="3" t="s">
        <v>1265</v>
      </c>
      <c r="C204" s="4" t="s">
        <v>1263</v>
      </c>
      <c r="D204" s="2">
        <f t="shared" si="196"/>
        <v>846823.87621951615</v>
      </c>
      <c r="E204" s="5">
        <v>41767.329663861805</v>
      </c>
      <c r="F204" s="5">
        <v>49951.131414009164</v>
      </c>
      <c r="G204" s="5">
        <v>46008.934229486964</v>
      </c>
      <c r="H204" s="5">
        <v>44661.601014523687</v>
      </c>
      <c r="I204" s="5">
        <v>55440.266734229961</v>
      </c>
      <c r="J204" s="5">
        <v>42964.95918827362</v>
      </c>
      <c r="K204" s="5">
        <v>54891.353202207887</v>
      </c>
      <c r="L204" s="5">
        <v>32984.713151508549</v>
      </c>
      <c r="M204" s="5">
        <v>50350.341255479791</v>
      </c>
      <c r="N204" s="5">
        <v>37276.218947317531</v>
      </c>
      <c r="O204" s="5">
        <v>55939.279036068212</v>
      </c>
      <c r="P204" s="5">
        <v>60330.587292244847</v>
      </c>
      <c r="Q204" s="5">
        <v>33833.034064633583</v>
      </c>
      <c r="R204" s="5">
        <v>40919.008750736786</v>
      </c>
      <c r="S204" s="5">
        <v>65670.018921914132</v>
      </c>
      <c r="T204" s="5">
        <v>33284.120532611501</v>
      </c>
      <c r="U204" s="5">
        <v>50799.452327134197</v>
      </c>
      <c r="V204" s="5">
        <v>49751.526493273872</v>
      </c>
      <c r="W204" s="5">
        <f t="shared" ref="W204:AH204" si="205">IF(OR((SLOPE($E204:$V204,$E$1:$V$1)*W$1+INTERCEPT($E204:$V204,$E$1:$V$1))&gt;(AVERAGE($E204:$V204)+_xlfn.STDEV.P($E204:$V204)),(SLOPE($E204:$V204,$E$1:$V$1)*W$1+INTERCEPT($E204:$V204,$E$1:$V$1))&lt;(AVERAGE($E204:$V204)-_xlfn.STDEV.P($E204:$V204))),V204,(SLOPE($E204:$V204,$E$1:$V$1)*W$1+INTERCEPT($E204:$V204,$E$1:$V$1)))</f>
        <v>48050.644693217335</v>
      </c>
      <c r="X204" s="5">
        <f t="shared" si="205"/>
        <v>48156.420881862927</v>
      </c>
      <c r="Y204" s="5">
        <f t="shared" si="205"/>
        <v>48262.197070508519</v>
      </c>
      <c r="Z204" s="5">
        <f t="shared" si="205"/>
        <v>48367.973259154111</v>
      </c>
      <c r="AA204" s="5">
        <f t="shared" si="205"/>
        <v>48473.749447799702</v>
      </c>
      <c r="AB204" s="5">
        <f t="shared" si="205"/>
        <v>48579.525636445287</v>
      </c>
      <c r="AC204" s="5">
        <f t="shared" si="205"/>
        <v>48685.301825090879</v>
      </c>
      <c r="AD204" s="5">
        <f t="shared" si="205"/>
        <v>48791.078013736471</v>
      </c>
      <c r="AE204" s="5">
        <f t="shared" si="205"/>
        <v>48896.854202382063</v>
      </c>
      <c r="AF204" s="5">
        <f t="shared" si="205"/>
        <v>49002.630391027655</v>
      </c>
      <c r="AG204" s="5">
        <f t="shared" si="205"/>
        <v>49108.406579673247</v>
      </c>
      <c r="AH204" s="5">
        <f t="shared" si="205"/>
        <v>49214.182768318831</v>
      </c>
    </row>
    <row r="205" spans="1:34" x14ac:dyDescent="0.35">
      <c r="A205" t="s">
        <v>225</v>
      </c>
      <c r="B205" s="3" t="s">
        <v>1265</v>
      </c>
      <c r="C205" s="4" t="s">
        <v>1263</v>
      </c>
      <c r="D205" s="2">
        <f t="shared" si="196"/>
        <v>833311.92106627894</v>
      </c>
      <c r="E205" s="5">
        <v>26838.797143532949</v>
      </c>
      <c r="F205" s="5">
        <v>37312.474077594597</v>
      </c>
      <c r="G205" s="5">
        <v>54113.997492651804</v>
      </c>
      <c r="H205" s="5">
        <v>33239.377492126172</v>
      </c>
      <c r="I205" s="5">
        <v>50739.14603612083</v>
      </c>
      <c r="J205" s="5">
        <v>46549.675262496166</v>
      </c>
      <c r="K205" s="5">
        <v>30548.224391013111</v>
      </c>
      <c r="L205" s="5">
        <v>51742.873408968408</v>
      </c>
      <c r="M205" s="5">
        <v>65533.214705482889</v>
      </c>
      <c r="N205" s="5">
        <v>45094.997910543178</v>
      </c>
      <c r="O205" s="5">
        <v>65387.746970287597</v>
      </c>
      <c r="P205" s="5">
        <v>67177.000113189788</v>
      </c>
      <c r="Q205" s="5">
        <v>35348.659652458031</v>
      </c>
      <c r="R205" s="5">
        <v>44367.659234566665</v>
      </c>
      <c r="S205" s="5">
        <v>45051.357589984582</v>
      </c>
      <c r="T205" s="5">
        <v>43131.183485406618</v>
      </c>
      <c r="U205" s="5">
        <v>45313.19951333612</v>
      </c>
      <c r="V205" s="5">
        <v>45822.336586519683</v>
      </c>
      <c r="W205" s="5">
        <f t="shared" ref="W205:AH205" si="206">IF(OR((SLOPE($E205:$V205,$E$1:$V$1)*W$1+INTERCEPT($E205:$V205,$E$1:$V$1))&gt;(AVERAGE($E205:$V205)+_xlfn.STDEV.P($E205:$V205)),(SLOPE($E205:$V205,$E$1:$V$1)*W$1+INTERCEPT($E205:$V205,$E$1:$V$1))&lt;(AVERAGE($E205:$V205)-_xlfn.STDEV.P($E205:$V205))),V205,(SLOPE($E205:$V205,$E$1:$V$1)*W$1+INTERCEPT($E205:$V205,$E$1:$V$1)))</f>
        <v>51175.264010853396</v>
      </c>
      <c r="X205" s="5">
        <f t="shared" si="206"/>
        <v>51688.96477769014</v>
      </c>
      <c r="Y205" s="5">
        <f t="shared" si="206"/>
        <v>52202.66554452687</v>
      </c>
      <c r="Z205" s="5">
        <f t="shared" si="206"/>
        <v>52716.366311363614</v>
      </c>
      <c r="AA205" s="5">
        <f t="shared" si="206"/>
        <v>53230.067078200351</v>
      </c>
      <c r="AB205" s="5">
        <f t="shared" si="206"/>
        <v>53743.767845037088</v>
      </c>
      <c r="AC205" s="5">
        <f t="shared" si="206"/>
        <v>54257.468611873825</v>
      </c>
      <c r="AD205" s="5">
        <f t="shared" si="206"/>
        <v>54771.169378710561</v>
      </c>
      <c r="AE205" s="5">
        <f t="shared" si="206"/>
        <v>55284.870145547306</v>
      </c>
      <c r="AF205" s="5">
        <f t="shared" si="206"/>
        <v>55798.570912384042</v>
      </c>
      <c r="AG205" s="5">
        <f t="shared" si="206"/>
        <v>56312.271679220779</v>
      </c>
      <c r="AH205" s="5">
        <f t="shared" si="206"/>
        <v>56825.972446057516</v>
      </c>
    </row>
    <row r="206" spans="1:34" x14ac:dyDescent="0.35">
      <c r="A206" t="s">
        <v>226</v>
      </c>
      <c r="B206" s="3" t="s">
        <v>1262</v>
      </c>
      <c r="C206" s="4" t="s">
        <v>1263</v>
      </c>
      <c r="D206" s="2">
        <f t="shared" si="196"/>
        <v>820180.97280000011</v>
      </c>
      <c r="E206" s="5">
        <v>32006.016</v>
      </c>
      <c r="F206" s="5">
        <v>36281.952000000005</v>
      </c>
      <c r="G206" s="5">
        <v>36521.856000000007</v>
      </c>
      <c r="H206" s="5">
        <v>20772.864000000001</v>
      </c>
      <c r="I206" s="5">
        <v>87833.088000000003</v>
      </c>
      <c r="J206" s="5">
        <v>45666.432000000008</v>
      </c>
      <c r="K206" s="5">
        <v>41009.472000000009</v>
      </c>
      <c r="L206" s="5">
        <v>47670.336000000018</v>
      </c>
      <c r="M206" s="5">
        <v>96370.847999999984</v>
      </c>
      <c r="N206" s="5">
        <v>32485.824000000001</v>
      </c>
      <c r="O206" s="5">
        <v>33967.584000000003</v>
      </c>
      <c r="P206" s="5">
        <v>61598.87999999999</v>
      </c>
      <c r="Q206" s="5">
        <v>38370.527999999998</v>
      </c>
      <c r="R206" s="5">
        <v>15647.3856</v>
      </c>
      <c r="S206" s="5">
        <v>43930.655999999988</v>
      </c>
      <c r="T206" s="5">
        <v>61612.991999999991</v>
      </c>
      <c r="U206" s="5">
        <v>41779.987200000003</v>
      </c>
      <c r="V206" s="5">
        <v>46654.271999999983</v>
      </c>
      <c r="W206" s="5">
        <f t="shared" ref="W206:AH206" si="207">IF(OR((SLOPE($E206:$V206,$E$1:$V$1)*W$1+INTERCEPT($E206:$V206,$E$1:$V$1))&gt;(AVERAGE($E206:$V206)+_xlfn.STDEV.P($E206:$V206)),(SLOPE($E206:$V206,$E$1:$V$1)*W$1+INTERCEPT($E206:$V206,$E$1:$V$1))&lt;(AVERAGE($E206:$V206)-_xlfn.STDEV.P($E206:$V206))),V206,(SLOPE($E206:$V206,$E$1:$V$1)*W$1+INTERCEPT($E206:$V206,$E$1:$V$1)))</f>
        <v>47620.731858823528</v>
      </c>
      <c r="X206" s="5">
        <f t="shared" si="207"/>
        <v>47837.060517647056</v>
      </c>
      <c r="Y206" s="5">
        <f t="shared" si="207"/>
        <v>48053.389176470584</v>
      </c>
      <c r="Z206" s="5">
        <f t="shared" si="207"/>
        <v>48269.717835294112</v>
      </c>
      <c r="AA206" s="5">
        <f t="shared" si="207"/>
        <v>48486.04649411764</v>
      </c>
      <c r="AB206" s="5">
        <f t="shared" si="207"/>
        <v>48702.375152941167</v>
      </c>
      <c r="AC206" s="5">
        <f t="shared" si="207"/>
        <v>48918.703811764703</v>
      </c>
      <c r="AD206" s="5">
        <f t="shared" si="207"/>
        <v>49135.03247058823</v>
      </c>
      <c r="AE206" s="5">
        <f t="shared" si="207"/>
        <v>49351.361129411758</v>
      </c>
      <c r="AF206" s="5">
        <f t="shared" si="207"/>
        <v>49567.689788235286</v>
      </c>
      <c r="AG206" s="5">
        <f t="shared" si="207"/>
        <v>49784.018447058814</v>
      </c>
      <c r="AH206" s="5">
        <f t="shared" si="207"/>
        <v>50000.347105882342</v>
      </c>
    </row>
    <row r="207" spans="1:34" x14ac:dyDescent="0.35">
      <c r="A207" t="s">
        <v>227</v>
      </c>
      <c r="B207" s="3" t="s">
        <v>1262</v>
      </c>
      <c r="C207" s="4" t="s">
        <v>1263</v>
      </c>
      <c r="D207" s="2">
        <f t="shared" si="196"/>
        <v>829717.06859999988</v>
      </c>
      <c r="E207" s="5">
        <v>0</v>
      </c>
      <c r="F207" s="5">
        <v>0</v>
      </c>
      <c r="G207" s="5">
        <v>0</v>
      </c>
      <c r="H207" s="5">
        <v>68097.367800000007</v>
      </c>
      <c r="I207" s="5">
        <v>69268.575599999982</v>
      </c>
      <c r="J207" s="5">
        <v>78303.607199999999</v>
      </c>
      <c r="K207" s="5">
        <v>55716.028199999993</v>
      </c>
      <c r="L207" s="5">
        <v>79642.13039999998</v>
      </c>
      <c r="M207" s="5">
        <v>0</v>
      </c>
      <c r="N207" s="5">
        <v>0</v>
      </c>
      <c r="O207" s="5">
        <v>102062.39399999999</v>
      </c>
      <c r="P207" s="5">
        <v>116451.5184</v>
      </c>
      <c r="Q207" s="5">
        <v>57723.812999999995</v>
      </c>
      <c r="R207" s="5">
        <v>54377.504999999997</v>
      </c>
      <c r="S207" s="5">
        <v>35136.233999999997</v>
      </c>
      <c r="T207" s="5">
        <v>67093.475399999996</v>
      </c>
      <c r="U207" s="5">
        <v>41494.219199999992</v>
      </c>
      <c r="V207" s="5">
        <v>4350.2004000000006</v>
      </c>
      <c r="W207" s="5">
        <f t="shared" ref="W207:AH207" si="208">IF(OR((SLOPE($E207:$V207,$E$1:$V$1)*W$1+INTERCEPT($E207:$V207,$E$1:$V$1))&gt;(AVERAGE($E207:$V207)+_xlfn.STDEV.P($E207:$V207)),(SLOPE($E207:$V207,$E$1:$V$1)*W$1+INTERCEPT($E207:$V207,$E$1:$V$1))&lt;(AVERAGE($E207:$V207)-_xlfn.STDEV.P($E207:$V207))),V207,(SLOPE($E207:$V207,$E$1:$V$1)*W$1+INTERCEPT($E207:$V207,$E$1:$V$1)))</f>
        <v>58829.406917647058</v>
      </c>
      <c r="X207" s="5">
        <f t="shared" si="208"/>
        <v>60169.829466873067</v>
      </c>
      <c r="Y207" s="5">
        <f t="shared" si="208"/>
        <v>61510.252016099068</v>
      </c>
      <c r="Z207" s="5">
        <f t="shared" si="208"/>
        <v>62850.674565325076</v>
      </c>
      <c r="AA207" s="5">
        <f t="shared" si="208"/>
        <v>64191.097114551085</v>
      </c>
      <c r="AB207" s="5">
        <f t="shared" si="208"/>
        <v>65531.519663777086</v>
      </c>
      <c r="AC207" s="5">
        <f t="shared" si="208"/>
        <v>66871.942213003087</v>
      </c>
      <c r="AD207" s="5">
        <f t="shared" si="208"/>
        <v>68212.364762229103</v>
      </c>
      <c r="AE207" s="5">
        <f t="shared" si="208"/>
        <v>69552.787311455118</v>
      </c>
      <c r="AF207" s="5">
        <f t="shared" si="208"/>
        <v>70893.20986068112</v>
      </c>
      <c r="AG207" s="5">
        <f t="shared" si="208"/>
        <v>72233.632409907121</v>
      </c>
      <c r="AH207" s="5">
        <f t="shared" si="208"/>
        <v>73574.054959133122</v>
      </c>
    </row>
    <row r="208" spans="1:34" x14ac:dyDescent="0.35">
      <c r="A208" t="s">
        <v>228</v>
      </c>
      <c r="B208" s="3" t="s">
        <v>1266</v>
      </c>
      <c r="C208" s="4" t="s">
        <v>1268</v>
      </c>
      <c r="D208" s="2">
        <f t="shared" si="196"/>
        <v>837367.47255925578</v>
      </c>
      <c r="E208" s="5">
        <v>0</v>
      </c>
      <c r="F208" s="5">
        <v>0</v>
      </c>
      <c r="G208" s="5">
        <v>0</v>
      </c>
      <c r="H208" s="5">
        <v>0</v>
      </c>
      <c r="I208" s="5">
        <v>239616.48288308378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357313.49496763339</v>
      </c>
      <c r="Q208" s="5">
        <v>0</v>
      </c>
      <c r="R208" s="5">
        <v>0</v>
      </c>
      <c r="S208" s="5">
        <v>0</v>
      </c>
      <c r="T208" s="5">
        <v>240437.4947085387</v>
      </c>
      <c r="U208" s="5">
        <v>0</v>
      </c>
      <c r="V208" s="5">
        <v>0</v>
      </c>
      <c r="W208" s="5">
        <f t="shared" ref="W208:AH208" si="209">IF(OR((SLOPE($E208:$V208,$E$1:$V$1)*W$1+INTERCEPT($E208:$V208,$E$1:$V$1))&gt;(AVERAGE($E208:$V208)+_xlfn.STDEV.P($E208:$V208)),(SLOPE($E208:$V208,$E$1:$V$1)*W$1+INTERCEPT($E208:$V208,$E$1:$V$1))&lt;(AVERAGE($E208:$V208)-_xlfn.STDEV.P($E208:$V208))),V208,(SLOPE($E208:$V208,$E$1:$V$1)*W$1+INTERCEPT($E208:$V208,$E$1:$V$1)))</f>
        <v>73537.146123567305</v>
      </c>
      <c r="X208" s="5">
        <f t="shared" si="209"/>
        <v>76381.01254266061</v>
      </c>
      <c r="Y208" s="5">
        <f t="shared" si="209"/>
        <v>79224.878961753915</v>
      </c>
      <c r="Z208" s="5">
        <f t="shared" si="209"/>
        <v>82068.745380847235</v>
      </c>
      <c r="AA208" s="5">
        <f t="shared" si="209"/>
        <v>84912.611799940554</v>
      </c>
      <c r="AB208" s="5">
        <f t="shared" si="209"/>
        <v>87756.478219033859</v>
      </c>
      <c r="AC208" s="5">
        <f t="shared" si="209"/>
        <v>90600.344638127164</v>
      </c>
      <c r="AD208" s="5">
        <f t="shared" si="209"/>
        <v>93444.211057220469</v>
      </c>
      <c r="AE208" s="5">
        <f t="shared" si="209"/>
        <v>96288.077476313774</v>
      </c>
      <c r="AF208" s="5">
        <f t="shared" si="209"/>
        <v>99131.943895407079</v>
      </c>
      <c r="AG208" s="5">
        <f t="shared" si="209"/>
        <v>101975.81031450038</v>
      </c>
      <c r="AH208" s="5">
        <f t="shared" si="209"/>
        <v>104819.67673359372</v>
      </c>
    </row>
    <row r="209" spans="1:34" x14ac:dyDescent="0.35">
      <c r="A209" t="s">
        <v>229</v>
      </c>
      <c r="B209" s="3" t="s">
        <v>1264</v>
      </c>
      <c r="C209" s="4" t="s">
        <v>1263</v>
      </c>
      <c r="D209" s="2">
        <f t="shared" si="196"/>
        <v>815714.47674373968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234058.12851371992</v>
      </c>
      <c r="L209" s="5">
        <v>0</v>
      </c>
      <c r="M209" s="5">
        <v>0</v>
      </c>
      <c r="N209" s="5">
        <v>112241.00549087995</v>
      </c>
      <c r="O209" s="5">
        <v>0</v>
      </c>
      <c r="P209" s="5">
        <v>222700.40771999993</v>
      </c>
      <c r="Q209" s="5">
        <v>0</v>
      </c>
      <c r="R209" s="5">
        <v>0</v>
      </c>
      <c r="S209" s="5">
        <v>122596.57444985995</v>
      </c>
      <c r="T209" s="5">
        <v>0</v>
      </c>
      <c r="U209" s="5">
        <v>124118.36056927995</v>
      </c>
      <c r="V209" s="5">
        <v>0</v>
      </c>
      <c r="W209" s="5">
        <f t="shared" ref="W209:AH209" si="210">IF(OR((SLOPE($E209:$V209,$E$1:$V$1)*W$1+INTERCEPT($E209:$V209,$E$1:$V$1))&gt;(AVERAGE($E209:$V209)+_xlfn.STDEV.P($E209:$V209)),(SLOPE($E209:$V209,$E$1:$V$1)*W$1+INTERCEPT($E209:$V209,$E$1:$V$1))&lt;(AVERAGE($E209:$V209)-_xlfn.STDEV.P($E209:$V209))),V209,(SLOPE($E209:$V209,$E$1:$V$1)*W$1+INTERCEPT($E209:$V209,$E$1:$V$1)))</f>
        <v>77335.021214618915</v>
      </c>
      <c r="X209" s="5">
        <f t="shared" si="210"/>
        <v>80705.289665609569</v>
      </c>
      <c r="Y209" s="5">
        <f t="shared" si="210"/>
        <v>84075.558116600208</v>
      </c>
      <c r="Z209" s="5">
        <f t="shared" si="210"/>
        <v>87445.826567590862</v>
      </c>
      <c r="AA209" s="5">
        <f t="shared" si="210"/>
        <v>90816.095018581516</v>
      </c>
      <c r="AB209" s="5">
        <f t="shared" si="210"/>
        <v>94186.363469572156</v>
      </c>
      <c r="AC209" s="5">
        <f t="shared" si="210"/>
        <v>97556.63192056281</v>
      </c>
      <c r="AD209" s="5">
        <f t="shared" si="210"/>
        <v>100926.90037155345</v>
      </c>
      <c r="AE209" s="5">
        <f t="shared" si="210"/>
        <v>104297.1688225441</v>
      </c>
      <c r="AF209" s="5">
        <f t="shared" si="210"/>
        <v>107667.43727353476</v>
      </c>
      <c r="AG209" s="5">
        <f t="shared" si="210"/>
        <v>111037.7057245254</v>
      </c>
      <c r="AH209" s="5">
        <f t="shared" si="210"/>
        <v>114407.97417551605</v>
      </c>
    </row>
    <row r="210" spans="1:34" x14ac:dyDescent="0.35">
      <c r="A210" t="s">
        <v>230</v>
      </c>
      <c r="B210" s="3" t="s">
        <v>1266</v>
      </c>
      <c r="C210" s="4" t="s">
        <v>1263</v>
      </c>
      <c r="D210" s="2">
        <f t="shared" si="196"/>
        <v>806952.72837405861</v>
      </c>
      <c r="E210" s="5">
        <v>0</v>
      </c>
      <c r="F210" s="5">
        <v>0</v>
      </c>
      <c r="G210" s="5">
        <v>0</v>
      </c>
      <c r="H210" s="5">
        <v>0</v>
      </c>
      <c r="I210" s="5">
        <v>164090.54940709405</v>
      </c>
      <c r="J210" s="5">
        <v>0</v>
      </c>
      <c r="K210" s="5">
        <v>218308.3662892151</v>
      </c>
      <c r="L210" s="5">
        <v>0</v>
      </c>
      <c r="M210" s="5">
        <v>0</v>
      </c>
      <c r="N210" s="5">
        <v>0</v>
      </c>
      <c r="O210" s="5">
        <v>0</v>
      </c>
      <c r="P210" s="5">
        <v>424553.81267774949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f t="shared" ref="W210:AH210" si="211">IF(OR((SLOPE($E210:$V210,$E$1:$V$1)*W$1+INTERCEPT($E210:$V210,$E$1:$V$1))&gt;(AVERAGE($E210:$V210)+_xlfn.STDEV.P($E210:$V210)),(SLOPE($E210:$V210,$E$1:$V$1)*W$1+INTERCEPT($E210:$V210,$E$1:$V$1))&lt;(AVERAGE($E210:$V210)-_xlfn.STDEV.P($E210:$V210))),V210,(SLOPE($E210:$V210,$E$1:$V$1)*W$1+INTERCEPT($E210:$V210,$E$1:$V$1)))</f>
        <v>40462.200144429662</v>
      </c>
      <c r="X210" s="5">
        <f t="shared" si="211"/>
        <v>40002.357303644138</v>
      </c>
      <c r="Y210" s="5">
        <f t="shared" si="211"/>
        <v>39542.514462858606</v>
      </c>
      <c r="Z210" s="5">
        <f t="shared" si="211"/>
        <v>39082.671622073081</v>
      </c>
      <c r="AA210" s="5">
        <f t="shared" si="211"/>
        <v>38622.828781287557</v>
      </c>
      <c r="AB210" s="5">
        <f t="shared" si="211"/>
        <v>38162.985940502032</v>
      </c>
      <c r="AC210" s="5">
        <f t="shared" si="211"/>
        <v>37703.143099716508</v>
      </c>
      <c r="AD210" s="5">
        <f t="shared" si="211"/>
        <v>37243.300258930984</v>
      </c>
      <c r="AE210" s="5">
        <f t="shared" si="211"/>
        <v>36783.457418145459</v>
      </c>
      <c r="AF210" s="5">
        <f t="shared" si="211"/>
        <v>36323.614577359935</v>
      </c>
      <c r="AG210" s="5">
        <f t="shared" si="211"/>
        <v>35863.77173657441</v>
      </c>
      <c r="AH210" s="5">
        <f t="shared" si="211"/>
        <v>35403.928895788886</v>
      </c>
    </row>
    <row r="211" spans="1:34" x14ac:dyDescent="0.35">
      <c r="A211" t="s">
        <v>231</v>
      </c>
      <c r="B211" s="3" t="s">
        <v>1265</v>
      </c>
      <c r="C211" s="4" t="s">
        <v>1263</v>
      </c>
      <c r="D211" s="2">
        <f t="shared" si="196"/>
        <v>798120.9262389408</v>
      </c>
      <c r="E211" s="5">
        <v>28333.199425233292</v>
      </c>
      <c r="F211" s="5">
        <v>45269.29530049341</v>
      </c>
      <c r="G211" s="5">
        <v>65829.670104645018</v>
      </c>
      <c r="H211" s="5">
        <v>35650.139904316064</v>
      </c>
      <c r="I211" s="5">
        <v>52463.147061236472</v>
      </c>
      <c r="J211" s="5">
        <v>50147.255619881929</v>
      </c>
      <c r="K211" s="5">
        <v>34259.693271219345</v>
      </c>
      <c r="L211" s="5">
        <v>54605.802528631437</v>
      </c>
      <c r="M211" s="5">
        <v>50352.403483781447</v>
      </c>
      <c r="N211" s="5">
        <v>35034.696312617518</v>
      </c>
      <c r="O211" s="5">
        <v>61863.478069254335</v>
      </c>
      <c r="P211" s="5">
        <v>36607.49660251382</v>
      </c>
      <c r="Q211" s="5">
        <v>42100.900513600878</v>
      </c>
      <c r="R211" s="5">
        <v>47252.391318188755</v>
      </c>
      <c r="S211" s="5">
        <v>45634.002614092555</v>
      </c>
      <c r="T211" s="5">
        <v>42123.694720700812</v>
      </c>
      <c r="U211" s="5">
        <v>39251.624626107587</v>
      </c>
      <c r="V211" s="5">
        <v>31342.034762426199</v>
      </c>
      <c r="W211" s="5">
        <f t="shared" ref="W211:AH211" si="212">IF(OR((SLOPE($E211:$V211,$E$1:$V$1)*W$1+INTERCEPT($E211:$V211,$E$1:$V$1))&gt;(AVERAGE($E211:$V211)+_xlfn.STDEV.P($E211:$V211)),(SLOPE($E211:$V211,$E$1:$V$1)*W$1+INTERCEPT($E211:$V211,$E$1:$V$1))&lt;(AVERAGE($E211:$V211)-_xlfn.STDEV.P($E211:$V211))),V211,(SLOPE($E211:$V211,$E$1:$V$1)*W$1+INTERCEPT($E211:$V211,$E$1:$V$1)))</f>
        <v>41178.316154861473</v>
      </c>
      <c r="X211" s="5">
        <f t="shared" si="212"/>
        <v>40845.501912455424</v>
      </c>
      <c r="Y211" s="5">
        <f t="shared" si="212"/>
        <v>40512.687670049374</v>
      </c>
      <c r="Z211" s="5">
        <f t="shared" si="212"/>
        <v>40179.873427643324</v>
      </c>
      <c r="AA211" s="5">
        <f t="shared" si="212"/>
        <v>39847.059185237275</v>
      </c>
      <c r="AB211" s="5">
        <f t="shared" si="212"/>
        <v>39514.244942831232</v>
      </c>
      <c r="AC211" s="5">
        <f t="shared" si="212"/>
        <v>39181.430700425182</v>
      </c>
      <c r="AD211" s="5">
        <f t="shared" si="212"/>
        <v>38848.616458019133</v>
      </c>
      <c r="AE211" s="5">
        <f t="shared" si="212"/>
        <v>38515.802215613083</v>
      </c>
      <c r="AF211" s="5">
        <f t="shared" si="212"/>
        <v>38182.98797320704</v>
      </c>
      <c r="AG211" s="5">
        <f t="shared" si="212"/>
        <v>37850.173730800991</v>
      </c>
      <c r="AH211" s="5">
        <f t="shared" si="212"/>
        <v>37517.359488394941</v>
      </c>
    </row>
    <row r="212" spans="1:34" x14ac:dyDescent="0.35">
      <c r="A212" t="s">
        <v>232</v>
      </c>
      <c r="B212" s="3" t="s">
        <v>1265</v>
      </c>
      <c r="C212" s="4" t="s">
        <v>1263</v>
      </c>
      <c r="D212" s="2">
        <f t="shared" si="196"/>
        <v>797536.10092181701</v>
      </c>
      <c r="E212" s="5">
        <v>44459.299385481805</v>
      </c>
      <c r="F212" s="5">
        <v>45142.121389695691</v>
      </c>
      <c r="G212" s="5">
        <v>42208.515741961965</v>
      </c>
      <c r="H212" s="5">
        <v>52501.425212889786</v>
      </c>
      <c r="I212" s="5">
        <v>51211.650316041334</v>
      </c>
      <c r="J212" s="5">
        <v>42107.356926522865</v>
      </c>
      <c r="K212" s="5">
        <v>43169.52448863336</v>
      </c>
      <c r="L212" s="5">
        <v>48859.707857082387</v>
      </c>
      <c r="M212" s="5">
        <v>40969.320252833058</v>
      </c>
      <c r="N212" s="5">
        <v>50225.351865510158</v>
      </c>
      <c r="O212" s="5">
        <v>42107.356926522865</v>
      </c>
      <c r="P212" s="5">
        <v>48733.259337783529</v>
      </c>
      <c r="Q212" s="5">
        <v>33837.623764376949</v>
      </c>
      <c r="R212" s="5">
        <v>43675.318565828835</v>
      </c>
      <c r="S212" s="5">
        <v>37074.705858427951</v>
      </c>
      <c r="T212" s="5">
        <v>48379.203483746693</v>
      </c>
      <c r="U212" s="5">
        <v>37732.238158782064</v>
      </c>
      <c r="V212" s="5">
        <v>45142.121389695705</v>
      </c>
      <c r="W212" s="5">
        <f t="shared" ref="W212:AH212" si="213">IF(OR((SLOPE($E212:$V212,$E$1:$V$1)*W$1+INTERCEPT($E212:$V212,$E$1:$V$1))&gt;(AVERAGE($E212:$V212)+_xlfn.STDEV.P($E212:$V212)),(SLOPE($E212:$V212,$E$1:$V$1)*W$1+INTERCEPT($E212:$V212,$E$1:$V$1))&lt;(AVERAGE($E212:$V212)-_xlfn.STDEV.P($E212:$V212))),V212,(SLOPE($E212:$V212,$E$1:$V$1)*W$1+INTERCEPT($E212:$V212,$E$1:$V$1)))</f>
        <v>41386.848304792467</v>
      </c>
      <c r="X212" s="5">
        <f t="shared" si="213"/>
        <v>41079.404846105026</v>
      </c>
      <c r="Y212" s="5">
        <f t="shared" si="213"/>
        <v>40771.961387417585</v>
      </c>
      <c r="Z212" s="5">
        <f t="shared" si="213"/>
        <v>40464.517928730143</v>
      </c>
      <c r="AA212" s="5">
        <f t="shared" si="213"/>
        <v>40157.074470042702</v>
      </c>
      <c r="AB212" s="5">
        <f t="shared" si="213"/>
        <v>39849.631011355254</v>
      </c>
      <c r="AC212" s="5">
        <f t="shared" si="213"/>
        <v>39542.187552667812</v>
      </c>
      <c r="AD212" s="5">
        <f t="shared" si="213"/>
        <v>39542.187552667812</v>
      </c>
      <c r="AE212" s="5">
        <f t="shared" si="213"/>
        <v>39542.187552667812</v>
      </c>
      <c r="AF212" s="5">
        <f t="shared" si="213"/>
        <v>39542.187552667812</v>
      </c>
      <c r="AG212" s="5">
        <f t="shared" si="213"/>
        <v>39542.187552667812</v>
      </c>
      <c r="AH212" s="5">
        <f t="shared" si="213"/>
        <v>39542.187552667812</v>
      </c>
    </row>
    <row r="213" spans="1:34" x14ac:dyDescent="0.35">
      <c r="A213" t="s">
        <v>233</v>
      </c>
      <c r="B213" s="3" t="s">
        <v>1264</v>
      </c>
      <c r="C213" s="4" t="s">
        <v>1263</v>
      </c>
      <c r="D213" s="2">
        <f t="shared" si="196"/>
        <v>792602.47919999971</v>
      </c>
      <c r="E213" s="5">
        <v>0</v>
      </c>
      <c r="F213" s="5">
        <v>105438.74879999997</v>
      </c>
      <c r="G213" s="5">
        <v>157222.96799999996</v>
      </c>
      <c r="H213" s="5">
        <v>0</v>
      </c>
      <c r="I213" s="5">
        <v>0</v>
      </c>
      <c r="J213" s="5">
        <v>0</v>
      </c>
      <c r="K213" s="5">
        <v>0</v>
      </c>
      <c r="L213" s="5">
        <v>195155.20079999999</v>
      </c>
      <c r="M213" s="5">
        <v>5377.1424000000006</v>
      </c>
      <c r="N213" s="5">
        <v>17037.358799999998</v>
      </c>
      <c r="O213" s="5">
        <v>36324.934800000003</v>
      </c>
      <c r="P213" s="5">
        <v>21917.700000000004</v>
      </c>
      <c r="Q213" s="5">
        <v>15517.731599999996</v>
      </c>
      <c r="R213" s="5">
        <v>163739.83079999997</v>
      </c>
      <c r="S213" s="5">
        <v>21011.768399999994</v>
      </c>
      <c r="T213" s="5">
        <v>48774.188399999999</v>
      </c>
      <c r="U213" s="5">
        <v>204.56519999999998</v>
      </c>
      <c r="V213" s="5">
        <v>4880.3411999999998</v>
      </c>
      <c r="W213" s="5">
        <f t="shared" ref="W213:AH213" si="214">IF(OR((SLOPE($E213:$V213,$E$1:$V$1)*W$1+INTERCEPT($E213:$V213,$E$1:$V$1))&gt;(AVERAGE($E213:$V213)+_xlfn.STDEV.P($E213:$V213)),(SLOPE($E213:$V213,$E$1:$V$1)*W$1+INTERCEPT($E213:$V213,$E$1:$V$1))&lt;(AVERAGE($E213:$V213)-_xlfn.STDEV.P($E213:$V213))),V213,(SLOPE($E213:$V213,$E$1:$V$1)*W$1+INTERCEPT($E213:$V213,$E$1:$V$1)))</f>
        <v>29845.1267607843</v>
      </c>
      <c r="X213" s="5">
        <f t="shared" si="214"/>
        <v>28351.616833849315</v>
      </c>
      <c r="Y213" s="5">
        <f t="shared" si="214"/>
        <v>26858.10690691433</v>
      </c>
      <c r="Z213" s="5">
        <f t="shared" si="214"/>
        <v>25364.596979979346</v>
      </c>
      <c r="AA213" s="5">
        <f t="shared" si="214"/>
        <v>23871.087053044364</v>
      </c>
      <c r="AB213" s="5">
        <f t="shared" si="214"/>
        <v>22377.577126109376</v>
      </c>
      <c r="AC213" s="5">
        <f t="shared" si="214"/>
        <v>20884.067199174395</v>
      </c>
      <c r="AD213" s="5">
        <f t="shared" si="214"/>
        <v>19390.557272239406</v>
      </c>
      <c r="AE213" s="5">
        <f t="shared" si="214"/>
        <v>17897.047345304425</v>
      </c>
      <c r="AF213" s="5">
        <f t="shared" si="214"/>
        <v>16403.537418369444</v>
      </c>
      <c r="AG213" s="5">
        <f t="shared" si="214"/>
        <v>14910.027491434455</v>
      </c>
      <c r="AH213" s="5">
        <f t="shared" si="214"/>
        <v>13416.517564499474</v>
      </c>
    </row>
    <row r="214" spans="1:34" x14ac:dyDescent="0.35">
      <c r="A214" t="s">
        <v>234</v>
      </c>
      <c r="B214" s="3" t="s">
        <v>1262</v>
      </c>
      <c r="C214" s="4" t="s">
        <v>1263</v>
      </c>
      <c r="D214" s="2">
        <f t="shared" si="196"/>
        <v>756721.07279999985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19559.231999999996</v>
      </c>
      <c r="M214" s="5">
        <v>149837.68799999997</v>
      </c>
      <c r="N214" s="5">
        <v>1397.0879999999997</v>
      </c>
      <c r="O214" s="5">
        <v>10711.007999999998</v>
      </c>
      <c r="P214" s="5">
        <v>60540.479999999996</v>
      </c>
      <c r="Q214" s="5">
        <v>13761.316799999997</v>
      </c>
      <c r="R214" s="5">
        <v>44706.816000000006</v>
      </c>
      <c r="S214" s="5">
        <v>111615.68879999999</v>
      </c>
      <c r="T214" s="5">
        <v>97097.61599999998</v>
      </c>
      <c r="U214" s="5">
        <v>121337.09279999997</v>
      </c>
      <c r="V214" s="5">
        <v>126157.04639999999</v>
      </c>
      <c r="W214" s="5">
        <f t="shared" ref="W214:AH214" si="215">IF(OR((SLOPE($E214:$V214,$E$1:$V$1)*W$1+INTERCEPT($E214:$V214,$E$1:$V$1))&gt;(AVERAGE($E214:$V214)+_xlfn.STDEV.P($E214:$V214)),(SLOPE($E214:$V214,$E$1:$V$1)*W$1+INTERCEPT($E214:$V214,$E$1:$V$1))&lt;(AVERAGE($E214:$V214)-_xlfn.STDEV.P($E214:$V214))),V214,(SLOPE($E214:$V214,$E$1:$V$1)*W$1+INTERCEPT($E214:$V214,$E$1:$V$1)))</f>
        <v>126157.04639999999</v>
      </c>
      <c r="X214" s="5">
        <f t="shared" si="215"/>
        <v>126157.04639999999</v>
      </c>
      <c r="Y214" s="5">
        <f t="shared" si="215"/>
        <v>126157.04639999999</v>
      </c>
      <c r="Z214" s="5">
        <f t="shared" si="215"/>
        <v>126157.04639999999</v>
      </c>
      <c r="AA214" s="5">
        <f t="shared" si="215"/>
        <v>126157.04639999999</v>
      </c>
      <c r="AB214" s="5">
        <f t="shared" si="215"/>
        <v>126157.04639999999</v>
      </c>
      <c r="AC214" s="5">
        <f t="shared" si="215"/>
        <v>126157.04639999999</v>
      </c>
      <c r="AD214" s="5">
        <f t="shared" si="215"/>
        <v>126157.04639999999</v>
      </c>
      <c r="AE214" s="5">
        <f t="shared" si="215"/>
        <v>126157.04639999999</v>
      </c>
      <c r="AF214" s="5">
        <f t="shared" si="215"/>
        <v>126157.04639999999</v>
      </c>
      <c r="AG214" s="5">
        <f t="shared" si="215"/>
        <v>126157.04639999999</v>
      </c>
      <c r="AH214" s="5">
        <f t="shared" si="215"/>
        <v>126157.04639999999</v>
      </c>
    </row>
    <row r="215" spans="1:34" x14ac:dyDescent="0.35">
      <c r="A215" t="s">
        <v>235</v>
      </c>
      <c r="B215" s="3" t="s">
        <v>1265</v>
      </c>
      <c r="C215" s="4" t="s">
        <v>1263</v>
      </c>
      <c r="D215" s="2">
        <f t="shared" si="196"/>
        <v>766970.29908066289</v>
      </c>
      <c r="E215" s="5">
        <v>37064.217753569952</v>
      </c>
      <c r="F215" s="5">
        <v>45354.749219351696</v>
      </c>
      <c r="G215" s="5">
        <v>40208.512088477604</v>
      </c>
      <c r="H215" s="5">
        <v>0</v>
      </c>
      <c r="I215" s="5">
        <v>114529.22458732051</v>
      </c>
      <c r="J215" s="5">
        <v>36170.6952627149</v>
      </c>
      <c r="K215" s="5">
        <v>35118.827013986796</v>
      </c>
      <c r="L215" s="5">
        <v>40547.824426776999</v>
      </c>
      <c r="M215" s="5">
        <v>50868.574716716757</v>
      </c>
      <c r="N215" s="5">
        <v>40378.168257627316</v>
      </c>
      <c r="O215" s="5">
        <v>43115.287786575725</v>
      </c>
      <c r="P215" s="5">
        <v>48080.558337023445</v>
      </c>
      <c r="Q215" s="5">
        <v>35130.137425263427</v>
      </c>
      <c r="R215" s="5">
        <v>35599.519493244254</v>
      </c>
      <c r="S215" s="5">
        <v>39077.470960813</v>
      </c>
      <c r="T215" s="5">
        <v>50286.08853596948</v>
      </c>
      <c r="U215" s="5">
        <v>38427.122312405838</v>
      </c>
      <c r="V215" s="5">
        <v>37013.320902825049</v>
      </c>
      <c r="W215" s="5">
        <f t="shared" ref="W215:AH215" si="216">IF(OR((SLOPE($E215:$V215,$E$1:$V$1)*W$1+INTERCEPT($E215:$V215,$E$1:$V$1))&gt;(AVERAGE($E215:$V215)+_xlfn.STDEV.P($E215:$V215)),(SLOPE($E215:$V215,$E$1:$V$1)*W$1+INTERCEPT($E215:$V215,$E$1:$V$1))&lt;(AVERAGE($E215:$V215)-_xlfn.STDEV.P($E215:$V215))),V215,(SLOPE($E215:$V215,$E$1:$V$1)*W$1+INTERCEPT($E215:$V215,$E$1:$V$1)))</f>
        <v>40653.092568332213</v>
      </c>
      <c r="X215" s="5">
        <f t="shared" si="216"/>
        <v>40447.159042889623</v>
      </c>
      <c r="Y215" s="5">
        <f t="shared" si="216"/>
        <v>40241.225517447034</v>
      </c>
      <c r="Z215" s="5">
        <f t="shared" si="216"/>
        <v>40035.291992004437</v>
      </c>
      <c r="AA215" s="5">
        <f t="shared" si="216"/>
        <v>39829.358466561847</v>
      </c>
      <c r="AB215" s="5">
        <f t="shared" si="216"/>
        <v>39623.424941119258</v>
      </c>
      <c r="AC215" s="5">
        <f t="shared" si="216"/>
        <v>39417.491415676668</v>
      </c>
      <c r="AD215" s="5">
        <f t="shared" si="216"/>
        <v>39211.557890234079</v>
      </c>
      <c r="AE215" s="5">
        <f t="shared" si="216"/>
        <v>39005.624364791489</v>
      </c>
      <c r="AF215" s="5">
        <f t="shared" si="216"/>
        <v>38799.690839348899</v>
      </c>
      <c r="AG215" s="5">
        <f t="shared" si="216"/>
        <v>38593.757313906302</v>
      </c>
      <c r="AH215" s="5">
        <f t="shared" si="216"/>
        <v>38387.823788463713</v>
      </c>
    </row>
    <row r="216" spans="1:34" x14ac:dyDescent="0.35">
      <c r="A216" t="s">
        <v>236</v>
      </c>
      <c r="B216" s="3" t="s">
        <v>1265</v>
      </c>
      <c r="C216" s="4" t="s">
        <v>1263</v>
      </c>
      <c r="D216" s="2">
        <f t="shared" si="196"/>
        <v>758399.53452549409</v>
      </c>
      <c r="E216" s="5">
        <v>88610.132393898835</v>
      </c>
      <c r="F216" s="5">
        <v>59642.292169985732</v>
      </c>
      <c r="G216" s="5">
        <v>29881.300806270014</v>
      </c>
      <c r="H216" s="5">
        <v>31111.130663491975</v>
      </c>
      <c r="I216" s="5">
        <v>72666.903302811144</v>
      </c>
      <c r="J216" s="5">
        <v>69726.005818149904</v>
      </c>
      <c r="K216" s="5">
        <v>13260.774112654273</v>
      </c>
      <c r="L216" s="5">
        <v>59673.483506944249</v>
      </c>
      <c r="M216" s="5">
        <v>80108.265120060008</v>
      </c>
      <c r="N216" s="5">
        <v>34176.793495987338</v>
      </c>
      <c r="O216" s="5">
        <v>29961.50710130623</v>
      </c>
      <c r="P216" s="5">
        <v>35237.298952577294</v>
      </c>
      <c r="Q216" s="5">
        <v>30652.172419673636</v>
      </c>
      <c r="R216" s="5">
        <v>29248.562256539866</v>
      </c>
      <c r="S216" s="5">
        <v>22916.720853958646</v>
      </c>
      <c r="T216" s="5">
        <v>16321.981039869825</v>
      </c>
      <c r="U216" s="5">
        <v>22921.176759238439</v>
      </c>
      <c r="V216" s="5">
        <v>32283.033752076681</v>
      </c>
      <c r="W216" s="5">
        <f t="shared" ref="W216:AH216" si="217">IF(OR((SLOPE($E216:$V216,$E$1:$V$1)*W$1+INTERCEPT($E216:$V216,$E$1:$V$1))&gt;(AVERAGE($E216:$V216)+_xlfn.STDEV.P($E216:$V216)),(SLOPE($E216:$V216,$E$1:$V$1)*W$1+INTERCEPT($E216:$V216,$E$1:$V$1))&lt;(AVERAGE($E216:$V216)-_xlfn.STDEV.P($E216:$V216))),V216,(SLOPE($E216:$V216,$E$1:$V$1)*W$1+INTERCEPT($E216:$V216,$E$1:$V$1)))</f>
        <v>32283.033752076681</v>
      </c>
      <c r="X216" s="5">
        <f t="shared" si="217"/>
        <v>32283.033752076681</v>
      </c>
      <c r="Y216" s="5">
        <f t="shared" si="217"/>
        <v>32283.033752076681</v>
      </c>
      <c r="Z216" s="5">
        <f t="shared" si="217"/>
        <v>32283.033752076681</v>
      </c>
      <c r="AA216" s="5">
        <f t="shared" si="217"/>
        <v>32283.033752076681</v>
      </c>
      <c r="AB216" s="5">
        <f t="shared" si="217"/>
        <v>32283.033752076681</v>
      </c>
      <c r="AC216" s="5">
        <f t="shared" si="217"/>
        <v>32283.033752076681</v>
      </c>
      <c r="AD216" s="5">
        <f t="shared" si="217"/>
        <v>32283.033752076681</v>
      </c>
      <c r="AE216" s="5">
        <f t="shared" si="217"/>
        <v>32283.033752076681</v>
      </c>
      <c r="AF216" s="5">
        <f t="shared" si="217"/>
        <v>32283.033752076681</v>
      </c>
      <c r="AG216" s="5">
        <f t="shared" si="217"/>
        <v>32283.033752076681</v>
      </c>
      <c r="AH216" s="5">
        <f t="shared" si="217"/>
        <v>32283.033752076681</v>
      </c>
    </row>
    <row r="217" spans="1:34" x14ac:dyDescent="0.35">
      <c r="A217" t="s">
        <v>237</v>
      </c>
      <c r="B217" s="3" t="s">
        <v>1265</v>
      </c>
      <c r="C217" s="4" t="s">
        <v>1263</v>
      </c>
      <c r="D217" s="2">
        <f t="shared" si="196"/>
        <v>746290.04192076577</v>
      </c>
      <c r="E217" s="5">
        <v>35217.047138054972</v>
      </c>
      <c r="F217" s="5">
        <v>29522.853136441943</v>
      </c>
      <c r="G217" s="5">
        <v>43842.488790744661</v>
      </c>
      <c r="H217" s="5">
        <v>39116.027267238293</v>
      </c>
      <c r="I217" s="5">
        <v>43000.982288043233</v>
      </c>
      <c r="J217" s="5">
        <v>45735.878421822883</v>
      </c>
      <c r="K217" s="5">
        <v>40799.040272641156</v>
      </c>
      <c r="L217" s="5">
        <v>27222.735362391359</v>
      </c>
      <c r="M217" s="5">
        <v>57867.597169101864</v>
      </c>
      <c r="N217" s="5">
        <v>36507.357108863835</v>
      </c>
      <c r="O217" s="5">
        <v>31935.171777519383</v>
      </c>
      <c r="P217" s="5">
        <v>55006.475059917</v>
      </c>
      <c r="Q217" s="5">
        <v>36675.658409404117</v>
      </c>
      <c r="R217" s="5">
        <v>39382.504326427057</v>
      </c>
      <c r="S217" s="5">
        <v>63828.268229903704</v>
      </c>
      <c r="T217" s="5">
        <v>39424.579651562133</v>
      </c>
      <c r="U217" s="5">
        <v>38428.796956698767</v>
      </c>
      <c r="V217" s="5">
        <v>42776.580553989501</v>
      </c>
      <c r="W217" s="5">
        <f t="shared" ref="W217:AH217" si="218">IF(OR((SLOPE($E217:$V217,$E$1:$V$1)*W$1+INTERCEPT($E217:$V217,$E$1:$V$1))&gt;(AVERAGE($E217:$V217)+_xlfn.STDEV.P($E217:$V217)),(SLOPE($E217:$V217,$E$1:$V$1)*W$1+INTERCEPT($E217:$V217,$E$1:$V$1))&lt;(AVERAGE($E217:$V217)-_xlfn.STDEV.P($E217:$V217))),V217,(SLOPE($E217:$V217,$E$1:$V$1)*W$1+INTERCEPT($E217:$V217,$E$1:$V$1)))</f>
        <v>45816.729046592227</v>
      </c>
      <c r="X217" s="5">
        <f t="shared" si="218"/>
        <v>46275.273379445411</v>
      </c>
      <c r="Y217" s="5">
        <f t="shared" si="218"/>
        <v>46733.817712298594</v>
      </c>
      <c r="Z217" s="5">
        <f t="shared" si="218"/>
        <v>47192.362045151778</v>
      </c>
      <c r="AA217" s="5">
        <f t="shared" si="218"/>
        <v>47650.906378004962</v>
      </c>
      <c r="AB217" s="5">
        <f t="shared" si="218"/>
        <v>48109.450710858146</v>
      </c>
      <c r="AC217" s="5">
        <f t="shared" si="218"/>
        <v>48567.995043711329</v>
      </c>
      <c r="AD217" s="5">
        <f t="shared" si="218"/>
        <v>49026.539376564513</v>
      </c>
      <c r="AE217" s="5">
        <f t="shared" si="218"/>
        <v>49485.083709417697</v>
      </c>
      <c r="AF217" s="5">
        <f t="shared" si="218"/>
        <v>49943.628042270881</v>
      </c>
      <c r="AG217" s="5">
        <f t="shared" si="218"/>
        <v>50402.172375124064</v>
      </c>
      <c r="AH217" s="5">
        <f t="shared" si="218"/>
        <v>50402.172375124064</v>
      </c>
    </row>
    <row r="218" spans="1:34" x14ac:dyDescent="0.35">
      <c r="A218" t="s">
        <v>238</v>
      </c>
      <c r="B218" s="3" t="s">
        <v>1262</v>
      </c>
      <c r="C218" s="4" t="s">
        <v>1263</v>
      </c>
      <c r="D218" s="2">
        <f t="shared" si="196"/>
        <v>746295.18599999999</v>
      </c>
      <c r="E218" s="5">
        <v>78938.670719999995</v>
      </c>
      <c r="F218" s="5">
        <v>0</v>
      </c>
      <c r="G218" s="5">
        <v>111788.14919999999</v>
      </c>
      <c r="H218" s="5">
        <v>106916.93375999999</v>
      </c>
      <c r="I218" s="5">
        <v>0</v>
      </c>
      <c r="J218" s="5">
        <v>142514.27735999998</v>
      </c>
      <c r="K218" s="5">
        <v>0</v>
      </c>
      <c r="L218" s="5">
        <v>0</v>
      </c>
      <c r="M218" s="5">
        <v>0</v>
      </c>
      <c r="N218" s="5">
        <v>0</v>
      </c>
      <c r="O218" s="5">
        <v>206464.59287999998</v>
      </c>
      <c r="P218" s="5">
        <v>56955.749759999992</v>
      </c>
      <c r="Q218" s="5">
        <v>0</v>
      </c>
      <c r="R218" s="5">
        <v>0</v>
      </c>
      <c r="S218" s="5">
        <v>14238.937439999998</v>
      </c>
      <c r="T218" s="5">
        <v>7119.4687199999989</v>
      </c>
      <c r="U218" s="5">
        <v>14238.937439999998</v>
      </c>
      <c r="V218" s="5">
        <v>7119.4687199999989</v>
      </c>
      <c r="W218" s="5">
        <f t="shared" ref="W218:AH218" si="219">IF(OR((SLOPE($E218:$V218,$E$1:$V$1)*W$1+INTERCEPT($E218:$V218,$E$1:$V$1))&gt;(AVERAGE($E218:$V218)+_xlfn.STDEV.P($E218:$V218)),(SLOPE($E218:$V218,$E$1:$V$1)*W$1+INTERCEPT($E218:$V218,$E$1:$V$1))&lt;(AVERAGE($E218:$V218)-_xlfn.STDEV.P($E218:$V218))),V218,(SLOPE($E218:$V218,$E$1:$V$1)*W$1+INTERCEPT($E218:$V218,$E$1:$V$1)))</f>
        <v>7334.1711937255022</v>
      </c>
      <c r="X218" s="5">
        <f t="shared" si="219"/>
        <v>3741.8898807843216</v>
      </c>
      <c r="Y218" s="5">
        <f t="shared" si="219"/>
        <v>149.60856784315547</v>
      </c>
      <c r="Z218" s="5">
        <f t="shared" si="219"/>
        <v>-3442.6727450980252</v>
      </c>
      <c r="AA218" s="5">
        <f t="shared" si="219"/>
        <v>-7034.9540580392058</v>
      </c>
      <c r="AB218" s="5">
        <f t="shared" si="219"/>
        <v>-10627.235370980372</v>
      </c>
      <c r="AC218" s="5">
        <f t="shared" si="219"/>
        <v>-14219.516683921553</v>
      </c>
      <c r="AD218" s="5">
        <f t="shared" si="219"/>
        <v>-17811.797996862733</v>
      </c>
      <c r="AE218" s="5">
        <f t="shared" si="219"/>
        <v>-17811.797996862733</v>
      </c>
      <c r="AF218" s="5">
        <f t="shared" si="219"/>
        <v>-17811.797996862733</v>
      </c>
      <c r="AG218" s="5">
        <f t="shared" si="219"/>
        <v>-17811.797996862733</v>
      </c>
      <c r="AH218" s="5">
        <f t="shared" si="219"/>
        <v>-17811.797996862733</v>
      </c>
    </row>
    <row r="219" spans="1:34" x14ac:dyDescent="0.35">
      <c r="A219" t="s">
        <v>239</v>
      </c>
      <c r="B219" s="3" t="s">
        <v>1262</v>
      </c>
      <c r="C219" s="4" t="s">
        <v>1263</v>
      </c>
      <c r="D219" s="2">
        <f t="shared" si="196"/>
        <v>743638.89599999972</v>
      </c>
      <c r="E219" s="5">
        <v>28435.679999999993</v>
      </c>
      <c r="F219" s="5">
        <v>79918.020000000019</v>
      </c>
      <c r="G219" s="5">
        <v>51413.543999999973</v>
      </c>
      <c r="H219" s="5">
        <v>40933.619999999995</v>
      </c>
      <c r="I219" s="5">
        <v>58705.919999999998</v>
      </c>
      <c r="J219" s="5">
        <v>38755.079999999994</v>
      </c>
      <c r="K219" s="5">
        <v>42194.879999999997</v>
      </c>
      <c r="L219" s="5">
        <v>34420.932000000001</v>
      </c>
      <c r="M219" s="5">
        <v>50175.215999999993</v>
      </c>
      <c r="N219" s="5">
        <v>39030.263999999996</v>
      </c>
      <c r="O219" s="5">
        <v>37654.343999999997</v>
      </c>
      <c r="P219" s="5">
        <v>53316.899999999994</v>
      </c>
      <c r="Q219" s="5">
        <v>15479.099999999997</v>
      </c>
      <c r="R219" s="5">
        <v>36714.132000000005</v>
      </c>
      <c r="S219" s="5">
        <v>30086.783999999989</v>
      </c>
      <c r="T219" s="5">
        <v>36691.199999999997</v>
      </c>
      <c r="U219" s="5">
        <v>37149.839999999989</v>
      </c>
      <c r="V219" s="5">
        <v>32563.439999999995</v>
      </c>
      <c r="W219" s="5">
        <f t="shared" ref="W219:AH219" si="220">IF(OR((SLOPE($E219:$V219,$E$1:$V$1)*W$1+INTERCEPT($E219:$V219,$E$1:$V$1))&gt;(AVERAGE($E219:$V219)+_xlfn.STDEV.P($E219:$V219)),(SLOPE($E219:$V219,$E$1:$V$1)*W$1+INTERCEPT($E219:$V219,$E$1:$V$1))&lt;(AVERAGE($E219:$V219)-_xlfn.STDEV.P($E219:$V219))),V219,(SLOPE($E219:$V219,$E$1:$V$1)*W$1+INTERCEPT($E219:$V219,$E$1:$V$1)))</f>
        <v>29658.869882352919</v>
      </c>
      <c r="X219" s="5">
        <f t="shared" si="220"/>
        <v>28432.090712074281</v>
      </c>
      <c r="Y219" s="5">
        <f t="shared" si="220"/>
        <v>28432.090712074281</v>
      </c>
      <c r="Z219" s="5">
        <f t="shared" si="220"/>
        <v>28432.090712074281</v>
      </c>
      <c r="AA219" s="5">
        <f t="shared" si="220"/>
        <v>28432.090712074281</v>
      </c>
      <c r="AB219" s="5">
        <f t="shared" si="220"/>
        <v>28432.090712074281</v>
      </c>
      <c r="AC219" s="5">
        <f t="shared" si="220"/>
        <v>28432.090712074281</v>
      </c>
      <c r="AD219" s="5">
        <f t="shared" si="220"/>
        <v>28432.090712074281</v>
      </c>
      <c r="AE219" s="5">
        <f t="shared" si="220"/>
        <v>28432.090712074281</v>
      </c>
      <c r="AF219" s="5">
        <f t="shared" si="220"/>
        <v>28432.090712074281</v>
      </c>
      <c r="AG219" s="5">
        <f t="shared" si="220"/>
        <v>28432.090712074281</v>
      </c>
      <c r="AH219" s="5">
        <f t="shared" si="220"/>
        <v>28432.090712074281</v>
      </c>
    </row>
    <row r="220" spans="1:34" x14ac:dyDescent="0.35">
      <c r="A220" t="s">
        <v>240</v>
      </c>
      <c r="B220" s="3" t="s">
        <v>1262</v>
      </c>
      <c r="C220" s="4" t="s">
        <v>1263</v>
      </c>
      <c r="D220" s="2">
        <f t="shared" si="196"/>
        <v>733839.44480000006</v>
      </c>
      <c r="E220" s="5">
        <v>38531.385199999997</v>
      </c>
      <c r="F220" s="5">
        <v>48940.337599999992</v>
      </c>
      <c r="G220" s="5">
        <v>49405.171200000004</v>
      </c>
      <c r="H220" s="5">
        <v>23474.096800000007</v>
      </c>
      <c r="I220" s="5">
        <v>6574.0752000000002</v>
      </c>
      <c r="J220" s="5">
        <v>9479.2852000000003</v>
      </c>
      <c r="K220" s="5">
        <v>9412.8804</v>
      </c>
      <c r="L220" s="5">
        <v>19738.826800000003</v>
      </c>
      <c r="M220" s="5">
        <v>40672.94000000001</v>
      </c>
      <c r="N220" s="5">
        <v>47147.40800000001</v>
      </c>
      <c r="O220" s="5">
        <v>33451.418000000005</v>
      </c>
      <c r="P220" s="5">
        <v>40855.553200000002</v>
      </c>
      <c r="Q220" s="5">
        <v>32886.977200000001</v>
      </c>
      <c r="R220" s="5">
        <v>55630.621200000016</v>
      </c>
      <c r="S220" s="5">
        <v>110265.1704</v>
      </c>
      <c r="T220" s="5">
        <v>92120.058799999999</v>
      </c>
      <c r="U220" s="5">
        <v>37020.675999999985</v>
      </c>
      <c r="V220" s="5">
        <v>38232.563599999987</v>
      </c>
      <c r="W220" s="5">
        <f t="shared" ref="W220:AH220" si="221">IF(OR((SLOPE($E220:$V220,$E$1:$V$1)*W$1+INTERCEPT($E220:$V220,$E$1:$V$1))&gt;(AVERAGE($E220:$V220)+_xlfn.STDEV.P($E220:$V220)),(SLOPE($E220:$V220,$E$1:$V$1)*W$1+INTERCEPT($E220:$V220,$E$1:$V$1))&lt;(AVERAGE($E220:$V220)-_xlfn.STDEV.P($E220:$V220))),V220,(SLOPE($E220:$V220,$E$1:$V$1)*W$1+INTERCEPT($E220:$V220,$E$1:$V$1)))</f>
        <v>61713.062169934637</v>
      </c>
      <c r="X220" s="5">
        <f t="shared" si="221"/>
        <v>63917.715235775715</v>
      </c>
      <c r="Y220" s="5">
        <f t="shared" si="221"/>
        <v>66122.368301616778</v>
      </c>
      <c r="Z220" s="5">
        <f t="shared" si="221"/>
        <v>66122.368301616778</v>
      </c>
      <c r="AA220" s="5">
        <f t="shared" si="221"/>
        <v>66122.368301616778</v>
      </c>
      <c r="AB220" s="5">
        <f t="shared" si="221"/>
        <v>66122.368301616778</v>
      </c>
      <c r="AC220" s="5">
        <f t="shared" si="221"/>
        <v>66122.368301616778</v>
      </c>
      <c r="AD220" s="5">
        <f t="shared" si="221"/>
        <v>66122.368301616778</v>
      </c>
      <c r="AE220" s="5">
        <f t="shared" si="221"/>
        <v>66122.368301616778</v>
      </c>
      <c r="AF220" s="5">
        <f t="shared" si="221"/>
        <v>66122.368301616778</v>
      </c>
      <c r="AG220" s="5">
        <f t="shared" si="221"/>
        <v>66122.368301616778</v>
      </c>
      <c r="AH220" s="5">
        <f t="shared" si="221"/>
        <v>66122.368301616778</v>
      </c>
    </row>
    <row r="221" spans="1:34" x14ac:dyDescent="0.35">
      <c r="A221" t="s">
        <v>241</v>
      </c>
      <c r="B221" s="3" t="s">
        <v>1262</v>
      </c>
      <c r="C221" s="4" t="s">
        <v>1263</v>
      </c>
      <c r="D221" s="2">
        <f t="shared" si="196"/>
        <v>740903.35531600576</v>
      </c>
      <c r="E221" s="5">
        <v>0</v>
      </c>
      <c r="F221" s="5">
        <v>0</v>
      </c>
      <c r="G221" s="5">
        <v>22363.143113420148</v>
      </c>
      <c r="H221" s="5">
        <v>169560.54582068205</v>
      </c>
      <c r="I221" s="5">
        <v>0</v>
      </c>
      <c r="J221" s="5">
        <v>0</v>
      </c>
      <c r="K221" s="5">
        <v>0</v>
      </c>
      <c r="L221" s="5">
        <v>444077.00180105458</v>
      </c>
      <c r="M221" s="5">
        <v>0</v>
      </c>
      <c r="N221" s="5">
        <v>0</v>
      </c>
      <c r="O221" s="5">
        <v>99933.077222311214</v>
      </c>
      <c r="P221" s="5">
        <v>4969.5873585378104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f t="shared" ref="W221:AH221" si="222">IF(OR((SLOPE($E221:$V221,$E$1:$V$1)*W$1+INTERCEPT($E221:$V221,$E$1:$V$1))&gt;(AVERAGE($E221:$V221)+_xlfn.STDEV.P($E221:$V221)),(SLOPE($E221:$V221,$E$1:$V$1)*W$1+INTERCEPT($E221:$V221,$E$1:$V$1))&lt;(AVERAGE($E221:$V221)-_xlfn.STDEV.P($E221:$V221))),V221,(SLOPE($E221:$V221,$E$1:$V$1)*W$1+INTERCEPT($E221:$V221,$E$1:$V$1)))</f>
        <v>10146.878875933267</v>
      </c>
      <c r="X221" s="5">
        <f t="shared" si="222"/>
        <v>6882.2032294466771</v>
      </c>
      <c r="Y221" s="5">
        <f t="shared" si="222"/>
        <v>3617.5275829600869</v>
      </c>
      <c r="Z221" s="5">
        <f t="shared" si="222"/>
        <v>352.85193647349661</v>
      </c>
      <c r="AA221" s="5">
        <f t="shared" si="222"/>
        <v>-2911.8237100130937</v>
      </c>
      <c r="AB221" s="5">
        <f t="shared" si="222"/>
        <v>-6176.4993564996694</v>
      </c>
      <c r="AC221" s="5">
        <f t="shared" si="222"/>
        <v>-9441.1750029862596</v>
      </c>
      <c r="AD221" s="5">
        <f t="shared" si="222"/>
        <v>-12705.85064947285</v>
      </c>
      <c r="AE221" s="5">
        <f t="shared" si="222"/>
        <v>-15970.52629595944</v>
      </c>
      <c r="AF221" s="5">
        <f t="shared" si="222"/>
        <v>-19235.20194244603</v>
      </c>
      <c r="AG221" s="5">
        <f t="shared" si="222"/>
        <v>-22499.877588932621</v>
      </c>
      <c r="AH221" s="5">
        <f t="shared" si="222"/>
        <v>-25764.553235419211</v>
      </c>
    </row>
    <row r="222" spans="1:34" x14ac:dyDescent="0.35">
      <c r="A222" t="s">
        <v>242</v>
      </c>
      <c r="B222" s="3" t="s">
        <v>1262</v>
      </c>
      <c r="C222" s="4" t="s">
        <v>1263</v>
      </c>
      <c r="D222" s="2">
        <f t="shared" si="196"/>
        <v>733988.09119999991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32783.587200000002</v>
      </c>
      <c r="L222" s="5">
        <v>422754.16399999999</v>
      </c>
      <c r="M222" s="5">
        <v>210011.0992</v>
      </c>
      <c r="N222" s="5">
        <v>315.22680000000003</v>
      </c>
      <c r="O222" s="5">
        <v>31102.377600000003</v>
      </c>
      <c r="P222" s="5">
        <v>12959.324000000001</v>
      </c>
      <c r="Q222" s="5">
        <v>5814.1832000000004</v>
      </c>
      <c r="R222" s="5">
        <v>1155.8316</v>
      </c>
      <c r="S222" s="5">
        <v>2066.4868000000001</v>
      </c>
      <c r="T222" s="5">
        <v>315.22680000000003</v>
      </c>
      <c r="U222" s="5">
        <v>0</v>
      </c>
      <c r="V222" s="5">
        <v>14710.584000000001</v>
      </c>
      <c r="W222" s="5">
        <f t="shared" ref="W222:AH222" si="223">IF(OR((SLOPE($E222:$V222,$E$1:$V$1)*W$1+INTERCEPT($E222:$V222,$E$1:$V$1))&gt;(AVERAGE($E222:$V222)+_xlfn.STDEV.P($E222:$V222)),(SLOPE($E222:$V222,$E$1:$V$1)*W$1+INTERCEPT($E222:$V222,$E$1:$V$1))&lt;(AVERAGE($E222:$V222)-_xlfn.STDEV.P($E222:$V222))),V222,(SLOPE($E222:$V222,$E$1:$V$1)*W$1+INTERCEPT($E222:$V222,$E$1:$V$1)))</f>
        <v>29446.120593464053</v>
      </c>
      <c r="X222" s="5">
        <f t="shared" si="223"/>
        <v>28253.384216167869</v>
      </c>
      <c r="Y222" s="5">
        <f t="shared" si="223"/>
        <v>27060.647838871686</v>
      </c>
      <c r="Z222" s="5">
        <f t="shared" si="223"/>
        <v>25867.911461575506</v>
      </c>
      <c r="AA222" s="5">
        <f t="shared" si="223"/>
        <v>24675.175084279326</v>
      </c>
      <c r="AB222" s="5">
        <f t="shared" si="223"/>
        <v>23482.438706983143</v>
      </c>
      <c r="AC222" s="5">
        <f t="shared" si="223"/>
        <v>22289.702329686959</v>
      </c>
      <c r="AD222" s="5">
        <f t="shared" si="223"/>
        <v>21096.965952390779</v>
      </c>
      <c r="AE222" s="5">
        <f t="shared" si="223"/>
        <v>19904.2295750946</v>
      </c>
      <c r="AF222" s="5">
        <f t="shared" si="223"/>
        <v>18711.493197798416</v>
      </c>
      <c r="AG222" s="5">
        <f t="shared" si="223"/>
        <v>17518.756820502233</v>
      </c>
      <c r="AH222" s="5">
        <f t="shared" si="223"/>
        <v>16326.020443206056</v>
      </c>
    </row>
    <row r="223" spans="1:34" x14ac:dyDescent="0.35">
      <c r="A223" t="s">
        <v>243</v>
      </c>
      <c r="B223" s="3" t="s">
        <v>1262</v>
      </c>
      <c r="C223" s="4" t="s">
        <v>1263</v>
      </c>
      <c r="D223" s="2">
        <f t="shared" si="196"/>
        <v>718874.60180542513</v>
      </c>
      <c r="E223" s="5">
        <v>4544.0872427650138</v>
      </c>
      <c r="F223" s="5">
        <v>21205.74046623673</v>
      </c>
      <c r="G223" s="5">
        <v>29082.158353696086</v>
      </c>
      <c r="H223" s="5">
        <v>97394.936569930127</v>
      </c>
      <c r="I223" s="5">
        <v>0</v>
      </c>
      <c r="J223" s="5">
        <v>0</v>
      </c>
      <c r="K223" s="5">
        <v>181763.48971060055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161103.03971349564</v>
      </c>
      <c r="R223" s="5">
        <v>68888.362600317618</v>
      </c>
      <c r="S223" s="5">
        <v>42835.595741798192</v>
      </c>
      <c r="T223" s="5">
        <v>57800.789727970972</v>
      </c>
      <c r="U223" s="5">
        <v>0</v>
      </c>
      <c r="V223" s="5">
        <v>54256.401678614267</v>
      </c>
      <c r="W223" s="5">
        <f t="shared" ref="W223:AH223" si="224">IF(OR((SLOPE($E223:$V223,$E$1:$V$1)*W$1+INTERCEPT($E223:$V223,$E$1:$V$1))&gt;(AVERAGE($E223:$V223)+_xlfn.STDEV.P($E223:$V223)),(SLOPE($E223:$V223,$E$1:$V$1)*W$1+INTERCEPT($E223:$V223,$E$1:$V$1))&lt;(AVERAGE($E223:$V223)-_xlfn.STDEV.P($E223:$V223))),V223,(SLOPE($E223:$V223,$E$1:$V$1)*W$1+INTERCEPT($E223:$V223,$E$1:$V$1)))</f>
        <v>51105.240525298141</v>
      </c>
      <c r="X223" s="5">
        <f t="shared" si="224"/>
        <v>52280.794488163287</v>
      </c>
      <c r="Y223" s="5">
        <f t="shared" si="224"/>
        <v>53456.348451028447</v>
      </c>
      <c r="Z223" s="5">
        <f t="shared" si="224"/>
        <v>54631.902413893593</v>
      </c>
      <c r="AA223" s="5">
        <f t="shared" si="224"/>
        <v>55807.456376758753</v>
      </c>
      <c r="AB223" s="5">
        <f t="shared" si="224"/>
        <v>56983.010339623899</v>
      </c>
      <c r="AC223" s="5">
        <f t="shared" si="224"/>
        <v>58158.56430248906</v>
      </c>
      <c r="AD223" s="5">
        <f t="shared" si="224"/>
        <v>59334.118265354213</v>
      </c>
      <c r="AE223" s="5">
        <f t="shared" si="224"/>
        <v>60509.672228219366</v>
      </c>
      <c r="AF223" s="5">
        <f t="shared" si="224"/>
        <v>61685.226191084526</v>
      </c>
      <c r="AG223" s="5">
        <f t="shared" si="224"/>
        <v>62860.780153949672</v>
      </c>
      <c r="AH223" s="5">
        <f t="shared" si="224"/>
        <v>64036.334116814833</v>
      </c>
    </row>
    <row r="224" spans="1:34" x14ac:dyDescent="0.35">
      <c r="A224" t="s">
        <v>244</v>
      </c>
      <c r="B224" s="3" t="s">
        <v>1262</v>
      </c>
      <c r="C224" s="4" t="s">
        <v>1263</v>
      </c>
      <c r="D224" s="2">
        <f t="shared" si="196"/>
        <v>692125.04451418377</v>
      </c>
      <c r="E224" s="5">
        <v>72592.711335483866</v>
      </c>
      <c r="F224" s="5">
        <v>44169.442840768024</v>
      </c>
      <c r="G224" s="5">
        <v>41501.13600248858</v>
      </c>
      <c r="H224" s="5">
        <v>12434.520799729109</v>
      </c>
      <c r="I224" s="5">
        <v>58396.897089143393</v>
      </c>
      <c r="J224" s="5">
        <v>139184.36895167513</v>
      </c>
      <c r="K224" s="5">
        <v>19806.641273868758</v>
      </c>
      <c r="L224" s="5">
        <v>15303.214317563134</v>
      </c>
      <c r="M224" s="5">
        <v>26324.48169306519</v>
      </c>
      <c r="N224" s="5">
        <v>13320.440856707264</v>
      </c>
      <c r="O224" s="5">
        <v>51625.936653667508</v>
      </c>
      <c r="P224" s="5">
        <v>22960.094810017195</v>
      </c>
      <c r="Q224" s="5">
        <v>40657.402614890336</v>
      </c>
      <c r="R224" s="5">
        <v>24521.001577073945</v>
      </c>
      <c r="S224" s="5">
        <v>14332.920921825154</v>
      </c>
      <c r="T224" s="5">
        <v>15714.534344017282</v>
      </c>
      <c r="U224" s="5">
        <v>18962.907886270517</v>
      </c>
      <c r="V224" s="5">
        <v>60316.390545929396</v>
      </c>
      <c r="W224" s="5">
        <f t="shared" ref="W224:AH224" si="225">IF(OR((SLOPE($E224:$V224,$E$1:$V$1)*W$1+INTERCEPT($E224:$V224,$E$1:$V$1))&gt;(AVERAGE($E224:$V224)+_xlfn.STDEV.P($E224:$V224)),(SLOPE($E224:$V224,$E$1:$V$1)*W$1+INTERCEPT($E224:$V224,$E$1:$V$1))&lt;(AVERAGE($E224:$V224)-_xlfn.STDEV.P($E224:$V224))),V224,(SLOPE($E224:$V224,$E$1:$V$1)*W$1+INTERCEPT($E224:$V224,$E$1:$V$1)))</f>
        <v>20961.397949444392</v>
      </c>
      <c r="X224" s="5">
        <f t="shared" si="225"/>
        <v>19120.346011291265</v>
      </c>
      <c r="Y224" s="5">
        <f t="shared" si="225"/>
        <v>17279.294073138139</v>
      </c>
      <c r="Z224" s="5">
        <f t="shared" si="225"/>
        <v>15438.242134985012</v>
      </c>
      <c r="AA224" s="5">
        <f t="shared" si="225"/>
        <v>13597.190196831885</v>
      </c>
      <c r="AB224" s="5">
        <f t="shared" si="225"/>
        <v>11756.138258678751</v>
      </c>
      <c r="AC224" s="5">
        <f t="shared" si="225"/>
        <v>9915.0863205256246</v>
      </c>
      <c r="AD224" s="5">
        <f t="shared" si="225"/>
        <v>8074.0343823724979</v>
      </c>
      <c r="AE224" s="5">
        <f t="shared" si="225"/>
        <v>8074.0343823724979</v>
      </c>
      <c r="AF224" s="5">
        <f t="shared" si="225"/>
        <v>8074.0343823724979</v>
      </c>
      <c r="AG224" s="5">
        <f t="shared" si="225"/>
        <v>8074.0343823724979</v>
      </c>
      <c r="AH224" s="5">
        <f t="shared" si="225"/>
        <v>8074.0343823724979</v>
      </c>
    </row>
    <row r="225" spans="1:34" x14ac:dyDescent="0.35">
      <c r="A225" t="s">
        <v>245</v>
      </c>
      <c r="B225" s="3" t="s">
        <v>1265</v>
      </c>
      <c r="C225" s="4" t="s">
        <v>1263</v>
      </c>
      <c r="D225" s="2">
        <f t="shared" si="196"/>
        <v>715569.08582473209</v>
      </c>
      <c r="E225" s="5">
        <v>16212.360451826447</v>
      </c>
      <c r="F225" s="5">
        <v>53151.111128340817</v>
      </c>
      <c r="G225" s="5">
        <v>24636.430098363722</v>
      </c>
      <c r="H225" s="5">
        <v>94413.157925342268</v>
      </c>
      <c r="I225" s="5">
        <v>19073.365237442878</v>
      </c>
      <c r="J225" s="5">
        <v>25749.04307054789</v>
      </c>
      <c r="K225" s="5">
        <v>79472.355156011996</v>
      </c>
      <c r="L225" s="5">
        <v>15449.425842328732</v>
      </c>
      <c r="M225" s="5">
        <v>58650.598105136858</v>
      </c>
      <c r="N225" s="5">
        <v>0</v>
      </c>
      <c r="O225" s="5">
        <v>0</v>
      </c>
      <c r="P225" s="5">
        <v>0</v>
      </c>
      <c r="Q225" s="5">
        <v>81093.591201194649</v>
      </c>
      <c r="R225" s="5">
        <v>51148.407778409324</v>
      </c>
      <c r="S225" s="5">
        <v>72097.320597534082</v>
      </c>
      <c r="T225" s="5">
        <v>37860.629996324118</v>
      </c>
      <c r="U225" s="5">
        <v>44568.096771491531</v>
      </c>
      <c r="V225" s="5">
        <v>41993.192464436739</v>
      </c>
      <c r="W225" s="5">
        <f t="shared" ref="W225:AH225" si="226">IF(OR((SLOPE($E225:$V225,$E$1:$V$1)*W$1+INTERCEPT($E225:$V225,$E$1:$V$1))&gt;(AVERAGE($E225:$V225)+_xlfn.STDEV.P($E225:$V225)),(SLOPE($E225:$V225,$E$1:$V$1)*W$1+INTERCEPT($E225:$V225,$E$1:$V$1))&lt;(AVERAGE($E225:$V225)-_xlfn.STDEV.P($E225:$V225))),V225,(SLOPE($E225:$V225,$E$1:$V$1)*W$1+INTERCEPT($E225:$V225,$E$1:$V$1)))</f>
        <v>43770.464427847277</v>
      </c>
      <c r="X225" s="5">
        <f t="shared" si="226"/>
        <v>44193.267199054986</v>
      </c>
      <c r="Y225" s="5">
        <f t="shared" si="226"/>
        <v>44616.069970262703</v>
      </c>
      <c r="Z225" s="5">
        <f t="shared" si="226"/>
        <v>45038.872741470412</v>
      </c>
      <c r="AA225" s="5">
        <f t="shared" si="226"/>
        <v>45461.675512678128</v>
      </c>
      <c r="AB225" s="5">
        <f t="shared" si="226"/>
        <v>45884.478283885837</v>
      </c>
      <c r="AC225" s="5">
        <f t="shared" si="226"/>
        <v>46307.281055093554</v>
      </c>
      <c r="AD225" s="5">
        <f t="shared" si="226"/>
        <v>46730.083826301263</v>
      </c>
      <c r="AE225" s="5">
        <f t="shared" si="226"/>
        <v>47152.886597508972</v>
      </c>
      <c r="AF225" s="5">
        <f t="shared" si="226"/>
        <v>47575.689368716688</v>
      </c>
      <c r="AG225" s="5">
        <f t="shared" si="226"/>
        <v>47998.492139924398</v>
      </c>
      <c r="AH225" s="5">
        <f t="shared" si="226"/>
        <v>48421.294911132114</v>
      </c>
    </row>
    <row r="226" spans="1:34" x14ac:dyDescent="0.35">
      <c r="A226" t="s">
        <v>246</v>
      </c>
      <c r="B226" s="3" t="s">
        <v>1262</v>
      </c>
      <c r="C226" s="4" t="s">
        <v>1263</v>
      </c>
      <c r="D226" s="2">
        <f t="shared" si="196"/>
        <v>702017.2091970488</v>
      </c>
      <c r="E226" s="5">
        <v>12329.200587281855</v>
      </c>
      <c r="F226" s="5">
        <v>9863.3604698254858</v>
      </c>
      <c r="G226" s="5">
        <v>17821.299030707411</v>
      </c>
      <c r="H226" s="5">
        <v>56041.820851281169</v>
      </c>
      <c r="I226" s="5">
        <v>9863.3604698254858</v>
      </c>
      <c r="J226" s="5">
        <v>27124.241292020084</v>
      </c>
      <c r="K226" s="5">
        <v>23163.952618529547</v>
      </c>
      <c r="L226" s="5">
        <v>74311.454448798831</v>
      </c>
      <c r="M226" s="5">
        <v>24415.553284208163</v>
      </c>
      <c r="N226" s="5">
        <v>0</v>
      </c>
      <c r="O226" s="5">
        <v>150117.35745363182</v>
      </c>
      <c r="P226" s="5">
        <v>22491.450768314175</v>
      </c>
      <c r="Q226" s="5">
        <v>0</v>
      </c>
      <c r="R226" s="5">
        <v>22117.838629305636</v>
      </c>
      <c r="S226" s="5">
        <v>84511.065843732009</v>
      </c>
      <c r="T226" s="5">
        <v>44497.205755917254</v>
      </c>
      <c r="U226" s="5">
        <v>52156.254605592345</v>
      </c>
      <c r="V226" s="5">
        <v>71191.793088077509</v>
      </c>
      <c r="W226" s="5">
        <f t="shared" ref="W226:AH226" si="227">IF(OR((SLOPE($E226:$V226,$E$1:$V$1)*W$1+INTERCEPT($E226:$V226,$E$1:$V$1))&gt;(AVERAGE($E226:$V226)+_xlfn.STDEV.P($E226:$V226)),(SLOPE($E226:$V226,$E$1:$V$1)*W$1+INTERCEPT($E226:$V226,$E$1:$V$1))&lt;(AVERAGE($E226:$V226)-_xlfn.STDEV.P($E226:$V226))),V226,(SLOPE($E226:$V226,$E$1:$V$1)*W$1+INTERCEPT($E226:$V226,$E$1:$V$1)))</f>
        <v>62678.075946552817</v>
      </c>
      <c r="X226" s="5">
        <f t="shared" si="227"/>
        <v>65170.404354979146</v>
      </c>
      <c r="Y226" s="5">
        <f t="shared" si="227"/>
        <v>67662.732763405482</v>
      </c>
      <c r="Z226" s="5">
        <f t="shared" si="227"/>
        <v>70155.061171831796</v>
      </c>
      <c r="AA226" s="5">
        <f t="shared" si="227"/>
        <v>72647.389580258139</v>
      </c>
      <c r="AB226" s="5">
        <f t="shared" si="227"/>
        <v>75139.717988684453</v>
      </c>
      <c r="AC226" s="5">
        <f t="shared" si="227"/>
        <v>75139.717988684453</v>
      </c>
      <c r="AD226" s="5">
        <f t="shared" si="227"/>
        <v>75139.717988684453</v>
      </c>
      <c r="AE226" s="5">
        <f t="shared" si="227"/>
        <v>75139.717988684453</v>
      </c>
      <c r="AF226" s="5">
        <f t="shared" si="227"/>
        <v>75139.717988684453</v>
      </c>
      <c r="AG226" s="5">
        <f t="shared" si="227"/>
        <v>75139.717988684453</v>
      </c>
      <c r="AH226" s="5">
        <f t="shared" si="227"/>
        <v>75139.717988684453</v>
      </c>
    </row>
    <row r="227" spans="1:34" x14ac:dyDescent="0.35">
      <c r="A227" t="s">
        <v>247</v>
      </c>
      <c r="B227" s="3" t="s">
        <v>1265</v>
      </c>
      <c r="C227" s="4" t="s">
        <v>1263</v>
      </c>
      <c r="D227" s="2">
        <f t="shared" si="196"/>
        <v>706035.41399999999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117792.86399999999</v>
      </c>
      <c r="R227" s="5">
        <v>144613.83720000004</v>
      </c>
      <c r="S227" s="5">
        <v>182232.48960000003</v>
      </c>
      <c r="T227" s="5">
        <v>133729.54560000004</v>
      </c>
      <c r="U227" s="5">
        <v>66518.323199999984</v>
      </c>
      <c r="V227" s="5">
        <v>61148.354400000004</v>
      </c>
      <c r="W227" s="5">
        <f t="shared" ref="W227:AH227" si="228">IF(OR((SLOPE($E227:$V227,$E$1:$V$1)*W$1+INTERCEPT($E227:$V227,$E$1:$V$1))&gt;(AVERAGE($E227:$V227)+_xlfn.STDEV.P($E227:$V227)),(SLOPE($E227:$V227,$E$1:$V$1)*W$1+INTERCEPT($E227:$V227,$E$1:$V$1))&lt;(AVERAGE($E227:$V227)-_xlfn.STDEV.P($E227:$V227))),V227,(SLOPE($E227:$V227,$E$1:$V$1)*W$1+INTERCEPT($E227:$V227,$E$1:$V$1)))</f>
        <v>61148.354400000004</v>
      </c>
      <c r="X227" s="5">
        <f t="shared" si="228"/>
        <v>61148.354400000004</v>
      </c>
      <c r="Y227" s="5">
        <f t="shared" si="228"/>
        <v>61148.354400000004</v>
      </c>
      <c r="Z227" s="5">
        <f t="shared" si="228"/>
        <v>61148.354400000004</v>
      </c>
      <c r="AA227" s="5">
        <f t="shared" si="228"/>
        <v>61148.354400000004</v>
      </c>
      <c r="AB227" s="5">
        <f t="shared" si="228"/>
        <v>61148.354400000004</v>
      </c>
      <c r="AC227" s="5">
        <f t="shared" si="228"/>
        <v>61148.354400000004</v>
      </c>
      <c r="AD227" s="5">
        <f t="shared" si="228"/>
        <v>61148.354400000004</v>
      </c>
      <c r="AE227" s="5">
        <f t="shared" si="228"/>
        <v>61148.354400000004</v>
      </c>
      <c r="AF227" s="5">
        <f t="shared" si="228"/>
        <v>61148.354400000004</v>
      </c>
      <c r="AG227" s="5">
        <f t="shared" si="228"/>
        <v>61148.354400000004</v>
      </c>
      <c r="AH227" s="5">
        <f t="shared" si="228"/>
        <v>61148.354400000004</v>
      </c>
    </row>
    <row r="228" spans="1:34" x14ac:dyDescent="0.35">
      <c r="A228" t="s">
        <v>248</v>
      </c>
      <c r="B228" s="3" t="s">
        <v>1265</v>
      </c>
      <c r="C228" s="4" t="s">
        <v>1263</v>
      </c>
      <c r="D228" s="2">
        <f t="shared" si="196"/>
        <v>688647.96</v>
      </c>
      <c r="E228" s="5">
        <v>20277.179999999997</v>
      </c>
      <c r="F228" s="5">
        <v>29600.801999999996</v>
      </c>
      <c r="G228" s="5">
        <v>47471.885999999999</v>
      </c>
      <c r="H228" s="5">
        <v>46724.832000000002</v>
      </c>
      <c r="I228" s="5">
        <v>46977.084000000003</v>
      </c>
      <c r="J228" s="5">
        <v>24478.145999999997</v>
      </c>
      <c r="K228" s="5">
        <v>36634.751999999993</v>
      </c>
      <c r="L228" s="5">
        <v>37061.639999999985</v>
      </c>
      <c r="M228" s="5">
        <v>42378.335999999981</v>
      </c>
      <c r="N228" s="5">
        <v>40903.631999999991</v>
      </c>
      <c r="O228" s="5">
        <v>38478.131999999998</v>
      </c>
      <c r="P228" s="5">
        <v>39797.603999999992</v>
      </c>
      <c r="Q228" s="5">
        <v>26719.307999999997</v>
      </c>
      <c r="R228" s="5">
        <v>34354.781999999999</v>
      </c>
      <c r="S228" s="5">
        <v>51168.347999999991</v>
      </c>
      <c r="T228" s="5">
        <v>41068.565999999999</v>
      </c>
      <c r="U228" s="5">
        <v>49441.391999999985</v>
      </c>
      <c r="V228" s="5">
        <v>35111.538</v>
      </c>
      <c r="W228" s="5">
        <f t="shared" ref="W228:AH228" si="229">IF(OR((SLOPE($E228:$V228,$E$1:$V$1)*W$1+INTERCEPT($E228:$V228,$E$1:$V$1))&gt;(AVERAGE($E228:$V228)+_xlfn.STDEV.P($E228:$V228)),(SLOPE($E228:$V228,$E$1:$V$1)*W$1+INTERCEPT($E228:$V228,$E$1:$V$1))&lt;(AVERAGE($E228:$V228)-_xlfn.STDEV.P($E228:$V228))),V228,(SLOPE($E228:$V228,$E$1:$V$1)*W$1+INTERCEPT($E228:$V228,$E$1:$V$1)))</f>
        <v>42533.75823529411</v>
      </c>
      <c r="X228" s="5">
        <f t="shared" si="229"/>
        <v>42983.814891640861</v>
      </c>
      <c r="Y228" s="5">
        <f t="shared" si="229"/>
        <v>43433.871547987612</v>
      </c>
      <c r="Z228" s="5">
        <f t="shared" si="229"/>
        <v>43883.928204334363</v>
      </c>
      <c r="AA228" s="5">
        <f t="shared" si="229"/>
        <v>44333.984860681107</v>
      </c>
      <c r="AB228" s="5">
        <f t="shared" si="229"/>
        <v>44784.041517027857</v>
      </c>
      <c r="AC228" s="5">
        <f t="shared" si="229"/>
        <v>45234.098173374608</v>
      </c>
      <c r="AD228" s="5">
        <f t="shared" si="229"/>
        <v>45684.154829721359</v>
      </c>
      <c r="AE228" s="5">
        <f t="shared" si="229"/>
        <v>46134.211486068103</v>
      </c>
      <c r="AF228" s="5">
        <f t="shared" si="229"/>
        <v>46584.268142414854</v>
      </c>
      <c r="AG228" s="5">
        <f t="shared" si="229"/>
        <v>46584.268142414854</v>
      </c>
      <c r="AH228" s="5">
        <f t="shared" si="229"/>
        <v>46584.268142414854</v>
      </c>
    </row>
    <row r="229" spans="1:34" x14ac:dyDescent="0.35">
      <c r="A229" t="s">
        <v>249</v>
      </c>
      <c r="B229" s="3" t="s">
        <v>1266</v>
      </c>
      <c r="C229" s="4" t="s">
        <v>1267</v>
      </c>
      <c r="D229" s="2">
        <f t="shared" si="196"/>
        <v>685186.2080000001</v>
      </c>
      <c r="E229" s="5">
        <v>166805.40800000002</v>
      </c>
      <c r="F229" s="5">
        <v>261365.21600000004</v>
      </c>
      <c r="G229" s="5">
        <v>254066.17600000004</v>
      </c>
      <c r="H229" s="5">
        <v>2949.4079999999999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f t="shared" ref="W229:AH229" si="230">IF(OR((SLOPE($E229:$V229,$E$1:$V$1)*W$1+INTERCEPT($E229:$V229,$E$1:$V$1))&gt;(AVERAGE($E229:$V229)+_xlfn.STDEV.P($E229:$V229)),(SLOPE($E229:$V229,$E$1:$V$1)*W$1+INTERCEPT($E229:$V229,$E$1:$V$1))&lt;(AVERAGE($E229:$V229)-_xlfn.STDEV.P($E229:$V229))),V229,(SLOPE($E229:$V229,$E$1:$V$1)*W$1+INTERCEPT($E229:$V229,$E$1:$V$1)))</f>
        <v>0</v>
      </c>
      <c r="X229" s="5">
        <f t="shared" si="230"/>
        <v>0</v>
      </c>
      <c r="Y229" s="5">
        <f t="shared" si="230"/>
        <v>0</v>
      </c>
      <c r="Z229" s="5">
        <f t="shared" si="230"/>
        <v>0</v>
      </c>
      <c r="AA229" s="5">
        <f t="shared" si="230"/>
        <v>0</v>
      </c>
      <c r="AB229" s="5">
        <f t="shared" si="230"/>
        <v>0</v>
      </c>
      <c r="AC229" s="5">
        <f t="shared" si="230"/>
        <v>0</v>
      </c>
      <c r="AD229" s="5">
        <f t="shared" si="230"/>
        <v>0</v>
      </c>
      <c r="AE229" s="5">
        <f t="shared" si="230"/>
        <v>0</v>
      </c>
      <c r="AF229" s="5">
        <f t="shared" si="230"/>
        <v>0</v>
      </c>
      <c r="AG229" s="5">
        <f t="shared" si="230"/>
        <v>0</v>
      </c>
      <c r="AH229" s="5">
        <f t="shared" si="230"/>
        <v>0</v>
      </c>
    </row>
    <row r="230" spans="1:34" x14ac:dyDescent="0.35">
      <c r="A230" t="s">
        <v>250</v>
      </c>
      <c r="B230" s="3" t="s">
        <v>1265</v>
      </c>
      <c r="C230" s="4" t="s">
        <v>1263</v>
      </c>
      <c r="D230" s="2">
        <f t="shared" si="196"/>
        <v>683851.03008188715</v>
      </c>
      <c r="E230" s="5">
        <v>81168.876359268004</v>
      </c>
      <c r="F230" s="5">
        <v>87418.879838931636</v>
      </c>
      <c r="G230" s="5">
        <v>0</v>
      </c>
      <c r="H230" s="5">
        <v>0</v>
      </c>
      <c r="I230" s="5">
        <v>69626.662140980086</v>
      </c>
      <c r="J230" s="5">
        <v>29318.198140967601</v>
      </c>
      <c r="K230" s="5">
        <v>0</v>
      </c>
      <c r="L230" s="5">
        <v>0</v>
      </c>
      <c r="M230" s="5">
        <v>0</v>
      </c>
      <c r="N230" s="5">
        <v>50974.054353620304</v>
      </c>
      <c r="O230" s="5">
        <v>49733.793922850688</v>
      </c>
      <c r="P230" s="5">
        <v>141600.72818627019</v>
      </c>
      <c r="Q230" s="5">
        <v>141542.28659529152</v>
      </c>
      <c r="R230" s="5">
        <v>0</v>
      </c>
      <c r="S230" s="5">
        <v>0</v>
      </c>
      <c r="T230" s="5">
        <v>0</v>
      </c>
      <c r="U230" s="5">
        <v>0</v>
      </c>
      <c r="V230" s="5">
        <v>32467.550543707199</v>
      </c>
      <c r="W230" s="5">
        <f t="shared" ref="W230:AH230" si="231">IF(OR((SLOPE($E230:$V230,$E$1:$V$1)*W$1+INTERCEPT($E230:$V230,$E$1:$V$1))&gt;(AVERAGE($E230:$V230)+_xlfn.STDEV.P($E230:$V230)),(SLOPE($E230:$V230,$E$1:$V$1)*W$1+INTERCEPT($E230:$V230,$E$1:$V$1))&lt;(AVERAGE($E230:$V230)-_xlfn.STDEV.P($E230:$V230))),V230,(SLOPE($E230:$V230,$E$1:$V$1)*W$1+INTERCEPT($E230:$V230,$E$1:$V$1)))</f>
        <v>27480.959192619175</v>
      </c>
      <c r="X230" s="5">
        <f t="shared" si="231"/>
        <v>26374.562908322438</v>
      </c>
      <c r="Y230" s="5">
        <f t="shared" si="231"/>
        <v>25268.1666240257</v>
      </c>
      <c r="Z230" s="5">
        <f t="shared" si="231"/>
        <v>24161.770339728966</v>
      </c>
      <c r="AA230" s="5">
        <f t="shared" si="231"/>
        <v>23055.374055432228</v>
      </c>
      <c r="AB230" s="5">
        <f t="shared" si="231"/>
        <v>21948.977771135491</v>
      </c>
      <c r="AC230" s="5">
        <f t="shared" si="231"/>
        <v>20842.581486838753</v>
      </c>
      <c r="AD230" s="5">
        <f t="shared" si="231"/>
        <v>19736.185202542016</v>
      </c>
      <c r="AE230" s="5">
        <f t="shared" si="231"/>
        <v>18629.788918245282</v>
      </c>
      <c r="AF230" s="5">
        <f t="shared" si="231"/>
        <v>17523.392633948544</v>
      </c>
      <c r="AG230" s="5">
        <f t="shared" si="231"/>
        <v>16416.996349651807</v>
      </c>
      <c r="AH230" s="5">
        <f t="shared" si="231"/>
        <v>15310.600065355073</v>
      </c>
    </row>
    <row r="231" spans="1:34" x14ac:dyDescent="0.35">
      <c r="A231" t="s">
        <v>251</v>
      </c>
      <c r="B231" s="3" t="s">
        <v>1265</v>
      </c>
      <c r="C231" s="4" t="s">
        <v>1263</v>
      </c>
      <c r="D231" s="2">
        <f t="shared" si="196"/>
        <v>677269.63079999993</v>
      </c>
      <c r="E231" s="5">
        <v>24309.331200000001</v>
      </c>
      <c r="F231" s="5">
        <v>37645.700399999994</v>
      </c>
      <c r="G231" s="5">
        <v>36371.915999999997</v>
      </c>
      <c r="H231" s="5">
        <v>31368.859199999995</v>
      </c>
      <c r="I231" s="5">
        <v>43738.379999999983</v>
      </c>
      <c r="J231" s="5">
        <v>32105.5056</v>
      </c>
      <c r="K231" s="5">
        <v>45549.3024</v>
      </c>
      <c r="L231" s="5">
        <v>30463.398000000001</v>
      </c>
      <c r="M231" s="5">
        <v>58317.839999999982</v>
      </c>
      <c r="N231" s="5">
        <v>33471.370799999997</v>
      </c>
      <c r="O231" s="5">
        <v>35589.229199999994</v>
      </c>
      <c r="P231" s="5">
        <v>53805.880799999992</v>
      </c>
      <c r="Q231" s="5">
        <v>20257.776000000002</v>
      </c>
      <c r="R231" s="5">
        <v>47083.982399999986</v>
      </c>
      <c r="S231" s="5">
        <v>33885.734400000001</v>
      </c>
      <c r="T231" s="5">
        <v>38551.161600000007</v>
      </c>
      <c r="U231" s="5">
        <v>40377.430800000002</v>
      </c>
      <c r="V231" s="5">
        <v>34376.832000000009</v>
      </c>
      <c r="W231" s="5">
        <f t="shared" ref="W231:AH231" si="232">IF(OR((SLOPE($E231:$V231,$E$1:$V$1)*W$1+INTERCEPT($E231:$V231,$E$1:$V$1))&gt;(AVERAGE($E231:$V231)+_xlfn.STDEV.P($E231:$V231)),(SLOPE($E231:$V231,$E$1:$V$1)*W$1+INTERCEPT($E231:$V231,$E$1:$V$1))&lt;(AVERAGE($E231:$V231)-_xlfn.STDEV.P($E231:$V231))),V231,(SLOPE($E231:$V231,$E$1:$V$1)*W$1+INTERCEPT($E231:$V231,$E$1:$V$1)))</f>
        <v>40048.929035294117</v>
      </c>
      <c r="X231" s="5">
        <f t="shared" si="232"/>
        <v>40303.964660061923</v>
      </c>
      <c r="Y231" s="5">
        <f t="shared" si="232"/>
        <v>40559.000284829723</v>
      </c>
      <c r="Z231" s="5">
        <f t="shared" si="232"/>
        <v>40814.035909597529</v>
      </c>
      <c r="AA231" s="5">
        <f t="shared" si="232"/>
        <v>41069.071534365328</v>
      </c>
      <c r="AB231" s="5">
        <f t="shared" si="232"/>
        <v>41324.107159133127</v>
      </c>
      <c r="AC231" s="5">
        <f t="shared" si="232"/>
        <v>41579.142783900934</v>
      </c>
      <c r="AD231" s="5">
        <f t="shared" si="232"/>
        <v>41834.178408668733</v>
      </c>
      <c r="AE231" s="5">
        <f t="shared" si="232"/>
        <v>42089.214033436539</v>
      </c>
      <c r="AF231" s="5">
        <f t="shared" si="232"/>
        <v>42344.249658204339</v>
      </c>
      <c r="AG231" s="5">
        <f t="shared" si="232"/>
        <v>42599.285282972145</v>
      </c>
      <c r="AH231" s="5">
        <f t="shared" si="232"/>
        <v>42854.320907739944</v>
      </c>
    </row>
    <row r="232" spans="1:34" x14ac:dyDescent="0.35">
      <c r="A232" t="s">
        <v>252</v>
      </c>
      <c r="B232" s="3" t="s">
        <v>1266</v>
      </c>
      <c r="C232" s="4" t="s">
        <v>1263</v>
      </c>
      <c r="D232" s="2">
        <f t="shared" si="196"/>
        <v>677830.87486065284</v>
      </c>
      <c r="E232" s="5">
        <v>0</v>
      </c>
      <c r="F232" s="5">
        <v>0</v>
      </c>
      <c r="G232" s="5">
        <v>77059.803497052068</v>
      </c>
      <c r="H232" s="5">
        <v>0</v>
      </c>
      <c r="I232" s="5">
        <v>0</v>
      </c>
      <c r="J232" s="5">
        <v>85998.740702710114</v>
      </c>
      <c r="K232" s="5">
        <v>77059.803497052068</v>
      </c>
      <c r="L232" s="5">
        <v>0</v>
      </c>
      <c r="M232" s="5">
        <v>0</v>
      </c>
      <c r="N232" s="5">
        <v>0</v>
      </c>
      <c r="O232" s="5">
        <v>84765.783846757273</v>
      </c>
      <c r="P232" s="5">
        <v>84765.783846757273</v>
      </c>
      <c r="Q232" s="5">
        <v>0</v>
      </c>
      <c r="R232" s="5">
        <v>85228.142667739594</v>
      </c>
      <c r="S232" s="5">
        <v>41625.137188990957</v>
      </c>
      <c r="T232" s="5">
        <v>0</v>
      </c>
      <c r="U232" s="5">
        <v>0</v>
      </c>
      <c r="V232" s="5">
        <v>141327.6796135935</v>
      </c>
      <c r="W232" s="5">
        <f t="shared" ref="W232:AH232" si="233">IF(OR((SLOPE($E232:$V232,$E$1:$V$1)*W$1+INTERCEPT($E232:$V232,$E$1:$V$1))&gt;(AVERAGE($E232:$V232)+_xlfn.STDEV.P($E232:$V232)),(SLOPE($E232:$V232,$E$1:$V$1)*W$1+INTERCEPT($E232:$V232,$E$1:$V$1))&lt;(AVERAGE($E232:$V232)-_xlfn.STDEV.P($E232:$V232))),V232,(SLOPE($E232:$V232,$E$1:$V$1)*W$1+INTERCEPT($E232:$V232,$E$1:$V$1)))</f>
        <v>60368.633270962382</v>
      </c>
      <c r="X232" s="5">
        <f t="shared" si="233"/>
        <v>62759.303002054017</v>
      </c>
      <c r="Y232" s="5">
        <f t="shared" si="233"/>
        <v>65149.97273314566</v>
      </c>
      <c r="Z232" s="5">
        <f t="shared" si="233"/>
        <v>67540.642464237288</v>
      </c>
      <c r="AA232" s="5">
        <f t="shared" si="233"/>
        <v>69931.312195328937</v>
      </c>
      <c r="AB232" s="5">
        <f t="shared" si="233"/>
        <v>72321.981926420573</v>
      </c>
      <c r="AC232" s="5">
        <f t="shared" si="233"/>
        <v>74712.651657512208</v>
      </c>
      <c r="AD232" s="5">
        <f t="shared" si="233"/>
        <v>77103.321388603843</v>
      </c>
      <c r="AE232" s="5">
        <f t="shared" si="233"/>
        <v>79493.991119695478</v>
      </c>
      <c r="AF232" s="5">
        <f t="shared" si="233"/>
        <v>81884.660850787113</v>
      </c>
      <c r="AG232" s="5">
        <f t="shared" si="233"/>
        <v>81884.660850787113</v>
      </c>
      <c r="AH232" s="5">
        <f t="shared" si="233"/>
        <v>81884.660850787113</v>
      </c>
    </row>
    <row r="233" spans="1:34" x14ac:dyDescent="0.35">
      <c r="A233" t="s">
        <v>253</v>
      </c>
      <c r="B233" s="3" t="s">
        <v>1262</v>
      </c>
      <c r="C233" s="4" t="s">
        <v>1263</v>
      </c>
      <c r="D233" s="2">
        <f t="shared" si="196"/>
        <v>671797.35</v>
      </c>
      <c r="E233" s="5">
        <v>43681.05</v>
      </c>
      <c r="F233" s="5">
        <v>76557.599999999991</v>
      </c>
      <c r="G233" s="5">
        <v>4189.5</v>
      </c>
      <c r="H233" s="5">
        <v>90008.1</v>
      </c>
      <c r="I233" s="5">
        <v>0</v>
      </c>
      <c r="J233" s="5">
        <v>0</v>
      </c>
      <c r="K233" s="5">
        <v>0</v>
      </c>
      <c r="L233" s="5">
        <v>0</v>
      </c>
      <c r="M233" s="5">
        <v>121230.9</v>
      </c>
      <c r="N233" s="5">
        <v>22204.35</v>
      </c>
      <c r="O233" s="5">
        <v>24232.949999999997</v>
      </c>
      <c r="P233" s="5">
        <v>27650.699999999997</v>
      </c>
      <c r="Q233" s="5">
        <v>38300.85</v>
      </c>
      <c r="R233" s="5">
        <v>49061.25</v>
      </c>
      <c r="S233" s="5">
        <v>48069</v>
      </c>
      <c r="T233" s="5">
        <v>40549.949999999997</v>
      </c>
      <c r="U233" s="5">
        <v>43284.15</v>
      </c>
      <c r="V233" s="5">
        <v>42777</v>
      </c>
      <c r="W233" s="5">
        <f t="shared" ref="W233:AH233" si="234">IF(OR((SLOPE($E233:$V233,$E$1:$V$1)*W$1+INTERCEPT($E233:$V233,$E$1:$V$1))&gt;(AVERAGE($E233:$V233)+_xlfn.STDEV.P($E233:$V233)),(SLOPE($E233:$V233,$E$1:$V$1)*W$1+INTERCEPT($E233:$V233,$E$1:$V$1))&lt;(AVERAGE($E233:$V233)-_xlfn.STDEV.P($E233:$V233))),V233,(SLOPE($E233:$V233,$E$1:$V$1)*W$1+INTERCEPT($E233:$V233,$E$1:$V$1)))</f>
        <v>40444.311764705875</v>
      </c>
      <c r="X233" s="5">
        <f t="shared" si="234"/>
        <v>40772.968266253869</v>
      </c>
      <c r="Y233" s="5">
        <f t="shared" si="234"/>
        <v>41101.624767801855</v>
      </c>
      <c r="Z233" s="5">
        <f t="shared" si="234"/>
        <v>41430.281269349842</v>
      </c>
      <c r="AA233" s="5">
        <f t="shared" si="234"/>
        <v>41758.937770897828</v>
      </c>
      <c r="AB233" s="5">
        <f t="shared" si="234"/>
        <v>42087.594272445815</v>
      </c>
      <c r="AC233" s="5">
        <f t="shared" si="234"/>
        <v>42416.250773993801</v>
      </c>
      <c r="AD233" s="5">
        <f t="shared" si="234"/>
        <v>42744.907275541787</v>
      </c>
      <c r="AE233" s="5">
        <f t="shared" si="234"/>
        <v>43073.563777089781</v>
      </c>
      <c r="AF233" s="5">
        <f t="shared" si="234"/>
        <v>43402.220278637767</v>
      </c>
      <c r="AG233" s="5">
        <f t="shared" si="234"/>
        <v>43730.876780185754</v>
      </c>
      <c r="AH233" s="5">
        <f t="shared" si="234"/>
        <v>44059.53328173374</v>
      </c>
    </row>
    <row r="234" spans="1:34" x14ac:dyDescent="0.35">
      <c r="A234" t="s">
        <v>254</v>
      </c>
      <c r="B234" s="3" t="s">
        <v>1262</v>
      </c>
      <c r="C234" s="4" t="s">
        <v>1263</v>
      </c>
      <c r="D234" s="2">
        <f t="shared" si="196"/>
        <v>662743.62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159752.25</v>
      </c>
      <c r="L234" s="5">
        <v>18058.949999999997</v>
      </c>
      <c r="M234" s="5">
        <v>33736.499999999993</v>
      </c>
      <c r="N234" s="5">
        <v>54534.06</v>
      </c>
      <c r="O234" s="5">
        <v>62432.369999999995</v>
      </c>
      <c r="P234" s="5">
        <v>72632.700000000012</v>
      </c>
      <c r="Q234" s="5">
        <v>16550.730000000003</v>
      </c>
      <c r="R234" s="5">
        <v>54375.299999999988</v>
      </c>
      <c r="S234" s="5">
        <v>50763.509999999995</v>
      </c>
      <c r="T234" s="5">
        <v>46000.710000000006</v>
      </c>
      <c r="U234" s="5">
        <v>46199.160000000011</v>
      </c>
      <c r="V234" s="5">
        <v>47707.380000000005</v>
      </c>
      <c r="W234" s="5">
        <f t="shared" ref="W234:AH234" si="235">IF(OR((SLOPE($E234:$V234,$E$1:$V$1)*W$1+INTERCEPT($E234:$V234,$E$1:$V$1))&gt;(AVERAGE($E234:$V234)+_xlfn.STDEV.P($E234:$V234)),(SLOPE($E234:$V234,$E$1:$V$1)*W$1+INTERCEPT($E234:$V234,$E$1:$V$1))&lt;(AVERAGE($E234:$V234)-_xlfn.STDEV.P($E234:$V234))),V234,(SLOPE($E234:$V234,$E$1:$V$1)*W$1+INTERCEPT($E234:$V234,$E$1:$V$1)))</f>
        <v>66073.73294117648</v>
      </c>
      <c r="X234" s="5">
        <f t="shared" si="235"/>
        <v>69153.169040247682</v>
      </c>
      <c r="Y234" s="5">
        <f t="shared" si="235"/>
        <v>72232.605139318883</v>
      </c>
      <c r="Z234" s="5">
        <f t="shared" si="235"/>
        <v>75312.041238390084</v>
      </c>
      <c r="AA234" s="5">
        <f t="shared" si="235"/>
        <v>75312.041238390084</v>
      </c>
      <c r="AB234" s="5">
        <f t="shared" si="235"/>
        <v>75312.041238390084</v>
      </c>
      <c r="AC234" s="5">
        <f t="shared" si="235"/>
        <v>75312.041238390084</v>
      </c>
      <c r="AD234" s="5">
        <f t="shared" si="235"/>
        <v>75312.041238390084</v>
      </c>
      <c r="AE234" s="5">
        <f t="shared" si="235"/>
        <v>75312.041238390084</v>
      </c>
      <c r="AF234" s="5">
        <f t="shared" si="235"/>
        <v>75312.041238390084</v>
      </c>
      <c r="AG234" s="5">
        <f t="shared" si="235"/>
        <v>75312.041238390084</v>
      </c>
      <c r="AH234" s="5">
        <f t="shared" si="235"/>
        <v>75312.041238390084</v>
      </c>
    </row>
    <row r="235" spans="1:34" x14ac:dyDescent="0.35">
      <c r="A235" t="s">
        <v>255</v>
      </c>
      <c r="B235" s="3" t="s">
        <v>1266</v>
      </c>
      <c r="C235" s="4" t="s">
        <v>1267</v>
      </c>
      <c r="D235" s="2">
        <f t="shared" si="196"/>
        <v>666553.80066442385</v>
      </c>
      <c r="E235" s="5">
        <v>0</v>
      </c>
      <c r="F235" s="5">
        <v>106795.68091952192</v>
      </c>
      <c r="G235" s="5">
        <v>107139.85816505726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184537.76557568391</v>
      </c>
      <c r="P235" s="5">
        <v>0</v>
      </c>
      <c r="Q235" s="5">
        <v>0</v>
      </c>
      <c r="R235" s="5">
        <v>0</v>
      </c>
      <c r="S235" s="5">
        <v>268080.49600416073</v>
      </c>
      <c r="T235" s="5">
        <v>0</v>
      </c>
      <c r="U235" s="5">
        <v>0</v>
      </c>
      <c r="V235" s="5">
        <v>0</v>
      </c>
      <c r="W235" s="5">
        <f t="shared" ref="W235:AH235" si="236">IF(OR((SLOPE($E235:$V235,$E$1:$V$1)*W$1+INTERCEPT($E235:$V235,$E$1:$V$1))&gt;(AVERAGE($E235:$V235)+_xlfn.STDEV.P($E235:$V235)),(SLOPE($E235:$V235,$E$1:$V$1)*W$1+INTERCEPT($E235:$V235,$E$1:$V$1))&lt;(AVERAGE($E235:$V235)-_xlfn.STDEV.P($E235:$V235))),V235,(SLOPE($E235:$V235,$E$1:$V$1)*W$1+INTERCEPT($E235:$V235,$E$1:$V$1)))</f>
        <v>42008.66261371877</v>
      </c>
      <c r="X235" s="5">
        <f t="shared" si="236"/>
        <v>42532.651656891365</v>
      </c>
      <c r="Y235" s="5">
        <f t="shared" si="236"/>
        <v>43056.640700063959</v>
      </c>
      <c r="Z235" s="5">
        <f t="shared" si="236"/>
        <v>43580.629743236554</v>
      </c>
      <c r="AA235" s="5">
        <f t="shared" si="236"/>
        <v>44104.618786409155</v>
      </c>
      <c r="AB235" s="5">
        <f t="shared" si="236"/>
        <v>44628.60782958175</v>
      </c>
      <c r="AC235" s="5">
        <f t="shared" si="236"/>
        <v>45152.596872754351</v>
      </c>
      <c r="AD235" s="5">
        <f t="shared" si="236"/>
        <v>45676.585915926946</v>
      </c>
      <c r="AE235" s="5">
        <f t="shared" si="236"/>
        <v>46200.57495909954</v>
      </c>
      <c r="AF235" s="5">
        <f t="shared" si="236"/>
        <v>46724.564002272135</v>
      </c>
      <c r="AG235" s="5">
        <f t="shared" si="236"/>
        <v>47248.553045444729</v>
      </c>
      <c r="AH235" s="5">
        <f t="shared" si="236"/>
        <v>47772.542088617331</v>
      </c>
    </row>
    <row r="236" spans="1:34" x14ac:dyDescent="0.35">
      <c r="A236" t="s">
        <v>256</v>
      </c>
      <c r="B236" s="3" t="s">
        <v>1265</v>
      </c>
      <c r="C236" s="4" t="s">
        <v>1263</v>
      </c>
      <c r="D236" s="2">
        <f t="shared" si="196"/>
        <v>666256.33080308966</v>
      </c>
      <c r="E236" s="5">
        <v>869.12446675041588</v>
      </c>
      <c r="F236" s="5">
        <v>28985.300966126364</v>
      </c>
      <c r="G236" s="5">
        <v>155167.68813050757</v>
      </c>
      <c r="H236" s="5">
        <v>50293.335809290722</v>
      </c>
      <c r="I236" s="5">
        <v>0</v>
      </c>
      <c r="J236" s="5">
        <v>57941.631116694392</v>
      </c>
      <c r="K236" s="5">
        <v>17382.489335008318</v>
      </c>
      <c r="L236" s="5">
        <v>90707.62351318507</v>
      </c>
      <c r="M236" s="5">
        <v>7387.5579673785351</v>
      </c>
      <c r="N236" s="5">
        <v>0</v>
      </c>
      <c r="O236" s="5">
        <v>0</v>
      </c>
      <c r="P236" s="5">
        <v>7966.9742785454791</v>
      </c>
      <c r="Q236" s="5">
        <v>16947.927101633108</v>
      </c>
      <c r="R236" s="5">
        <v>39842.114096616977</v>
      </c>
      <c r="S236" s="5">
        <v>3476.4978670016635</v>
      </c>
      <c r="T236" s="5">
        <v>44687.482998750544</v>
      </c>
      <c r="U236" s="5">
        <v>76410.526035140734</v>
      </c>
      <c r="V236" s="5">
        <v>68190.057120459707</v>
      </c>
      <c r="W236" s="5">
        <f t="shared" ref="W236:AH236" si="237">IF(OR((SLOPE($E236:$V236,$E$1:$V$1)*W$1+INTERCEPT($E236:$V236,$E$1:$V$1))&gt;(AVERAGE($E236:$V236)+_xlfn.STDEV.P($E236:$V236)),(SLOPE($E236:$V236,$E$1:$V$1)*W$1+INTERCEPT($E236:$V236,$E$1:$V$1))&lt;(AVERAGE($E236:$V236)-_xlfn.STDEV.P($E236:$V236))),V236,(SLOPE($E236:$V236,$E$1:$V$1)*W$1+INTERCEPT($E236:$V236,$E$1:$V$1)))</f>
        <v>33579.35277708467</v>
      </c>
      <c r="X236" s="5">
        <f t="shared" si="237"/>
        <v>33217.785637812354</v>
      </c>
      <c r="Y236" s="5">
        <f t="shared" si="237"/>
        <v>32856.218498540038</v>
      </c>
      <c r="Z236" s="5">
        <f t="shared" si="237"/>
        <v>32494.651359267729</v>
      </c>
      <c r="AA236" s="5">
        <f t="shared" si="237"/>
        <v>32133.084219995413</v>
      </c>
      <c r="AB236" s="5">
        <f t="shared" si="237"/>
        <v>31771.517080723104</v>
      </c>
      <c r="AC236" s="5">
        <f t="shared" si="237"/>
        <v>31409.949941450788</v>
      </c>
      <c r="AD236" s="5">
        <f t="shared" si="237"/>
        <v>31048.382802178476</v>
      </c>
      <c r="AE236" s="5">
        <f t="shared" si="237"/>
        <v>30686.815662906163</v>
      </c>
      <c r="AF236" s="5">
        <f t="shared" si="237"/>
        <v>30325.248523633851</v>
      </c>
      <c r="AG236" s="5">
        <f t="shared" si="237"/>
        <v>29963.681384361538</v>
      </c>
      <c r="AH236" s="5">
        <f t="shared" si="237"/>
        <v>29602.114245089222</v>
      </c>
    </row>
    <row r="237" spans="1:34" x14ac:dyDescent="0.35">
      <c r="A237" t="s">
        <v>257</v>
      </c>
      <c r="B237" s="3" t="s">
        <v>1264</v>
      </c>
      <c r="C237" s="4" t="s">
        <v>1263</v>
      </c>
      <c r="D237" s="2">
        <f t="shared" si="196"/>
        <v>663694.41599999985</v>
      </c>
      <c r="E237" s="5">
        <v>32099.155199999997</v>
      </c>
      <c r="F237" s="5">
        <v>19696.118399999999</v>
      </c>
      <c r="G237" s="5">
        <v>38360.649599999997</v>
      </c>
      <c r="H237" s="5">
        <v>41503.392000000007</v>
      </c>
      <c r="I237" s="5">
        <v>35025.983999999997</v>
      </c>
      <c r="J237" s="5">
        <v>37125.143999999993</v>
      </c>
      <c r="K237" s="5">
        <v>26869.247999999992</v>
      </c>
      <c r="L237" s="5">
        <v>39140.337599999984</v>
      </c>
      <c r="M237" s="5">
        <v>39164.328000000001</v>
      </c>
      <c r="N237" s="5">
        <v>33166.727999999988</v>
      </c>
      <c r="O237" s="5">
        <v>43242.696000000004</v>
      </c>
      <c r="P237" s="5">
        <v>39404.231999999982</v>
      </c>
      <c r="Q237" s="5">
        <v>28488.6</v>
      </c>
      <c r="R237" s="5">
        <v>34606.151999999987</v>
      </c>
      <c r="S237" s="5">
        <v>45221.903999999995</v>
      </c>
      <c r="T237" s="5">
        <v>36585.360000000001</v>
      </c>
      <c r="U237" s="5">
        <v>48760.48799999999</v>
      </c>
      <c r="V237" s="5">
        <v>45233.899199999993</v>
      </c>
      <c r="W237" s="5">
        <f t="shared" ref="W237:AH237" si="238">IF(OR((SLOPE($E237:$V237,$E$1:$V$1)*W$1+INTERCEPT($E237:$V237,$E$1:$V$1))&gt;(AVERAGE($E237:$V237)+_xlfn.STDEV.P($E237:$V237)),(SLOPE($E237:$V237,$E$1:$V$1)*W$1+INTERCEPT($E237:$V237,$E$1:$V$1))&lt;(AVERAGE($E237:$V237)-_xlfn.STDEV.P($E237:$V237))),V237,(SLOPE($E237:$V237,$E$1:$V$1)*W$1+INTERCEPT($E237:$V237,$E$1:$V$1)))</f>
        <v>43556.531199999983</v>
      </c>
      <c r="X237" s="5">
        <f t="shared" si="238"/>
        <v>43556.531199999983</v>
      </c>
      <c r="Y237" s="5">
        <f t="shared" si="238"/>
        <v>43556.531199999983</v>
      </c>
      <c r="Z237" s="5">
        <f t="shared" si="238"/>
        <v>43556.531199999983</v>
      </c>
      <c r="AA237" s="5">
        <f t="shared" si="238"/>
        <v>43556.531199999983</v>
      </c>
      <c r="AB237" s="5">
        <f t="shared" si="238"/>
        <v>43556.531199999983</v>
      </c>
      <c r="AC237" s="5">
        <f t="shared" si="238"/>
        <v>43556.531199999983</v>
      </c>
      <c r="AD237" s="5">
        <f t="shared" si="238"/>
        <v>43556.531199999983</v>
      </c>
      <c r="AE237" s="5">
        <f t="shared" si="238"/>
        <v>43556.531199999983</v>
      </c>
      <c r="AF237" s="5">
        <f t="shared" si="238"/>
        <v>43556.531199999983</v>
      </c>
      <c r="AG237" s="5">
        <f t="shared" si="238"/>
        <v>43556.531199999983</v>
      </c>
      <c r="AH237" s="5">
        <f t="shared" si="238"/>
        <v>43556.531199999983</v>
      </c>
    </row>
    <row r="238" spans="1:34" x14ac:dyDescent="0.35">
      <c r="A238" t="s">
        <v>258</v>
      </c>
      <c r="B238" s="3" t="s">
        <v>1265</v>
      </c>
      <c r="C238" s="4" t="s">
        <v>1263</v>
      </c>
      <c r="D238" s="2">
        <f t="shared" si="196"/>
        <v>644232.20399999991</v>
      </c>
      <c r="E238" s="5">
        <v>27478.004399999998</v>
      </c>
      <c r="F238" s="5">
        <v>27049.175999999992</v>
      </c>
      <c r="G238" s="5">
        <v>34718.607000000011</v>
      </c>
      <c r="H238" s="5">
        <v>37769.886000000006</v>
      </c>
      <c r="I238" s="5">
        <v>38990.397600000004</v>
      </c>
      <c r="J238" s="5">
        <v>24641.139600000002</v>
      </c>
      <c r="K238" s="5">
        <v>38677.023000000008</v>
      </c>
      <c r="L238" s="5">
        <v>31254.992999999999</v>
      </c>
      <c r="M238" s="5">
        <v>49777.081200000008</v>
      </c>
      <c r="N238" s="5">
        <v>36235.999800000005</v>
      </c>
      <c r="O238" s="5">
        <v>31667.328000000001</v>
      </c>
      <c r="P238" s="5">
        <v>49430.719799999999</v>
      </c>
      <c r="Q238" s="5">
        <v>22892.839199999999</v>
      </c>
      <c r="R238" s="5">
        <v>37687.419000000009</v>
      </c>
      <c r="S238" s="5">
        <v>40821.165000000001</v>
      </c>
      <c r="T238" s="5">
        <v>39666.626999999993</v>
      </c>
      <c r="U238" s="5">
        <v>33399.134999999995</v>
      </c>
      <c r="V238" s="5">
        <v>42074.663400000005</v>
      </c>
      <c r="W238" s="5">
        <f t="shared" ref="W238:AH238" si="239">IF(OR((SLOPE($E238:$V238,$E$1:$V$1)*W$1+INTERCEPT($E238:$V238,$E$1:$V$1))&gt;(AVERAGE($E238:$V238)+_xlfn.STDEV.P($E238:$V238)),(SLOPE($E238:$V238,$E$1:$V$1)*W$1+INTERCEPT($E238:$V238,$E$1:$V$1))&lt;(AVERAGE($E238:$V238)-_xlfn.STDEV.P($E238:$V238))),V238,(SLOPE($E238:$V238,$E$1:$V$1)*W$1+INTERCEPT($E238:$V238,$E$1:$V$1)))</f>
        <v>40288.525199999989</v>
      </c>
      <c r="X238" s="5">
        <f t="shared" si="239"/>
        <v>40761.982799999991</v>
      </c>
      <c r="Y238" s="5">
        <f t="shared" si="239"/>
        <v>41235.440399999992</v>
      </c>
      <c r="Z238" s="5">
        <f t="shared" si="239"/>
        <v>41708.897999999986</v>
      </c>
      <c r="AA238" s="5">
        <f t="shared" si="239"/>
        <v>42182.355599999988</v>
      </c>
      <c r="AB238" s="5">
        <f t="shared" si="239"/>
        <v>42655.81319999999</v>
      </c>
      <c r="AC238" s="5">
        <f t="shared" si="239"/>
        <v>42655.81319999999</v>
      </c>
      <c r="AD238" s="5">
        <f t="shared" si="239"/>
        <v>42655.81319999999</v>
      </c>
      <c r="AE238" s="5">
        <f t="shared" si="239"/>
        <v>42655.81319999999</v>
      </c>
      <c r="AF238" s="5">
        <f t="shared" si="239"/>
        <v>42655.81319999999</v>
      </c>
      <c r="AG238" s="5">
        <f t="shared" si="239"/>
        <v>42655.81319999999</v>
      </c>
      <c r="AH238" s="5">
        <f t="shared" si="239"/>
        <v>42655.81319999999</v>
      </c>
    </row>
    <row r="239" spans="1:34" x14ac:dyDescent="0.35">
      <c r="A239" t="s">
        <v>259</v>
      </c>
      <c r="B239" s="3" t="s">
        <v>1266</v>
      </c>
      <c r="C239" s="4" t="s">
        <v>1263</v>
      </c>
      <c r="D239" s="2">
        <f t="shared" si="196"/>
        <v>646772.9233473473</v>
      </c>
      <c r="E239" s="5">
        <v>0</v>
      </c>
      <c r="F239" s="5">
        <v>0</v>
      </c>
      <c r="G239" s="5">
        <v>73885.943796582083</v>
      </c>
      <c r="H239" s="5">
        <v>0</v>
      </c>
      <c r="I239" s="5">
        <v>75363.662672513718</v>
      </c>
      <c r="J239" s="5">
        <v>0</v>
      </c>
      <c r="K239" s="5">
        <v>0</v>
      </c>
      <c r="L239" s="5">
        <v>0</v>
      </c>
      <c r="M239" s="5">
        <v>81274.538176240298</v>
      </c>
      <c r="N239" s="5">
        <v>170824.30205769776</v>
      </c>
      <c r="O239" s="5">
        <v>0</v>
      </c>
      <c r="P239" s="5">
        <v>0</v>
      </c>
      <c r="Q239" s="5">
        <v>0</v>
      </c>
      <c r="R239" s="5">
        <v>81570.081951426604</v>
      </c>
      <c r="S239" s="5">
        <v>81274.538176240298</v>
      </c>
      <c r="T239" s="5">
        <v>0</v>
      </c>
      <c r="U239" s="5">
        <v>0</v>
      </c>
      <c r="V239" s="5">
        <v>82579.856516646571</v>
      </c>
      <c r="W239" s="5">
        <f t="shared" ref="W239:AH239" si="240">IF(OR((SLOPE($E239:$V239,$E$1:$V$1)*W$1+INTERCEPT($E239:$V239,$E$1:$V$1))&gt;(AVERAGE($E239:$V239)+_xlfn.STDEV.P($E239:$V239)),(SLOPE($E239:$V239,$E$1:$V$1)*W$1+INTERCEPT($E239:$V239,$E$1:$V$1))&lt;(AVERAGE($E239:$V239)-_xlfn.STDEV.P($E239:$V239))),V239,(SLOPE($E239:$V239,$E$1:$V$1)*W$1+INTERCEPT($E239:$V239,$E$1:$V$1)))</f>
        <v>50468.767788163808</v>
      </c>
      <c r="X239" s="5">
        <f t="shared" si="240"/>
        <v>51998.9718632492</v>
      </c>
      <c r="Y239" s="5">
        <f t="shared" si="240"/>
        <v>53529.175938334585</v>
      </c>
      <c r="Z239" s="5">
        <f t="shared" si="240"/>
        <v>55059.380013419977</v>
      </c>
      <c r="AA239" s="5">
        <f t="shared" si="240"/>
        <v>56589.584088505362</v>
      </c>
      <c r="AB239" s="5">
        <f t="shared" si="240"/>
        <v>58119.788163590747</v>
      </c>
      <c r="AC239" s="5">
        <f t="shared" si="240"/>
        <v>59649.992238676139</v>
      </c>
      <c r="AD239" s="5">
        <f t="shared" si="240"/>
        <v>61180.196313761524</v>
      </c>
      <c r="AE239" s="5">
        <f t="shared" si="240"/>
        <v>62710.400388846916</v>
      </c>
      <c r="AF239" s="5">
        <f t="shared" si="240"/>
        <v>64240.604463932301</v>
      </c>
      <c r="AG239" s="5">
        <f t="shared" si="240"/>
        <v>65770.808539017686</v>
      </c>
      <c r="AH239" s="5">
        <f t="shared" si="240"/>
        <v>67301.012614103078</v>
      </c>
    </row>
    <row r="240" spans="1:34" x14ac:dyDescent="0.35">
      <c r="A240" t="s">
        <v>260</v>
      </c>
      <c r="B240" s="3" t="s">
        <v>1262</v>
      </c>
      <c r="C240" s="4" t="s">
        <v>1263</v>
      </c>
      <c r="D240" s="2">
        <f t="shared" si="196"/>
        <v>646284.0553461049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301119.97513962153</v>
      </c>
      <c r="R240" s="5">
        <v>336235.10123949492</v>
      </c>
      <c r="S240" s="5">
        <v>0</v>
      </c>
      <c r="T240" s="5">
        <v>5127.4299172381388</v>
      </c>
      <c r="U240" s="5">
        <v>776.88332079365728</v>
      </c>
      <c r="V240" s="5">
        <v>3024.6657289566388</v>
      </c>
      <c r="W240" s="5">
        <f t="shared" ref="W240:AH240" si="241">IF(OR((SLOPE($E240:$V240,$E$1:$V$1)*W$1+INTERCEPT($E240:$V240,$E$1:$V$1))&gt;(AVERAGE($E240:$V240)+_xlfn.STDEV.P($E240:$V240)),(SLOPE($E240:$V240,$E$1:$V$1)*W$1+INTERCEPT($E240:$V240,$E$1:$V$1))&lt;(AVERAGE($E240:$V240)-_xlfn.STDEV.P($E240:$V240))),V240,(SLOPE($E240:$V240,$E$1:$V$1)*W$1+INTERCEPT($E240:$V240,$E$1:$V$1)))</f>
        <v>87509.423596950932</v>
      </c>
      <c r="X240" s="5">
        <f t="shared" si="241"/>
        <v>92941.502950161535</v>
      </c>
      <c r="Y240" s="5">
        <f t="shared" si="241"/>
        <v>98373.582303372139</v>
      </c>
      <c r="Z240" s="5">
        <f t="shared" si="241"/>
        <v>103805.66165658273</v>
      </c>
      <c r="AA240" s="5">
        <f t="shared" si="241"/>
        <v>109237.74100979332</v>
      </c>
      <c r="AB240" s="5">
        <f t="shared" si="241"/>
        <v>114669.82036300392</v>
      </c>
      <c r="AC240" s="5">
        <f t="shared" si="241"/>
        <v>120101.89971621452</v>
      </c>
      <c r="AD240" s="5">
        <f t="shared" si="241"/>
        <v>125533.97906942513</v>
      </c>
      <c r="AE240" s="5">
        <f t="shared" si="241"/>
        <v>130966.0584226357</v>
      </c>
      <c r="AF240" s="5">
        <f t="shared" si="241"/>
        <v>130966.0584226357</v>
      </c>
      <c r="AG240" s="5">
        <f t="shared" si="241"/>
        <v>130966.0584226357</v>
      </c>
      <c r="AH240" s="5">
        <f t="shared" si="241"/>
        <v>130966.0584226357</v>
      </c>
    </row>
    <row r="241" spans="1:34" x14ac:dyDescent="0.35">
      <c r="A241" t="s">
        <v>261</v>
      </c>
      <c r="B241" s="3" t="s">
        <v>1264</v>
      </c>
      <c r="C241" s="4" t="s">
        <v>1263</v>
      </c>
      <c r="D241" s="2">
        <f t="shared" si="196"/>
        <v>643932.6200633382</v>
      </c>
      <c r="E241" s="5">
        <v>0</v>
      </c>
      <c r="F241" s="5">
        <v>0</v>
      </c>
      <c r="G241" s="5">
        <v>219358.61432820867</v>
      </c>
      <c r="H241" s="5">
        <v>0</v>
      </c>
      <c r="I241" s="5">
        <v>0</v>
      </c>
      <c r="J241" s="5">
        <v>213534.93430179602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211039.07143333348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f t="shared" ref="W241:AH241" si="242">IF(OR((SLOPE($E241:$V241,$E$1:$V$1)*W$1+INTERCEPT($E241:$V241,$E$1:$V$1))&gt;(AVERAGE($E241:$V241)+_xlfn.STDEV.P($E241:$V241)),(SLOPE($E241:$V241,$E$1:$V$1)*W$1+INTERCEPT($E241:$V241,$E$1:$V$1))&lt;(AVERAGE($E241:$V241)-_xlfn.STDEV.P($E241:$V241))),V241,(SLOPE($E241:$V241,$E$1:$V$1)*W$1+INTERCEPT($E241:$V241,$E$1:$V$1)))</f>
        <v>3507.2582792120811</v>
      </c>
      <c r="X241" s="5">
        <f t="shared" si="242"/>
        <v>110.75552460670588</v>
      </c>
      <c r="Y241" s="5">
        <f t="shared" si="242"/>
        <v>-3285.7472299986839</v>
      </c>
      <c r="Z241" s="5">
        <f t="shared" si="242"/>
        <v>-6682.2499846040737</v>
      </c>
      <c r="AA241" s="5">
        <f t="shared" si="242"/>
        <v>-10078.752739209449</v>
      </c>
      <c r="AB241" s="5">
        <f t="shared" si="242"/>
        <v>-13475.255493814839</v>
      </c>
      <c r="AC241" s="5">
        <f t="shared" si="242"/>
        <v>-16871.758248420228</v>
      </c>
      <c r="AD241" s="5">
        <f t="shared" si="242"/>
        <v>-20268.261003025604</v>
      </c>
      <c r="AE241" s="5">
        <f t="shared" si="242"/>
        <v>-23664.763757630993</v>
      </c>
      <c r="AF241" s="5">
        <f t="shared" si="242"/>
        <v>-27061.266512236383</v>
      </c>
      <c r="AG241" s="5">
        <f t="shared" si="242"/>
        <v>-30457.769266841759</v>
      </c>
      <c r="AH241" s="5">
        <f t="shared" si="242"/>
        <v>-33854.272021447148</v>
      </c>
    </row>
    <row r="242" spans="1:34" x14ac:dyDescent="0.35">
      <c r="A242" t="s">
        <v>262</v>
      </c>
      <c r="B242" s="3" t="s">
        <v>1262</v>
      </c>
      <c r="C242" s="4" t="s">
        <v>1263</v>
      </c>
      <c r="D242" s="2">
        <f t="shared" si="196"/>
        <v>628803.13495999994</v>
      </c>
      <c r="E242" s="5">
        <v>11657.6096</v>
      </c>
      <c r="F242" s="5">
        <v>0</v>
      </c>
      <c r="G242" s="5">
        <v>58288.048000000003</v>
      </c>
      <c r="H242" s="5">
        <v>49961.184000000001</v>
      </c>
      <c r="I242" s="5">
        <v>31642.083200000001</v>
      </c>
      <c r="J242" s="5">
        <v>17486.414400000001</v>
      </c>
      <c r="K242" s="5">
        <v>39136.260800000004</v>
      </c>
      <c r="L242" s="5">
        <v>0</v>
      </c>
      <c r="M242" s="5">
        <v>0</v>
      </c>
      <c r="N242" s="5">
        <v>0</v>
      </c>
      <c r="O242" s="5">
        <v>145886.65727999998</v>
      </c>
      <c r="P242" s="5">
        <v>78772.133440000005</v>
      </c>
      <c r="Q242" s="5">
        <v>27603.55416</v>
      </c>
      <c r="R242" s="5">
        <v>41800.857279999997</v>
      </c>
      <c r="S242" s="5">
        <v>50627.333119999996</v>
      </c>
      <c r="T242" s="5">
        <v>18985.249919999998</v>
      </c>
      <c r="U242" s="5">
        <v>37970.499839999997</v>
      </c>
      <c r="V242" s="5">
        <v>18985.249920000002</v>
      </c>
      <c r="W242" s="5">
        <f t="shared" ref="W242:AH242" si="243">IF(OR((SLOPE($E242:$V242,$E$1:$V$1)*W$1+INTERCEPT($E242:$V242,$E$1:$V$1))&gt;(AVERAGE($E242:$V242)+_xlfn.STDEV.P($E242:$V242)),(SLOPE($E242:$V242,$E$1:$V$1)*W$1+INTERCEPT($E242:$V242,$E$1:$V$1))&lt;(AVERAGE($E242:$V242)-_xlfn.STDEV.P($E242:$V242))),V242,(SLOPE($E242:$V242,$E$1:$V$1)*W$1+INTERCEPT($E242:$V242,$E$1:$V$1)))</f>
        <v>44625.732286013066</v>
      </c>
      <c r="X242" s="5">
        <f t="shared" si="243"/>
        <v>45645.966474248358</v>
      </c>
      <c r="Y242" s="5">
        <f t="shared" si="243"/>
        <v>46666.20066248365</v>
      </c>
      <c r="Z242" s="5">
        <f t="shared" si="243"/>
        <v>47686.43485071895</v>
      </c>
      <c r="AA242" s="5">
        <f t="shared" si="243"/>
        <v>48706.669038954242</v>
      </c>
      <c r="AB242" s="5">
        <f t="shared" si="243"/>
        <v>49726.903227189534</v>
      </c>
      <c r="AC242" s="5">
        <f t="shared" si="243"/>
        <v>50747.137415424833</v>
      </c>
      <c r="AD242" s="5">
        <f t="shared" si="243"/>
        <v>51767.371603660125</v>
      </c>
      <c r="AE242" s="5">
        <f t="shared" si="243"/>
        <v>52787.605791895417</v>
      </c>
      <c r="AF242" s="5">
        <f t="shared" si="243"/>
        <v>53807.83998013071</v>
      </c>
      <c r="AG242" s="5">
        <f t="shared" si="243"/>
        <v>54828.074168366002</v>
      </c>
      <c r="AH242" s="5">
        <f t="shared" si="243"/>
        <v>55848.308356601294</v>
      </c>
    </row>
    <row r="243" spans="1:34" x14ac:dyDescent="0.35">
      <c r="A243" t="s">
        <v>263</v>
      </c>
      <c r="B243" s="3" t="s">
        <v>1266</v>
      </c>
      <c r="C243" s="4" t="s">
        <v>1263</v>
      </c>
      <c r="D243" s="2">
        <f t="shared" si="196"/>
        <v>636882.19009028072</v>
      </c>
      <c r="E243" s="5">
        <v>0</v>
      </c>
      <c r="F243" s="5">
        <v>0</v>
      </c>
      <c r="G243" s="5">
        <v>0</v>
      </c>
      <c r="H243" s="5">
        <v>0</v>
      </c>
      <c r="I243" s="5">
        <v>119356.78456312773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517525.40552715305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f t="shared" ref="W243:AH243" si="244">IF(OR((SLOPE($E243:$V243,$E$1:$V$1)*W$1+INTERCEPT($E243:$V243,$E$1:$V$1))&gt;(AVERAGE($E243:$V243)+_xlfn.STDEV.P($E243:$V243)),(SLOPE($E243:$V243,$E$1:$V$1)*W$1+INTERCEPT($E243:$V243,$E$1:$V$1))&lt;(AVERAGE($E243:$V243)-_xlfn.STDEV.P($E243:$V243))),V243,(SLOPE($E243:$V243,$E$1:$V$1)*W$1+INTERCEPT($E243:$V243,$E$1:$V$1)))</f>
        <v>50219.755330841894</v>
      </c>
      <c r="X243" s="5">
        <f t="shared" si="244"/>
        <v>51781.588113677411</v>
      </c>
      <c r="Y243" s="5">
        <f t="shared" si="244"/>
        <v>53343.420896512929</v>
      </c>
      <c r="Z243" s="5">
        <f t="shared" si="244"/>
        <v>54905.253679348447</v>
      </c>
      <c r="AA243" s="5">
        <f t="shared" si="244"/>
        <v>56467.086462183957</v>
      </c>
      <c r="AB243" s="5">
        <f t="shared" si="244"/>
        <v>58028.919245019475</v>
      </c>
      <c r="AC243" s="5">
        <f t="shared" si="244"/>
        <v>59590.752027854993</v>
      </c>
      <c r="AD243" s="5">
        <f t="shared" si="244"/>
        <v>61152.58481069051</v>
      </c>
      <c r="AE243" s="5">
        <f t="shared" si="244"/>
        <v>62714.417593526028</v>
      </c>
      <c r="AF243" s="5">
        <f t="shared" si="244"/>
        <v>64276.250376361546</v>
      </c>
      <c r="AG243" s="5">
        <f t="shared" si="244"/>
        <v>65838.083159197064</v>
      </c>
      <c r="AH243" s="5">
        <f t="shared" si="244"/>
        <v>67399.915942032574</v>
      </c>
    </row>
    <row r="244" spans="1:34" x14ac:dyDescent="0.35">
      <c r="A244" t="s">
        <v>264</v>
      </c>
      <c r="B244" s="3" t="s">
        <v>1265</v>
      </c>
      <c r="C244" s="4" t="s">
        <v>1263</v>
      </c>
      <c r="D244" s="2">
        <f t="shared" si="196"/>
        <v>621788.9596577686</v>
      </c>
      <c r="E244" s="5">
        <v>37862.604737312402</v>
      </c>
      <c r="F244" s="5">
        <v>30499.368157120534</v>
      </c>
      <c r="G244" s="5">
        <v>37977.455914473103</v>
      </c>
      <c r="H244" s="5">
        <v>34149.083342449609</v>
      </c>
      <c r="I244" s="5">
        <v>31111.907768644298</v>
      </c>
      <c r="J244" s="5">
        <v>49579.977056085656</v>
      </c>
      <c r="K244" s="5">
        <v>11306.460329376067</v>
      </c>
      <c r="L244" s="5">
        <v>41014.631488278421</v>
      </c>
      <c r="M244" s="5">
        <v>47599.432312158839</v>
      </c>
      <c r="N244" s="5">
        <v>37301.11009341562</v>
      </c>
      <c r="O244" s="5">
        <v>26722.040552724018</v>
      </c>
      <c r="P244" s="5">
        <v>41359.185019760524</v>
      </c>
      <c r="Q244" s="5">
        <v>36507.360846816075</v>
      </c>
      <c r="R244" s="5">
        <v>18327.695626467157</v>
      </c>
      <c r="S244" s="5">
        <v>45325.379004376868</v>
      </c>
      <c r="T244" s="5">
        <v>46269.710905476008</v>
      </c>
      <c r="U244" s="5">
        <v>19192.907827744468</v>
      </c>
      <c r="V244" s="5">
        <v>29682.648675088854</v>
      </c>
      <c r="W244" s="5">
        <f t="shared" ref="W244:AH244" si="245">IF(OR((SLOPE($E244:$V244,$E$1:$V$1)*W$1+INTERCEPT($E244:$V244,$E$1:$V$1))&gt;(AVERAGE($E244:$V244)+_xlfn.STDEV.P($E244:$V244)),(SLOPE($E244:$V244,$E$1:$V$1)*W$1+INTERCEPT($E244:$V244,$E$1:$V$1))&lt;(AVERAGE($E244:$V244)-_xlfn.STDEV.P($E244:$V244))),V244,(SLOPE($E244:$V244,$E$1:$V$1)*W$1+INTERCEPT($E244:$V244,$E$1:$V$1)))</f>
        <v>32706.612610214241</v>
      </c>
      <c r="X244" s="5">
        <f t="shared" si="245"/>
        <v>32513.221191068558</v>
      </c>
      <c r="Y244" s="5">
        <f t="shared" si="245"/>
        <v>32319.829771922872</v>
      </c>
      <c r="Z244" s="5">
        <f t="shared" si="245"/>
        <v>32126.438352777186</v>
      </c>
      <c r="AA244" s="5">
        <f t="shared" si="245"/>
        <v>31933.0469336315</v>
      </c>
      <c r="AB244" s="5">
        <f t="shared" si="245"/>
        <v>31739.655514485814</v>
      </c>
      <c r="AC244" s="5">
        <f t="shared" si="245"/>
        <v>31546.264095340128</v>
      </c>
      <c r="AD244" s="5">
        <f t="shared" si="245"/>
        <v>31352.872676194445</v>
      </c>
      <c r="AE244" s="5">
        <f t="shared" si="245"/>
        <v>31159.481257048759</v>
      </c>
      <c r="AF244" s="5">
        <f t="shared" si="245"/>
        <v>30966.089837903073</v>
      </c>
      <c r="AG244" s="5">
        <f t="shared" si="245"/>
        <v>30772.698418757387</v>
      </c>
      <c r="AH244" s="5">
        <f t="shared" si="245"/>
        <v>30579.306999611705</v>
      </c>
    </row>
    <row r="245" spans="1:34" x14ac:dyDescent="0.35">
      <c r="A245" t="s">
        <v>265</v>
      </c>
      <c r="B245" s="3" t="s">
        <v>1262</v>
      </c>
      <c r="C245" s="4" t="s">
        <v>1263</v>
      </c>
      <c r="D245" s="2">
        <f t="shared" si="196"/>
        <v>625103.09399999992</v>
      </c>
      <c r="E245" s="5">
        <v>59445.330000000009</v>
      </c>
      <c r="F245" s="5">
        <v>130707.01000000002</v>
      </c>
      <c r="G245" s="5">
        <v>53628.049999999996</v>
      </c>
      <c r="H245" s="5">
        <v>32903.99</v>
      </c>
      <c r="I245" s="5">
        <v>12361.72</v>
      </c>
      <c r="J245" s="5">
        <v>45629.290000000008</v>
      </c>
      <c r="K245" s="5">
        <v>2363.27</v>
      </c>
      <c r="L245" s="5">
        <v>1272.53</v>
      </c>
      <c r="M245" s="5">
        <v>34612.815999999999</v>
      </c>
      <c r="N245" s="5">
        <v>60463.353999999999</v>
      </c>
      <c r="O245" s="5">
        <v>33158.495999999999</v>
      </c>
      <c r="P245" s="5">
        <v>45338.426000000007</v>
      </c>
      <c r="Q245" s="5">
        <v>32722.200000000004</v>
      </c>
      <c r="R245" s="5">
        <v>33449.360000000008</v>
      </c>
      <c r="S245" s="5">
        <v>18724.370000000003</v>
      </c>
      <c r="T245" s="5">
        <v>11270.980000000003</v>
      </c>
      <c r="U245" s="5">
        <v>13852.397999999999</v>
      </c>
      <c r="V245" s="5">
        <v>3199.5039999999995</v>
      </c>
      <c r="W245" s="5">
        <f t="shared" ref="W245:AH245" si="246">IF(OR((SLOPE($E245:$V245,$E$1:$V$1)*W$1+INTERCEPT($E245:$V245,$E$1:$V$1))&gt;(AVERAGE($E245:$V245)+_xlfn.STDEV.P($E245:$V245)),(SLOPE($E245:$V245,$E$1:$V$1)*W$1+INTERCEPT($E245:$V245,$E$1:$V$1))&lt;(AVERAGE($E245:$V245)-_xlfn.STDEV.P($E245:$V245))),V245,(SLOPE($E245:$V245,$E$1:$V$1)*W$1+INTERCEPT($E245:$V245,$E$1:$V$1)))</f>
        <v>5514.2966666666616</v>
      </c>
      <c r="X245" s="5">
        <f t="shared" si="246"/>
        <v>5514.2966666666616</v>
      </c>
      <c r="Y245" s="5">
        <f t="shared" si="246"/>
        <v>5514.2966666666616</v>
      </c>
      <c r="Z245" s="5">
        <f t="shared" si="246"/>
        <v>5514.2966666666616</v>
      </c>
      <c r="AA245" s="5">
        <f t="shared" si="246"/>
        <v>5514.2966666666616</v>
      </c>
      <c r="AB245" s="5">
        <f t="shared" si="246"/>
        <v>5514.2966666666616</v>
      </c>
      <c r="AC245" s="5">
        <f t="shared" si="246"/>
        <v>5514.2966666666616</v>
      </c>
      <c r="AD245" s="5">
        <f t="shared" si="246"/>
        <v>5514.2966666666616</v>
      </c>
      <c r="AE245" s="5">
        <f t="shared" si="246"/>
        <v>5514.2966666666616</v>
      </c>
      <c r="AF245" s="5">
        <f t="shared" si="246"/>
        <v>5514.2966666666616</v>
      </c>
      <c r="AG245" s="5">
        <f t="shared" si="246"/>
        <v>5514.2966666666616</v>
      </c>
      <c r="AH245" s="5">
        <f t="shared" si="246"/>
        <v>5514.2966666666616</v>
      </c>
    </row>
    <row r="246" spans="1:34" x14ac:dyDescent="0.35">
      <c r="A246" t="s">
        <v>266</v>
      </c>
      <c r="B246" s="3" t="s">
        <v>1265</v>
      </c>
      <c r="C246" s="4" t="s">
        <v>1263</v>
      </c>
      <c r="D246" s="2">
        <f t="shared" si="196"/>
        <v>623087.93808107218</v>
      </c>
      <c r="E246" s="5">
        <v>90522.912900609677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84172.658918914763</v>
      </c>
      <c r="Q246" s="5">
        <v>0</v>
      </c>
      <c r="R246" s="5">
        <v>0</v>
      </c>
      <c r="S246" s="5">
        <v>0</v>
      </c>
      <c r="T246" s="5">
        <v>0</v>
      </c>
      <c r="U246" s="5">
        <v>358861.41559839901</v>
      </c>
      <c r="V246" s="5">
        <v>89530.950663148658</v>
      </c>
      <c r="W246" s="5">
        <f t="shared" ref="W246:AH246" si="247">IF(OR((SLOPE($E246:$V246,$E$1:$V$1)*W$1+INTERCEPT($E246:$V246,$E$1:$V$1))&gt;(AVERAGE($E246:$V246)+_xlfn.STDEV.P($E246:$V246)),(SLOPE($E246:$V246,$E$1:$V$1)*W$1+INTERCEPT($E246:$V246,$E$1:$V$1))&lt;(AVERAGE($E246:$V246)-_xlfn.STDEV.P($E246:$V246))),V246,(SLOPE($E246:$V246,$E$1:$V$1)*W$1+INTERCEPT($E246:$V246,$E$1:$V$1)))</f>
        <v>91350.517839801934</v>
      </c>
      <c r="X246" s="5">
        <f t="shared" si="247"/>
        <v>97322.572711353772</v>
      </c>
      <c r="Y246" s="5">
        <f t="shared" si="247"/>
        <v>103294.62758290561</v>
      </c>
      <c r="Z246" s="5">
        <f t="shared" si="247"/>
        <v>109266.68245445742</v>
      </c>
      <c r="AA246" s="5">
        <f t="shared" si="247"/>
        <v>115238.73732600926</v>
      </c>
      <c r="AB246" s="5">
        <f t="shared" si="247"/>
        <v>115238.73732600926</v>
      </c>
      <c r="AC246" s="5">
        <f t="shared" si="247"/>
        <v>115238.73732600926</v>
      </c>
      <c r="AD246" s="5">
        <f t="shared" si="247"/>
        <v>115238.73732600926</v>
      </c>
      <c r="AE246" s="5">
        <f t="shared" si="247"/>
        <v>115238.73732600926</v>
      </c>
      <c r="AF246" s="5">
        <f t="shared" si="247"/>
        <v>115238.73732600926</v>
      </c>
      <c r="AG246" s="5">
        <f t="shared" si="247"/>
        <v>115238.73732600926</v>
      </c>
      <c r="AH246" s="5">
        <f t="shared" si="247"/>
        <v>115238.73732600926</v>
      </c>
    </row>
    <row r="247" spans="1:34" x14ac:dyDescent="0.35">
      <c r="A247" t="s">
        <v>267</v>
      </c>
      <c r="B247" s="3" t="s">
        <v>1265</v>
      </c>
      <c r="C247" s="4" t="s">
        <v>1263</v>
      </c>
      <c r="D247" s="2">
        <f t="shared" si="196"/>
        <v>604445.58072426275</v>
      </c>
      <c r="E247" s="5">
        <v>20325.483571832538</v>
      </c>
      <c r="F247" s="5">
        <v>33709.71021120916</v>
      </c>
      <c r="G247" s="5">
        <v>38217.471391051142</v>
      </c>
      <c r="H247" s="5">
        <v>32017.851259391849</v>
      </c>
      <c r="I247" s="5">
        <v>33141.894535599225</v>
      </c>
      <c r="J247" s="5">
        <v>30650.458407923066</v>
      </c>
      <c r="K247" s="5">
        <v>37174.544639930893</v>
      </c>
      <c r="L247" s="5">
        <v>27973.61308004774</v>
      </c>
      <c r="M247" s="5">
        <v>49087.085752726707</v>
      </c>
      <c r="N247" s="5">
        <v>28413.959930520738</v>
      </c>
      <c r="O247" s="5">
        <v>29943.585832163786</v>
      </c>
      <c r="P247" s="5">
        <v>41879.303094984491</v>
      </c>
      <c r="Q247" s="5">
        <v>29595.943581790365</v>
      </c>
      <c r="R247" s="5">
        <v>36896.430839632158</v>
      </c>
      <c r="S247" s="5">
        <v>43188.755571391033</v>
      </c>
      <c r="T247" s="5">
        <v>33176.658760636572</v>
      </c>
      <c r="U247" s="5">
        <v>31751.325534105556</v>
      </c>
      <c r="V247" s="5">
        <v>27301.504729325799</v>
      </c>
      <c r="W247" s="5">
        <f t="shared" ref="W247:AH247" si="248">IF(OR((SLOPE($E247:$V247,$E$1:$V$1)*W$1+INTERCEPT($E247:$V247,$E$1:$V$1))&gt;(AVERAGE($E247:$V247)+_xlfn.STDEV.P($E247:$V247)),(SLOPE($E247:$V247,$E$1:$V$1)*W$1+INTERCEPT($E247:$V247,$E$1:$V$1))&lt;(AVERAGE($E247:$V247)-_xlfn.STDEV.P($E247:$V247))),V247,(SLOPE($E247:$V247,$E$1:$V$1)*W$1+INTERCEPT($E247:$V247,$E$1:$V$1)))</f>
        <v>35362.03337768987</v>
      </c>
      <c r="X247" s="5">
        <f t="shared" si="248"/>
        <v>35549.583202684924</v>
      </c>
      <c r="Y247" s="5">
        <f t="shared" si="248"/>
        <v>35737.133027679985</v>
      </c>
      <c r="Z247" s="5">
        <f t="shared" si="248"/>
        <v>35924.68285267504</v>
      </c>
      <c r="AA247" s="5">
        <f t="shared" si="248"/>
        <v>36112.232677670094</v>
      </c>
      <c r="AB247" s="5">
        <f t="shared" si="248"/>
        <v>36299.782502665155</v>
      </c>
      <c r="AC247" s="5">
        <f t="shared" si="248"/>
        <v>36487.332327660217</v>
      </c>
      <c r="AD247" s="5">
        <f t="shared" si="248"/>
        <v>36674.882152655271</v>
      </c>
      <c r="AE247" s="5">
        <f t="shared" si="248"/>
        <v>36862.431977650325</v>
      </c>
      <c r="AF247" s="5">
        <f t="shared" si="248"/>
        <v>37049.981802645387</v>
      </c>
      <c r="AG247" s="5">
        <f t="shared" si="248"/>
        <v>37237.531627640441</v>
      </c>
      <c r="AH247" s="5">
        <f t="shared" si="248"/>
        <v>37425.081452635503</v>
      </c>
    </row>
    <row r="248" spans="1:34" x14ac:dyDescent="0.35">
      <c r="A248" t="s">
        <v>268</v>
      </c>
      <c r="B248" s="3" t="s">
        <v>1265</v>
      </c>
      <c r="C248" s="4" t="s">
        <v>1263</v>
      </c>
      <c r="D248" s="2">
        <f t="shared" si="196"/>
        <v>607446.44423018396</v>
      </c>
      <c r="E248" s="5">
        <v>32507.91139034729</v>
      </c>
      <c r="F248" s="5">
        <v>26999.626404760664</v>
      </c>
      <c r="G248" s="5">
        <v>39370.692683865047</v>
      </c>
      <c r="H248" s="5">
        <v>29798.918774485013</v>
      </c>
      <c r="I248" s="5">
        <v>29798.918774485013</v>
      </c>
      <c r="J248" s="5">
        <v>11919.567509794007</v>
      </c>
      <c r="K248" s="5">
        <v>26999.626404760667</v>
      </c>
      <c r="L248" s="5">
        <v>26096.628866139908</v>
      </c>
      <c r="M248" s="5">
        <v>32959.410159657666</v>
      </c>
      <c r="N248" s="5">
        <v>32507.911390347293</v>
      </c>
      <c r="O248" s="5">
        <v>31153.415082416152</v>
      </c>
      <c r="P248" s="5">
        <v>51741.758962969441</v>
      </c>
      <c r="Q248" s="5">
        <v>36571.400314140701</v>
      </c>
      <c r="R248" s="5">
        <v>17879.351264691009</v>
      </c>
      <c r="S248" s="5">
        <v>35758.702529382026</v>
      </c>
      <c r="T248" s="5">
        <v>29798.918774485013</v>
      </c>
      <c r="U248" s="5">
        <v>35758.702529382019</v>
      </c>
      <c r="V248" s="5">
        <v>79824.982414075013</v>
      </c>
      <c r="W248" s="5">
        <f t="shared" ref="W248:AH248" si="249">IF(OR((SLOPE($E248:$V248,$E$1:$V$1)*W$1+INTERCEPT($E248:$V248,$E$1:$V$1))&gt;(AVERAGE($E248:$V248)+_xlfn.STDEV.P($E248:$V248)),(SLOPE($E248:$V248,$E$1:$V$1)*W$1+INTERCEPT($E248:$V248,$E$1:$V$1))&lt;(AVERAGE($E248:$V248)-_xlfn.STDEV.P($E248:$V248))),V248,(SLOPE($E248:$V248,$E$1:$V$1)*W$1+INTERCEPT($E248:$V248,$E$1:$V$1)))</f>
        <v>44341.310507567025</v>
      </c>
      <c r="X248" s="5">
        <f t="shared" si="249"/>
        <v>45456.49848947359</v>
      </c>
      <c r="Y248" s="5">
        <f t="shared" si="249"/>
        <v>46571.686471380155</v>
      </c>
      <c r="Z248" s="5">
        <f t="shared" si="249"/>
        <v>46571.686471380155</v>
      </c>
      <c r="AA248" s="5">
        <f t="shared" si="249"/>
        <v>46571.686471380155</v>
      </c>
      <c r="AB248" s="5">
        <f t="shared" si="249"/>
        <v>46571.686471380155</v>
      </c>
      <c r="AC248" s="5">
        <f t="shared" si="249"/>
        <v>46571.686471380155</v>
      </c>
      <c r="AD248" s="5">
        <f t="shared" si="249"/>
        <v>46571.686471380155</v>
      </c>
      <c r="AE248" s="5">
        <f t="shared" si="249"/>
        <v>46571.686471380155</v>
      </c>
      <c r="AF248" s="5">
        <f t="shared" si="249"/>
        <v>46571.686471380155</v>
      </c>
      <c r="AG248" s="5">
        <f t="shared" si="249"/>
        <v>46571.686471380155</v>
      </c>
      <c r="AH248" s="5">
        <f t="shared" si="249"/>
        <v>46571.686471380155</v>
      </c>
    </row>
    <row r="249" spans="1:34" x14ac:dyDescent="0.35">
      <c r="A249" t="s">
        <v>269</v>
      </c>
      <c r="B249" s="3" t="s">
        <v>1265</v>
      </c>
      <c r="C249" s="4" t="s">
        <v>1263</v>
      </c>
      <c r="D249" s="2">
        <f t="shared" si="196"/>
        <v>591096.21200000006</v>
      </c>
      <c r="E249" s="5">
        <v>21272.369999999988</v>
      </c>
      <c r="F249" s="5">
        <v>22736</v>
      </c>
      <c r="G249" s="5">
        <v>46151.237999999983</v>
      </c>
      <c r="H249" s="5">
        <v>27752.129999999997</v>
      </c>
      <c r="I249" s="5">
        <v>31489.360000000001</v>
      </c>
      <c r="J249" s="5">
        <v>57522.080000000009</v>
      </c>
      <c r="K249" s="5">
        <v>42175.279999999984</v>
      </c>
      <c r="L249" s="5">
        <v>24910.130000000005</v>
      </c>
      <c r="M249" s="5">
        <v>52889.619999999988</v>
      </c>
      <c r="N249" s="5">
        <v>23020.2</v>
      </c>
      <c r="O249" s="5">
        <v>18387.739999999998</v>
      </c>
      <c r="P249" s="5">
        <v>23332.820000000003</v>
      </c>
      <c r="Q249" s="5">
        <v>20894.383999999998</v>
      </c>
      <c r="R249" s="5">
        <v>21371.839999999997</v>
      </c>
      <c r="S249" s="5">
        <v>31091.480000000003</v>
      </c>
      <c r="T249" s="5">
        <v>33080.879999999997</v>
      </c>
      <c r="U249" s="5">
        <v>41166.369999999995</v>
      </c>
      <c r="V249" s="5">
        <v>51852.29</v>
      </c>
      <c r="W249" s="5">
        <f t="shared" ref="W249:AH249" si="250">IF(OR((SLOPE($E249:$V249,$E$1:$V$1)*W$1+INTERCEPT($E249:$V249,$E$1:$V$1))&gt;(AVERAGE($E249:$V249)+_xlfn.STDEV.P($E249:$V249)),(SLOPE($E249:$V249,$E$1:$V$1)*W$1+INTERCEPT($E249:$V249,$E$1:$V$1))&lt;(AVERAGE($E249:$V249)-_xlfn.STDEV.P($E249:$V249))),V249,(SLOPE($E249:$V249,$E$1:$V$1)*W$1+INTERCEPT($E249:$V249,$E$1:$V$1)))</f>
        <v>34525.266130718963</v>
      </c>
      <c r="X249" s="5">
        <f t="shared" si="250"/>
        <v>34702.801676642594</v>
      </c>
      <c r="Y249" s="5">
        <f t="shared" si="250"/>
        <v>34880.337222566224</v>
      </c>
      <c r="Z249" s="5">
        <f t="shared" si="250"/>
        <v>35057.872768489862</v>
      </c>
      <c r="AA249" s="5">
        <f t="shared" si="250"/>
        <v>35235.408314413493</v>
      </c>
      <c r="AB249" s="5">
        <f t="shared" si="250"/>
        <v>35412.943860337124</v>
      </c>
      <c r="AC249" s="5">
        <f t="shared" si="250"/>
        <v>35590.479406260762</v>
      </c>
      <c r="AD249" s="5">
        <f t="shared" si="250"/>
        <v>35768.014952184392</v>
      </c>
      <c r="AE249" s="5">
        <f t="shared" si="250"/>
        <v>35945.550498108023</v>
      </c>
      <c r="AF249" s="5">
        <f t="shared" si="250"/>
        <v>36123.086044031661</v>
      </c>
      <c r="AG249" s="5">
        <f t="shared" si="250"/>
        <v>36300.621589955292</v>
      </c>
      <c r="AH249" s="5">
        <f t="shared" si="250"/>
        <v>36478.157135878922</v>
      </c>
    </row>
    <row r="250" spans="1:34" x14ac:dyDescent="0.35">
      <c r="A250" t="s">
        <v>270</v>
      </c>
      <c r="B250" s="3" t="s">
        <v>1265</v>
      </c>
      <c r="C250" s="4" t="s">
        <v>1263</v>
      </c>
      <c r="D250" s="2">
        <f t="shared" si="196"/>
        <v>597181.311056823</v>
      </c>
      <c r="E250" s="5">
        <v>27771.31334726197</v>
      </c>
      <c r="F250" s="5">
        <v>37251.808780700427</v>
      </c>
      <c r="G250" s="5">
        <v>30043.363114930849</v>
      </c>
      <c r="H250" s="5">
        <v>32078.400496763756</v>
      </c>
      <c r="I250" s="5">
        <v>34113.437878596655</v>
      </c>
      <c r="J250" s="5">
        <v>27166.523121335729</v>
      </c>
      <c r="K250" s="5">
        <v>33377.88219841609</v>
      </c>
      <c r="L250" s="5">
        <v>32487.042541308514</v>
      </c>
      <c r="M250" s="5">
        <v>38240.722528498751</v>
      </c>
      <c r="N250" s="5">
        <v>30934.202772038429</v>
      </c>
      <c r="O250" s="5">
        <v>27607.856529444067</v>
      </c>
      <c r="P250" s="5">
        <v>33508.647652670414</v>
      </c>
      <c r="Q250" s="5">
        <v>27681.412097462126</v>
      </c>
      <c r="R250" s="5">
        <v>37725.833552372358</v>
      </c>
      <c r="S250" s="5">
        <v>43209.809790163039</v>
      </c>
      <c r="T250" s="5">
        <v>33157.215494361917</v>
      </c>
      <c r="U250" s="5">
        <v>34538.425604923221</v>
      </c>
      <c r="V250" s="5">
        <v>36287.413555574785</v>
      </c>
      <c r="W250" s="5">
        <f t="shared" ref="W250:AH250" si="251">IF(OR((SLOPE($E250:$V250,$E$1:$V$1)*W$1+INTERCEPT($E250:$V250,$E$1:$V$1))&gt;(AVERAGE($E250:$V250)+_xlfn.STDEV.P($E250:$V250)),(SLOPE($E250:$V250,$E$1:$V$1)*W$1+INTERCEPT($E250:$V250,$E$1:$V$1))&lt;(AVERAGE($E250:$V250)-_xlfn.STDEV.P($E250:$V250))),V250,(SLOPE($E250:$V250,$E$1:$V$1)*W$1+INTERCEPT($E250:$V250,$E$1:$V$1)))</f>
        <v>35939.720605517025</v>
      </c>
      <c r="X250" s="5">
        <f t="shared" si="251"/>
        <v>36230.560721554939</v>
      </c>
      <c r="Y250" s="5">
        <f t="shared" si="251"/>
        <v>36521.400837592853</v>
      </c>
      <c r="Z250" s="5">
        <f t="shared" si="251"/>
        <v>36812.240953630775</v>
      </c>
      <c r="AA250" s="5">
        <f t="shared" si="251"/>
        <v>37103.081069668689</v>
      </c>
      <c r="AB250" s="5">
        <f t="shared" si="251"/>
        <v>37103.081069668689</v>
      </c>
      <c r="AC250" s="5">
        <f t="shared" si="251"/>
        <v>37103.081069668689</v>
      </c>
      <c r="AD250" s="5">
        <f t="shared" si="251"/>
        <v>37103.081069668689</v>
      </c>
      <c r="AE250" s="5">
        <f t="shared" si="251"/>
        <v>37103.081069668689</v>
      </c>
      <c r="AF250" s="5">
        <f t="shared" si="251"/>
        <v>37103.081069668689</v>
      </c>
      <c r="AG250" s="5">
        <f t="shared" si="251"/>
        <v>37103.081069668689</v>
      </c>
      <c r="AH250" s="5">
        <f t="shared" si="251"/>
        <v>37103.081069668689</v>
      </c>
    </row>
    <row r="251" spans="1:34" x14ac:dyDescent="0.35">
      <c r="A251" t="s">
        <v>271</v>
      </c>
      <c r="B251" s="3" t="s">
        <v>1266</v>
      </c>
      <c r="C251" s="4" t="s">
        <v>1267</v>
      </c>
      <c r="D251" s="2">
        <f t="shared" si="196"/>
        <v>595427.99121426279</v>
      </c>
      <c r="E251" s="5">
        <v>0</v>
      </c>
      <c r="F251" s="5">
        <v>0</v>
      </c>
      <c r="G251" s="5">
        <v>267979.20522746025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327448.78598680248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f t="shared" ref="W251:AH251" si="252">IF(OR((SLOPE($E251:$V251,$E$1:$V$1)*W$1+INTERCEPT($E251:$V251,$E$1:$V$1))&gt;(AVERAGE($E251:$V251)+_xlfn.STDEV.P($E251:$V251)),(SLOPE($E251:$V251,$E$1:$V$1)*W$1+INTERCEPT($E251:$V251,$E$1:$V$1))&lt;(AVERAGE($E251:$V251)-_xlfn.STDEV.P($E251:$V251))),V251,(SLOPE($E251:$V251,$E$1:$V$1)*W$1+INTERCEPT($E251:$V251,$E$1:$V$1)))</f>
        <v>14976.53149207044</v>
      </c>
      <c r="X251" s="5">
        <f t="shared" si="252"/>
        <v>13070.973454895036</v>
      </c>
      <c r="Y251" s="5">
        <f t="shared" si="252"/>
        <v>11165.415417719625</v>
      </c>
      <c r="Z251" s="5">
        <f t="shared" si="252"/>
        <v>9259.8573805442138</v>
      </c>
      <c r="AA251" s="5">
        <f t="shared" si="252"/>
        <v>7354.2993433688098</v>
      </c>
      <c r="AB251" s="5">
        <f t="shared" si="252"/>
        <v>5448.7413061933985</v>
      </c>
      <c r="AC251" s="5">
        <f t="shared" si="252"/>
        <v>3543.1832690179872</v>
      </c>
      <c r="AD251" s="5">
        <f t="shared" si="252"/>
        <v>1637.6252318425832</v>
      </c>
      <c r="AE251" s="5">
        <f t="shared" si="252"/>
        <v>-267.93280533282814</v>
      </c>
      <c r="AF251" s="5">
        <f t="shared" si="252"/>
        <v>-2173.4908425082394</v>
      </c>
      <c r="AG251" s="5">
        <f t="shared" si="252"/>
        <v>-4079.0488796836435</v>
      </c>
      <c r="AH251" s="5">
        <f t="shared" si="252"/>
        <v>-5984.6069168590548</v>
      </c>
    </row>
    <row r="252" spans="1:34" x14ac:dyDescent="0.35">
      <c r="A252" t="s">
        <v>272</v>
      </c>
      <c r="B252" s="3" t="s">
        <v>1265</v>
      </c>
      <c r="C252" s="4" t="s">
        <v>1263</v>
      </c>
      <c r="D252" s="2">
        <f t="shared" si="196"/>
        <v>589426.95450054994</v>
      </c>
      <c r="E252" s="5">
        <v>45238.083993858301</v>
      </c>
      <c r="F252" s="5">
        <v>13663.609317309878</v>
      </c>
      <c r="G252" s="5">
        <v>38672.086304538469</v>
      </c>
      <c r="H252" s="5">
        <v>17342.490882256105</v>
      </c>
      <c r="I252" s="5">
        <v>39424.263473082421</v>
      </c>
      <c r="J252" s="5">
        <v>15538.396771237123</v>
      </c>
      <c r="K252" s="5">
        <v>16890.053487643196</v>
      </c>
      <c r="L252" s="5">
        <v>36384.449728026928</v>
      </c>
      <c r="M252" s="5">
        <v>15249.967932171394</v>
      </c>
      <c r="N252" s="5">
        <v>31942.080059671436</v>
      </c>
      <c r="O252" s="5">
        <v>21148.620464437208</v>
      </c>
      <c r="P252" s="5">
        <v>37540.992818006191</v>
      </c>
      <c r="Q252" s="5">
        <v>47412.611221716608</v>
      </c>
      <c r="R252" s="5">
        <v>14472.341160180455</v>
      </c>
      <c r="S252" s="5">
        <v>20812.12015219386</v>
      </c>
      <c r="T252" s="5">
        <v>72336.256197455266</v>
      </c>
      <c r="U252" s="5">
        <v>53642.108598793129</v>
      </c>
      <c r="V252" s="5">
        <v>51716.4219379719</v>
      </c>
      <c r="W252" s="5">
        <f t="shared" ref="W252:AH252" si="253">IF(OR((SLOPE($E252:$V252,$E$1:$V$1)*W$1+INTERCEPT($E252:$V252,$E$1:$V$1))&gt;(AVERAGE($E252:$V252)+_xlfn.STDEV.P($E252:$V252)),(SLOPE($E252:$V252,$E$1:$V$1)*W$1+INTERCEPT($E252:$V252,$E$1:$V$1))&lt;(AVERAGE($E252:$V252)-_xlfn.STDEV.P($E252:$V252))),V252,(SLOPE($E252:$V252,$E$1:$V$1)*W$1+INTERCEPT($E252:$V252,$E$1:$V$1)))</f>
        <v>45083.205506650134</v>
      </c>
      <c r="X252" s="5">
        <f t="shared" si="253"/>
        <v>46381.864831908344</v>
      </c>
      <c r="Y252" s="5">
        <f t="shared" si="253"/>
        <v>47680.524157166539</v>
      </c>
      <c r="Z252" s="5">
        <f t="shared" si="253"/>
        <v>48979.183482424749</v>
      </c>
      <c r="AA252" s="5">
        <f t="shared" si="253"/>
        <v>48979.183482424749</v>
      </c>
      <c r="AB252" s="5">
        <f t="shared" si="253"/>
        <v>48979.183482424749</v>
      </c>
      <c r="AC252" s="5">
        <f t="shared" si="253"/>
        <v>48979.183482424749</v>
      </c>
      <c r="AD252" s="5">
        <f t="shared" si="253"/>
        <v>48979.183482424749</v>
      </c>
      <c r="AE252" s="5">
        <f t="shared" si="253"/>
        <v>48979.183482424749</v>
      </c>
      <c r="AF252" s="5">
        <f t="shared" si="253"/>
        <v>48979.183482424749</v>
      </c>
      <c r="AG252" s="5">
        <f t="shared" si="253"/>
        <v>48979.183482424749</v>
      </c>
      <c r="AH252" s="5">
        <f t="shared" si="253"/>
        <v>48979.183482424749</v>
      </c>
    </row>
    <row r="253" spans="1:34" x14ac:dyDescent="0.35">
      <c r="A253" t="s">
        <v>273</v>
      </c>
      <c r="B253" s="3" t="s">
        <v>1265</v>
      </c>
      <c r="C253" s="4" t="s">
        <v>1263</v>
      </c>
      <c r="D253" s="2">
        <f t="shared" si="196"/>
        <v>587260.66196830699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27122.412967727476</v>
      </c>
      <c r="L253" s="5">
        <v>349201.06695949123</v>
      </c>
      <c r="M253" s="5">
        <v>28364.40465065559</v>
      </c>
      <c r="N253" s="5">
        <v>24571.294916307565</v>
      </c>
      <c r="O253" s="5">
        <v>11446.463888607757</v>
      </c>
      <c r="P253" s="5">
        <v>30613.416617038933</v>
      </c>
      <c r="Q253" s="5">
        <v>23497.139947288651</v>
      </c>
      <c r="R253" s="5">
        <v>12554.186200408509</v>
      </c>
      <c r="S253" s="5">
        <v>22188.013578796857</v>
      </c>
      <c r="T253" s="5">
        <v>52163.650682980813</v>
      </c>
      <c r="U253" s="5">
        <v>1342.6937112736375</v>
      </c>
      <c r="V253" s="5">
        <v>4195.9178477301166</v>
      </c>
      <c r="W253" s="5">
        <f t="shared" ref="W253:AH253" si="254">IF(OR((SLOPE($E253:$V253,$E$1:$V$1)*W$1+INTERCEPT($E253:$V253,$E$1:$V$1))&gt;(AVERAGE($E253:$V253)+_xlfn.STDEV.P($E253:$V253)),(SLOPE($E253:$V253,$E$1:$V$1)*W$1+INTERCEPT($E253:$V253,$E$1:$V$1))&lt;(AVERAGE($E253:$V253)-_xlfn.STDEV.P($E253:$V253))),V253,(SLOPE($E253:$V253,$E$1:$V$1)*W$1+INTERCEPT($E253:$V253,$E$1:$V$1)))</f>
        <v>35483.752841967595</v>
      </c>
      <c r="X253" s="5">
        <f t="shared" si="254"/>
        <v>35784.611843061801</v>
      </c>
      <c r="Y253" s="5">
        <f t="shared" si="254"/>
        <v>36085.470844156014</v>
      </c>
      <c r="Z253" s="5">
        <f t="shared" si="254"/>
        <v>36386.32984525022</v>
      </c>
      <c r="AA253" s="5">
        <f t="shared" si="254"/>
        <v>36687.188846344434</v>
      </c>
      <c r="AB253" s="5">
        <f t="shared" si="254"/>
        <v>36988.04784743864</v>
      </c>
      <c r="AC253" s="5">
        <f t="shared" si="254"/>
        <v>37288.906848532846</v>
      </c>
      <c r="AD253" s="5">
        <f t="shared" si="254"/>
        <v>37589.76584962706</v>
      </c>
      <c r="AE253" s="5">
        <f t="shared" si="254"/>
        <v>37890.624850721266</v>
      </c>
      <c r="AF253" s="5">
        <f t="shared" si="254"/>
        <v>38191.483851815472</v>
      </c>
      <c r="AG253" s="5">
        <f t="shared" si="254"/>
        <v>38492.342852909685</v>
      </c>
      <c r="AH253" s="5">
        <f t="shared" si="254"/>
        <v>38793.201854003892</v>
      </c>
    </row>
    <row r="254" spans="1:34" x14ac:dyDescent="0.35">
      <c r="A254" t="s">
        <v>274</v>
      </c>
      <c r="B254" s="3" t="s">
        <v>1262</v>
      </c>
      <c r="C254" s="4" t="s">
        <v>1263</v>
      </c>
      <c r="D254" s="2">
        <f t="shared" si="196"/>
        <v>506146.98216116923</v>
      </c>
      <c r="E254" s="5">
        <v>5290.6512127836377</v>
      </c>
      <c r="F254" s="5">
        <v>6300.6846261332412</v>
      </c>
      <c r="G254" s="5">
        <v>8897.9134033179362</v>
      </c>
      <c r="H254" s="5">
        <v>11062.270717638516</v>
      </c>
      <c r="I254" s="5">
        <v>6949.9918204294145</v>
      </c>
      <c r="J254" s="5">
        <v>10100.334133496033</v>
      </c>
      <c r="K254" s="5">
        <v>9258.6396223713673</v>
      </c>
      <c r="L254" s="5">
        <v>6925.9434058258539</v>
      </c>
      <c r="M254" s="5">
        <v>8368.848282039573</v>
      </c>
      <c r="N254" s="5">
        <v>9186.4943785606774</v>
      </c>
      <c r="O254" s="5">
        <v>8200.5093798146372</v>
      </c>
      <c r="P254" s="5">
        <v>6372.8298699439274</v>
      </c>
      <c r="Q254" s="5">
        <v>30204.808742073867</v>
      </c>
      <c r="R254" s="5">
        <v>63704.250284835725</v>
      </c>
      <c r="S254" s="5">
        <v>5122.3123105587038</v>
      </c>
      <c r="T254" s="5">
        <v>117741.03789903951</v>
      </c>
      <c r="U254" s="5">
        <v>100883.09926194258</v>
      </c>
      <c r="V254" s="5">
        <v>91576.362810364066</v>
      </c>
      <c r="W254" s="5">
        <f t="shared" ref="W254:AH254" si="255">IF(OR((SLOPE($E254:$V254,$E$1:$V$1)*W$1+INTERCEPT($E254:$V254,$E$1:$V$1))&gt;(AVERAGE($E254:$V254)+_xlfn.STDEV.P($E254:$V254)),(SLOPE($E254:$V254,$E$1:$V$1)*W$1+INTERCEPT($E254:$V254,$E$1:$V$1))&lt;(AVERAGE($E254:$V254)-_xlfn.STDEV.P($E254:$V254))),V254,(SLOPE($E254:$V254,$E$1:$V$1)*W$1+INTERCEPT($E254:$V254,$E$1:$V$1)))</f>
        <v>91576.362810364066</v>
      </c>
      <c r="X254" s="5">
        <f t="shared" si="255"/>
        <v>91576.362810364066</v>
      </c>
      <c r="Y254" s="5">
        <f t="shared" si="255"/>
        <v>91576.362810364066</v>
      </c>
      <c r="Z254" s="5">
        <f t="shared" si="255"/>
        <v>91576.362810364066</v>
      </c>
      <c r="AA254" s="5">
        <f t="shared" si="255"/>
        <v>91576.362810364066</v>
      </c>
      <c r="AB254" s="5">
        <f t="shared" si="255"/>
        <v>91576.362810364066</v>
      </c>
      <c r="AC254" s="5">
        <f t="shared" si="255"/>
        <v>91576.362810364066</v>
      </c>
      <c r="AD254" s="5">
        <f t="shared" si="255"/>
        <v>91576.362810364066</v>
      </c>
      <c r="AE254" s="5">
        <f t="shared" si="255"/>
        <v>91576.362810364066</v>
      </c>
      <c r="AF254" s="5">
        <f t="shared" si="255"/>
        <v>91576.362810364066</v>
      </c>
      <c r="AG254" s="5">
        <f t="shared" si="255"/>
        <v>91576.362810364066</v>
      </c>
      <c r="AH254" s="5">
        <f t="shared" si="255"/>
        <v>91576.362810364066</v>
      </c>
    </row>
    <row r="255" spans="1:34" x14ac:dyDescent="0.35">
      <c r="A255" t="s">
        <v>275</v>
      </c>
      <c r="B255" s="3" t="s">
        <v>1266</v>
      </c>
      <c r="C255" s="4" t="s">
        <v>1263</v>
      </c>
      <c r="D255" s="2">
        <f t="shared" si="196"/>
        <v>591333.52625992289</v>
      </c>
      <c r="E255" s="5">
        <v>96039.382986367593</v>
      </c>
      <c r="F255" s="5">
        <v>0</v>
      </c>
      <c r="G255" s="5">
        <v>103122.0333195189</v>
      </c>
      <c r="H255" s="5">
        <v>0</v>
      </c>
      <c r="I255" s="5">
        <v>0</v>
      </c>
      <c r="J255" s="5">
        <v>99089.328105906432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84009.043903742146</v>
      </c>
      <c r="R255" s="5">
        <v>0</v>
      </c>
      <c r="S255" s="5">
        <v>209073.73794438771</v>
      </c>
      <c r="T255" s="5">
        <v>0</v>
      </c>
      <c r="U255" s="5">
        <v>0</v>
      </c>
      <c r="V255" s="5">
        <v>0</v>
      </c>
      <c r="W255" s="5">
        <f t="shared" ref="W255:AH255" si="256">IF(OR((SLOPE($E255:$V255,$E$1:$V$1)*W$1+INTERCEPT($E255:$V255,$E$1:$V$1))&gt;(AVERAGE($E255:$V255)+_xlfn.STDEV.P($E255:$V255)),(SLOPE($E255:$V255,$E$1:$V$1)*W$1+INTERCEPT($E255:$V255,$E$1:$V$1))&lt;(AVERAGE($E255:$V255)-_xlfn.STDEV.P($E255:$V255))),V255,(SLOPE($E255:$V255,$E$1:$V$1)*W$1+INTERCEPT($E255:$V255,$E$1:$V$1)))</f>
        <v>25214.540845006701</v>
      </c>
      <c r="X255" s="5">
        <f t="shared" si="256"/>
        <v>24410.612242376279</v>
      </c>
      <c r="Y255" s="5">
        <f t="shared" si="256"/>
        <v>23606.683639745854</v>
      </c>
      <c r="Z255" s="5">
        <f t="shared" si="256"/>
        <v>22802.755037115432</v>
      </c>
      <c r="AA255" s="5">
        <f t="shared" si="256"/>
        <v>21998.82643448501</v>
      </c>
      <c r="AB255" s="5">
        <f t="shared" si="256"/>
        <v>21194.897831854585</v>
      </c>
      <c r="AC255" s="5">
        <f t="shared" si="256"/>
        <v>20390.969229224163</v>
      </c>
      <c r="AD255" s="5">
        <f t="shared" si="256"/>
        <v>19587.040626593742</v>
      </c>
      <c r="AE255" s="5">
        <f t="shared" si="256"/>
        <v>18783.11202396332</v>
      </c>
      <c r="AF255" s="5">
        <f t="shared" si="256"/>
        <v>17979.183421332895</v>
      </c>
      <c r="AG255" s="5">
        <f t="shared" si="256"/>
        <v>17175.254818702473</v>
      </c>
      <c r="AH255" s="5">
        <f t="shared" si="256"/>
        <v>16371.326216072051</v>
      </c>
    </row>
    <row r="256" spans="1:34" x14ac:dyDescent="0.35">
      <c r="A256" t="s">
        <v>276</v>
      </c>
      <c r="B256" s="3" t="s">
        <v>1265</v>
      </c>
      <c r="C256" s="4" t="s">
        <v>1263</v>
      </c>
      <c r="D256" s="2">
        <f t="shared" si="196"/>
        <v>577936.04194687621</v>
      </c>
      <c r="E256" s="5">
        <v>71705.780727628342</v>
      </c>
      <c r="F256" s="5">
        <v>52291.389118069455</v>
      </c>
      <c r="G256" s="5">
        <v>27949.860243963438</v>
      </c>
      <c r="H256" s="5">
        <v>11477.043120701355</v>
      </c>
      <c r="I256" s="5">
        <v>33146.64183642112</v>
      </c>
      <c r="J256" s="5">
        <v>30788.479623239851</v>
      </c>
      <c r="K256" s="5">
        <v>4838.8900299582374</v>
      </c>
      <c r="L256" s="5">
        <v>34024.211558166346</v>
      </c>
      <c r="M256" s="5">
        <v>74637.549965637518</v>
      </c>
      <c r="N256" s="5">
        <v>33568.267512790335</v>
      </c>
      <c r="O256" s="5">
        <v>29592.239332145818</v>
      </c>
      <c r="P256" s="5">
        <v>18536.821887813676</v>
      </c>
      <c r="Q256" s="5">
        <v>54963.319276455724</v>
      </c>
      <c r="R256" s="5">
        <v>36754.973206278533</v>
      </c>
      <c r="S256" s="5">
        <v>10913.241344161135</v>
      </c>
      <c r="T256" s="5">
        <v>14050.920796211052</v>
      </c>
      <c r="U256" s="5">
        <v>12011.429152378609</v>
      </c>
      <c r="V256" s="5">
        <v>26684.983214855823</v>
      </c>
      <c r="W256" s="5">
        <f t="shared" ref="W256:AH256" si="257">IF(OR((SLOPE($E256:$V256,$E$1:$V$1)*W$1+INTERCEPT($E256:$V256,$E$1:$V$1))&gt;(AVERAGE($E256:$V256)+_xlfn.STDEV.P($E256:$V256)),(SLOPE($E256:$V256,$E$1:$V$1)*W$1+INTERCEPT($E256:$V256,$E$1:$V$1))&lt;(AVERAGE($E256:$V256)-_xlfn.STDEV.P($E256:$V256))),V256,(SLOPE($E256:$V256,$E$1:$V$1)*W$1+INTERCEPT($E256:$V256,$E$1:$V$1)))</f>
        <v>18964.24740058833</v>
      </c>
      <c r="X256" s="5">
        <f t="shared" si="257"/>
        <v>17580.741033709462</v>
      </c>
      <c r="Y256" s="5">
        <f t="shared" si="257"/>
        <v>16197.234666830595</v>
      </c>
      <c r="Z256" s="5">
        <f t="shared" si="257"/>
        <v>14813.728299951727</v>
      </c>
      <c r="AA256" s="5">
        <f t="shared" si="257"/>
        <v>13430.221933072859</v>
      </c>
      <c r="AB256" s="5">
        <f t="shared" si="257"/>
        <v>13430.221933072859</v>
      </c>
      <c r="AC256" s="5">
        <f t="shared" si="257"/>
        <v>13430.221933072859</v>
      </c>
      <c r="AD256" s="5">
        <f t="shared" si="257"/>
        <v>13430.221933072859</v>
      </c>
      <c r="AE256" s="5">
        <f t="shared" si="257"/>
        <v>13430.221933072859</v>
      </c>
      <c r="AF256" s="5">
        <f t="shared" si="257"/>
        <v>13430.221933072859</v>
      </c>
      <c r="AG256" s="5">
        <f t="shared" si="257"/>
        <v>13430.221933072859</v>
      </c>
      <c r="AH256" s="5">
        <f t="shared" si="257"/>
        <v>13430.221933072859</v>
      </c>
    </row>
    <row r="257" spans="1:34" x14ac:dyDescent="0.35">
      <c r="A257" t="s">
        <v>277</v>
      </c>
      <c r="B257" s="3" t="s">
        <v>1264</v>
      </c>
      <c r="C257" s="4" t="s">
        <v>1263</v>
      </c>
      <c r="D257" s="2">
        <f t="shared" si="196"/>
        <v>589052.9444254312</v>
      </c>
      <c r="E257" s="5">
        <v>0</v>
      </c>
      <c r="F257" s="5">
        <v>25503.953439917925</v>
      </c>
      <c r="G257" s="5">
        <v>43785.995311700681</v>
      </c>
      <c r="H257" s="5">
        <v>20150.648361440108</v>
      </c>
      <c r="I257" s="5">
        <v>24089.872853150202</v>
      </c>
      <c r="J257" s="5">
        <v>93581.833117164206</v>
      </c>
      <c r="K257" s="5">
        <v>0</v>
      </c>
      <c r="L257" s="5">
        <v>23231.323925469795</v>
      </c>
      <c r="M257" s="5">
        <v>48179.745706300397</v>
      </c>
      <c r="N257" s="5">
        <v>35048.997400600085</v>
      </c>
      <c r="O257" s="5">
        <v>88329.533794884061</v>
      </c>
      <c r="P257" s="5">
        <v>4545.2590288962647</v>
      </c>
      <c r="Q257" s="5">
        <v>25503.953439917925</v>
      </c>
      <c r="R257" s="5">
        <v>44998.06438607302</v>
      </c>
      <c r="S257" s="5">
        <v>25137.807573701284</v>
      </c>
      <c r="T257" s="5">
        <v>20453.665630033189</v>
      </c>
      <c r="U257" s="5">
        <v>38180.175842728619</v>
      </c>
      <c r="V257" s="5">
        <v>28332.114613453381</v>
      </c>
      <c r="W257" s="5">
        <f t="shared" ref="W257:AH257" si="258">IF(OR((SLOPE($E257:$V257,$E$1:$V$1)*W$1+INTERCEPT($E257:$V257,$E$1:$V$1))&gt;(AVERAGE($E257:$V257)+_xlfn.STDEV.P($E257:$V257)),(SLOPE($E257:$V257,$E$1:$V$1)*W$1+INTERCEPT($E257:$V257,$E$1:$V$1))&lt;(AVERAGE($E257:$V257)-_xlfn.STDEV.P($E257:$V257))),V257,(SLOPE($E257:$V257,$E$1:$V$1)*W$1+INTERCEPT($E257:$V257,$E$1:$V$1)))</f>
        <v>36056.991936510909</v>
      </c>
      <c r="X257" s="5">
        <f t="shared" si="258"/>
        <v>36407.710710965672</v>
      </c>
      <c r="Y257" s="5">
        <f t="shared" si="258"/>
        <v>36758.429485420435</v>
      </c>
      <c r="Z257" s="5">
        <f t="shared" si="258"/>
        <v>37109.148259875205</v>
      </c>
      <c r="AA257" s="5">
        <f t="shared" si="258"/>
        <v>37459.867034329975</v>
      </c>
      <c r="AB257" s="5">
        <f t="shared" si="258"/>
        <v>37810.585808784737</v>
      </c>
      <c r="AC257" s="5">
        <f t="shared" si="258"/>
        <v>38161.3045832395</v>
      </c>
      <c r="AD257" s="5">
        <f t="shared" si="258"/>
        <v>38512.02335769427</v>
      </c>
      <c r="AE257" s="5">
        <f t="shared" si="258"/>
        <v>38862.74213214904</v>
      </c>
      <c r="AF257" s="5">
        <f t="shared" si="258"/>
        <v>39213.460906603803</v>
      </c>
      <c r="AG257" s="5">
        <f t="shared" si="258"/>
        <v>39564.179681058566</v>
      </c>
      <c r="AH257" s="5">
        <f t="shared" si="258"/>
        <v>39914.898455513336</v>
      </c>
    </row>
    <row r="258" spans="1:34" x14ac:dyDescent="0.35">
      <c r="A258" t="s">
        <v>278</v>
      </c>
      <c r="B258" s="3" t="s">
        <v>1262</v>
      </c>
      <c r="C258" s="4" t="s">
        <v>1263</v>
      </c>
      <c r="D258" s="2">
        <f t="shared" si="196"/>
        <v>572460.80478630844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317042.16672225803</v>
      </c>
      <c r="Q258" s="5">
        <v>128908.93391105044</v>
      </c>
      <c r="R258" s="5">
        <v>32301.731854007809</v>
      </c>
      <c r="S258" s="5">
        <v>20034.332565631808</v>
      </c>
      <c r="T258" s="5">
        <v>34918.726096467341</v>
      </c>
      <c r="U258" s="5">
        <v>23533.846034380615</v>
      </c>
      <c r="V258" s="5">
        <v>15721.067602512376</v>
      </c>
      <c r="W258" s="5">
        <f t="shared" ref="W258:AH258" si="259">IF(OR((SLOPE($E258:$V258,$E$1:$V$1)*W$1+INTERCEPT($E258:$V258,$E$1:$V$1))&gt;(AVERAGE($E258:$V258)+_xlfn.STDEV.P($E258:$V258)),(SLOPE($E258:$V258,$E$1:$V$1)*W$1+INTERCEPT($E258:$V258,$E$1:$V$1))&lt;(AVERAGE($E258:$V258)-_xlfn.STDEV.P($E258:$V258))),V258,(SLOPE($E258:$V258,$E$1:$V$1)*W$1+INTERCEPT($E258:$V258,$E$1:$V$1)))</f>
        <v>71733.53387612653</v>
      </c>
      <c r="X258" s="5">
        <f t="shared" si="259"/>
        <v>75936.708174278392</v>
      </c>
      <c r="Y258" s="5">
        <f t="shared" si="259"/>
        <v>80139.882472430269</v>
      </c>
      <c r="Z258" s="5">
        <f t="shared" si="259"/>
        <v>84343.05677058213</v>
      </c>
      <c r="AA258" s="5">
        <f t="shared" si="259"/>
        <v>88546.231068733992</v>
      </c>
      <c r="AB258" s="5">
        <f t="shared" si="259"/>
        <v>92749.405366885869</v>
      </c>
      <c r="AC258" s="5">
        <f t="shared" si="259"/>
        <v>96952.579665037731</v>
      </c>
      <c r="AD258" s="5">
        <f t="shared" si="259"/>
        <v>101155.75396318959</v>
      </c>
      <c r="AE258" s="5">
        <f t="shared" si="259"/>
        <v>105358.92826134145</v>
      </c>
      <c r="AF258" s="5">
        <f t="shared" si="259"/>
        <v>105358.92826134145</v>
      </c>
      <c r="AG258" s="5">
        <f t="shared" si="259"/>
        <v>105358.92826134145</v>
      </c>
      <c r="AH258" s="5">
        <f t="shared" si="259"/>
        <v>105358.92826134145</v>
      </c>
    </row>
    <row r="259" spans="1:34" x14ac:dyDescent="0.35">
      <c r="A259" t="s">
        <v>279</v>
      </c>
      <c r="B259" s="3" t="s">
        <v>1262</v>
      </c>
      <c r="C259" s="4" t="s">
        <v>1263</v>
      </c>
      <c r="D259" s="2">
        <f t="shared" si="196"/>
        <v>578028.64462112635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280608.98407781753</v>
      </c>
      <c r="M259" s="5">
        <v>0</v>
      </c>
      <c r="N259" s="5">
        <v>0</v>
      </c>
      <c r="O259" s="5">
        <v>0</v>
      </c>
      <c r="P259" s="5">
        <v>74626.373505058596</v>
      </c>
      <c r="Q259" s="5">
        <v>0</v>
      </c>
      <c r="R259" s="5">
        <v>222793.2870382503</v>
      </c>
      <c r="S259" s="5">
        <v>0</v>
      </c>
      <c r="T259" s="5">
        <v>0</v>
      </c>
      <c r="U259" s="5">
        <v>0</v>
      </c>
      <c r="V259" s="5">
        <v>0</v>
      </c>
      <c r="W259" s="5">
        <f t="shared" ref="W259:AH259" si="260">IF(OR((SLOPE($E259:$V259,$E$1:$V$1)*W$1+INTERCEPT($E259:$V259,$E$1:$V$1))&gt;(AVERAGE($E259:$V259)+_xlfn.STDEV.P($E259:$V259)),(SLOPE($E259:$V259,$E$1:$V$1)*W$1+INTERCEPT($E259:$V259,$E$1:$V$1))&lt;(AVERAGE($E259:$V259)-_xlfn.STDEV.P($E259:$V259))),V259,(SLOPE($E259:$V259,$E$1:$V$1)*W$1+INTERCEPT($E259:$V259,$E$1:$V$1)))</f>
        <v>47175.883838128851</v>
      </c>
      <c r="X259" s="5">
        <f t="shared" si="260"/>
        <v>48761.481875936995</v>
      </c>
      <c r="Y259" s="5">
        <f t="shared" si="260"/>
        <v>50347.079913745139</v>
      </c>
      <c r="Z259" s="5">
        <f t="shared" si="260"/>
        <v>51932.677951553283</v>
      </c>
      <c r="AA259" s="5">
        <f t="shared" si="260"/>
        <v>53518.275989361427</v>
      </c>
      <c r="AB259" s="5">
        <f t="shared" si="260"/>
        <v>55103.874027169571</v>
      </c>
      <c r="AC259" s="5">
        <f t="shared" si="260"/>
        <v>56689.472064977715</v>
      </c>
      <c r="AD259" s="5">
        <f t="shared" si="260"/>
        <v>58275.070102785874</v>
      </c>
      <c r="AE259" s="5">
        <f t="shared" si="260"/>
        <v>59860.668140594018</v>
      </c>
      <c r="AF259" s="5">
        <f t="shared" si="260"/>
        <v>61446.266178402162</v>
      </c>
      <c r="AG259" s="5">
        <f t="shared" si="260"/>
        <v>63031.864216210306</v>
      </c>
      <c r="AH259" s="5">
        <f t="shared" si="260"/>
        <v>64617.46225401845</v>
      </c>
    </row>
    <row r="260" spans="1:34" x14ac:dyDescent="0.35">
      <c r="A260" t="s">
        <v>280</v>
      </c>
      <c r="B260" s="3" t="s">
        <v>1266</v>
      </c>
      <c r="C260" s="4" t="s">
        <v>1267</v>
      </c>
      <c r="D260" s="2">
        <f t="shared" ref="D260:D323" si="261">SUM(E260:V260)</f>
        <v>575995.99666000006</v>
      </c>
      <c r="E260" s="5">
        <v>117648.45943199999</v>
      </c>
      <c r="F260" s="5">
        <v>226227.65860799997</v>
      </c>
      <c r="G260" s="5">
        <v>185024.10584000006</v>
      </c>
      <c r="H260" s="5">
        <v>47095.772779999999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f t="shared" ref="W260:AH260" si="262">IF(OR((SLOPE($E260:$V260,$E$1:$V$1)*W$1+INTERCEPT($E260:$V260,$E$1:$V$1))&gt;(AVERAGE($E260:$V260)+_xlfn.STDEV.P($E260:$V260)),(SLOPE($E260:$V260,$E$1:$V$1)*W$1+INTERCEPT($E260:$V260,$E$1:$V$1))&lt;(AVERAGE($E260:$V260)-_xlfn.STDEV.P($E260:$V260))),V260,(SLOPE($E260:$V260,$E$1:$V$1)*W$1+INTERCEPT($E260:$V260,$E$1:$V$1)))</f>
        <v>0</v>
      </c>
      <c r="X260" s="5">
        <f t="shared" si="262"/>
        <v>0</v>
      </c>
      <c r="Y260" s="5">
        <f t="shared" si="262"/>
        <v>0</v>
      </c>
      <c r="Z260" s="5">
        <f t="shared" si="262"/>
        <v>0</v>
      </c>
      <c r="AA260" s="5">
        <f t="shared" si="262"/>
        <v>0</v>
      </c>
      <c r="AB260" s="5">
        <f t="shared" si="262"/>
        <v>0</v>
      </c>
      <c r="AC260" s="5">
        <f t="shared" si="262"/>
        <v>0</v>
      </c>
      <c r="AD260" s="5">
        <f t="shared" si="262"/>
        <v>0</v>
      </c>
      <c r="AE260" s="5">
        <f t="shared" si="262"/>
        <v>0</v>
      </c>
      <c r="AF260" s="5">
        <f t="shared" si="262"/>
        <v>0</v>
      </c>
      <c r="AG260" s="5">
        <f t="shared" si="262"/>
        <v>0</v>
      </c>
      <c r="AH260" s="5">
        <f t="shared" si="262"/>
        <v>0</v>
      </c>
    </row>
    <row r="261" spans="1:34" x14ac:dyDescent="0.35">
      <c r="A261" t="s">
        <v>281</v>
      </c>
      <c r="B261" s="3" t="s">
        <v>1264</v>
      </c>
      <c r="C261" s="4" t="s">
        <v>1263</v>
      </c>
      <c r="D261" s="2">
        <f t="shared" si="261"/>
        <v>570239.39119340549</v>
      </c>
      <c r="E261" s="5">
        <v>28102.543211807002</v>
      </c>
      <c r="F261" s="5">
        <v>36525.389965993643</v>
      </c>
      <c r="G261" s="5">
        <v>49048.833166297496</v>
      </c>
      <c r="H261" s="5">
        <v>33913.040878698921</v>
      </c>
      <c r="I261" s="5">
        <v>31478.014880966017</v>
      </c>
      <c r="J261" s="5">
        <v>26725.122783960676</v>
      </c>
      <c r="K261" s="5">
        <v>35322.126143966983</v>
      </c>
      <c r="L261" s="5">
        <v>27849.22451243296</v>
      </c>
      <c r="M261" s="5">
        <v>42288.390376752941</v>
      </c>
      <c r="N261" s="5">
        <v>33564.727667059618</v>
      </c>
      <c r="O261" s="5">
        <v>33010.593012178921</v>
      </c>
      <c r="P261" s="5">
        <v>37681.156531887696</v>
      </c>
      <c r="Q261" s="5">
        <v>14819.143913381044</v>
      </c>
      <c r="R261" s="5">
        <v>28419.191586024535</v>
      </c>
      <c r="S261" s="5">
        <v>24318.595139907346</v>
      </c>
      <c r="T261" s="5">
        <v>31189.864860428042</v>
      </c>
      <c r="U261" s="5">
        <v>29147.482846724881</v>
      </c>
      <c r="V261" s="5">
        <v>26835.949714936822</v>
      </c>
      <c r="W261" s="5">
        <f t="shared" ref="W261:AH261" si="263">IF(OR((SLOPE($E261:$V261,$E$1:$V$1)*W$1+INTERCEPT($E261:$V261,$E$1:$V$1))&gt;(AVERAGE($E261:$V261)+_xlfn.STDEV.P($E261:$V261)),(SLOPE($E261:$V261,$E$1:$V$1)*W$1+INTERCEPT($E261:$V261,$E$1:$V$1))&lt;(AVERAGE($E261:$V261)-_xlfn.STDEV.P($E261:$V261))),V261,(SLOPE($E261:$V261,$E$1:$V$1)*W$1+INTERCEPT($E261:$V261,$E$1:$V$1)))</f>
        <v>26167.987213115164</v>
      </c>
      <c r="X261" s="5">
        <f t="shared" si="263"/>
        <v>25587.778901083984</v>
      </c>
      <c r="Y261" s="5">
        <f t="shared" si="263"/>
        <v>25007.570589052797</v>
      </c>
      <c r="Z261" s="5">
        <f t="shared" si="263"/>
        <v>25007.570589052797</v>
      </c>
      <c r="AA261" s="5">
        <f t="shared" si="263"/>
        <v>25007.570589052797</v>
      </c>
      <c r="AB261" s="5">
        <f t="shared" si="263"/>
        <v>25007.570589052797</v>
      </c>
      <c r="AC261" s="5">
        <f t="shared" si="263"/>
        <v>25007.570589052797</v>
      </c>
      <c r="AD261" s="5">
        <f t="shared" si="263"/>
        <v>25007.570589052797</v>
      </c>
      <c r="AE261" s="5">
        <f t="shared" si="263"/>
        <v>25007.570589052797</v>
      </c>
      <c r="AF261" s="5">
        <f t="shared" si="263"/>
        <v>25007.570589052797</v>
      </c>
      <c r="AG261" s="5">
        <f t="shared" si="263"/>
        <v>25007.570589052797</v>
      </c>
      <c r="AH261" s="5">
        <f t="shared" si="263"/>
        <v>25007.570589052797</v>
      </c>
    </row>
    <row r="262" spans="1:34" x14ac:dyDescent="0.35">
      <c r="A262" t="s">
        <v>282</v>
      </c>
      <c r="B262" s="3" t="s">
        <v>1265</v>
      </c>
      <c r="C262" s="4" t="s">
        <v>1263</v>
      </c>
      <c r="D262" s="2">
        <f t="shared" si="261"/>
        <v>563506.86955113499</v>
      </c>
      <c r="E262" s="5">
        <v>12794.701021107428</v>
      </c>
      <c r="F262" s="5">
        <v>22553.969524103846</v>
      </c>
      <c r="G262" s="5">
        <v>22483.378070194292</v>
      </c>
      <c r="H262" s="5">
        <v>27107.118301270355</v>
      </c>
      <c r="I262" s="5">
        <v>23118.701155380317</v>
      </c>
      <c r="J262" s="5">
        <v>29560.171324627503</v>
      </c>
      <c r="K262" s="5">
        <v>27036.526847360798</v>
      </c>
      <c r="L262" s="5">
        <v>30866.113221954332</v>
      </c>
      <c r="M262" s="5">
        <v>34963.947121404184</v>
      </c>
      <c r="N262" s="5">
        <v>72476.24572894341</v>
      </c>
      <c r="O262" s="5">
        <v>27198.88719135278</v>
      </c>
      <c r="P262" s="5">
        <v>33866.25001311057</v>
      </c>
      <c r="Q262" s="5">
        <v>29560.171324627503</v>
      </c>
      <c r="R262" s="5">
        <v>24283.46014488802</v>
      </c>
      <c r="S262" s="5">
        <v>63980.564250928102</v>
      </c>
      <c r="T262" s="5">
        <v>18742.031012987703</v>
      </c>
      <c r="U262" s="5">
        <v>33530.940607040167</v>
      </c>
      <c r="V262" s="5">
        <v>29383.692689853608</v>
      </c>
      <c r="W262" s="5">
        <f t="shared" ref="W262:AH262" si="264">IF(OR((SLOPE($E262:$V262,$E$1:$V$1)*W$1+INTERCEPT($E262:$V262,$E$1:$V$1))&gt;(AVERAGE($E262:$V262)+_xlfn.STDEV.P($E262:$V262)),(SLOPE($E262:$V262,$E$1:$V$1)*W$1+INTERCEPT($E262:$V262,$E$1:$V$1))&lt;(AVERAGE($E262:$V262)-_xlfn.STDEV.P($E262:$V262))),V262,(SLOPE($E262:$V262,$E$1:$V$1)*W$1+INTERCEPT($E262:$V262,$E$1:$V$1)))</f>
        <v>39882.210585180699</v>
      </c>
      <c r="X262" s="5">
        <f t="shared" si="264"/>
        <v>40784.976204959159</v>
      </c>
      <c r="Y262" s="5">
        <f t="shared" si="264"/>
        <v>41687.741824737626</v>
      </c>
      <c r="Z262" s="5">
        <f t="shared" si="264"/>
        <v>42590.507444516086</v>
      </c>
      <c r="AA262" s="5">
        <f t="shared" si="264"/>
        <v>43493.273064294553</v>
      </c>
      <c r="AB262" s="5">
        <f t="shared" si="264"/>
        <v>44396.038684073021</v>
      </c>
      <c r="AC262" s="5">
        <f t="shared" si="264"/>
        <v>45298.804303851488</v>
      </c>
      <c r="AD262" s="5">
        <f t="shared" si="264"/>
        <v>45298.804303851488</v>
      </c>
      <c r="AE262" s="5">
        <f t="shared" si="264"/>
        <v>45298.804303851488</v>
      </c>
      <c r="AF262" s="5">
        <f t="shared" si="264"/>
        <v>45298.804303851488</v>
      </c>
      <c r="AG262" s="5">
        <f t="shared" si="264"/>
        <v>45298.804303851488</v>
      </c>
      <c r="AH262" s="5">
        <f t="shared" si="264"/>
        <v>45298.804303851488</v>
      </c>
    </row>
    <row r="263" spans="1:34" x14ac:dyDescent="0.35">
      <c r="A263" t="s">
        <v>283</v>
      </c>
      <c r="B263" s="3" t="s">
        <v>1265</v>
      </c>
      <c r="C263" s="4" t="s">
        <v>1263</v>
      </c>
      <c r="D263" s="2">
        <f t="shared" si="261"/>
        <v>556613.28906688234</v>
      </c>
      <c r="E263" s="5">
        <v>27267.666273775503</v>
      </c>
      <c r="F263" s="5">
        <v>32494.423740529895</v>
      </c>
      <c r="G263" s="5">
        <v>46974.118439612823</v>
      </c>
      <c r="H263" s="5">
        <v>26085.279143825272</v>
      </c>
      <c r="I263" s="5">
        <v>22635.134133867905</v>
      </c>
      <c r="J263" s="5">
        <v>36757.080932094097</v>
      </c>
      <c r="K263" s="5">
        <v>55450.924632794522</v>
      </c>
      <c r="L263" s="5">
        <v>24642.160492911637</v>
      </c>
      <c r="M263" s="5">
        <v>39291.633856807945</v>
      </c>
      <c r="N263" s="5">
        <v>17293.16971599016</v>
      </c>
      <c r="O263" s="5">
        <v>29432.344250145943</v>
      </c>
      <c r="P263" s="5">
        <v>30469.206810256157</v>
      </c>
      <c r="Q263" s="5">
        <v>25333.40219965178</v>
      </c>
      <c r="R263" s="5">
        <v>44621.471227199021</v>
      </c>
      <c r="S263" s="5">
        <v>20337.058635144109</v>
      </c>
      <c r="T263" s="5">
        <v>20197.597589047411</v>
      </c>
      <c r="U263" s="5">
        <v>28662.276734742456</v>
      </c>
      <c r="V263" s="5">
        <v>28668.340258485787</v>
      </c>
      <c r="W263" s="5">
        <f t="shared" ref="W263:AH263" si="265">IF(OR((SLOPE($E263:$V263,$E$1:$V$1)*W$1+INTERCEPT($E263:$V263,$E$1:$V$1))&gt;(AVERAGE($E263:$V263)+_xlfn.STDEV.P($E263:$V263)),(SLOPE($E263:$V263,$E$1:$V$1)*W$1+INTERCEPT($E263:$V263,$E$1:$V$1))&lt;(AVERAGE($E263:$V263)-_xlfn.STDEV.P($E263:$V263))),V263,(SLOPE($E263:$V263,$E$1:$V$1)*W$1+INTERCEPT($E263:$V263,$E$1:$V$1)))</f>
        <v>26416.870667749976</v>
      </c>
      <c r="X263" s="5">
        <f t="shared" si="265"/>
        <v>25942.545421858849</v>
      </c>
      <c r="Y263" s="5">
        <f t="shared" si="265"/>
        <v>25468.220175967719</v>
      </c>
      <c r="Z263" s="5">
        <f t="shared" si="265"/>
        <v>24993.894930076593</v>
      </c>
      <c r="AA263" s="5">
        <f t="shared" si="265"/>
        <v>24519.569684185466</v>
      </c>
      <c r="AB263" s="5">
        <f t="shared" si="265"/>
        <v>24045.244438294336</v>
      </c>
      <c r="AC263" s="5">
        <f t="shared" si="265"/>
        <v>23570.919192403209</v>
      </c>
      <c r="AD263" s="5">
        <f t="shared" si="265"/>
        <v>23096.593946512083</v>
      </c>
      <c r="AE263" s="5">
        <f t="shared" si="265"/>
        <v>22622.268700620953</v>
      </c>
      <c r="AF263" s="5">
        <f t="shared" si="265"/>
        <v>22147.943454729826</v>
      </c>
      <c r="AG263" s="5">
        <f t="shared" si="265"/>
        <v>21673.6182088387</v>
      </c>
      <c r="AH263" s="5">
        <f t="shared" si="265"/>
        <v>21199.292962947569</v>
      </c>
    </row>
    <row r="264" spans="1:34" x14ac:dyDescent="0.35">
      <c r="A264" t="s">
        <v>284</v>
      </c>
      <c r="B264" s="3" t="s">
        <v>1265</v>
      </c>
      <c r="C264" s="4" t="s">
        <v>1263</v>
      </c>
      <c r="D264" s="2">
        <f t="shared" si="261"/>
        <v>555003.34537902672</v>
      </c>
      <c r="E264" s="5">
        <v>16351.153250643592</v>
      </c>
      <c r="F264" s="5">
        <v>15786.102598353531</v>
      </c>
      <c r="G264" s="5">
        <v>23396.62857138527</v>
      </c>
      <c r="H264" s="5">
        <v>19918.035493224586</v>
      </c>
      <c r="I264" s="5">
        <v>24897.544366530736</v>
      </c>
      <c r="J264" s="5">
        <v>23961.679223675321</v>
      </c>
      <c r="K264" s="5">
        <v>20023.982490528975</v>
      </c>
      <c r="L264" s="5">
        <v>25391.96368728454</v>
      </c>
      <c r="M264" s="5">
        <v>67046.791460792359</v>
      </c>
      <c r="N264" s="5">
        <v>22690.315256022688</v>
      </c>
      <c r="O264" s="5">
        <v>32984.831827432208</v>
      </c>
      <c r="P264" s="5">
        <v>33779.43430721511</v>
      </c>
      <c r="Q264" s="5">
        <v>28340.821778923291</v>
      </c>
      <c r="R264" s="5">
        <v>39482.914328767903</v>
      </c>
      <c r="S264" s="5">
        <v>44391.791870537789</v>
      </c>
      <c r="T264" s="5">
        <v>38441.102188608093</v>
      </c>
      <c r="U264" s="5">
        <v>45592.524506654168</v>
      </c>
      <c r="V264" s="5">
        <v>32525.728172446543</v>
      </c>
      <c r="W264" s="5">
        <f t="shared" ref="W264:AH264" si="266">IF(OR((SLOPE($E264:$V264,$E$1:$V$1)*W$1+INTERCEPT($E264:$V264,$E$1:$V$1))&gt;(AVERAGE($E264:$V264)+_xlfn.STDEV.P($E264:$V264)),(SLOPE($E264:$V264,$E$1:$V$1)*W$1+INTERCEPT($E264:$V264,$E$1:$V$1))&lt;(AVERAGE($E264:$V264)-_xlfn.STDEV.P($E264:$V264))),V264,(SLOPE($E264:$V264,$E$1:$V$1)*W$1+INTERCEPT($E264:$V264,$E$1:$V$1)))</f>
        <v>32525.728172446543</v>
      </c>
      <c r="X264" s="5">
        <f t="shared" si="266"/>
        <v>32525.728172446543</v>
      </c>
      <c r="Y264" s="5">
        <f t="shared" si="266"/>
        <v>32525.728172446543</v>
      </c>
      <c r="Z264" s="5">
        <f t="shared" si="266"/>
        <v>32525.728172446543</v>
      </c>
      <c r="AA264" s="5">
        <f t="shared" si="266"/>
        <v>32525.728172446543</v>
      </c>
      <c r="AB264" s="5">
        <f t="shared" si="266"/>
        <v>32525.728172446543</v>
      </c>
      <c r="AC264" s="5">
        <f t="shared" si="266"/>
        <v>32525.728172446543</v>
      </c>
      <c r="AD264" s="5">
        <f t="shared" si="266"/>
        <v>32525.728172446543</v>
      </c>
      <c r="AE264" s="5">
        <f t="shared" si="266"/>
        <v>32525.728172446543</v>
      </c>
      <c r="AF264" s="5">
        <f t="shared" si="266"/>
        <v>32525.728172446543</v>
      </c>
      <c r="AG264" s="5">
        <f t="shared" si="266"/>
        <v>32525.728172446543</v>
      </c>
      <c r="AH264" s="5">
        <f t="shared" si="266"/>
        <v>32525.728172446543</v>
      </c>
    </row>
    <row r="265" spans="1:34" x14ac:dyDescent="0.35">
      <c r="A265" t="s">
        <v>285</v>
      </c>
      <c r="B265" s="3" t="s">
        <v>1262</v>
      </c>
      <c r="C265" s="4" t="s">
        <v>1267</v>
      </c>
      <c r="D265" s="2">
        <f t="shared" si="261"/>
        <v>243742.27915330903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243742.27915330903</v>
      </c>
      <c r="U265" s="5">
        <v>0</v>
      </c>
      <c r="V265" s="5">
        <v>0</v>
      </c>
      <c r="W265" s="5">
        <f t="shared" ref="W265:AH265" si="267">IF(OR((SLOPE($E265:$V265,$E$1:$V$1)*W$1+INTERCEPT($E265:$V265,$E$1:$V$1))&gt;(AVERAGE($E265:$V265)+_xlfn.STDEV.P($E265:$V265)),(SLOPE($E265:$V265,$E$1:$V$1)*W$1+INTERCEPT($E265:$V265,$E$1:$V$1))&lt;(AVERAGE($E265:$V265)-_xlfn.STDEV.P($E265:$V265))),V265,(SLOPE($E265:$V265,$E$1:$V$1)*W$1+INTERCEPT($E265:$V265,$E$1:$V$1)))</f>
        <v>44606.430171847402</v>
      </c>
      <c r="X265" s="5">
        <f t="shared" si="267"/>
        <v>47876.450428806143</v>
      </c>
      <c r="Y265" s="5">
        <f t="shared" si="267"/>
        <v>51146.470685764885</v>
      </c>
      <c r="Z265" s="5">
        <f t="shared" si="267"/>
        <v>54416.490942723613</v>
      </c>
      <c r="AA265" s="5">
        <f t="shared" si="267"/>
        <v>57686.511199682354</v>
      </c>
      <c r="AB265" s="5">
        <f t="shared" si="267"/>
        <v>60956.531456641096</v>
      </c>
      <c r="AC265" s="5">
        <f t="shared" si="267"/>
        <v>64226.551713599838</v>
      </c>
      <c r="AD265" s="5">
        <f t="shared" si="267"/>
        <v>67496.57197055858</v>
      </c>
      <c r="AE265" s="5">
        <f t="shared" si="267"/>
        <v>67496.57197055858</v>
      </c>
      <c r="AF265" s="5">
        <f t="shared" si="267"/>
        <v>67496.57197055858</v>
      </c>
      <c r="AG265" s="5">
        <f t="shared" si="267"/>
        <v>67496.57197055858</v>
      </c>
      <c r="AH265" s="5">
        <f t="shared" si="267"/>
        <v>67496.57197055858</v>
      </c>
    </row>
    <row r="266" spans="1:34" x14ac:dyDescent="0.35">
      <c r="A266" t="s">
        <v>286</v>
      </c>
      <c r="B266" s="3" t="s">
        <v>1266</v>
      </c>
      <c r="C266" s="4" t="s">
        <v>1263</v>
      </c>
      <c r="D266" s="2">
        <f t="shared" si="261"/>
        <v>558096.90023999731</v>
      </c>
      <c r="E266" s="5">
        <v>0</v>
      </c>
      <c r="F266" s="5">
        <v>0</v>
      </c>
      <c r="G266" s="5">
        <v>0</v>
      </c>
      <c r="H266" s="5">
        <v>0</v>
      </c>
      <c r="I266" s="5">
        <v>138076.1714421605</v>
      </c>
      <c r="J266" s="5">
        <v>0</v>
      </c>
      <c r="K266" s="5">
        <v>0</v>
      </c>
      <c r="L266" s="5">
        <v>0</v>
      </c>
      <c r="M266" s="5">
        <v>0</v>
      </c>
      <c r="N266" s="5">
        <v>136287.39932600665</v>
      </c>
      <c r="O266" s="5">
        <v>0</v>
      </c>
      <c r="P266" s="5">
        <v>138927.96768794805</v>
      </c>
      <c r="Q266" s="5">
        <v>0</v>
      </c>
      <c r="R266" s="5">
        <v>0</v>
      </c>
      <c r="S266" s="5">
        <v>0</v>
      </c>
      <c r="T266" s="5">
        <v>0</v>
      </c>
      <c r="U266" s="5">
        <v>144805.36178388208</v>
      </c>
      <c r="V266" s="5">
        <v>0</v>
      </c>
      <c r="W266" s="5">
        <f t="shared" ref="W266:AH266" si="268">IF(OR((SLOPE($E266:$V266,$E$1:$V$1)*W$1+INTERCEPT($E266:$V266,$E$1:$V$1))&gt;(AVERAGE($E266:$V266)+_xlfn.STDEV.P($E266:$V266)),(SLOPE($E266:$V266,$E$1:$V$1)*W$1+INTERCEPT($E266:$V266,$E$1:$V$1))&lt;(AVERAGE($E266:$V266)-_xlfn.STDEV.P($E266:$V266))),V266,(SLOPE($E266:$V266,$E$1:$V$1)*W$1+INTERCEPT($E266:$V266,$E$1:$V$1)))</f>
        <v>48263.443361809004</v>
      </c>
      <c r="X266" s="5">
        <f t="shared" si="268"/>
        <v>50080.081258139791</v>
      </c>
      <c r="Y266" s="5">
        <f t="shared" si="268"/>
        <v>51896.719154470578</v>
      </c>
      <c r="Z266" s="5">
        <f t="shared" si="268"/>
        <v>53713.357050801365</v>
      </c>
      <c r="AA266" s="5">
        <f t="shared" si="268"/>
        <v>55529.99494713216</v>
      </c>
      <c r="AB266" s="5">
        <f t="shared" si="268"/>
        <v>57346.632843462947</v>
      </c>
      <c r="AC266" s="5">
        <f t="shared" si="268"/>
        <v>59163.270739793734</v>
      </c>
      <c r="AD266" s="5">
        <f t="shared" si="268"/>
        <v>60979.908636124521</v>
      </c>
      <c r="AE266" s="5">
        <f t="shared" si="268"/>
        <v>62796.546532455308</v>
      </c>
      <c r="AF266" s="5">
        <f t="shared" si="268"/>
        <v>64613.184428786095</v>
      </c>
      <c r="AG266" s="5">
        <f t="shared" si="268"/>
        <v>66429.822325116897</v>
      </c>
      <c r="AH266" s="5">
        <f t="shared" si="268"/>
        <v>68246.460221447676</v>
      </c>
    </row>
    <row r="267" spans="1:34" x14ac:dyDescent="0.35">
      <c r="A267" t="s">
        <v>287</v>
      </c>
      <c r="B267" s="3" t="s">
        <v>1262</v>
      </c>
      <c r="C267" s="4" t="s">
        <v>1263</v>
      </c>
      <c r="D267" s="2">
        <f t="shared" si="261"/>
        <v>521630.67599999992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39304.125</v>
      </c>
      <c r="K267" s="5">
        <v>1640.52</v>
      </c>
      <c r="L267" s="5">
        <v>13452.263999999999</v>
      </c>
      <c r="M267" s="5">
        <v>45852.534</v>
      </c>
      <c r="N267" s="5">
        <v>58757.958000000006</v>
      </c>
      <c r="O267" s="5">
        <v>29392.649999999994</v>
      </c>
      <c r="P267" s="5">
        <v>21531.825000000004</v>
      </c>
      <c r="Q267" s="5">
        <v>17321.156999999999</v>
      </c>
      <c r="R267" s="5">
        <v>44567.459999999977</v>
      </c>
      <c r="S267" s="5">
        <v>47807.486999999994</v>
      </c>
      <c r="T267" s="5">
        <v>44294.04</v>
      </c>
      <c r="U267" s="5">
        <v>80740.925999999992</v>
      </c>
      <c r="V267" s="5">
        <v>76967.73</v>
      </c>
      <c r="W267" s="5">
        <f t="shared" ref="W267:AH267" si="269">IF(OR((SLOPE($E267:$V267,$E$1:$V$1)*W$1+INTERCEPT($E267:$V267,$E$1:$V$1))&gt;(AVERAGE($E267:$V267)+_xlfn.STDEV.P($E267:$V267)),(SLOPE($E267:$V267,$E$1:$V$1)*W$1+INTERCEPT($E267:$V267,$E$1:$V$1))&lt;(AVERAGE($E267:$V267)-_xlfn.STDEV.P($E267:$V267))),V267,(SLOPE($E267:$V267,$E$1:$V$1)*W$1+INTERCEPT($E267:$V267,$E$1:$V$1)))</f>
        <v>76967.73</v>
      </c>
      <c r="X267" s="5">
        <f t="shared" si="269"/>
        <v>76967.73</v>
      </c>
      <c r="Y267" s="5">
        <f t="shared" si="269"/>
        <v>76967.73</v>
      </c>
      <c r="Z267" s="5">
        <f t="shared" si="269"/>
        <v>76967.73</v>
      </c>
      <c r="AA267" s="5">
        <f t="shared" si="269"/>
        <v>76967.73</v>
      </c>
      <c r="AB267" s="5">
        <f t="shared" si="269"/>
        <v>76967.73</v>
      </c>
      <c r="AC267" s="5">
        <f t="shared" si="269"/>
        <v>76967.73</v>
      </c>
      <c r="AD267" s="5">
        <f t="shared" si="269"/>
        <v>76967.73</v>
      </c>
      <c r="AE267" s="5">
        <f t="shared" si="269"/>
        <v>76967.73</v>
      </c>
      <c r="AF267" s="5">
        <f t="shared" si="269"/>
        <v>76967.73</v>
      </c>
      <c r="AG267" s="5">
        <f t="shared" si="269"/>
        <v>76967.73</v>
      </c>
      <c r="AH267" s="5">
        <f t="shared" si="269"/>
        <v>76967.73</v>
      </c>
    </row>
    <row r="268" spans="1:34" x14ac:dyDescent="0.35">
      <c r="A268" t="s">
        <v>288</v>
      </c>
      <c r="B268" s="3" t="s">
        <v>1265</v>
      </c>
      <c r="C268" s="4" t="s">
        <v>1263</v>
      </c>
      <c r="D268" s="2">
        <f t="shared" si="261"/>
        <v>546927.17850521579</v>
      </c>
      <c r="E268" s="5">
        <v>19786.45286862662</v>
      </c>
      <c r="F268" s="5">
        <v>27061.839346913501</v>
      </c>
      <c r="G268" s="5">
        <v>35597.426697332186</v>
      </c>
      <c r="H268" s="5">
        <v>31050.310148402907</v>
      </c>
      <c r="I268" s="5">
        <v>25983.523136738837</v>
      </c>
      <c r="J268" s="5">
        <v>30751.499632330411</v>
      </c>
      <c r="K268" s="5">
        <v>22345.829897595402</v>
      </c>
      <c r="L268" s="5">
        <v>29426.339952356724</v>
      </c>
      <c r="M268" s="5">
        <v>29556.257568040426</v>
      </c>
      <c r="N268" s="5">
        <v>34285.258778926887</v>
      </c>
      <c r="O268" s="5">
        <v>37208.405131810003</v>
      </c>
      <c r="P268" s="5">
        <v>33064.033191500159</v>
      </c>
      <c r="Q268" s="5">
        <v>22280.871089753553</v>
      </c>
      <c r="R268" s="5">
        <v>34233.291732653415</v>
      </c>
      <c r="S268" s="5">
        <v>41560.645257213764</v>
      </c>
      <c r="T268" s="5">
        <v>32219.568689556152</v>
      </c>
      <c r="U268" s="5">
        <v>40014.625630577808</v>
      </c>
      <c r="V268" s="5">
        <v>20500.99975488694</v>
      </c>
      <c r="W268" s="5">
        <f t="shared" ref="W268:AH268" si="270">IF(OR((SLOPE($E268:$V268,$E$1:$V$1)*W$1+INTERCEPT($E268:$V268,$E$1:$V$1))&gt;(AVERAGE($E268:$V268)+_xlfn.STDEV.P($E268:$V268)),(SLOPE($E268:$V268,$E$1:$V$1)*W$1+INTERCEPT($E268:$V268,$E$1:$V$1))&lt;(AVERAGE($E268:$V268)-_xlfn.STDEV.P($E268:$V268))),V268,(SLOPE($E268:$V268,$E$1:$V$1)*W$1+INTERCEPT($E268:$V268,$E$1:$V$1)))</f>
        <v>34058.964369909219</v>
      </c>
      <c r="X268" s="5">
        <f t="shared" si="270"/>
        <v>34445.713961448113</v>
      </c>
      <c r="Y268" s="5">
        <f t="shared" si="270"/>
        <v>34832.463552986999</v>
      </c>
      <c r="Z268" s="5">
        <f t="shared" si="270"/>
        <v>35219.213144525893</v>
      </c>
      <c r="AA268" s="5">
        <f t="shared" si="270"/>
        <v>35605.962736064779</v>
      </c>
      <c r="AB268" s="5">
        <f t="shared" si="270"/>
        <v>35992.712327603673</v>
      </c>
      <c r="AC268" s="5">
        <f t="shared" si="270"/>
        <v>36379.461919142559</v>
      </c>
      <c r="AD268" s="5">
        <f t="shared" si="270"/>
        <v>36379.461919142559</v>
      </c>
      <c r="AE268" s="5">
        <f t="shared" si="270"/>
        <v>36379.461919142559</v>
      </c>
      <c r="AF268" s="5">
        <f t="shared" si="270"/>
        <v>36379.461919142559</v>
      </c>
      <c r="AG268" s="5">
        <f t="shared" si="270"/>
        <v>36379.461919142559</v>
      </c>
      <c r="AH268" s="5">
        <f t="shared" si="270"/>
        <v>36379.461919142559</v>
      </c>
    </row>
    <row r="269" spans="1:34" x14ac:dyDescent="0.35">
      <c r="A269" t="s">
        <v>289</v>
      </c>
      <c r="B269" s="3" t="s">
        <v>1266</v>
      </c>
      <c r="C269" s="4" t="s">
        <v>1267</v>
      </c>
      <c r="D269" s="2">
        <f t="shared" si="261"/>
        <v>551149.37262000004</v>
      </c>
      <c r="E269" s="5">
        <v>0</v>
      </c>
      <c r="F269" s="5">
        <v>165719.86199999999</v>
      </c>
      <c r="G269" s="5">
        <v>313995.52799999999</v>
      </c>
      <c r="H269" s="5">
        <v>26166.293999999998</v>
      </c>
      <c r="I269" s="5">
        <v>0</v>
      </c>
      <c r="J269" s="5">
        <v>26166.293999999998</v>
      </c>
      <c r="K269" s="5">
        <v>19101.394620000003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f t="shared" ref="W269:AH269" si="271">IF(OR((SLOPE($E269:$V269,$E$1:$V$1)*W$1+INTERCEPT($E269:$V269,$E$1:$V$1))&gt;(AVERAGE($E269:$V269)+_xlfn.STDEV.P($E269:$V269)),(SLOPE($E269:$V269,$E$1:$V$1)*W$1+INTERCEPT($E269:$V269,$E$1:$V$1))&lt;(AVERAGE($E269:$V269)-_xlfn.STDEV.P($E269:$V269))),V269,(SLOPE($E269:$V269,$E$1:$V$1)*W$1+INTERCEPT($E269:$V269,$E$1:$V$1)))</f>
        <v>-39324.120401176449</v>
      </c>
      <c r="X269" s="5">
        <f t="shared" si="271"/>
        <v>-46686.597242352931</v>
      </c>
      <c r="Y269" s="5">
        <f t="shared" si="271"/>
        <v>-46686.597242352931</v>
      </c>
      <c r="Z269" s="5">
        <f t="shared" si="271"/>
        <v>-46686.597242352931</v>
      </c>
      <c r="AA269" s="5">
        <f t="shared" si="271"/>
        <v>-46686.597242352931</v>
      </c>
      <c r="AB269" s="5">
        <f t="shared" si="271"/>
        <v>-46686.597242352931</v>
      </c>
      <c r="AC269" s="5">
        <f t="shared" si="271"/>
        <v>-46686.597242352931</v>
      </c>
      <c r="AD269" s="5">
        <f t="shared" si="271"/>
        <v>-46686.597242352931</v>
      </c>
      <c r="AE269" s="5">
        <f t="shared" si="271"/>
        <v>-46686.597242352931</v>
      </c>
      <c r="AF269" s="5">
        <f t="shared" si="271"/>
        <v>-46686.597242352931</v>
      </c>
      <c r="AG269" s="5">
        <f t="shared" si="271"/>
        <v>-46686.597242352931</v>
      </c>
      <c r="AH269" s="5">
        <f t="shared" si="271"/>
        <v>-46686.597242352931</v>
      </c>
    </row>
    <row r="270" spans="1:34" x14ac:dyDescent="0.35">
      <c r="A270" t="s">
        <v>290</v>
      </c>
      <c r="B270" s="3" t="s">
        <v>1264</v>
      </c>
      <c r="C270" s="4" t="s">
        <v>1263</v>
      </c>
      <c r="D270" s="2">
        <f t="shared" si="261"/>
        <v>548705.93075298157</v>
      </c>
      <c r="E270" s="5">
        <v>0</v>
      </c>
      <c r="F270" s="5">
        <v>0</v>
      </c>
      <c r="G270" s="5">
        <v>0</v>
      </c>
      <c r="H270" s="5">
        <v>0</v>
      </c>
      <c r="I270" s="5">
        <v>225585.75342843408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207335.44711658466</v>
      </c>
      <c r="Q270" s="5">
        <v>0</v>
      </c>
      <c r="R270" s="5">
        <v>0</v>
      </c>
      <c r="S270" s="5">
        <v>0</v>
      </c>
      <c r="T270" s="5">
        <v>115784.73020796284</v>
      </c>
      <c r="U270" s="5">
        <v>0</v>
      </c>
      <c r="V270" s="5">
        <v>0</v>
      </c>
      <c r="W270" s="5">
        <f t="shared" ref="W270:AH270" si="272">IF(OR((SLOPE($E270:$V270,$E$1:$V$1)*W$1+INTERCEPT($E270:$V270,$E$1:$V$1))&gt;(AVERAGE($E270:$V270)+_xlfn.STDEV.P($E270:$V270)),(SLOPE($E270:$V270,$E$1:$V$1)*W$1+INTERCEPT($E270:$V270,$E$1:$V$1))&lt;(AVERAGE($E270:$V270)-_xlfn.STDEV.P($E270:$V270))),V270,(SLOPE($E270:$V270,$E$1:$V$1)*W$1+INTERCEPT($E270:$V270,$E$1:$V$1)))</f>
        <v>35499.417206183949</v>
      </c>
      <c r="X270" s="5">
        <f t="shared" si="272"/>
        <v>36027.391352139093</v>
      </c>
      <c r="Y270" s="5">
        <f t="shared" si="272"/>
        <v>36555.36549809423</v>
      </c>
      <c r="Z270" s="5">
        <f t="shared" si="272"/>
        <v>37083.339644049374</v>
      </c>
      <c r="AA270" s="5">
        <f t="shared" si="272"/>
        <v>37611.313790004519</v>
      </c>
      <c r="AB270" s="5">
        <f t="shared" si="272"/>
        <v>38139.287935959663</v>
      </c>
      <c r="AC270" s="5">
        <f t="shared" si="272"/>
        <v>38667.2620819148</v>
      </c>
      <c r="AD270" s="5">
        <f t="shared" si="272"/>
        <v>39195.236227869944</v>
      </c>
      <c r="AE270" s="5">
        <f t="shared" si="272"/>
        <v>39723.210373825088</v>
      </c>
      <c r="AF270" s="5">
        <f t="shared" si="272"/>
        <v>40251.184519780232</v>
      </c>
      <c r="AG270" s="5">
        <f t="shared" si="272"/>
        <v>40779.158665735376</v>
      </c>
      <c r="AH270" s="5">
        <f t="shared" si="272"/>
        <v>41307.132811690521</v>
      </c>
    </row>
    <row r="271" spans="1:34" x14ac:dyDescent="0.35">
      <c r="A271" t="s">
        <v>291</v>
      </c>
      <c r="B271" s="3" t="s">
        <v>1266</v>
      </c>
      <c r="C271" s="4" t="s">
        <v>1268</v>
      </c>
      <c r="D271" s="2">
        <f t="shared" si="261"/>
        <v>548224.55906478653</v>
      </c>
      <c r="E271" s="5">
        <v>0</v>
      </c>
      <c r="F271" s="5">
        <v>99376.053002680346</v>
      </c>
      <c r="G271" s="5">
        <v>0</v>
      </c>
      <c r="H271" s="5">
        <v>119696.23100472095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99079.408068343982</v>
      </c>
      <c r="O271" s="5">
        <v>0</v>
      </c>
      <c r="P271" s="5">
        <v>100612.07356241517</v>
      </c>
      <c r="Q271" s="5">
        <v>0</v>
      </c>
      <c r="R271" s="5">
        <v>0</v>
      </c>
      <c r="S271" s="5">
        <v>100537.91232883108</v>
      </c>
      <c r="T271" s="5">
        <v>0</v>
      </c>
      <c r="U271" s="5">
        <v>0</v>
      </c>
      <c r="V271" s="5">
        <v>28922.881097795027</v>
      </c>
      <c r="W271" s="5">
        <f t="shared" ref="W271:AH271" si="273">IF(OR((SLOPE($E271:$V271,$E$1:$V$1)*W$1+INTERCEPT($E271:$V271,$E$1:$V$1))&gt;(AVERAGE($E271:$V271)+_xlfn.STDEV.P($E271:$V271)),(SLOPE($E271:$V271,$E$1:$V$1)*W$1+INTERCEPT($E271:$V271,$E$1:$V$1))&lt;(AVERAGE($E271:$V271)-_xlfn.STDEV.P($E271:$V271))),V271,(SLOPE($E271:$V271,$E$1:$V$1)*W$1+INTERCEPT($E271:$V271,$E$1:$V$1)))</f>
        <v>24500.512634984305</v>
      </c>
      <c r="X271" s="5">
        <f t="shared" si="273"/>
        <v>23873.522391504368</v>
      </c>
      <c r="Y271" s="5">
        <f t="shared" si="273"/>
        <v>23246.532148024431</v>
      </c>
      <c r="Z271" s="5">
        <f t="shared" si="273"/>
        <v>22619.541904544494</v>
      </c>
      <c r="AA271" s="5">
        <f t="shared" si="273"/>
        <v>21992.551661064557</v>
      </c>
      <c r="AB271" s="5">
        <f t="shared" si="273"/>
        <v>21365.56141758462</v>
      </c>
      <c r="AC271" s="5">
        <f t="shared" si="273"/>
        <v>20738.571174104683</v>
      </c>
      <c r="AD271" s="5">
        <f t="shared" si="273"/>
        <v>20111.58093062475</v>
      </c>
      <c r="AE271" s="5">
        <f t="shared" si="273"/>
        <v>19484.590687144813</v>
      </c>
      <c r="AF271" s="5">
        <f t="shared" si="273"/>
        <v>18857.600443664876</v>
      </c>
      <c r="AG271" s="5">
        <f t="shared" si="273"/>
        <v>18230.610200184939</v>
      </c>
      <c r="AH271" s="5">
        <f t="shared" si="273"/>
        <v>17603.619956705006</v>
      </c>
    </row>
    <row r="272" spans="1:34" x14ac:dyDescent="0.35">
      <c r="A272" t="s">
        <v>292</v>
      </c>
      <c r="B272" s="3" t="s">
        <v>1262</v>
      </c>
      <c r="C272" s="4" t="s">
        <v>1263</v>
      </c>
      <c r="D272" s="2">
        <f t="shared" si="261"/>
        <v>538959.32999999996</v>
      </c>
      <c r="E272" s="5">
        <v>38055.654000000002</v>
      </c>
      <c r="F272" s="5">
        <v>43800.12</v>
      </c>
      <c r="G272" s="5">
        <v>35578.997999999992</v>
      </c>
      <c r="H272" s="5">
        <v>32712.498000000003</v>
      </c>
      <c r="I272" s="5">
        <v>53156.375999999997</v>
      </c>
      <c r="J272" s="5">
        <v>32620.770000000004</v>
      </c>
      <c r="K272" s="5">
        <v>23172.786</v>
      </c>
      <c r="L272" s="5">
        <v>27346.41</v>
      </c>
      <c r="M272" s="5">
        <v>29307.095999999998</v>
      </c>
      <c r="N272" s="5">
        <v>31864.014000000006</v>
      </c>
      <c r="O272" s="5">
        <v>36175.230000000003</v>
      </c>
      <c r="P272" s="5">
        <v>33354.593999999997</v>
      </c>
      <c r="Q272" s="5">
        <v>16121.195999999998</v>
      </c>
      <c r="R272" s="5">
        <v>18357.065999999995</v>
      </c>
      <c r="S272" s="5">
        <v>29834.532000000003</v>
      </c>
      <c r="T272" s="5">
        <v>14905.800000000003</v>
      </c>
      <c r="U272" s="5">
        <v>9837.8279999999995</v>
      </c>
      <c r="V272" s="5">
        <v>32758.362000000005</v>
      </c>
      <c r="W272" s="5">
        <f t="shared" ref="W272:AH272" si="274">IF(OR((SLOPE($E272:$V272,$E$1:$V$1)*W$1+INTERCEPT($E272:$V272,$E$1:$V$1))&gt;(AVERAGE($E272:$V272)+_xlfn.STDEV.P($E272:$V272)),(SLOPE($E272:$V272,$E$1:$V$1)*W$1+INTERCEPT($E272:$V272,$E$1:$V$1))&lt;(AVERAGE($E272:$V272)-_xlfn.STDEV.P($E272:$V272))),V272,(SLOPE($E272:$V272,$E$1:$V$1)*W$1+INTERCEPT($E272:$V272,$E$1:$V$1)))</f>
        <v>32758.362000000005</v>
      </c>
      <c r="X272" s="5">
        <f t="shared" si="274"/>
        <v>32758.362000000005</v>
      </c>
      <c r="Y272" s="5">
        <f t="shared" si="274"/>
        <v>32758.362000000005</v>
      </c>
      <c r="Z272" s="5">
        <f t="shared" si="274"/>
        <v>32758.362000000005</v>
      </c>
      <c r="AA272" s="5">
        <f t="shared" si="274"/>
        <v>32758.362000000005</v>
      </c>
      <c r="AB272" s="5">
        <f t="shared" si="274"/>
        <v>32758.362000000005</v>
      </c>
      <c r="AC272" s="5">
        <f t="shared" si="274"/>
        <v>32758.362000000005</v>
      </c>
      <c r="AD272" s="5">
        <f t="shared" si="274"/>
        <v>32758.362000000005</v>
      </c>
      <c r="AE272" s="5">
        <f t="shared" si="274"/>
        <v>32758.362000000005</v>
      </c>
      <c r="AF272" s="5">
        <f t="shared" si="274"/>
        <v>32758.362000000005</v>
      </c>
      <c r="AG272" s="5">
        <f t="shared" si="274"/>
        <v>32758.362000000005</v>
      </c>
      <c r="AH272" s="5">
        <f t="shared" si="274"/>
        <v>32758.362000000005</v>
      </c>
    </row>
    <row r="273" spans="1:34" x14ac:dyDescent="0.35">
      <c r="A273" t="s">
        <v>293</v>
      </c>
      <c r="B273" s="3" t="s">
        <v>1266</v>
      </c>
      <c r="C273" s="4" t="s">
        <v>1267</v>
      </c>
      <c r="D273" s="2">
        <f t="shared" si="261"/>
        <v>545366.47696447128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75452.047843223409</v>
      </c>
      <c r="T273" s="5">
        <v>0</v>
      </c>
      <c r="U273" s="5">
        <v>388527.95054878213</v>
      </c>
      <c r="V273" s="5">
        <v>81386.478572465698</v>
      </c>
      <c r="W273" s="5">
        <f t="shared" ref="W273:AH273" si="275">IF(OR((SLOPE($E273:$V273,$E$1:$V$1)*W$1+INTERCEPT($E273:$V273,$E$1:$V$1))&gt;(AVERAGE($E273:$V273)+_xlfn.STDEV.P($E273:$V273)),(SLOPE($E273:$V273,$E$1:$V$1)*W$1+INTERCEPT($E273:$V273,$E$1:$V$1))&lt;(AVERAGE($E273:$V273)-_xlfn.STDEV.P($E273:$V273))),V273,(SLOPE($E273:$V273,$E$1:$V$1)*W$1+INTERCEPT($E273:$V273,$E$1:$V$1)))</f>
        <v>109135.99957226579</v>
      </c>
      <c r="X273" s="5">
        <f t="shared" si="275"/>
        <v>117434.72188417405</v>
      </c>
      <c r="Y273" s="5">
        <f t="shared" si="275"/>
        <v>117434.72188417405</v>
      </c>
      <c r="Z273" s="5">
        <f t="shared" si="275"/>
        <v>117434.72188417405</v>
      </c>
      <c r="AA273" s="5">
        <f t="shared" si="275"/>
        <v>117434.72188417405</v>
      </c>
      <c r="AB273" s="5">
        <f t="shared" si="275"/>
        <v>117434.72188417405</v>
      </c>
      <c r="AC273" s="5">
        <f t="shared" si="275"/>
        <v>117434.72188417405</v>
      </c>
      <c r="AD273" s="5">
        <f t="shared" si="275"/>
        <v>117434.72188417405</v>
      </c>
      <c r="AE273" s="5">
        <f t="shared" si="275"/>
        <v>117434.72188417405</v>
      </c>
      <c r="AF273" s="5">
        <f t="shared" si="275"/>
        <v>117434.72188417405</v>
      </c>
      <c r="AG273" s="5">
        <f t="shared" si="275"/>
        <v>117434.72188417405</v>
      </c>
      <c r="AH273" s="5">
        <f t="shared" si="275"/>
        <v>117434.72188417405</v>
      </c>
    </row>
    <row r="274" spans="1:34" x14ac:dyDescent="0.35">
      <c r="A274" t="s">
        <v>294</v>
      </c>
      <c r="B274" s="3" t="s">
        <v>1265</v>
      </c>
      <c r="C274" s="4" t="s">
        <v>1263</v>
      </c>
      <c r="D274" s="2">
        <f t="shared" si="261"/>
        <v>539179.57962160185</v>
      </c>
      <c r="E274" s="5">
        <v>22080.946349546844</v>
      </c>
      <c r="F274" s="5">
        <v>44080.129229709608</v>
      </c>
      <c r="G274" s="5">
        <v>40352.676948964923</v>
      </c>
      <c r="H274" s="5">
        <v>20008.001919868198</v>
      </c>
      <c r="I274" s="5">
        <v>28268.517135582999</v>
      </c>
      <c r="J274" s="5">
        <v>19813.212478100239</v>
      </c>
      <c r="K274" s="5">
        <v>18204.395977572378</v>
      </c>
      <c r="L274" s="5">
        <v>28256.4930959677</v>
      </c>
      <c r="M274" s="5">
        <v>44032.033071248377</v>
      </c>
      <c r="N274" s="5">
        <v>33763.503239777572</v>
      </c>
      <c r="O274" s="5">
        <v>28915.410466886435</v>
      </c>
      <c r="P274" s="5">
        <v>39751.474968199669</v>
      </c>
      <c r="Q274" s="5">
        <v>25233.649536679921</v>
      </c>
      <c r="R274" s="5">
        <v>56464.89003347417</v>
      </c>
      <c r="S274" s="5">
        <v>18709.405641415207</v>
      </c>
      <c r="T274" s="5">
        <v>28703.78736965705</v>
      </c>
      <c r="U274" s="5">
        <v>20609.203900633463</v>
      </c>
      <c r="V274" s="5">
        <v>21931.848258317059</v>
      </c>
      <c r="W274" s="5">
        <f t="shared" ref="W274:AH274" si="276">IF(OR((SLOPE($E274:$V274,$E$1:$V$1)*W$1+INTERCEPT($E274:$V274,$E$1:$V$1))&gt;(AVERAGE($E274:$V274)+_xlfn.STDEV.P($E274:$V274)),(SLOPE($E274:$V274,$E$1:$V$1)*W$1+INTERCEPT($E274:$V274,$E$1:$V$1))&lt;(AVERAGE($E274:$V274)-_xlfn.STDEV.P($E274:$V274))),V274,(SLOPE($E274:$V274,$E$1:$V$1)*W$1+INTERCEPT($E274:$V274,$E$1:$V$1)))</f>
        <v>28688.101106211212</v>
      </c>
      <c r="X274" s="5">
        <f t="shared" si="276"/>
        <v>28554.804265803024</v>
      </c>
      <c r="Y274" s="5">
        <f t="shared" si="276"/>
        <v>28421.507425394837</v>
      </c>
      <c r="Z274" s="5">
        <f t="shared" si="276"/>
        <v>28288.210584986649</v>
      </c>
      <c r="AA274" s="5">
        <f t="shared" si="276"/>
        <v>28154.913744578462</v>
      </c>
      <c r="AB274" s="5">
        <f t="shared" si="276"/>
        <v>28021.616904170274</v>
      </c>
      <c r="AC274" s="5">
        <f t="shared" si="276"/>
        <v>27888.320063762087</v>
      </c>
      <c r="AD274" s="5">
        <f t="shared" si="276"/>
        <v>27755.023223353899</v>
      </c>
      <c r="AE274" s="5">
        <f t="shared" si="276"/>
        <v>27621.726382945712</v>
      </c>
      <c r="AF274" s="5">
        <f t="shared" si="276"/>
        <v>27488.429542537524</v>
      </c>
      <c r="AG274" s="5">
        <f t="shared" si="276"/>
        <v>27355.132702129336</v>
      </c>
      <c r="AH274" s="5">
        <f t="shared" si="276"/>
        <v>27221.835861721149</v>
      </c>
    </row>
    <row r="275" spans="1:34" x14ac:dyDescent="0.35">
      <c r="A275" t="s">
        <v>295</v>
      </c>
      <c r="B275" s="3" t="s">
        <v>1262</v>
      </c>
      <c r="C275" s="4" t="s">
        <v>1263</v>
      </c>
      <c r="D275" s="2">
        <f t="shared" si="261"/>
        <v>524651.96700000006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69571.718999999997</v>
      </c>
      <c r="K275" s="5">
        <v>136.71</v>
      </c>
      <c r="L275" s="5">
        <v>12085.163999999999</v>
      </c>
      <c r="M275" s="5">
        <v>27492.380999999998</v>
      </c>
      <c r="N275" s="5">
        <v>73044.15300000002</v>
      </c>
      <c r="O275" s="5">
        <v>42858.584999999999</v>
      </c>
      <c r="P275" s="5">
        <v>28011.879000000001</v>
      </c>
      <c r="Q275" s="5">
        <v>19617.885000000002</v>
      </c>
      <c r="R275" s="5">
        <v>41327.432999999997</v>
      </c>
      <c r="S275" s="5">
        <v>58006.053000000007</v>
      </c>
      <c r="T275" s="5">
        <v>14436.576000000001</v>
      </c>
      <c r="U275" s="5">
        <v>74260.871999999988</v>
      </c>
      <c r="V275" s="5">
        <v>63802.557000000001</v>
      </c>
      <c r="W275" s="5">
        <f t="shared" ref="W275:AH275" si="277">IF(OR((SLOPE($E275:$V275,$E$1:$V$1)*W$1+INTERCEPT($E275:$V275,$E$1:$V$1))&gt;(AVERAGE($E275:$V275)+_xlfn.STDEV.P($E275:$V275)),(SLOPE($E275:$V275,$E$1:$V$1)*W$1+INTERCEPT($E275:$V275,$E$1:$V$1))&lt;(AVERAGE($E275:$V275)-_xlfn.STDEV.P($E275:$V275))),V275,(SLOPE($E275:$V275,$E$1:$V$1)*W$1+INTERCEPT($E275:$V275,$E$1:$V$1)))</f>
        <v>63802.557000000001</v>
      </c>
      <c r="X275" s="5">
        <f t="shared" si="277"/>
        <v>63802.557000000001</v>
      </c>
      <c r="Y275" s="5">
        <f t="shared" si="277"/>
        <v>63802.557000000001</v>
      </c>
      <c r="Z275" s="5">
        <f t="shared" si="277"/>
        <v>63802.557000000001</v>
      </c>
      <c r="AA275" s="5">
        <f t="shared" si="277"/>
        <v>63802.557000000001</v>
      </c>
      <c r="AB275" s="5">
        <f t="shared" si="277"/>
        <v>63802.557000000001</v>
      </c>
      <c r="AC275" s="5">
        <f t="shared" si="277"/>
        <v>63802.557000000001</v>
      </c>
      <c r="AD275" s="5">
        <f t="shared" si="277"/>
        <v>63802.557000000001</v>
      </c>
      <c r="AE275" s="5">
        <f t="shared" si="277"/>
        <v>63802.557000000001</v>
      </c>
      <c r="AF275" s="5">
        <f t="shared" si="277"/>
        <v>63802.557000000001</v>
      </c>
      <c r="AG275" s="5">
        <f t="shared" si="277"/>
        <v>63802.557000000001</v>
      </c>
      <c r="AH275" s="5">
        <f t="shared" si="277"/>
        <v>63802.557000000001</v>
      </c>
    </row>
    <row r="276" spans="1:34" x14ac:dyDescent="0.35">
      <c r="A276" t="s">
        <v>296</v>
      </c>
      <c r="B276" s="3" t="s">
        <v>1264</v>
      </c>
      <c r="C276" s="4" t="s">
        <v>1263</v>
      </c>
      <c r="D276" s="2">
        <f t="shared" si="261"/>
        <v>535708.96399999992</v>
      </c>
      <c r="E276" s="5">
        <v>31857.840000000004</v>
      </c>
      <c r="F276" s="5">
        <v>19350.687999999998</v>
      </c>
      <c r="G276" s="5">
        <v>37968.139999999985</v>
      </c>
      <c r="H276" s="5">
        <v>36282.539999999994</v>
      </c>
      <c r="I276" s="5">
        <v>27938.819999999996</v>
      </c>
      <c r="J276" s="5">
        <v>37268.616000000002</v>
      </c>
      <c r="K276" s="5">
        <v>35397.599999999999</v>
      </c>
      <c r="L276" s="5">
        <v>23387.7</v>
      </c>
      <c r="M276" s="5">
        <v>41592.179999999993</v>
      </c>
      <c r="N276" s="5">
        <v>22814.596000000005</v>
      </c>
      <c r="O276" s="5">
        <v>30467.219999999994</v>
      </c>
      <c r="P276" s="5">
        <v>24862.600000000002</v>
      </c>
      <c r="Q276" s="5">
        <v>22249.920000000002</v>
      </c>
      <c r="R276" s="5">
        <v>18288.760000000006</v>
      </c>
      <c r="S276" s="5">
        <v>36577.519999999982</v>
      </c>
      <c r="T276" s="5">
        <v>30408.223999999995</v>
      </c>
      <c r="U276" s="5">
        <v>29666.560000000001</v>
      </c>
      <c r="V276" s="5">
        <v>29329.440000000002</v>
      </c>
      <c r="W276" s="5">
        <f t="shared" ref="W276:AH276" si="278">IF(OR((SLOPE($E276:$V276,$E$1:$V$1)*W$1+INTERCEPT($E276:$V276,$E$1:$V$1))&gt;(AVERAGE($E276:$V276)+_xlfn.STDEV.P($E276:$V276)),(SLOPE($E276:$V276,$E$1:$V$1)*W$1+INTERCEPT($E276:$V276,$E$1:$V$1))&lt;(AVERAGE($E276:$V276)-_xlfn.STDEV.P($E276:$V276))),V276,(SLOPE($E276:$V276,$E$1:$V$1)*W$1+INTERCEPT($E276:$V276,$E$1:$V$1)))</f>
        <v>27551.076915032674</v>
      </c>
      <c r="X276" s="5">
        <f t="shared" si="278"/>
        <v>27318.389315445471</v>
      </c>
      <c r="Y276" s="5">
        <f t="shared" si="278"/>
        <v>27085.701715858268</v>
      </c>
      <c r="Z276" s="5">
        <f t="shared" si="278"/>
        <v>26853.014116271064</v>
      </c>
      <c r="AA276" s="5">
        <f t="shared" si="278"/>
        <v>26620.326516683861</v>
      </c>
      <c r="AB276" s="5">
        <f t="shared" si="278"/>
        <v>26387.638917096658</v>
      </c>
      <c r="AC276" s="5">
        <f t="shared" si="278"/>
        <v>26154.951317509454</v>
      </c>
      <c r="AD276" s="5">
        <f t="shared" si="278"/>
        <v>25922.263717922251</v>
      </c>
      <c r="AE276" s="5">
        <f t="shared" si="278"/>
        <v>25689.576118335051</v>
      </c>
      <c r="AF276" s="5">
        <f t="shared" si="278"/>
        <v>25456.888518747848</v>
      </c>
      <c r="AG276" s="5">
        <f t="shared" si="278"/>
        <v>25224.200919160645</v>
      </c>
      <c r="AH276" s="5">
        <f t="shared" si="278"/>
        <v>24991.513319573442</v>
      </c>
    </row>
    <row r="277" spans="1:34" x14ac:dyDescent="0.35">
      <c r="A277" t="s">
        <v>297</v>
      </c>
      <c r="B277" s="3" t="s">
        <v>1265</v>
      </c>
      <c r="C277" s="4" t="s">
        <v>1263</v>
      </c>
      <c r="D277" s="2">
        <f t="shared" si="261"/>
        <v>540164.00759037957</v>
      </c>
      <c r="E277" s="5">
        <v>0</v>
      </c>
      <c r="F277" s="5">
        <v>58433.917488903578</v>
      </c>
      <c r="G277" s="5">
        <v>31038.464900589683</v>
      </c>
      <c r="H277" s="5">
        <v>5185.2208578058662</v>
      </c>
      <c r="I277" s="5">
        <v>40498.153538132472</v>
      </c>
      <c r="J277" s="5">
        <v>47213.439567094159</v>
      </c>
      <c r="K277" s="5">
        <v>0</v>
      </c>
      <c r="L277" s="5">
        <v>53430.847246711499</v>
      </c>
      <c r="M277" s="5">
        <v>111296.45481490006</v>
      </c>
      <c r="N277" s="5">
        <v>6120.2606846233175</v>
      </c>
      <c r="O277" s="5">
        <v>0</v>
      </c>
      <c r="P277" s="5">
        <v>59891.122413813893</v>
      </c>
      <c r="Q277" s="5">
        <v>26448.269387122193</v>
      </c>
      <c r="R277" s="5">
        <v>5792.3895765184971</v>
      </c>
      <c r="S277" s="5">
        <v>32841.755995166197</v>
      </c>
      <c r="T277" s="5">
        <v>15956.393927767935</v>
      </c>
      <c r="U277" s="5">
        <v>19125.814639447868</v>
      </c>
      <c r="V277" s="5">
        <v>26891.502551782414</v>
      </c>
      <c r="W277" s="5">
        <f t="shared" ref="W277:AH277" si="279">IF(OR((SLOPE($E277:$V277,$E$1:$V$1)*W$1+INTERCEPT($E277:$V277,$E$1:$V$1))&gt;(AVERAGE($E277:$V277)+_xlfn.STDEV.P($E277:$V277)),(SLOPE($E277:$V277,$E$1:$V$1)*W$1+INTERCEPT($E277:$V277,$E$1:$V$1))&lt;(AVERAGE($E277:$V277)-_xlfn.STDEV.P($E277:$V277))),V277,(SLOPE($E277:$V277,$E$1:$V$1)*W$1+INTERCEPT($E277:$V277,$E$1:$V$1)))</f>
        <v>25616.638726789803</v>
      </c>
      <c r="X277" s="5">
        <f t="shared" si="279"/>
        <v>25154.273168262531</v>
      </c>
      <c r="Y277" s="5">
        <f t="shared" si="279"/>
        <v>24691.907609735259</v>
      </c>
      <c r="Z277" s="5">
        <f t="shared" si="279"/>
        <v>24229.542051207987</v>
      </c>
      <c r="AA277" s="5">
        <f t="shared" si="279"/>
        <v>23767.176492680719</v>
      </c>
      <c r="AB277" s="5">
        <f t="shared" si="279"/>
        <v>23304.810934153451</v>
      </c>
      <c r="AC277" s="5">
        <f t="shared" si="279"/>
        <v>22842.445375626179</v>
      </c>
      <c r="AD277" s="5">
        <f t="shared" si="279"/>
        <v>22380.079817098907</v>
      </c>
      <c r="AE277" s="5">
        <f t="shared" si="279"/>
        <v>21917.714258571636</v>
      </c>
      <c r="AF277" s="5">
        <f t="shared" si="279"/>
        <v>21455.348700044367</v>
      </c>
      <c r="AG277" s="5">
        <f t="shared" si="279"/>
        <v>20992.983141517099</v>
      </c>
      <c r="AH277" s="5">
        <f t="shared" si="279"/>
        <v>20530.617582989827</v>
      </c>
    </row>
    <row r="278" spans="1:34" x14ac:dyDescent="0.35">
      <c r="A278" t="s">
        <v>298</v>
      </c>
      <c r="B278" s="3" t="s">
        <v>1266</v>
      </c>
      <c r="C278" s="4" t="s">
        <v>1267</v>
      </c>
      <c r="D278" s="2">
        <f t="shared" si="261"/>
        <v>540241.41560303338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157937.39091130404</v>
      </c>
      <c r="P278" s="5">
        <v>0</v>
      </c>
      <c r="Q278" s="5">
        <v>0</v>
      </c>
      <c r="R278" s="5">
        <v>0</v>
      </c>
      <c r="S278" s="5">
        <v>119935.17235824655</v>
      </c>
      <c r="T278" s="5">
        <v>0</v>
      </c>
      <c r="U278" s="5">
        <v>262368.85233348282</v>
      </c>
      <c r="V278" s="5">
        <v>0</v>
      </c>
      <c r="W278" s="5">
        <f t="shared" ref="W278:AH278" si="280">IF(OR((SLOPE($E278:$V278,$E$1:$V$1)*W$1+INTERCEPT($E278:$V278,$E$1:$V$1))&gt;(AVERAGE($E278:$V278)+_xlfn.STDEV.P($E278:$V278)),(SLOPE($E278:$V278,$E$1:$V$1)*W$1+INTERCEPT($E278:$V278,$E$1:$V$1))&lt;(AVERAGE($E278:$V278)-_xlfn.STDEV.P($E278:$V278))),V278,(SLOPE($E278:$V278,$E$1:$V$1)*W$1+INTERCEPT($E278:$V278,$E$1:$V$1)))</f>
        <v>86176.469366935198</v>
      </c>
      <c r="X278" s="5">
        <f t="shared" si="280"/>
        <v>92088.370144723507</v>
      </c>
      <c r="Y278" s="5">
        <f t="shared" si="280"/>
        <v>98000.270922511787</v>
      </c>
      <c r="Z278" s="5">
        <f t="shared" si="280"/>
        <v>98000.270922511787</v>
      </c>
      <c r="AA278" s="5">
        <f t="shared" si="280"/>
        <v>98000.270922511787</v>
      </c>
      <c r="AB278" s="5">
        <f t="shared" si="280"/>
        <v>98000.270922511787</v>
      </c>
      <c r="AC278" s="5">
        <f t="shared" si="280"/>
        <v>98000.270922511787</v>
      </c>
      <c r="AD278" s="5">
        <f t="shared" si="280"/>
        <v>98000.270922511787</v>
      </c>
      <c r="AE278" s="5">
        <f t="shared" si="280"/>
        <v>98000.270922511787</v>
      </c>
      <c r="AF278" s="5">
        <f t="shared" si="280"/>
        <v>98000.270922511787</v>
      </c>
      <c r="AG278" s="5">
        <f t="shared" si="280"/>
        <v>98000.270922511787</v>
      </c>
      <c r="AH278" s="5">
        <f t="shared" si="280"/>
        <v>98000.270922511787</v>
      </c>
    </row>
    <row r="279" spans="1:34" x14ac:dyDescent="0.35">
      <c r="A279" t="s">
        <v>299</v>
      </c>
      <c r="B279" s="3" t="s">
        <v>1266</v>
      </c>
      <c r="C279" s="4" t="s">
        <v>1267</v>
      </c>
      <c r="D279" s="2">
        <f t="shared" si="261"/>
        <v>539369.12981038191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29961.622586956004</v>
      </c>
      <c r="L279" s="5">
        <v>59923.245173912008</v>
      </c>
      <c r="M279" s="5">
        <v>0</v>
      </c>
      <c r="N279" s="5">
        <v>59923.245173912008</v>
      </c>
      <c r="O279" s="5">
        <v>157358.4418266929</v>
      </c>
      <c r="P279" s="5">
        <v>119846.49034782402</v>
      </c>
      <c r="Q279" s="5">
        <v>0</v>
      </c>
      <c r="R279" s="5">
        <v>0</v>
      </c>
      <c r="S279" s="5">
        <v>22471.216940217</v>
      </c>
      <c r="T279" s="5">
        <v>0</v>
      </c>
      <c r="U279" s="5">
        <v>89884.867760868001</v>
      </c>
      <c r="V279" s="5">
        <v>0</v>
      </c>
      <c r="W279" s="5">
        <f t="shared" ref="W279:AH279" si="281">IF(OR((SLOPE($E279:$V279,$E$1:$V$1)*W$1+INTERCEPT($E279:$V279,$E$1:$V$1))&gt;(AVERAGE($E279:$V279)+_xlfn.STDEV.P($E279:$V279)),(SLOPE($E279:$V279,$E$1:$V$1)*W$1+INTERCEPT($E279:$V279,$E$1:$V$1))&lt;(AVERAGE($E279:$V279)-_xlfn.STDEV.P($E279:$V279))),V279,(SLOPE($E279:$V279,$E$1:$V$1)*W$1+INTERCEPT($E279:$V279,$E$1:$V$1)))</f>
        <v>53466.025937426464</v>
      </c>
      <c r="X279" s="5">
        <f t="shared" si="281"/>
        <v>55939.82323019427</v>
      </c>
      <c r="Y279" s="5">
        <f t="shared" si="281"/>
        <v>58413.620522962075</v>
      </c>
      <c r="Z279" s="5">
        <f t="shared" si="281"/>
        <v>60887.417815729874</v>
      </c>
      <c r="AA279" s="5">
        <f t="shared" si="281"/>
        <v>63361.215108497679</v>
      </c>
      <c r="AB279" s="5">
        <f t="shared" si="281"/>
        <v>65835.012401265485</v>
      </c>
      <c r="AC279" s="5">
        <f t="shared" si="281"/>
        <v>68308.809694033291</v>
      </c>
      <c r="AD279" s="5">
        <f t="shared" si="281"/>
        <v>70782.606986801096</v>
      </c>
      <c r="AE279" s="5">
        <f t="shared" si="281"/>
        <v>73256.404279568902</v>
      </c>
      <c r="AF279" s="5">
        <f t="shared" si="281"/>
        <v>75730.201572336693</v>
      </c>
      <c r="AG279" s="5">
        <f t="shared" si="281"/>
        <v>75730.201572336693</v>
      </c>
      <c r="AH279" s="5">
        <f t="shared" si="281"/>
        <v>75730.201572336693</v>
      </c>
    </row>
    <row r="280" spans="1:34" x14ac:dyDescent="0.35">
      <c r="A280" t="s">
        <v>300</v>
      </c>
      <c r="B280" s="3" t="s">
        <v>1266</v>
      </c>
      <c r="C280" s="4" t="s">
        <v>1263</v>
      </c>
      <c r="D280" s="2">
        <f t="shared" si="261"/>
        <v>537804.11754099582</v>
      </c>
      <c r="E280" s="5">
        <v>0</v>
      </c>
      <c r="F280" s="5">
        <v>0</v>
      </c>
      <c r="G280" s="5">
        <v>132673.91638059521</v>
      </c>
      <c r="H280" s="5">
        <v>0</v>
      </c>
      <c r="I280" s="5">
        <v>0</v>
      </c>
      <c r="J280" s="5">
        <v>137049.4816645924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129550.61725531773</v>
      </c>
      <c r="R280" s="5">
        <v>0</v>
      </c>
      <c r="S280" s="5">
        <v>0</v>
      </c>
      <c r="T280" s="5">
        <v>0</v>
      </c>
      <c r="U280" s="5">
        <v>0</v>
      </c>
      <c r="V280" s="5">
        <v>138530.10224049047</v>
      </c>
      <c r="W280" s="5">
        <f t="shared" ref="W280:AH280" si="282">IF(OR((SLOPE($E280:$V280,$E$1:$V$1)*W$1+INTERCEPT($E280:$V280,$E$1:$V$1))&gt;(AVERAGE($E280:$V280)+_xlfn.STDEV.P($E280:$V280)),(SLOPE($E280:$V280,$E$1:$V$1)*W$1+INTERCEPT($E280:$V280,$E$1:$V$1))&lt;(AVERAGE($E280:$V280)-_xlfn.STDEV.P($E280:$V280))),V280,(SLOPE($E280:$V280,$E$1:$V$1)*W$1+INTERCEPT($E280:$V280,$E$1:$V$1)))</f>
        <v>35542.308238640398</v>
      </c>
      <c r="X280" s="5">
        <f t="shared" si="282"/>
        <v>36138.550523754617</v>
      </c>
      <c r="Y280" s="5">
        <f t="shared" si="282"/>
        <v>36734.792808868835</v>
      </c>
      <c r="Z280" s="5">
        <f t="shared" si="282"/>
        <v>37331.035093983053</v>
      </c>
      <c r="AA280" s="5">
        <f t="shared" si="282"/>
        <v>37927.277379097271</v>
      </c>
      <c r="AB280" s="5">
        <f t="shared" si="282"/>
        <v>38523.51966421149</v>
      </c>
      <c r="AC280" s="5">
        <f t="shared" si="282"/>
        <v>39119.761949325708</v>
      </c>
      <c r="AD280" s="5">
        <f t="shared" si="282"/>
        <v>39716.004234439926</v>
      </c>
      <c r="AE280" s="5">
        <f t="shared" si="282"/>
        <v>40312.246519554144</v>
      </c>
      <c r="AF280" s="5">
        <f t="shared" si="282"/>
        <v>40908.488804668363</v>
      </c>
      <c r="AG280" s="5">
        <f t="shared" si="282"/>
        <v>41504.731089782581</v>
      </c>
      <c r="AH280" s="5">
        <f t="shared" si="282"/>
        <v>42100.973374896799</v>
      </c>
    </row>
    <row r="281" spans="1:34" x14ac:dyDescent="0.35">
      <c r="A281" t="s">
        <v>301</v>
      </c>
      <c r="B281" s="3" t="s">
        <v>1266</v>
      </c>
      <c r="C281" s="4" t="s">
        <v>1267</v>
      </c>
      <c r="D281" s="2">
        <f t="shared" si="261"/>
        <v>533484.26150544803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152332.2803840464</v>
      </c>
      <c r="Q281" s="5">
        <v>0</v>
      </c>
      <c r="R281" s="5">
        <v>0</v>
      </c>
      <c r="S281" s="5">
        <v>22176.211020897106</v>
      </c>
      <c r="T281" s="5">
        <v>358975.77010050451</v>
      </c>
      <c r="U281" s="5">
        <v>0</v>
      </c>
      <c r="V281" s="5">
        <v>0</v>
      </c>
      <c r="W281" s="5">
        <f t="shared" ref="W281:AH281" si="283">IF(OR((SLOPE($E281:$V281,$E$1:$V$1)*W$1+INTERCEPT($E281:$V281,$E$1:$V$1))&gt;(AVERAGE($E281:$V281)+_xlfn.STDEV.P($E281:$V281)),(SLOPE($E281:$V281,$E$1:$V$1)*W$1+INTERCEPT($E281:$V281,$E$1:$V$1))&lt;(AVERAGE($E281:$V281)-_xlfn.STDEV.P($E281:$V281))),V281,(SLOPE($E281:$V281,$E$1:$V$1)*W$1+INTERCEPT($E281:$V281,$E$1:$V$1)))</f>
        <v>85248.649179616317</v>
      </c>
      <c r="X281" s="5">
        <f t="shared" si="283"/>
        <v>91102.400195567461</v>
      </c>
      <c r="Y281" s="5">
        <f t="shared" si="283"/>
        <v>96956.151211518605</v>
      </c>
      <c r="Z281" s="5">
        <f t="shared" si="283"/>
        <v>102809.90222746975</v>
      </c>
      <c r="AA281" s="5">
        <f t="shared" si="283"/>
        <v>108663.65324342089</v>
      </c>
      <c r="AB281" s="5">
        <f t="shared" si="283"/>
        <v>114517.40425937205</v>
      </c>
      <c r="AC281" s="5">
        <f t="shared" si="283"/>
        <v>114517.40425937205</v>
      </c>
      <c r="AD281" s="5">
        <f t="shared" si="283"/>
        <v>114517.40425937205</v>
      </c>
      <c r="AE281" s="5">
        <f t="shared" si="283"/>
        <v>114517.40425937205</v>
      </c>
      <c r="AF281" s="5">
        <f t="shared" si="283"/>
        <v>114517.40425937205</v>
      </c>
      <c r="AG281" s="5">
        <f t="shared" si="283"/>
        <v>114517.40425937205</v>
      </c>
      <c r="AH281" s="5">
        <f t="shared" si="283"/>
        <v>114517.40425937205</v>
      </c>
    </row>
    <row r="282" spans="1:34" x14ac:dyDescent="0.35">
      <c r="A282" t="s">
        <v>302</v>
      </c>
      <c r="B282" s="3" t="s">
        <v>1262</v>
      </c>
      <c r="C282" s="4" t="s">
        <v>1263</v>
      </c>
      <c r="D282" s="2">
        <f t="shared" si="261"/>
        <v>514415.19696462795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197973.11505395957</v>
      </c>
      <c r="Q282" s="5">
        <v>4567.8117789062508</v>
      </c>
      <c r="R282" s="5">
        <v>16471.806111813457</v>
      </c>
      <c r="S282" s="5">
        <v>88466.748581619977</v>
      </c>
      <c r="T282" s="5">
        <v>76199.405584481574</v>
      </c>
      <c r="U282" s="5">
        <v>69935.966705829807</v>
      </c>
      <c r="V282" s="5">
        <v>60800.343148017295</v>
      </c>
      <c r="W282" s="5">
        <f t="shared" ref="W282:AH282" si="284">IF(OR((SLOPE($E282:$V282,$E$1:$V$1)*W$1+INTERCEPT($E282:$V282,$E$1:$V$1))&gt;(AVERAGE($E282:$V282)+_xlfn.STDEV.P($E282:$V282)),(SLOPE($E282:$V282,$E$1:$V$1)*W$1+INTERCEPT($E282:$V282,$E$1:$V$1))&lt;(AVERAGE($E282:$V282)-_xlfn.STDEV.P($E282:$V282))),V282,(SLOPE($E282:$V282,$E$1:$V$1)*W$1+INTERCEPT($E282:$V282,$E$1:$V$1)))</f>
        <v>60800.343148017295</v>
      </c>
      <c r="X282" s="5">
        <f t="shared" si="284"/>
        <v>60800.343148017295</v>
      </c>
      <c r="Y282" s="5">
        <f t="shared" si="284"/>
        <v>60800.343148017295</v>
      </c>
      <c r="Z282" s="5">
        <f t="shared" si="284"/>
        <v>60800.343148017295</v>
      </c>
      <c r="AA282" s="5">
        <f t="shared" si="284"/>
        <v>60800.343148017295</v>
      </c>
      <c r="AB282" s="5">
        <f t="shared" si="284"/>
        <v>60800.343148017295</v>
      </c>
      <c r="AC282" s="5">
        <f t="shared" si="284"/>
        <v>60800.343148017295</v>
      </c>
      <c r="AD282" s="5">
        <f t="shared" si="284"/>
        <v>60800.343148017295</v>
      </c>
      <c r="AE282" s="5">
        <f t="shared" si="284"/>
        <v>60800.343148017295</v>
      </c>
      <c r="AF282" s="5">
        <f t="shared" si="284"/>
        <v>60800.343148017295</v>
      </c>
      <c r="AG282" s="5">
        <f t="shared" si="284"/>
        <v>60800.343148017295</v>
      </c>
      <c r="AH282" s="5">
        <f t="shared" si="284"/>
        <v>60800.343148017295</v>
      </c>
    </row>
    <row r="283" spans="1:34" x14ac:dyDescent="0.35">
      <c r="A283" t="s">
        <v>303</v>
      </c>
      <c r="B283" s="3" t="s">
        <v>1266</v>
      </c>
      <c r="C283" s="4" t="s">
        <v>1267</v>
      </c>
      <c r="D283" s="2">
        <f t="shared" si="261"/>
        <v>529545.56593430811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252023.15782532786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277522.40810898028</v>
      </c>
      <c r="U283" s="5">
        <v>0</v>
      </c>
      <c r="V283" s="5">
        <v>0</v>
      </c>
      <c r="W283" s="5">
        <f t="shared" ref="W283:AH283" si="285">IF(OR((SLOPE($E283:$V283,$E$1:$V$1)*W$1+INTERCEPT($E283:$V283,$E$1:$V$1))&gt;(AVERAGE($E283:$V283)+_xlfn.STDEV.P($E283:$V283)),(SLOPE($E283:$V283,$E$1:$V$1)*W$1+INTERCEPT($E283:$V283,$E$1:$V$1))&lt;(AVERAGE($E283:$V283)-_xlfn.STDEV.P($E283:$V283))),V283,(SLOPE($E283:$V283,$E$1:$V$1)*W$1+INTERCEPT($E283:$V283,$E$1:$V$1)))</f>
        <v>62318.885828946033</v>
      </c>
      <c r="X283" s="5">
        <f t="shared" si="285"/>
        <v>65782.01085226018</v>
      </c>
      <c r="Y283" s="5">
        <f t="shared" si="285"/>
        <v>69245.135875574328</v>
      </c>
      <c r="Z283" s="5">
        <f t="shared" si="285"/>
        <v>72708.260898888489</v>
      </c>
      <c r="AA283" s="5">
        <f t="shared" si="285"/>
        <v>76171.385922202651</v>
      </c>
      <c r="AB283" s="5">
        <f t="shared" si="285"/>
        <v>79634.510945516799</v>
      </c>
      <c r="AC283" s="5">
        <f t="shared" si="285"/>
        <v>83097.635968830946</v>
      </c>
      <c r="AD283" s="5">
        <f t="shared" si="285"/>
        <v>86560.760992145108</v>
      </c>
      <c r="AE283" s="5">
        <f t="shared" si="285"/>
        <v>90023.886015459269</v>
      </c>
      <c r="AF283" s="5">
        <f t="shared" si="285"/>
        <v>93487.011038773417</v>
      </c>
      <c r="AG283" s="5">
        <f t="shared" si="285"/>
        <v>96950.136062087564</v>
      </c>
      <c r="AH283" s="5">
        <f t="shared" si="285"/>
        <v>100413.26108540173</v>
      </c>
    </row>
    <row r="284" spans="1:34" x14ac:dyDescent="0.35">
      <c r="A284" t="s">
        <v>304</v>
      </c>
      <c r="B284" s="3" t="s">
        <v>1265</v>
      </c>
      <c r="C284" s="4" t="s">
        <v>1263</v>
      </c>
      <c r="D284" s="2">
        <f t="shared" si="261"/>
        <v>521063.33070106839</v>
      </c>
      <c r="E284" s="5">
        <v>1098.0992188051198</v>
      </c>
      <c r="F284" s="5">
        <v>17130.347813359873</v>
      </c>
      <c r="G284" s="5">
        <v>63909.37453445798</v>
      </c>
      <c r="H284" s="5">
        <v>60343.602348949134</v>
      </c>
      <c r="I284" s="5">
        <v>22279.213039312766</v>
      </c>
      <c r="J284" s="5">
        <v>12518.331094378367</v>
      </c>
      <c r="K284" s="5">
        <v>0</v>
      </c>
      <c r="L284" s="5">
        <v>5710.1159377866243</v>
      </c>
      <c r="M284" s="5">
        <v>94406.030061162397</v>
      </c>
      <c r="N284" s="5">
        <v>0</v>
      </c>
      <c r="O284" s="5">
        <v>0</v>
      </c>
      <c r="P284" s="5">
        <v>41947.390158355578</v>
      </c>
      <c r="Q284" s="5">
        <v>3294.2976564153601</v>
      </c>
      <c r="R284" s="5">
        <v>16471.4882820768</v>
      </c>
      <c r="S284" s="5">
        <v>26635.006607239742</v>
      </c>
      <c r="T284" s="5">
        <v>28257.753230585084</v>
      </c>
      <c r="U284" s="5">
        <v>47779.517120453886</v>
      </c>
      <c r="V284" s="5">
        <v>79282.76359772966</v>
      </c>
      <c r="W284" s="5">
        <f t="shared" ref="W284:AH284" si="286">IF(OR((SLOPE($E284:$V284,$E$1:$V$1)*W$1+INTERCEPT($E284:$V284,$E$1:$V$1))&gt;(AVERAGE($E284:$V284)+_xlfn.STDEV.P($E284:$V284)),(SLOPE($E284:$V284,$E$1:$V$1)*W$1+INTERCEPT($E284:$V284,$E$1:$V$1))&lt;(AVERAGE($E284:$V284)-_xlfn.STDEV.P($E284:$V284))),V284,(SLOPE($E284:$V284,$E$1:$V$1)*W$1+INTERCEPT($E284:$V284,$E$1:$V$1)))</f>
        <v>38124.178698837466</v>
      </c>
      <c r="X284" s="5">
        <f t="shared" si="286"/>
        <v>39090.096160112356</v>
      </c>
      <c r="Y284" s="5">
        <f t="shared" si="286"/>
        <v>40056.013621387247</v>
      </c>
      <c r="Z284" s="5">
        <f t="shared" si="286"/>
        <v>41021.931082662137</v>
      </c>
      <c r="AA284" s="5">
        <f t="shared" si="286"/>
        <v>41987.848543937027</v>
      </c>
      <c r="AB284" s="5">
        <f t="shared" si="286"/>
        <v>42953.76600521191</v>
      </c>
      <c r="AC284" s="5">
        <f t="shared" si="286"/>
        <v>43919.6834664868</v>
      </c>
      <c r="AD284" s="5">
        <f t="shared" si="286"/>
        <v>44885.600927761683</v>
      </c>
      <c r="AE284" s="5">
        <f t="shared" si="286"/>
        <v>45851.518389036573</v>
      </c>
      <c r="AF284" s="5">
        <f t="shared" si="286"/>
        <v>46817.435850311464</v>
      </c>
      <c r="AG284" s="5">
        <f t="shared" si="286"/>
        <v>47783.353311586354</v>
      </c>
      <c r="AH284" s="5">
        <f t="shared" si="286"/>
        <v>48749.270772861244</v>
      </c>
    </row>
    <row r="285" spans="1:34" x14ac:dyDescent="0.35">
      <c r="A285" t="s">
        <v>305</v>
      </c>
      <c r="B285" s="3" t="s">
        <v>1266</v>
      </c>
      <c r="C285" s="4" t="s">
        <v>1266</v>
      </c>
      <c r="D285" s="2">
        <f t="shared" si="261"/>
        <v>522392.08354271186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208472.56021676166</v>
      </c>
      <c r="P285" s="5">
        <v>285427.33309334813</v>
      </c>
      <c r="Q285" s="5">
        <v>0</v>
      </c>
      <c r="R285" s="5">
        <v>0</v>
      </c>
      <c r="S285" s="5">
        <v>28492.190232602064</v>
      </c>
      <c r="T285" s="5">
        <v>0</v>
      </c>
      <c r="U285" s="5">
        <v>0</v>
      </c>
      <c r="V285" s="5">
        <v>0</v>
      </c>
      <c r="W285" s="5">
        <f t="shared" ref="W285:AH285" si="287">IF(OR((SLOPE($E285:$V285,$E$1:$V$1)*W$1+INTERCEPT($E285:$V285,$E$1:$V$1))&gt;(AVERAGE($E285:$V285)+_xlfn.STDEV.P($E285:$V285)),(SLOPE($E285:$V285,$E$1:$V$1)*W$1+INTERCEPT($E285:$V285,$E$1:$V$1))&lt;(AVERAGE($E285:$V285)-_xlfn.STDEV.P($E285:$V285))),V285,(SLOPE($E285:$V285,$E$1:$V$1)*W$1+INTERCEPT($E285:$V285,$E$1:$V$1)))</f>
        <v>52217.551425663551</v>
      </c>
      <c r="X285" s="5">
        <f t="shared" si="287"/>
        <v>54659.21132109766</v>
      </c>
      <c r="Y285" s="5">
        <f t="shared" si="287"/>
        <v>57100.871216531763</v>
      </c>
      <c r="Z285" s="5">
        <f t="shared" si="287"/>
        <v>59542.531111965873</v>
      </c>
      <c r="AA285" s="5">
        <f t="shared" si="287"/>
        <v>61984.191007399975</v>
      </c>
      <c r="AB285" s="5">
        <f t="shared" si="287"/>
        <v>64425.850902834078</v>
      </c>
      <c r="AC285" s="5">
        <f t="shared" si="287"/>
        <v>66867.510798268195</v>
      </c>
      <c r="AD285" s="5">
        <f t="shared" si="287"/>
        <v>69309.170693702297</v>
      </c>
      <c r="AE285" s="5">
        <f t="shared" si="287"/>
        <v>71750.8305891364</v>
      </c>
      <c r="AF285" s="5">
        <f t="shared" si="287"/>
        <v>74192.490484570502</v>
      </c>
      <c r="AG285" s="5">
        <f t="shared" si="287"/>
        <v>76634.150380004605</v>
      </c>
      <c r="AH285" s="5">
        <f t="shared" si="287"/>
        <v>79075.810275438722</v>
      </c>
    </row>
    <row r="286" spans="1:34" x14ac:dyDescent="0.35">
      <c r="A286" t="s">
        <v>306</v>
      </c>
      <c r="B286" s="3" t="s">
        <v>1262</v>
      </c>
      <c r="C286" s="4" t="s">
        <v>1263</v>
      </c>
      <c r="D286" s="2">
        <f t="shared" si="261"/>
        <v>518616</v>
      </c>
      <c r="E286" s="5">
        <v>0</v>
      </c>
      <c r="F286" s="5">
        <v>58800</v>
      </c>
      <c r="G286" s="5">
        <v>29400</v>
      </c>
      <c r="H286" s="5">
        <v>14700</v>
      </c>
      <c r="I286" s="5">
        <v>35280</v>
      </c>
      <c r="J286" s="5">
        <v>88200</v>
      </c>
      <c r="K286" s="5">
        <v>207564</v>
      </c>
      <c r="L286" s="5">
        <v>55272</v>
      </c>
      <c r="M286" s="5">
        <v>29400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f t="shared" ref="W286:AH286" si="288">IF(OR((SLOPE($E286:$V286,$E$1:$V$1)*W$1+INTERCEPT($E286:$V286,$E$1:$V$1))&gt;(AVERAGE($E286:$V286)+_xlfn.STDEV.P($E286:$V286)),(SLOPE($E286:$V286,$E$1:$V$1)*W$1+INTERCEPT($E286:$V286,$E$1:$V$1))&lt;(AVERAGE($E286:$V286)-_xlfn.STDEV.P($E286:$V286))),V286,(SLOPE($E286:$V286,$E$1:$V$1)*W$1+INTERCEPT($E286:$V286,$E$1:$V$1)))</f>
        <v>-6421.8823529411748</v>
      </c>
      <c r="X286" s="5">
        <f t="shared" si="288"/>
        <v>-10130.712074303403</v>
      </c>
      <c r="Y286" s="5">
        <f t="shared" si="288"/>
        <v>-13839.541795665631</v>
      </c>
      <c r="Z286" s="5">
        <f t="shared" si="288"/>
        <v>-17548.371517027859</v>
      </c>
      <c r="AA286" s="5">
        <f t="shared" si="288"/>
        <v>-21257.201238390087</v>
      </c>
      <c r="AB286" s="5">
        <f t="shared" si="288"/>
        <v>-21257.201238390087</v>
      </c>
      <c r="AC286" s="5">
        <f t="shared" si="288"/>
        <v>-21257.201238390087</v>
      </c>
      <c r="AD286" s="5">
        <f t="shared" si="288"/>
        <v>-21257.201238390087</v>
      </c>
      <c r="AE286" s="5">
        <f t="shared" si="288"/>
        <v>-21257.201238390087</v>
      </c>
      <c r="AF286" s="5">
        <f t="shared" si="288"/>
        <v>-21257.201238390087</v>
      </c>
      <c r="AG286" s="5">
        <f t="shared" si="288"/>
        <v>-21257.201238390087</v>
      </c>
      <c r="AH286" s="5">
        <f t="shared" si="288"/>
        <v>-21257.201238390087</v>
      </c>
    </row>
    <row r="287" spans="1:34" x14ac:dyDescent="0.35">
      <c r="A287" t="s">
        <v>307</v>
      </c>
      <c r="B287" s="3" t="s">
        <v>1266</v>
      </c>
      <c r="C287" s="4" t="s">
        <v>1263</v>
      </c>
      <c r="D287" s="2">
        <f t="shared" si="261"/>
        <v>517300.93109875318</v>
      </c>
      <c r="E287" s="5">
        <v>0</v>
      </c>
      <c r="F287" s="5">
        <v>0</v>
      </c>
      <c r="G287" s="5">
        <v>128301.74839420177</v>
      </c>
      <c r="H287" s="5">
        <v>0</v>
      </c>
      <c r="I287" s="5">
        <v>0</v>
      </c>
      <c r="J287" s="5">
        <v>130517.73292442948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127419.11048809411</v>
      </c>
      <c r="R287" s="5">
        <v>0</v>
      </c>
      <c r="S287" s="5">
        <v>0</v>
      </c>
      <c r="T287" s="5">
        <v>0</v>
      </c>
      <c r="U287" s="5">
        <v>0</v>
      </c>
      <c r="V287" s="5">
        <v>131062.33929202783</v>
      </c>
      <c r="W287" s="5">
        <f t="shared" ref="W287:AH287" si="289">IF(OR((SLOPE($E287:$V287,$E$1:$V$1)*W$1+INTERCEPT($E287:$V287,$E$1:$V$1))&gt;(AVERAGE($E287:$V287)+_xlfn.STDEV.P($E287:$V287)),(SLOPE($E287:$V287,$E$1:$V$1)*W$1+INTERCEPT($E287:$V287,$E$1:$V$1))&lt;(AVERAGE($E287:$V287)-_xlfn.STDEV.P($E287:$V287))),V287,(SLOPE($E287:$V287,$E$1:$V$1)*W$1+INTERCEPT($E287:$V287,$E$1:$V$1)))</f>
        <v>34017.829653710171</v>
      </c>
      <c r="X287" s="5">
        <f t="shared" si="289"/>
        <v>34573.502183932564</v>
      </c>
      <c r="Y287" s="5">
        <f t="shared" si="289"/>
        <v>35129.174714154957</v>
      </c>
      <c r="Z287" s="5">
        <f t="shared" si="289"/>
        <v>35684.847244377357</v>
      </c>
      <c r="AA287" s="5">
        <f t="shared" si="289"/>
        <v>36240.51977459975</v>
      </c>
      <c r="AB287" s="5">
        <f t="shared" si="289"/>
        <v>36796.192304822151</v>
      </c>
      <c r="AC287" s="5">
        <f t="shared" si="289"/>
        <v>37351.864835044544</v>
      </c>
      <c r="AD287" s="5">
        <f t="shared" si="289"/>
        <v>37907.537365266944</v>
      </c>
      <c r="AE287" s="5">
        <f t="shared" si="289"/>
        <v>38463.209895489337</v>
      </c>
      <c r="AF287" s="5">
        <f t="shared" si="289"/>
        <v>39018.882425711738</v>
      </c>
      <c r="AG287" s="5">
        <f t="shared" si="289"/>
        <v>39574.554955934131</v>
      </c>
      <c r="AH287" s="5">
        <f t="shared" si="289"/>
        <v>40130.227486156524</v>
      </c>
    </row>
    <row r="288" spans="1:34" x14ac:dyDescent="0.35">
      <c r="A288" t="s">
        <v>308</v>
      </c>
      <c r="B288" s="3" t="s">
        <v>1262</v>
      </c>
      <c r="C288" s="4" t="s">
        <v>1263</v>
      </c>
      <c r="D288" s="2">
        <f t="shared" si="261"/>
        <v>507146.4865380142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178629.50379303118</v>
      </c>
      <c r="R288" s="5">
        <v>112823.35047262188</v>
      </c>
      <c r="S288" s="5">
        <v>93460.868138400678</v>
      </c>
      <c r="T288" s="5">
        <v>23299.500494743192</v>
      </c>
      <c r="U288" s="5">
        <v>78859.847828361599</v>
      </c>
      <c r="V288" s="5">
        <v>20073.41581085568</v>
      </c>
      <c r="W288" s="5">
        <f t="shared" ref="W288:AH288" si="290">IF(OR((SLOPE($E288:$V288,$E$1:$V$1)*W$1+INTERCEPT($E288:$V288,$E$1:$V$1))&gt;(AVERAGE($E288:$V288)+_xlfn.STDEV.P($E288:$V288)),(SLOPE($E288:$V288,$E$1:$V$1)*W$1+INTERCEPT($E288:$V288,$E$1:$V$1))&lt;(AVERAGE($E288:$V288)-_xlfn.STDEV.P($E288:$V288))),V288,(SLOPE($E288:$V288,$E$1:$V$1)*W$1+INTERCEPT($E288:$V288,$E$1:$V$1)))</f>
        <v>78379.956993636617</v>
      </c>
      <c r="X288" s="5">
        <f t="shared" si="290"/>
        <v>78379.956993636617</v>
      </c>
      <c r="Y288" s="5">
        <f t="shared" si="290"/>
        <v>78379.956993636617</v>
      </c>
      <c r="Z288" s="5">
        <f t="shared" si="290"/>
        <v>78379.956993636617</v>
      </c>
      <c r="AA288" s="5">
        <f t="shared" si="290"/>
        <v>78379.956993636617</v>
      </c>
      <c r="AB288" s="5">
        <f t="shared" si="290"/>
        <v>78379.956993636617</v>
      </c>
      <c r="AC288" s="5">
        <f t="shared" si="290"/>
        <v>78379.956993636617</v>
      </c>
      <c r="AD288" s="5">
        <f t="shared" si="290"/>
        <v>78379.956993636617</v>
      </c>
      <c r="AE288" s="5">
        <f t="shared" si="290"/>
        <v>78379.956993636617</v>
      </c>
      <c r="AF288" s="5">
        <f t="shared" si="290"/>
        <v>78379.956993636617</v>
      </c>
      <c r="AG288" s="5">
        <f t="shared" si="290"/>
        <v>78379.956993636617</v>
      </c>
      <c r="AH288" s="5">
        <f t="shared" si="290"/>
        <v>78379.956993636617</v>
      </c>
    </row>
    <row r="289" spans="1:34" x14ac:dyDescent="0.35">
      <c r="A289" t="s">
        <v>309</v>
      </c>
      <c r="B289" s="3" t="s">
        <v>1266</v>
      </c>
      <c r="C289" s="4" t="s">
        <v>1268</v>
      </c>
      <c r="D289" s="2">
        <f t="shared" si="261"/>
        <v>515706.52710162074</v>
      </c>
      <c r="E289" s="5">
        <v>102887.18828372219</v>
      </c>
      <c r="F289" s="5">
        <v>0</v>
      </c>
      <c r="G289" s="5">
        <v>0</v>
      </c>
      <c r="H289" s="5">
        <v>0</v>
      </c>
      <c r="I289" s="5">
        <v>98470.39043325957</v>
      </c>
      <c r="J289" s="5">
        <v>0</v>
      </c>
      <c r="K289" s="5">
        <v>100648.53731841921</v>
      </c>
      <c r="L289" s="5">
        <v>0</v>
      </c>
      <c r="M289" s="5">
        <v>0</v>
      </c>
      <c r="N289" s="5">
        <v>0</v>
      </c>
      <c r="O289" s="5">
        <v>0</v>
      </c>
      <c r="P289" s="5">
        <v>101646.85464078406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112053.55642543576</v>
      </c>
      <c r="W289" s="5">
        <f t="shared" ref="W289:AH289" si="291">IF(OR((SLOPE($E289:$V289,$E$1:$V$1)*W$1+INTERCEPT($E289:$V289,$E$1:$V$1))&gt;(AVERAGE($E289:$V289)+_xlfn.STDEV.P($E289:$V289)),(SLOPE($E289:$V289,$E$1:$V$1)*W$1+INTERCEPT($E289:$V289,$E$1:$V$1))&lt;(AVERAGE($E289:$V289)-_xlfn.STDEV.P($E289:$V289))),V289,(SLOPE($E289:$V289,$E$1:$V$1)*W$1+INTERCEPT($E289:$V289,$E$1:$V$1)))</f>
        <v>21538.463902262774</v>
      </c>
      <c r="X289" s="5">
        <f t="shared" si="291"/>
        <v>20789.842984947623</v>
      </c>
      <c r="Y289" s="5">
        <f t="shared" si="291"/>
        <v>20041.222067632472</v>
      </c>
      <c r="Z289" s="5">
        <f t="shared" si="291"/>
        <v>19292.601150317321</v>
      </c>
      <c r="AA289" s="5">
        <f t="shared" si="291"/>
        <v>18543.98023300217</v>
      </c>
      <c r="AB289" s="5">
        <f t="shared" si="291"/>
        <v>17795.359315687019</v>
      </c>
      <c r="AC289" s="5">
        <f t="shared" si="291"/>
        <v>17046.738398371868</v>
      </c>
      <c r="AD289" s="5">
        <f t="shared" si="291"/>
        <v>16298.117481056717</v>
      </c>
      <c r="AE289" s="5">
        <f t="shared" si="291"/>
        <v>15549.496563741566</v>
      </c>
      <c r="AF289" s="5">
        <f t="shared" si="291"/>
        <v>14800.875646426415</v>
      </c>
      <c r="AG289" s="5">
        <f t="shared" si="291"/>
        <v>14052.254729111264</v>
      </c>
      <c r="AH289" s="5">
        <f t="shared" si="291"/>
        <v>13303.633811796113</v>
      </c>
    </row>
    <row r="290" spans="1:34" x14ac:dyDescent="0.35">
      <c r="A290" t="s">
        <v>310</v>
      </c>
      <c r="B290" s="3" t="s">
        <v>1266</v>
      </c>
      <c r="C290" s="4" t="s">
        <v>1266</v>
      </c>
      <c r="D290" s="2">
        <f t="shared" si="261"/>
        <v>512998.54034613236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203421.03091653841</v>
      </c>
      <c r="P290" s="5">
        <v>309577.50942959398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f t="shared" ref="W290:AH290" si="292">IF(OR((SLOPE($E290:$V290,$E$1:$V$1)*W$1+INTERCEPT($E290:$V290,$E$1:$V$1))&gt;(AVERAGE($E290:$V290)+_xlfn.STDEV.P($E290:$V290)),(SLOPE($E290:$V290,$E$1:$V$1)*W$1+INTERCEPT($E290:$V290,$E$1:$V$1))&lt;(AVERAGE($E290:$V290)-_xlfn.STDEV.P($E290:$V290))),V290,(SLOPE($E290:$V290,$E$1:$V$1)*W$1+INTERCEPT($E290:$V290,$E$1:$V$1)))</f>
        <v>49658.258514957532</v>
      </c>
      <c r="X290" s="5">
        <f t="shared" si="292"/>
        <v>51885.452157782696</v>
      </c>
      <c r="Y290" s="5">
        <f t="shared" si="292"/>
        <v>54112.645800607861</v>
      </c>
      <c r="Z290" s="5">
        <f t="shared" si="292"/>
        <v>56339.839443433026</v>
      </c>
      <c r="AA290" s="5">
        <f t="shared" si="292"/>
        <v>58567.03308625819</v>
      </c>
      <c r="AB290" s="5">
        <f t="shared" si="292"/>
        <v>60794.226729083362</v>
      </c>
      <c r="AC290" s="5">
        <f t="shared" si="292"/>
        <v>63021.420371908527</v>
      </c>
      <c r="AD290" s="5">
        <f t="shared" si="292"/>
        <v>65248.614014733692</v>
      </c>
      <c r="AE290" s="5">
        <f t="shared" si="292"/>
        <v>67475.807657558849</v>
      </c>
      <c r="AF290" s="5">
        <f t="shared" si="292"/>
        <v>69703.001300384029</v>
      </c>
      <c r="AG290" s="5">
        <f t="shared" si="292"/>
        <v>71930.194943209179</v>
      </c>
      <c r="AH290" s="5">
        <f t="shared" si="292"/>
        <v>74157.388586034358</v>
      </c>
    </row>
    <row r="291" spans="1:34" x14ac:dyDescent="0.35">
      <c r="A291" t="s">
        <v>311</v>
      </c>
      <c r="B291" s="3" t="s">
        <v>1266</v>
      </c>
      <c r="C291" s="4" t="s">
        <v>1267</v>
      </c>
      <c r="D291" s="2">
        <f t="shared" si="261"/>
        <v>511952.5616027512</v>
      </c>
      <c r="E291" s="5">
        <v>0</v>
      </c>
      <c r="F291" s="5">
        <v>70716.65684641205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144406.11582776884</v>
      </c>
      <c r="O291" s="5">
        <v>0</v>
      </c>
      <c r="P291" s="5">
        <v>147649.17270225397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149180.61622631637</v>
      </c>
      <c r="W291" s="5">
        <f t="shared" ref="W291:AH291" si="293">IF(OR((SLOPE($E291:$V291,$E$1:$V$1)*W$1+INTERCEPT($E291:$V291,$E$1:$V$1))&gt;(AVERAGE($E291:$V291)+_xlfn.STDEV.P($E291:$V291)),(SLOPE($E291:$V291,$E$1:$V$1)*W$1+INTERCEPT($E291:$V291,$E$1:$V$1))&lt;(AVERAGE($E291:$V291)-_xlfn.STDEV.P($E291:$V291))),V291,(SLOPE($E291:$V291,$E$1:$V$1)*W$1+INTERCEPT($E291:$V291,$E$1:$V$1)))</f>
        <v>51559.187433717248</v>
      </c>
      <c r="X291" s="5">
        <f t="shared" si="293"/>
        <v>53992.595692221104</v>
      </c>
      <c r="Y291" s="5">
        <f t="shared" si="293"/>
        <v>56426.00395072496</v>
      </c>
      <c r="Z291" s="5">
        <f t="shared" si="293"/>
        <v>58859.412209228816</v>
      </c>
      <c r="AA291" s="5">
        <f t="shared" si="293"/>
        <v>61292.820467732672</v>
      </c>
      <c r="AB291" s="5">
        <f t="shared" si="293"/>
        <v>63726.228726236528</v>
      </c>
      <c r="AC291" s="5">
        <f t="shared" si="293"/>
        <v>66159.636984740384</v>
      </c>
      <c r="AD291" s="5">
        <f t="shared" si="293"/>
        <v>68593.04524324424</v>
      </c>
      <c r="AE291" s="5">
        <f t="shared" si="293"/>
        <v>71026.453501748096</v>
      </c>
      <c r="AF291" s="5">
        <f t="shared" si="293"/>
        <v>73459.861760251952</v>
      </c>
      <c r="AG291" s="5">
        <f t="shared" si="293"/>
        <v>75893.270018755808</v>
      </c>
      <c r="AH291" s="5">
        <f t="shared" si="293"/>
        <v>78326.678277259663</v>
      </c>
    </row>
    <row r="292" spans="1:34" x14ac:dyDescent="0.35">
      <c r="A292" t="s">
        <v>312</v>
      </c>
      <c r="B292" s="3" t="s">
        <v>1265</v>
      </c>
      <c r="C292" s="4" t="s">
        <v>1263</v>
      </c>
      <c r="D292" s="2">
        <f t="shared" si="261"/>
        <v>505223.02026228106</v>
      </c>
      <c r="E292" s="5">
        <v>4.5070164256160385</v>
      </c>
      <c r="F292" s="5">
        <v>6408.9773572260056</v>
      </c>
      <c r="G292" s="5">
        <v>31977.281539745796</v>
      </c>
      <c r="H292" s="5">
        <v>8419.1066830507607</v>
      </c>
      <c r="I292" s="5">
        <v>58555.157401603559</v>
      </c>
      <c r="J292" s="5">
        <v>20051.716077565754</v>
      </c>
      <c r="K292" s="5">
        <v>25757.598872395665</v>
      </c>
      <c r="L292" s="5">
        <v>14963.294533045253</v>
      </c>
      <c r="M292" s="5">
        <v>33735.01794573605</v>
      </c>
      <c r="N292" s="5">
        <v>31346.299240159555</v>
      </c>
      <c r="O292" s="5">
        <v>33383.470664537999</v>
      </c>
      <c r="P292" s="5">
        <v>42897.782339013451</v>
      </c>
      <c r="Q292" s="5">
        <v>11817.397067965256</v>
      </c>
      <c r="R292" s="5">
        <v>25545.769100391706</v>
      </c>
      <c r="S292" s="5">
        <v>31932.211375489642</v>
      </c>
      <c r="T292" s="5">
        <v>29638.140014851077</v>
      </c>
      <c r="U292" s="5">
        <v>59983.881608523843</v>
      </c>
      <c r="V292" s="5">
        <v>38805.411424554084</v>
      </c>
      <c r="W292" s="5">
        <f t="shared" ref="W292:AH292" si="294">IF(OR((SLOPE($E292:$V292,$E$1:$V$1)*W$1+INTERCEPT($E292:$V292,$E$1:$V$1))&gt;(AVERAGE($E292:$V292)+_xlfn.STDEV.P($E292:$V292)),(SLOPE($E292:$V292,$E$1:$V$1)*W$1+INTERCEPT($E292:$V292,$E$1:$V$1))&lt;(AVERAGE($E292:$V292)-_xlfn.STDEV.P($E292:$V292))),V292,(SLOPE($E292:$V292,$E$1:$V$1)*W$1+INTERCEPT($E292:$V292,$E$1:$V$1)))</f>
        <v>42531.88919507504</v>
      </c>
      <c r="X292" s="5">
        <f t="shared" si="294"/>
        <v>42531.88919507504</v>
      </c>
      <c r="Y292" s="5">
        <f t="shared" si="294"/>
        <v>42531.88919507504</v>
      </c>
      <c r="Z292" s="5">
        <f t="shared" si="294"/>
        <v>42531.88919507504</v>
      </c>
      <c r="AA292" s="5">
        <f t="shared" si="294"/>
        <v>42531.88919507504</v>
      </c>
      <c r="AB292" s="5">
        <f t="shared" si="294"/>
        <v>42531.88919507504</v>
      </c>
      <c r="AC292" s="5">
        <f t="shared" si="294"/>
        <v>42531.88919507504</v>
      </c>
      <c r="AD292" s="5">
        <f t="shared" si="294"/>
        <v>42531.88919507504</v>
      </c>
      <c r="AE292" s="5">
        <f t="shared" si="294"/>
        <v>42531.88919507504</v>
      </c>
      <c r="AF292" s="5">
        <f t="shared" si="294"/>
        <v>42531.88919507504</v>
      </c>
      <c r="AG292" s="5">
        <f t="shared" si="294"/>
        <v>42531.88919507504</v>
      </c>
      <c r="AH292" s="5">
        <f t="shared" si="294"/>
        <v>42531.88919507504</v>
      </c>
    </row>
    <row r="293" spans="1:34" x14ac:dyDescent="0.35">
      <c r="A293" t="s">
        <v>313</v>
      </c>
      <c r="B293" s="3" t="s">
        <v>1262</v>
      </c>
      <c r="C293" s="4" t="s">
        <v>1263</v>
      </c>
      <c r="D293" s="2">
        <f t="shared" si="261"/>
        <v>490428.6912</v>
      </c>
      <c r="E293" s="5">
        <v>4551.1200000000008</v>
      </c>
      <c r="F293" s="5">
        <v>9102.2400000000016</v>
      </c>
      <c r="G293" s="5">
        <v>58709.448000000004</v>
      </c>
      <c r="H293" s="5">
        <v>64989.993600000002</v>
      </c>
      <c r="I293" s="5">
        <v>6826.68</v>
      </c>
      <c r="J293" s="5">
        <v>6826.68</v>
      </c>
      <c r="K293" s="5">
        <v>30037.392</v>
      </c>
      <c r="L293" s="5">
        <v>8192.0160000000014</v>
      </c>
      <c r="M293" s="5">
        <v>5461.3440000000001</v>
      </c>
      <c r="N293" s="5">
        <v>58163.313600000001</v>
      </c>
      <c r="O293" s="5">
        <v>31402.728000000003</v>
      </c>
      <c r="P293" s="5">
        <v>25941.384000000002</v>
      </c>
      <c r="Q293" s="5">
        <v>20480.04</v>
      </c>
      <c r="R293" s="5">
        <v>5461.3440000000001</v>
      </c>
      <c r="S293" s="5">
        <v>17476.300800000001</v>
      </c>
      <c r="T293" s="5">
        <v>7736.9040000000005</v>
      </c>
      <c r="U293" s="5">
        <v>18022.4352</v>
      </c>
      <c r="V293" s="5">
        <v>111047.32800000001</v>
      </c>
      <c r="W293" s="5">
        <f t="shared" ref="W293:AH293" si="295">IF(OR((SLOPE($E293:$V293,$E$1:$V$1)*W$1+INTERCEPT($E293:$V293,$E$1:$V$1))&gt;(AVERAGE($E293:$V293)+_xlfn.STDEV.P($E293:$V293)),(SLOPE($E293:$V293,$E$1:$V$1)*W$1+INTERCEPT($E293:$V293,$E$1:$V$1))&lt;(AVERAGE($E293:$V293)-_xlfn.STDEV.P($E293:$V293))),V293,(SLOPE($E293:$V293,$E$1:$V$1)*W$1+INTERCEPT($E293:$V293,$E$1:$V$1)))</f>
        <v>36501.767152941175</v>
      </c>
      <c r="X293" s="5">
        <f t="shared" si="295"/>
        <v>37476.054390092875</v>
      </c>
      <c r="Y293" s="5">
        <f t="shared" si="295"/>
        <v>38450.341627244583</v>
      </c>
      <c r="Z293" s="5">
        <f t="shared" si="295"/>
        <v>39424.628864396291</v>
      </c>
      <c r="AA293" s="5">
        <f t="shared" si="295"/>
        <v>40398.916101547991</v>
      </c>
      <c r="AB293" s="5">
        <f t="shared" si="295"/>
        <v>41373.203338699692</v>
      </c>
      <c r="AC293" s="5">
        <f t="shared" si="295"/>
        <v>42347.490575851392</v>
      </c>
      <c r="AD293" s="5">
        <f t="shared" si="295"/>
        <v>43321.777813003093</v>
      </c>
      <c r="AE293" s="5">
        <f t="shared" si="295"/>
        <v>44296.065050154801</v>
      </c>
      <c r="AF293" s="5">
        <f t="shared" si="295"/>
        <v>45270.352287306509</v>
      </c>
      <c r="AG293" s="5">
        <f t="shared" si="295"/>
        <v>46244.639524458209</v>
      </c>
      <c r="AH293" s="5">
        <f t="shared" si="295"/>
        <v>47218.92676160991</v>
      </c>
    </row>
    <row r="294" spans="1:34" x14ac:dyDescent="0.35">
      <c r="A294" t="s">
        <v>314</v>
      </c>
      <c r="B294" s="3" t="s">
        <v>1266</v>
      </c>
      <c r="C294" s="4" t="s">
        <v>1267</v>
      </c>
      <c r="D294" s="2">
        <f t="shared" si="261"/>
        <v>498357.93791604962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90612.472857430577</v>
      </c>
      <c r="P294" s="5">
        <v>92745.032821126282</v>
      </c>
      <c r="Q294" s="5">
        <v>0</v>
      </c>
      <c r="R294" s="5">
        <v>0</v>
      </c>
      <c r="S294" s="5">
        <v>0</v>
      </c>
      <c r="T294" s="5">
        <v>165742.56037843032</v>
      </c>
      <c r="U294" s="5">
        <v>149257.87185906249</v>
      </c>
      <c r="V294" s="5">
        <v>0</v>
      </c>
      <c r="W294" s="5">
        <f t="shared" ref="W294:AH294" si="296">IF(OR((SLOPE($E294:$V294,$E$1:$V$1)*W$1+INTERCEPT($E294:$V294,$E$1:$V$1))&gt;(AVERAGE($E294:$V294)+_xlfn.STDEV.P($E294:$V294)),(SLOPE($E294:$V294,$E$1:$V$1)*W$1+INTERCEPT($E294:$V294,$E$1:$V$1))&lt;(AVERAGE($E294:$V294)-_xlfn.STDEV.P($E294:$V294))),V294,(SLOPE($E294:$V294,$E$1:$V$1)*W$1+INTERCEPT($E294:$V294,$E$1:$V$1)))</f>
        <v>77971.688826873244</v>
      </c>
      <c r="X294" s="5">
        <f t="shared" si="296"/>
        <v>77971.688826873244</v>
      </c>
      <c r="Y294" s="5">
        <f t="shared" si="296"/>
        <v>77971.688826873244</v>
      </c>
      <c r="Z294" s="5">
        <f t="shared" si="296"/>
        <v>77971.688826873244</v>
      </c>
      <c r="AA294" s="5">
        <f t="shared" si="296"/>
        <v>77971.688826873244</v>
      </c>
      <c r="AB294" s="5">
        <f t="shared" si="296"/>
        <v>77971.688826873244</v>
      </c>
      <c r="AC294" s="5">
        <f t="shared" si="296"/>
        <v>77971.688826873244</v>
      </c>
      <c r="AD294" s="5">
        <f t="shared" si="296"/>
        <v>77971.688826873244</v>
      </c>
      <c r="AE294" s="5">
        <f t="shared" si="296"/>
        <v>77971.688826873244</v>
      </c>
      <c r="AF294" s="5">
        <f t="shared" si="296"/>
        <v>77971.688826873244</v>
      </c>
      <c r="AG294" s="5">
        <f t="shared" si="296"/>
        <v>77971.688826873244</v>
      </c>
      <c r="AH294" s="5">
        <f t="shared" si="296"/>
        <v>77971.688826873244</v>
      </c>
    </row>
    <row r="295" spans="1:34" x14ac:dyDescent="0.35">
      <c r="A295" t="s">
        <v>315</v>
      </c>
      <c r="B295" s="3" t="s">
        <v>1266</v>
      </c>
      <c r="C295" s="4" t="s">
        <v>1267</v>
      </c>
      <c r="D295" s="2">
        <f t="shared" si="261"/>
        <v>492927.36497635924</v>
      </c>
      <c r="E295" s="5">
        <v>0</v>
      </c>
      <c r="F295" s="5">
        <v>0</v>
      </c>
      <c r="G295" s="5">
        <v>0</v>
      </c>
      <c r="H295" s="5">
        <v>0</v>
      </c>
      <c r="I295" s="5">
        <v>186626.58992328652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306300.77505307272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f t="shared" ref="W295:AH295" si="297">IF(OR((SLOPE($E295:$V295,$E$1:$V$1)*W$1+INTERCEPT($E295:$V295,$E$1:$V$1))&gt;(AVERAGE($E295:$V295)+_xlfn.STDEV.P($E295:$V295)),(SLOPE($E295:$V295,$E$1:$V$1)*W$1+INTERCEPT($E295:$V295,$E$1:$V$1))&lt;(AVERAGE($E295:$V295)-_xlfn.STDEV.P($E295:$V295))),V295,(SLOPE($E295:$V295,$E$1:$V$1)*W$1+INTERCEPT($E295:$V295,$E$1:$V$1)))</f>
        <v>25932.545432893665</v>
      </c>
      <c r="X295" s="5">
        <f t="shared" si="297"/>
        <v>25779.670887956396</v>
      </c>
      <c r="Y295" s="5">
        <f t="shared" si="297"/>
        <v>25626.796343019123</v>
      </c>
      <c r="Z295" s="5">
        <f t="shared" si="297"/>
        <v>25473.921798081854</v>
      </c>
      <c r="AA295" s="5">
        <f t="shared" si="297"/>
        <v>25321.047253144581</v>
      </c>
      <c r="AB295" s="5">
        <f t="shared" si="297"/>
        <v>25168.172708207312</v>
      </c>
      <c r="AC295" s="5">
        <f t="shared" si="297"/>
        <v>25015.298163270039</v>
      </c>
      <c r="AD295" s="5">
        <f t="shared" si="297"/>
        <v>24862.42361833277</v>
      </c>
      <c r="AE295" s="5">
        <f t="shared" si="297"/>
        <v>24709.549073395501</v>
      </c>
      <c r="AF295" s="5">
        <f t="shared" si="297"/>
        <v>24556.674528458228</v>
      </c>
      <c r="AG295" s="5">
        <f t="shared" si="297"/>
        <v>24403.799983520959</v>
      </c>
      <c r="AH295" s="5">
        <f t="shared" si="297"/>
        <v>24250.925438583687</v>
      </c>
    </row>
    <row r="296" spans="1:34" x14ac:dyDescent="0.35">
      <c r="A296" t="s">
        <v>316</v>
      </c>
      <c r="B296" s="3" t="s">
        <v>1265</v>
      </c>
      <c r="C296" s="4" t="s">
        <v>1263</v>
      </c>
      <c r="D296" s="2">
        <f t="shared" si="261"/>
        <v>487994.90039999998</v>
      </c>
      <c r="E296" s="5">
        <v>20767.572000000004</v>
      </c>
      <c r="F296" s="5">
        <v>21499.279200000004</v>
      </c>
      <c r="G296" s="5">
        <v>25932.564000000006</v>
      </c>
      <c r="H296" s="5">
        <v>23726.682000000004</v>
      </c>
      <c r="I296" s="5">
        <v>24157.098000000005</v>
      </c>
      <c r="J296" s="5">
        <v>21843.611999999994</v>
      </c>
      <c r="K296" s="5">
        <v>20444.759999999998</v>
      </c>
      <c r="L296" s="5">
        <v>23242.464000000007</v>
      </c>
      <c r="M296" s="5">
        <v>26631.99</v>
      </c>
      <c r="N296" s="5">
        <v>22166.423999999995</v>
      </c>
      <c r="O296" s="5">
        <v>69404.58</v>
      </c>
      <c r="P296" s="5">
        <v>85577.461199999991</v>
      </c>
      <c r="Q296" s="5">
        <v>9684.3599999999969</v>
      </c>
      <c r="R296" s="5">
        <v>17647.056</v>
      </c>
      <c r="S296" s="5">
        <v>17539.451999999997</v>
      </c>
      <c r="T296" s="5">
        <v>18830.7</v>
      </c>
      <c r="U296" s="5">
        <v>16140.6</v>
      </c>
      <c r="V296" s="5">
        <v>22758.246000000003</v>
      </c>
      <c r="W296" s="5">
        <f t="shared" ref="W296:AH296" si="298">IF(OR((SLOPE($E296:$V296,$E$1:$V$1)*W$1+INTERCEPT($E296:$V296,$E$1:$V$1))&gt;(AVERAGE($E296:$V296)+_xlfn.STDEV.P($E296:$V296)),(SLOPE($E296:$V296,$E$1:$V$1)*W$1+INTERCEPT($E296:$V296,$E$1:$V$1))&lt;(AVERAGE($E296:$V296)-_xlfn.STDEV.P($E296:$V296))),V296,(SLOPE($E296:$V296,$E$1:$V$1)*W$1+INTERCEPT($E296:$V296,$E$1:$V$1)))</f>
        <v>28180.010682352939</v>
      </c>
      <c r="X296" s="5">
        <f t="shared" si="298"/>
        <v>28292.556248916404</v>
      </c>
      <c r="Y296" s="5">
        <f t="shared" si="298"/>
        <v>28405.101815479873</v>
      </c>
      <c r="Z296" s="5">
        <f t="shared" si="298"/>
        <v>28517.647382043338</v>
      </c>
      <c r="AA296" s="5">
        <f t="shared" si="298"/>
        <v>28630.192948606804</v>
      </c>
      <c r="AB296" s="5">
        <f t="shared" si="298"/>
        <v>28742.738515170273</v>
      </c>
      <c r="AC296" s="5">
        <f t="shared" si="298"/>
        <v>28855.284081733738</v>
      </c>
      <c r="AD296" s="5">
        <f t="shared" si="298"/>
        <v>28967.829648297207</v>
      </c>
      <c r="AE296" s="5">
        <f t="shared" si="298"/>
        <v>29080.375214860673</v>
      </c>
      <c r="AF296" s="5">
        <f t="shared" si="298"/>
        <v>29192.920781424142</v>
      </c>
      <c r="AG296" s="5">
        <f t="shared" si="298"/>
        <v>29305.466347987607</v>
      </c>
      <c r="AH296" s="5">
        <f t="shared" si="298"/>
        <v>29418.011914551076</v>
      </c>
    </row>
    <row r="297" spans="1:34" x14ac:dyDescent="0.35">
      <c r="A297" t="s">
        <v>317</v>
      </c>
      <c r="B297" s="3" t="s">
        <v>1262</v>
      </c>
      <c r="C297" s="4" t="s">
        <v>1263</v>
      </c>
      <c r="D297" s="2">
        <f t="shared" si="261"/>
        <v>477726.48000000004</v>
      </c>
      <c r="E297" s="5">
        <v>0</v>
      </c>
      <c r="F297" s="5">
        <v>0</v>
      </c>
      <c r="G297" s="5">
        <v>94206.420000000013</v>
      </c>
      <c r="H297" s="5">
        <v>1067.22</v>
      </c>
      <c r="I297" s="5">
        <v>5287.590000000002</v>
      </c>
      <c r="J297" s="5">
        <v>25467.749999999996</v>
      </c>
      <c r="K297" s="5">
        <v>26534.969999999994</v>
      </c>
      <c r="L297" s="5">
        <v>5530.1400000000012</v>
      </c>
      <c r="M297" s="5">
        <v>11254.320000000002</v>
      </c>
      <c r="N297" s="5">
        <v>22266.089999999993</v>
      </c>
      <c r="O297" s="5">
        <v>50547.420000000006</v>
      </c>
      <c r="P297" s="5">
        <v>42737.310000000005</v>
      </c>
      <c r="Q297" s="5">
        <v>14067.899999999998</v>
      </c>
      <c r="R297" s="5">
        <v>22751.189999999995</v>
      </c>
      <c r="S297" s="5">
        <v>37304.19</v>
      </c>
      <c r="T297" s="5">
        <v>37983.329999999994</v>
      </c>
      <c r="U297" s="5">
        <v>42300.72</v>
      </c>
      <c r="V297" s="5">
        <v>38419.919999999991</v>
      </c>
      <c r="W297" s="5">
        <f t="shared" ref="W297:AH297" si="299">IF(OR((SLOPE($E297:$V297,$E$1:$V$1)*W$1+INTERCEPT($E297:$V297,$E$1:$V$1))&gt;(AVERAGE($E297:$V297)+_xlfn.STDEV.P($E297:$V297)),(SLOPE($E297:$V297,$E$1:$V$1)*W$1+INTERCEPT($E297:$V297,$E$1:$V$1))&lt;(AVERAGE($E297:$V297)-_xlfn.STDEV.P($E297:$V297))),V297,(SLOPE($E297:$V297,$E$1:$V$1)*W$1+INTERCEPT($E297:$V297,$E$1:$V$1)))</f>
        <v>38891.38647058823</v>
      </c>
      <c r="X297" s="5">
        <f t="shared" si="299"/>
        <v>40191.494520123837</v>
      </c>
      <c r="Y297" s="5">
        <f t="shared" si="299"/>
        <v>41491.602569659437</v>
      </c>
      <c r="Z297" s="5">
        <f t="shared" si="299"/>
        <v>42791.710619195037</v>
      </c>
      <c r="AA297" s="5">
        <f t="shared" si="299"/>
        <v>44091.818668730644</v>
      </c>
      <c r="AB297" s="5">
        <f t="shared" si="299"/>
        <v>45391.926718266244</v>
      </c>
      <c r="AC297" s="5">
        <f t="shared" si="299"/>
        <v>46692.034767801852</v>
      </c>
      <c r="AD297" s="5">
        <f t="shared" si="299"/>
        <v>47992.142817337452</v>
      </c>
      <c r="AE297" s="5">
        <f t="shared" si="299"/>
        <v>49292.250866873059</v>
      </c>
      <c r="AF297" s="5">
        <f t="shared" si="299"/>
        <v>49292.250866873059</v>
      </c>
      <c r="AG297" s="5">
        <f t="shared" si="299"/>
        <v>49292.250866873059</v>
      </c>
      <c r="AH297" s="5">
        <f t="shared" si="299"/>
        <v>49292.250866873059</v>
      </c>
    </row>
    <row r="298" spans="1:34" x14ac:dyDescent="0.35">
      <c r="A298" t="s">
        <v>318</v>
      </c>
      <c r="B298" s="3" t="s">
        <v>1262</v>
      </c>
      <c r="C298" s="4" t="s">
        <v>1263</v>
      </c>
      <c r="D298" s="2">
        <f t="shared" si="261"/>
        <v>477240.2489659175</v>
      </c>
      <c r="E298" s="5">
        <v>0</v>
      </c>
      <c r="F298" s="5">
        <v>0</v>
      </c>
      <c r="G298" s="5">
        <v>317569.87385569332</v>
      </c>
      <c r="H298" s="5">
        <v>4554.723160378373</v>
      </c>
      <c r="I298" s="5">
        <v>109.31335584908095</v>
      </c>
      <c r="J298" s="5">
        <v>2404.8938286797811</v>
      </c>
      <c r="K298" s="5">
        <v>437.2534233963238</v>
      </c>
      <c r="L298" s="5">
        <v>947.38241735870145</v>
      </c>
      <c r="M298" s="5">
        <v>5101.2899396237763</v>
      </c>
      <c r="N298" s="5">
        <v>8963.6951796246376</v>
      </c>
      <c r="O298" s="5">
        <v>1093.1335584908095</v>
      </c>
      <c r="P298" s="5">
        <v>0</v>
      </c>
      <c r="Q298" s="5">
        <v>1493.949196604106</v>
      </c>
      <c r="R298" s="5">
        <v>36619.974209442116</v>
      </c>
      <c r="S298" s="5">
        <v>40227.314952461791</v>
      </c>
      <c r="T298" s="5">
        <v>27109.712250572076</v>
      </c>
      <c r="U298" s="5">
        <v>9947.5153822663651</v>
      </c>
      <c r="V298" s="5">
        <v>20660.224255476292</v>
      </c>
      <c r="W298" s="5">
        <f t="shared" ref="W298:AH298" si="300">IF(OR((SLOPE($E298:$V298,$E$1:$V$1)*W$1+INTERCEPT($E298:$V298,$E$1:$V$1))&gt;(AVERAGE($E298:$V298)+_xlfn.STDEV.P($E298:$V298)),(SLOPE($E298:$V298,$E$1:$V$1)*W$1+INTERCEPT($E298:$V298,$E$1:$V$1))&lt;(AVERAGE($E298:$V298)-_xlfn.STDEV.P($E298:$V298))),V298,(SLOPE($E298:$V298,$E$1:$V$1)*W$1+INTERCEPT($E298:$V298,$E$1:$V$1)))</f>
        <v>1426.932250338461</v>
      </c>
      <c r="X298" s="5">
        <f t="shared" si="300"/>
        <v>-1213.7430038125676</v>
      </c>
      <c r="Y298" s="5">
        <f t="shared" si="300"/>
        <v>-3854.418257963589</v>
      </c>
      <c r="Z298" s="5">
        <f t="shared" si="300"/>
        <v>-6495.0935121146176</v>
      </c>
      <c r="AA298" s="5">
        <f t="shared" si="300"/>
        <v>-9135.768766265639</v>
      </c>
      <c r="AB298" s="5">
        <f t="shared" si="300"/>
        <v>-11776.44402041666</v>
      </c>
      <c r="AC298" s="5">
        <f t="shared" si="300"/>
        <v>-14417.119274567682</v>
      </c>
      <c r="AD298" s="5">
        <f t="shared" si="300"/>
        <v>-17057.794528718718</v>
      </c>
      <c r="AE298" s="5">
        <f t="shared" si="300"/>
        <v>-19698.469782869739</v>
      </c>
      <c r="AF298" s="5">
        <f t="shared" si="300"/>
        <v>-22339.14503702076</v>
      </c>
      <c r="AG298" s="5">
        <f t="shared" si="300"/>
        <v>-24979.820291171782</v>
      </c>
      <c r="AH298" s="5">
        <f t="shared" si="300"/>
        <v>-27620.495545322818</v>
      </c>
    </row>
    <row r="299" spans="1:34" x14ac:dyDescent="0.35">
      <c r="A299" t="s">
        <v>319</v>
      </c>
      <c r="B299" s="3" t="s">
        <v>1265</v>
      </c>
      <c r="C299" s="4" t="s">
        <v>1263</v>
      </c>
      <c r="D299" s="2">
        <f t="shared" si="261"/>
        <v>481373.8337731022</v>
      </c>
      <c r="E299" s="5">
        <v>0</v>
      </c>
      <c r="F299" s="5">
        <v>60171.729221637775</v>
      </c>
      <c r="G299" s="5">
        <v>0</v>
      </c>
      <c r="H299" s="5">
        <v>0</v>
      </c>
      <c r="I299" s="5">
        <v>60171.729221637775</v>
      </c>
      <c r="J299" s="5">
        <v>0</v>
      </c>
      <c r="K299" s="5">
        <v>0</v>
      </c>
      <c r="L299" s="5">
        <v>0</v>
      </c>
      <c r="M299" s="5">
        <v>0</v>
      </c>
      <c r="N299" s="5">
        <v>60171.729221637775</v>
      </c>
      <c r="O299" s="5">
        <v>120343.45844327555</v>
      </c>
      <c r="P299" s="5">
        <v>120343.45844327555</v>
      </c>
      <c r="Q299" s="5">
        <v>0</v>
      </c>
      <c r="R299" s="5">
        <v>0</v>
      </c>
      <c r="S299" s="5">
        <v>0</v>
      </c>
      <c r="T299" s="5">
        <v>0</v>
      </c>
      <c r="U299" s="5">
        <v>60171.729221637775</v>
      </c>
      <c r="V299" s="5">
        <v>0</v>
      </c>
      <c r="W299" s="5">
        <f t="shared" ref="W299:AH299" si="301">IF(OR((SLOPE($E299:$V299,$E$1:$V$1)*W$1+INTERCEPT($E299:$V299,$E$1:$V$1))&gt;(AVERAGE($E299:$V299)+_xlfn.STDEV.P($E299:$V299)),(SLOPE($E299:$V299,$E$1:$V$1)*W$1+INTERCEPT($E299:$V299,$E$1:$V$1))&lt;(AVERAGE($E299:$V299)-_xlfn.STDEV.P($E299:$V299))),V299,(SLOPE($E299:$V299,$E$1:$V$1)*W$1+INTERCEPT($E299:$V299,$E$1:$V$1)))</f>
        <v>31462.342076673343</v>
      </c>
      <c r="X299" s="5">
        <f t="shared" si="301"/>
        <v>31959.115898936609</v>
      </c>
      <c r="Y299" s="5">
        <f t="shared" si="301"/>
        <v>32455.88972119987</v>
      </c>
      <c r="Z299" s="5">
        <f t="shared" si="301"/>
        <v>32952.663543463132</v>
      </c>
      <c r="AA299" s="5">
        <f t="shared" si="301"/>
        <v>33449.437365726393</v>
      </c>
      <c r="AB299" s="5">
        <f t="shared" si="301"/>
        <v>33946.211187989655</v>
      </c>
      <c r="AC299" s="5">
        <f t="shared" si="301"/>
        <v>34442.985010252924</v>
      </c>
      <c r="AD299" s="5">
        <f t="shared" si="301"/>
        <v>34939.758832516185</v>
      </c>
      <c r="AE299" s="5">
        <f t="shared" si="301"/>
        <v>35436.532654779447</v>
      </c>
      <c r="AF299" s="5">
        <f t="shared" si="301"/>
        <v>35933.306477042715</v>
      </c>
      <c r="AG299" s="5">
        <f t="shared" si="301"/>
        <v>36430.080299305977</v>
      </c>
      <c r="AH299" s="5">
        <f t="shared" si="301"/>
        <v>36926.854121569238</v>
      </c>
    </row>
    <row r="300" spans="1:34" x14ac:dyDescent="0.35">
      <c r="A300" t="s">
        <v>320</v>
      </c>
      <c r="B300" s="3" t="s">
        <v>1265</v>
      </c>
      <c r="C300" s="4" t="s">
        <v>1263</v>
      </c>
      <c r="D300" s="2">
        <f t="shared" si="261"/>
        <v>479257.55059246736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277282.66473170446</v>
      </c>
      <c r="Q300" s="5">
        <v>0</v>
      </c>
      <c r="R300" s="5">
        <v>0</v>
      </c>
      <c r="S300" s="5">
        <v>84156.20244198454</v>
      </c>
      <c r="T300" s="5">
        <v>0</v>
      </c>
      <c r="U300" s="5">
        <v>0</v>
      </c>
      <c r="V300" s="5">
        <v>117818.68341877835</v>
      </c>
      <c r="W300" s="5">
        <f t="shared" ref="W300:AH300" si="302">IF(OR((SLOPE($E300:$V300,$E$1:$V$1)*W$1+INTERCEPT($E300:$V300,$E$1:$V$1))&gt;(AVERAGE($E300:$V300)+_xlfn.STDEV.P($E300:$V300)),(SLOPE($E300:$V300,$E$1:$V$1)*W$1+INTERCEPT($E300:$V300,$E$1:$V$1))&lt;(AVERAGE($E300:$V300)-_xlfn.STDEV.P($E300:$V300))),V300,(SLOPE($E300:$V300,$E$1:$V$1)*W$1+INTERCEPT($E300:$V300,$E$1:$V$1)))</f>
        <v>68929.823091472877</v>
      </c>
      <c r="X300" s="5">
        <f t="shared" si="302"/>
        <v>73382.918208747986</v>
      </c>
      <c r="Y300" s="5">
        <f t="shared" si="302"/>
        <v>77836.013326023094</v>
      </c>
      <c r="Z300" s="5">
        <f t="shared" si="302"/>
        <v>82289.108443298202</v>
      </c>
      <c r="AA300" s="5">
        <f t="shared" si="302"/>
        <v>86742.203560573311</v>
      </c>
      <c r="AB300" s="5">
        <f t="shared" si="302"/>
        <v>91195.298677848448</v>
      </c>
      <c r="AC300" s="5">
        <f t="shared" si="302"/>
        <v>91195.298677848448</v>
      </c>
      <c r="AD300" s="5">
        <f t="shared" si="302"/>
        <v>91195.298677848448</v>
      </c>
      <c r="AE300" s="5">
        <f t="shared" si="302"/>
        <v>91195.298677848448</v>
      </c>
      <c r="AF300" s="5">
        <f t="shared" si="302"/>
        <v>91195.298677848448</v>
      </c>
      <c r="AG300" s="5">
        <f t="shared" si="302"/>
        <v>91195.298677848448</v>
      </c>
      <c r="AH300" s="5">
        <f t="shared" si="302"/>
        <v>91195.298677848448</v>
      </c>
    </row>
    <row r="301" spans="1:34" x14ac:dyDescent="0.35">
      <c r="A301" t="s">
        <v>321</v>
      </c>
      <c r="B301" s="3" t="s">
        <v>1265</v>
      </c>
      <c r="C301" s="4" t="s">
        <v>1263</v>
      </c>
      <c r="D301" s="2">
        <f t="shared" si="261"/>
        <v>467103.67199999996</v>
      </c>
      <c r="E301" s="5">
        <v>6720.8399999999983</v>
      </c>
      <c r="F301" s="5">
        <v>11219.039999999999</v>
      </c>
      <c r="G301" s="5">
        <v>18966.527999999998</v>
      </c>
      <c r="H301" s="5">
        <v>16722.719999999994</v>
      </c>
      <c r="I301" s="5">
        <v>23623.488000000001</v>
      </c>
      <c r="J301" s="5">
        <v>24639.551999999996</v>
      </c>
      <c r="K301" s="5">
        <v>25475.687999999998</v>
      </c>
      <c r="L301" s="5">
        <v>0</v>
      </c>
      <c r="M301" s="5">
        <v>0</v>
      </c>
      <c r="N301" s="5">
        <v>0</v>
      </c>
      <c r="O301" s="5">
        <v>31021.703999999994</v>
      </c>
      <c r="P301" s="5">
        <v>41764.463999999985</v>
      </c>
      <c r="Q301" s="5">
        <v>50750.279999999984</v>
      </c>
      <c r="R301" s="5">
        <v>33000.911999999989</v>
      </c>
      <c r="S301" s="5">
        <v>38621.015999999981</v>
      </c>
      <c r="T301" s="5">
        <v>59693.759999999987</v>
      </c>
      <c r="U301" s="5">
        <v>7525.2239999999983</v>
      </c>
      <c r="V301" s="5">
        <v>77358.455999999991</v>
      </c>
      <c r="W301" s="5">
        <f t="shared" ref="W301:AH301" si="303">IF(OR((SLOPE($E301:$V301,$E$1:$V$1)*W$1+INTERCEPT($E301:$V301,$E$1:$V$1))&gt;(AVERAGE($E301:$V301)+_xlfn.STDEV.P($E301:$V301)),(SLOPE($E301:$V301,$E$1:$V$1)*W$1+INTERCEPT($E301:$V301,$E$1:$V$1))&lt;(AVERAGE($E301:$V301)-_xlfn.STDEV.P($E301:$V301))),V301,(SLOPE($E301:$V301,$E$1:$V$1)*W$1+INTERCEPT($E301:$V301,$E$1:$V$1)))</f>
        <v>77358.455999999991</v>
      </c>
      <c r="X301" s="5">
        <f t="shared" si="303"/>
        <v>77358.455999999991</v>
      </c>
      <c r="Y301" s="5">
        <f t="shared" si="303"/>
        <v>77358.455999999991</v>
      </c>
      <c r="Z301" s="5">
        <f t="shared" si="303"/>
        <v>77358.455999999991</v>
      </c>
      <c r="AA301" s="5">
        <f t="shared" si="303"/>
        <v>77358.455999999991</v>
      </c>
      <c r="AB301" s="5">
        <f t="shared" si="303"/>
        <v>77358.455999999991</v>
      </c>
      <c r="AC301" s="5">
        <f t="shared" si="303"/>
        <v>77358.455999999991</v>
      </c>
      <c r="AD301" s="5">
        <f t="shared" si="303"/>
        <v>77358.455999999991</v>
      </c>
      <c r="AE301" s="5">
        <f t="shared" si="303"/>
        <v>77358.455999999991</v>
      </c>
      <c r="AF301" s="5">
        <f t="shared" si="303"/>
        <v>77358.455999999991</v>
      </c>
      <c r="AG301" s="5">
        <f t="shared" si="303"/>
        <v>77358.455999999991</v>
      </c>
      <c r="AH301" s="5">
        <f t="shared" si="303"/>
        <v>77358.455999999991</v>
      </c>
    </row>
    <row r="302" spans="1:34" x14ac:dyDescent="0.35">
      <c r="A302" t="s">
        <v>322</v>
      </c>
      <c r="B302" s="3" t="s">
        <v>1262</v>
      </c>
      <c r="C302" s="4" t="s">
        <v>1267</v>
      </c>
      <c r="D302" s="2">
        <f t="shared" si="261"/>
        <v>472972.49999999994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169873.19999999998</v>
      </c>
      <c r="U302" s="5">
        <v>215913.59999999992</v>
      </c>
      <c r="V302" s="5">
        <v>87185.7</v>
      </c>
      <c r="W302" s="5">
        <f t="shared" ref="W302:AH302" si="304">IF(OR((SLOPE($E302:$V302,$E$1:$V$1)*W$1+INTERCEPT($E302:$V302,$E$1:$V$1))&gt;(AVERAGE($E302:$V302)+_xlfn.STDEV.P($E302:$V302)),(SLOPE($E302:$V302,$E$1:$V$1)*W$1+INTERCEPT($E302:$V302,$E$1:$V$1))&lt;(AVERAGE($E302:$V302)-_xlfn.STDEV.P($E302:$V302))),V302,(SLOPE($E302:$V302,$E$1:$V$1)*W$1+INTERCEPT($E302:$V302,$E$1:$V$1)))</f>
        <v>87185.7</v>
      </c>
      <c r="X302" s="5">
        <f t="shared" si="304"/>
        <v>87185.7</v>
      </c>
      <c r="Y302" s="5">
        <f t="shared" si="304"/>
        <v>87185.7</v>
      </c>
      <c r="Z302" s="5">
        <f t="shared" si="304"/>
        <v>87185.7</v>
      </c>
      <c r="AA302" s="5">
        <f t="shared" si="304"/>
        <v>87185.7</v>
      </c>
      <c r="AB302" s="5">
        <f t="shared" si="304"/>
        <v>87185.7</v>
      </c>
      <c r="AC302" s="5">
        <f t="shared" si="304"/>
        <v>87185.7</v>
      </c>
      <c r="AD302" s="5">
        <f t="shared" si="304"/>
        <v>87185.7</v>
      </c>
      <c r="AE302" s="5">
        <f t="shared" si="304"/>
        <v>87185.7</v>
      </c>
      <c r="AF302" s="5">
        <f t="shared" si="304"/>
        <v>87185.7</v>
      </c>
      <c r="AG302" s="5">
        <f t="shared" si="304"/>
        <v>87185.7</v>
      </c>
      <c r="AH302" s="5">
        <f t="shared" si="304"/>
        <v>87185.7</v>
      </c>
    </row>
    <row r="303" spans="1:34" x14ac:dyDescent="0.35">
      <c r="A303" t="s">
        <v>323</v>
      </c>
      <c r="B303" s="3" t="s">
        <v>1262</v>
      </c>
      <c r="C303" s="4" t="s">
        <v>1263</v>
      </c>
      <c r="D303" s="2">
        <f t="shared" si="261"/>
        <v>456599.92546340683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510.81816555546368</v>
      </c>
      <c r="R303" s="5">
        <v>74551.35717199216</v>
      </c>
      <c r="S303" s="5">
        <v>133665.78938089818</v>
      </c>
      <c r="T303" s="5">
        <v>78070.894332669297</v>
      </c>
      <c r="U303" s="5">
        <v>98659.420495382248</v>
      </c>
      <c r="V303" s="5">
        <v>71141.645916909431</v>
      </c>
      <c r="W303" s="5">
        <f t="shared" ref="W303:AH303" si="305">IF(OR((SLOPE($E303:$V303,$E$1:$V$1)*W$1+INTERCEPT($E303:$V303,$E$1:$V$1))&gt;(AVERAGE($E303:$V303)+_xlfn.STDEV.P($E303:$V303)),(SLOPE($E303:$V303,$E$1:$V$1)*W$1+INTERCEPT($E303:$V303,$E$1:$V$1))&lt;(AVERAGE($E303:$V303)-_xlfn.STDEV.P($E303:$V303))),V303,(SLOPE($E303:$V303,$E$1:$V$1)*W$1+INTERCEPT($E303:$V303,$E$1:$V$1)))</f>
        <v>71141.645916909431</v>
      </c>
      <c r="X303" s="5">
        <f t="shared" si="305"/>
        <v>71141.645916909431</v>
      </c>
      <c r="Y303" s="5">
        <f t="shared" si="305"/>
        <v>71141.645916909431</v>
      </c>
      <c r="Z303" s="5">
        <f t="shared" si="305"/>
        <v>71141.645916909431</v>
      </c>
      <c r="AA303" s="5">
        <f t="shared" si="305"/>
        <v>71141.645916909431</v>
      </c>
      <c r="AB303" s="5">
        <f t="shared" si="305"/>
        <v>71141.645916909431</v>
      </c>
      <c r="AC303" s="5">
        <f t="shared" si="305"/>
        <v>71141.645916909431</v>
      </c>
      <c r="AD303" s="5">
        <f t="shared" si="305"/>
        <v>71141.645916909431</v>
      </c>
      <c r="AE303" s="5">
        <f t="shared" si="305"/>
        <v>71141.645916909431</v>
      </c>
      <c r="AF303" s="5">
        <f t="shared" si="305"/>
        <v>71141.645916909431</v>
      </c>
      <c r="AG303" s="5">
        <f t="shared" si="305"/>
        <v>71141.645916909431</v>
      </c>
      <c r="AH303" s="5">
        <f t="shared" si="305"/>
        <v>71141.645916909431</v>
      </c>
    </row>
    <row r="304" spans="1:34" x14ac:dyDescent="0.35">
      <c r="A304" t="s">
        <v>324</v>
      </c>
      <c r="B304" s="3" t="s">
        <v>1265</v>
      </c>
      <c r="C304" s="4" t="s">
        <v>1263</v>
      </c>
      <c r="D304" s="2">
        <f t="shared" si="261"/>
        <v>466829.07772807532</v>
      </c>
      <c r="E304" s="5">
        <v>41226.919679104729</v>
      </c>
      <c r="F304" s="5">
        <v>19297.707083836256</v>
      </c>
      <c r="G304" s="5">
        <v>19297.707083836256</v>
      </c>
      <c r="H304" s="5">
        <v>55261.615740076551</v>
      </c>
      <c r="I304" s="5">
        <v>19297.707083836256</v>
      </c>
      <c r="J304" s="5">
        <v>9648.853541918128</v>
      </c>
      <c r="K304" s="5">
        <v>21052.044091457734</v>
      </c>
      <c r="L304" s="5">
        <v>11403.190549539606</v>
      </c>
      <c r="M304" s="5">
        <v>34385.005349380968</v>
      </c>
      <c r="N304" s="5">
        <v>20174.875587646995</v>
      </c>
      <c r="O304" s="5">
        <v>23683.549602889951</v>
      </c>
      <c r="P304" s="5">
        <v>32455.23464099734</v>
      </c>
      <c r="Q304" s="5">
        <v>42104.088182915468</v>
      </c>
      <c r="R304" s="5">
        <v>19824.008186122701</v>
      </c>
      <c r="S304" s="5">
        <v>4736.7099205779905</v>
      </c>
      <c r="T304" s="5">
        <v>29823.729129565123</v>
      </c>
      <c r="U304" s="5">
        <v>48244.26770959064</v>
      </c>
      <c r="V304" s="5">
        <v>14911.864564782562</v>
      </c>
      <c r="W304" s="5">
        <f t="shared" ref="W304:AH304" si="306">IF(OR((SLOPE($E304:$V304,$E$1:$V$1)*W$1+INTERCEPT($E304:$V304,$E$1:$V$1))&gt;(AVERAGE($E304:$V304)+_xlfn.STDEV.P($E304:$V304)),(SLOPE($E304:$V304,$E$1:$V$1)*W$1+INTERCEPT($E304:$V304,$E$1:$V$1))&lt;(AVERAGE($E304:$V304)-_xlfn.STDEV.P($E304:$V304))),V304,(SLOPE($E304:$V304,$E$1:$V$1)*W$1+INTERCEPT($E304:$V304,$E$1:$V$1)))</f>
        <v>24753.351189890502</v>
      </c>
      <c r="X304" s="5">
        <f t="shared" si="306"/>
        <v>24628.972498018888</v>
      </c>
      <c r="Y304" s="5">
        <f t="shared" si="306"/>
        <v>24504.59380614727</v>
      </c>
      <c r="Z304" s="5">
        <f t="shared" si="306"/>
        <v>24380.215114275656</v>
      </c>
      <c r="AA304" s="5">
        <f t="shared" si="306"/>
        <v>24255.836422404042</v>
      </c>
      <c r="AB304" s="5">
        <f t="shared" si="306"/>
        <v>24131.457730532424</v>
      </c>
      <c r="AC304" s="5">
        <f t="shared" si="306"/>
        <v>24007.07903866081</v>
      </c>
      <c r="AD304" s="5">
        <f t="shared" si="306"/>
        <v>23882.700346789192</v>
      </c>
      <c r="AE304" s="5">
        <f t="shared" si="306"/>
        <v>23758.321654917578</v>
      </c>
      <c r="AF304" s="5">
        <f t="shared" si="306"/>
        <v>23633.94296304596</v>
      </c>
      <c r="AG304" s="5">
        <f t="shared" si="306"/>
        <v>23509.564271174346</v>
      </c>
      <c r="AH304" s="5">
        <f t="shared" si="306"/>
        <v>23385.185579302732</v>
      </c>
    </row>
    <row r="305" spans="1:34" x14ac:dyDescent="0.35">
      <c r="A305" t="s">
        <v>325</v>
      </c>
      <c r="B305" s="3" t="s">
        <v>1264</v>
      </c>
      <c r="C305" s="4" t="s">
        <v>1263</v>
      </c>
      <c r="D305" s="2">
        <f t="shared" si="261"/>
        <v>459151.78853902355</v>
      </c>
      <c r="E305" s="5">
        <v>10529.947198647926</v>
      </c>
      <c r="F305" s="5">
        <v>15280.832466724763</v>
      </c>
      <c r="G305" s="5">
        <v>24162.151568614696</v>
      </c>
      <c r="H305" s="5">
        <v>15334.014018233094</v>
      </c>
      <c r="I305" s="5">
        <v>23701.244788875891</v>
      </c>
      <c r="J305" s="5">
        <v>18099.454696665878</v>
      </c>
      <c r="K305" s="5">
        <v>20563.53324988484</v>
      </c>
      <c r="L305" s="5">
        <v>23364.428295989852</v>
      </c>
      <c r="M305" s="5">
        <v>31838.022169649295</v>
      </c>
      <c r="N305" s="5">
        <v>11416.306390453306</v>
      </c>
      <c r="O305" s="5">
        <v>34195.737619851599</v>
      </c>
      <c r="P305" s="5">
        <v>53287.914611339518</v>
      </c>
      <c r="Q305" s="5">
        <v>19517.629403554492</v>
      </c>
      <c r="R305" s="5">
        <v>28274.858218591668</v>
      </c>
      <c r="S305" s="5">
        <v>38875.714152584012</v>
      </c>
      <c r="T305" s="5">
        <v>26183.050525930961</v>
      </c>
      <c r="U305" s="5">
        <v>38840.25978491181</v>
      </c>
      <c r="V305" s="5">
        <v>25686.689378519943</v>
      </c>
      <c r="W305" s="5">
        <f t="shared" ref="W305:AH305" si="307">IF(OR((SLOPE($E305:$V305,$E$1:$V$1)*W$1+INTERCEPT($E305:$V305,$E$1:$V$1))&gt;(AVERAGE($E305:$V305)+_xlfn.STDEV.P($E305:$V305)),(SLOPE($E305:$V305,$E$1:$V$1)*W$1+INTERCEPT($E305:$V305,$E$1:$V$1))&lt;(AVERAGE($E305:$V305)-_xlfn.STDEV.P($E305:$V305))),V305,(SLOPE($E305:$V305,$E$1:$V$1)*W$1+INTERCEPT($E305:$V305,$E$1:$V$1)))</f>
        <v>25686.689378519943</v>
      </c>
      <c r="X305" s="5">
        <f t="shared" si="307"/>
        <v>25686.689378519943</v>
      </c>
      <c r="Y305" s="5">
        <f t="shared" si="307"/>
        <v>25686.689378519943</v>
      </c>
      <c r="Z305" s="5">
        <f t="shared" si="307"/>
        <v>25686.689378519943</v>
      </c>
      <c r="AA305" s="5">
        <f t="shared" si="307"/>
        <v>25686.689378519943</v>
      </c>
      <c r="AB305" s="5">
        <f t="shared" si="307"/>
        <v>25686.689378519943</v>
      </c>
      <c r="AC305" s="5">
        <f t="shared" si="307"/>
        <v>25686.689378519943</v>
      </c>
      <c r="AD305" s="5">
        <f t="shared" si="307"/>
        <v>25686.689378519943</v>
      </c>
      <c r="AE305" s="5">
        <f t="shared" si="307"/>
        <v>25686.689378519943</v>
      </c>
      <c r="AF305" s="5">
        <f t="shared" si="307"/>
        <v>25686.689378519943</v>
      </c>
      <c r="AG305" s="5">
        <f t="shared" si="307"/>
        <v>25686.689378519943</v>
      </c>
      <c r="AH305" s="5">
        <f t="shared" si="307"/>
        <v>25686.689378519943</v>
      </c>
    </row>
    <row r="306" spans="1:34" x14ac:dyDescent="0.35">
      <c r="A306" t="s">
        <v>326</v>
      </c>
      <c r="B306" s="3" t="s">
        <v>1262</v>
      </c>
      <c r="C306" s="4" t="s">
        <v>1263</v>
      </c>
      <c r="D306" s="2">
        <f t="shared" si="261"/>
        <v>465166.80000000005</v>
      </c>
      <c r="E306" s="5">
        <v>27386.100000000002</v>
      </c>
      <c r="F306" s="5">
        <v>26460</v>
      </c>
      <c r="G306" s="5">
        <v>40748.400000000001</v>
      </c>
      <c r="H306" s="5">
        <v>40880.699999999997</v>
      </c>
      <c r="I306" s="5">
        <v>38565.449999999997</v>
      </c>
      <c r="J306" s="5">
        <v>45378.9</v>
      </c>
      <c r="K306" s="5">
        <v>34596.449999999997</v>
      </c>
      <c r="L306" s="5">
        <v>10980.9</v>
      </c>
      <c r="M306" s="5">
        <v>0</v>
      </c>
      <c r="N306" s="5">
        <v>198.44999999999996</v>
      </c>
      <c r="O306" s="5">
        <v>66.149999999999991</v>
      </c>
      <c r="P306" s="5">
        <v>0</v>
      </c>
      <c r="Q306" s="5">
        <v>0</v>
      </c>
      <c r="R306" s="5">
        <v>74088</v>
      </c>
      <c r="S306" s="5">
        <v>111793.5</v>
      </c>
      <c r="T306" s="5">
        <v>2646</v>
      </c>
      <c r="U306" s="5">
        <v>0</v>
      </c>
      <c r="V306" s="5">
        <v>11377.8</v>
      </c>
      <c r="W306" s="5">
        <f t="shared" ref="W306:AH306" si="308">IF(OR((SLOPE($E306:$V306,$E$1:$V$1)*W$1+INTERCEPT($E306:$V306,$E$1:$V$1))&gt;(AVERAGE($E306:$V306)+_xlfn.STDEV.P($E306:$V306)),(SLOPE($E306:$V306,$E$1:$V$1)*W$1+INTERCEPT($E306:$V306,$E$1:$V$1))&lt;(AVERAGE($E306:$V306)-_xlfn.STDEV.P($E306:$V306))),V306,(SLOPE($E306:$V306,$E$1:$V$1)*W$1+INTERCEPT($E306:$V306,$E$1:$V$1)))</f>
        <v>20079.767647058823</v>
      </c>
      <c r="X306" s="5">
        <f t="shared" si="308"/>
        <v>19473.15371517028</v>
      </c>
      <c r="Y306" s="5">
        <f t="shared" si="308"/>
        <v>18866.539783281733</v>
      </c>
      <c r="Z306" s="5">
        <f t="shared" si="308"/>
        <v>18259.925851393185</v>
      </c>
      <c r="AA306" s="5">
        <f t="shared" si="308"/>
        <v>17653.311919504642</v>
      </c>
      <c r="AB306" s="5">
        <f t="shared" si="308"/>
        <v>17046.697987616099</v>
      </c>
      <c r="AC306" s="5">
        <f t="shared" si="308"/>
        <v>16440.084055727551</v>
      </c>
      <c r="AD306" s="5">
        <f t="shared" si="308"/>
        <v>15833.470123839008</v>
      </c>
      <c r="AE306" s="5">
        <f t="shared" si="308"/>
        <v>15226.856191950463</v>
      </c>
      <c r="AF306" s="5">
        <f t="shared" si="308"/>
        <v>14620.242260061917</v>
      </c>
      <c r="AG306" s="5">
        <f t="shared" si="308"/>
        <v>14013.62832817337</v>
      </c>
      <c r="AH306" s="5">
        <f t="shared" si="308"/>
        <v>13407.014396284827</v>
      </c>
    </row>
    <row r="307" spans="1:34" x14ac:dyDescent="0.35">
      <c r="A307" t="s">
        <v>327</v>
      </c>
      <c r="B307" s="3" t="s">
        <v>1266</v>
      </c>
      <c r="C307" s="4" t="s">
        <v>1263</v>
      </c>
      <c r="D307" s="2">
        <f t="shared" si="261"/>
        <v>464988.22331631696</v>
      </c>
      <c r="E307" s="5">
        <v>0</v>
      </c>
      <c r="F307" s="5">
        <v>0</v>
      </c>
      <c r="G307" s="5">
        <v>43161.703304474111</v>
      </c>
      <c r="H307" s="5">
        <v>0</v>
      </c>
      <c r="I307" s="5">
        <v>0</v>
      </c>
      <c r="J307" s="5">
        <v>107904.25826118526</v>
      </c>
      <c r="K307" s="5">
        <v>0</v>
      </c>
      <c r="L307" s="5">
        <v>0</v>
      </c>
      <c r="M307" s="5">
        <v>216527.87824411178</v>
      </c>
      <c r="N307" s="5">
        <v>0</v>
      </c>
      <c r="O307" s="5">
        <v>0</v>
      </c>
      <c r="P307" s="5">
        <v>97394.383506545826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f t="shared" ref="W307:AH307" si="309">IF(OR((SLOPE($E307:$V307,$E$1:$V$1)*W$1+INTERCEPT($E307:$V307,$E$1:$V$1))&gt;(AVERAGE($E307:$V307)+_xlfn.STDEV.P($E307:$V307)),(SLOPE($E307:$V307,$E$1:$V$1)*W$1+INTERCEPT($E307:$V307,$E$1:$V$1))&lt;(AVERAGE($E307:$V307)-_xlfn.STDEV.P($E307:$V307))),V307,(SLOPE($E307:$V307,$E$1:$V$1)*W$1+INTERCEPT($E307:$V307,$E$1:$V$1)))</f>
        <v>15577.895627071437</v>
      </c>
      <c r="X307" s="5">
        <f t="shared" si="309"/>
        <v>14498.444738012775</v>
      </c>
      <c r="Y307" s="5">
        <f t="shared" si="309"/>
        <v>13418.993848954113</v>
      </c>
      <c r="Z307" s="5">
        <f t="shared" si="309"/>
        <v>12339.542959895451</v>
      </c>
      <c r="AA307" s="5">
        <f t="shared" si="309"/>
        <v>11260.092070836788</v>
      </c>
      <c r="AB307" s="5">
        <f t="shared" si="309"/>
        <v>10180.641181778126</v>
      </c>
      <c r="AC307" s="5">
        <f t="shared" si="309"/>
        <v>9101.1902927194678</v>
      </c>
      <c r="AD307" s="5">
        <f t="shared" si="309"/>
        <v>8021.7394036608057</v>
      </c>
      <c r="AE307" s="5">
        <f t="shared" si="309"/>
        <v>6942.2885146021436</v>
      </c>
      <c r="AF307" s="5">
        <f t="shared" si="309"/>
        <v>5862.8376255434814</v>
      </c>
      <c r="AG307" s="5">
        <f t="shared" si="309"/>
        <v>4783.3867364848193</v>
      </c>
      <c r="AH307" s="5">
        <f t="shared" si="309"/>
        <v>3703.9358474261608</v>
      </c>
    </row>
    <row r="308" spans="1:34" x14ac:dyDescent="0.35">
      <c r="A308" t="s">
        <v>328</v>
      </c>
      <c r="B308" s="3" t="s">
        <v>1266</v>
      </c>
      <c r="C308" s="4" t="s">
        <v>1263</v>
      </c>
      <c r="D308" s="2">
        <f t="shared" si="261"/>
        <v>462995.16618726618</v>
      </c>
      <c r="E308" s="5">
        <v>0</v>
      </c>
      <c r="F308" s="5">
        <v>79197.221120822389</v>
      </c>
      <c r="G308" s="5">
        <v>0</v>
      </c>
      <c r="H308" s="5">
        <v>0</v>
      </c>
      <c r="I308" s="5">
        <v>116200.68309217499</v>
      </c>
      <c r="J308" s="5">
        <v>0</v>
      </c>
      <c r="K308" s="5">
        <v>56809.222845063334</v>
      </c>
      <c r="L308" s="5">
        <v>42606.917133797499</v>
      </c>
      <c r="M308" s="5">
        <v>0</v>
      </c>
      <c r="N308" s="5">
        <v>43123.364614207167</v>
      </c>
      <c r="O308" s="5">
        <v>86324.196350475773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38733.561030724995</v>
      </c>
      <c r="V308" s="5">
        <v>0</v>
      </c>
      <c r="W308" s="5">
        <f t="shared" ref="W308:AH308" si="310">IF(OR((SLOPE($E308:$V308,$E$1:$V$1)*W$1+INTERCEPT($E308:$V308,$E$1:$V$1))&gt;(AVERAGE($E308:$V308)+_xlfn.STDEV.P($E308:$V308)),(SLOPE($E308:$V308,$E$1:$V$1)*W$1+INTERCEPT($E308:$V308,$E$1:$V$1))&lt;(AVERAGE($E308:$V308)-_xlfn.STDEV.P($E308:$V308))),V308,(SLOPE($E308:$V308,$E$1:$V$1)*W$1+INTERCEPT($E308:$V308,$E$1:$V$1)))</f>
        <v>8442.2285678339613</v>
      </c>
      <c r="X308" s="5">
        <f t="shared" si="310"/>
        <v>6623.3101352827653</v>
      </c>
      <c r="Y308" s="5">
        <f t="shared" si="310"/>
        <v>4804.391702731562</v>
      </c>
      <c r="Z308" s="5">
        <f t="shared" si="310"/>
        <v>2985.4732701803659</v>
      </c>
      <c r="AA308" s="5">
        <f t="shared" si="310"/>
        <v>1166.5548376291699</v>
      </c>
      <c r="AB308" s="5">
        <f t="shared" si="310"/>
        <v>-652.3635949220261</v>
      </c>
      <c r="AC308" s="5">
        <f t="shared" si="310"/>
        <v>-2471.2820274732221</v>
      </c>
      <c r="AD308" s="5">
        <f t="shared" si="310"/>
        <v>-4290.2004600244254</v>
      </c>
      <c r="AE308" s="5">
        <f t="shared" si="310"/>
        <v>-6109.1188925756214</v>
      </c>
      <c r="AF308" s="5">
        <f t="shared" si="310"/>
        <v>-7928.0373251268174</v>
      </c>
      <c r="AG308" s="5">
        <f t="shared" si="310"/>
        <v>-9746.9557576780135</v>
      </c>
      <c r="AH308" s="5">
        <f t="shared" si="310"/>
        <v>-9746.9557576780135</v>
      </c>
    </row>
    <row r="309" spans="1:34" x14ac:dyDescent="0.35">
      <c r="A309" t="s">
        <v>329</v>
      </c>
      <c r="B309" s="3" t="s">
        <v>1266</v>
      </c>
      <c r="C309" s="4" t="s">
        <v>1263</v>
      </c>
      <c r="D309" s="2">
        <f t="shared" si="261"/>
        <v>462488.56485079427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153495.22053906281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155672.61913014186</v>
      </c>
      <c r="T309" s="5">
        <v>0</v>
      </c>
      <c r="U309" s="5">
        <v>153320.7251815896</v>
      </c>
      <c r="V309" s="5">
        <v>0</v>
      </c>
      <c r="W309" s="5">
        <f t="shared" ref="W309:AH309" si="311">IF(OR((SLOPE($E309:$V309,$E$1:$V$1)*W$1+INTERCEPT($E309:$V309,$E$1:$V$1))&gt;(AVERAGE($E309:$V309)+_xlfn.STDEV.P($E309:$V309)),(SLOPE($E309:$V309,$E$1:$V$1)*W$1+INTERCEPT($E309:$V309,$E$1:$V$1))&lt;(AVERAGE($E309:$V309)-_xlfn.STDEV.P($E309:$V309))),V309,(SLOPE($E309:$V309,$E$1:$V$1)*W$1+INTERCEPT($E309:$V309,$E$1:$V$1)))</f>
        <v>57504.922741319519</v>
      </c>
      <c r="X309" s="5">
        <f t="shared" si="311"/>
        <v>60853.461013208158</v>
      </c>
      <c r="Y309" s="5">
        <f t="shared" si="311"/>
        <v>64201.999285096797</v>
      </c>
      <c r="Z309" s="5">
        <f t="shared" si="311"/>
        <v>67550.537556985437</v>
      </c>
      <c r="AA309" s="5">
        <f t="shared" si="311"/>
        <v>70899.075828874076</v>
      </c>
      <c r="AB309" s="5">
        <f t="shared" si="311"/>
        <v>74247.614100762716</v>
      </c>
      <c r="AC309" s="5">
        <f t="shared" si="311"/>
        <v>77596.152372651355</v>
      </c>
      <c r="AD309" s="5">
        <f t="shared" si="311"/>
        <v>80944.690644539995</v>
      </c>
      <c r="AE309" s="5">
        <f t="shared" si="311"/>
        <v>80944.690644539995</v>
      </c>
      <c r="AF309" s="5">
        <f t="shared" si="311"/>
        <v>80944.690644539995</v>
      </c>
      <c r="AG309" s="5">
        <f t="shared" si="311"/>
        <v>80944.690644539995</v>
      </c>
      <c r="AH309" s="5">
        <f t="shared" si="311"/>
        <v>80944.690644539995</v>
      </c>
    </row>
    <row r="310" spans="1:34" x14ac:dyDescent="0.35">
      <c r="A310" t="s">
        <v>330</v>
      </c>
      <c r="B310" s="3" t="s">
        <v>1266</v>
      </c>
      <c r="C310" s="4" t="s">
        <v>1266</v>
      </c>
      <c r="D310" s="2">
        <f t="shared" si="261"/>
        <v>462446.26289644005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154243.47261182166</v>
      </c>
      <c r="Q310" s="5">
        <v>0</v>
      </c>
      <c r="R310" s="5">
        <v>0</v>
      </c>
      <c r="S310" s="5">
        <v>0</v>
      </c>
      <c r="T310" s="5">
        <v>308202.79028461839</v>
      </c>
      <c r="U310" s="5">
        <v>0</v>
      </c>
      <c r="V310" s="5">
        <v>0</v>
      </c>
      <c r="W310" s="5">
        <f t="shared" ref="W310:AH310" si="312">IF(OR((SLOPE($E310:$V310,$E$1:$V$1)*W$1+INTERCEPT($E310:$V310,$E$1:$V$1))&gt;(AVERAGE($E310:$V310)+_xlfn.STDEV.P($E310:$V310)),(SLOPE($E310:$V310,$E$1:$V$1)*W$1+INTERCEPT($E310:$V310,$E$1:$V$1))&lt;(AVERAGE($E310:$V310)-_xlfn.STDEV.P($E310:$V310))),V310,(SLOPE($E310:$V310,$E$1:$V$1)*W$1+INTERCEPT($E310:$V310,$E$1:$V$1)))</f>
        <v>72533.161370970338</v>
      </c>
      <c r="X310" s="5">
        <f t="shared" si="312"/>
        <v>77463.866878461718</v>
      </c>
      <c r="Y310" s="5">
        <f t="shared" si="312"/>
        <v>82394.572385953099</v>
      </c>
      <c r="Z310" s="5">
        <f t="shared" si="312"/>
        <v>87325.27789344448</v>
      </c>
      <c r="AA310" s="5">
        <f t="shared" si="312"/>
        <v>92255.98340093586</v>
      </c>
      <c r="AB310" s="5">
        <f t="shared" si="312"/>
        <v>97186.688908427241</v>
      </c>
      <c r="AC310" s="5">
        <f t="shared" si="312"/>
        <v>102117.39441591862</v>
      </c>
      <c r="AD310" s="5">
        <f t="shared" si="312"/>
        <v>102117.39441591862</v>
      </c>
      <c r="AE310" s="5">
        <f t="shared" si="312"/>
        <v>102117.39441591862</v>
      </c>
      <c r="AF310" s="5">
        <f t="shared" si="312"/>
        <v>102117.39441591862</v>
      </c>
      <c r="AG310" s="5">
        <f t="shared" si="312"/>
        <v>102117.39441591862</v>
      </c>
      <c r="AH310" s="5">
        <f t="shared" si="312"/>
        <v>102117.39441591862</v>
      </c>
    </row>
    <row r="311" spans="1:34" x14ac:dyDescent="0.35">
      <c r="A311" t="s">
        <v>331</v>
      </c>
      <c r="B311" s="3" t="s">
        <v>1266</v>
      </c>
      <c r="C311" s="4" t="s">
        <v>1266</v>
      </c>
      <c r="D311" s="2">
        <f t="shared" si="261"/>
        <v>462065.95362752688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102311.70632560339</v>
      </c>
      <c r="L311" s="5">
        <v>0</v>
      </c>
      <c r="M311" s="5">
        <v>0</v>
      </c>
      <c r="N311" s="5">
        <v>0</v>
      </c>
      <c r="O311" s="5">
        <v>0</v>
      </c>
      <c r="P311" s="5">
        <v>359754.24730192346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f t="shared" ref="W311:AH311" si="313">IF(OR((SLOPE($E311:$V311,$E$1:$V$1)*W$1+INTERCEPT($E311:$V311,$E$1:$V$1))&gt;(AVERAGE($E311:$V311)+_xlfn.STDEV.P($E311:$V311)),(SLOPE($E311:$V311,$E$1:$V$1)*W$1+INTERCEPT($E311:$V311,$E$1:$V$1))&lt;(AVERAGE($E311:$V311)-_xlfn.STDEV.P($E311:$V311))),V311,(SLOPE($E311:$V311,$E$1:$V$1)*W$1+INTERCEPT($E311:$V311,$E$1:$V$1)))</f>
        <v>38290.063157884833</v>
      </c>
      <c r="X311" s="5">
        <f t="shared" si="313"/>
        <v>39618.456042179569</v>
      </c>
      <c r="Y311" s="5">
        <f t="shared" si="313"/>
        <v>40946.848926474311</v>
      </c>
      <c r="Z311" s="5">
        <f t="shared" si="313"/>
        <v>42275.241810769046</v>
      </c>
      <c r="AA311" s="5">
        <f t="shared" si="313"/>
        <v>43603.634695063782</v>
      </c>
      <c r="AB311" s="5">
        <f t="shared" si="313"/>
        <v>44932.027579358517</v>
      </c>
      <c r="AC311" s="5">
        <f t="shared" si="313"/>
        <v>46260.42046365326</v>
      </c>
      <c r="AD311" s="5">
        <f t="shared" si="313"/>
        <v>47588.813347947995</v>
      </c>
      <c r="AE311" s="5">
        <f t="shared" si="313"/>
        <v>48917.20623224273</v>
      </c>
      <c r="AF311" s="5">
        <f t="shared" si="313"/>
        <v>50245.599116537473</v>
      </c>
      <c r="AG311" s="5">
        <f t="shared" si="313"/>
        <v>51573.992000832208</v>
      </c>
      <c r="AH311" s="5">
        <f t="shared" si="313"/>
        <v>52902.384885126943</v>
      </c>
    </row>
    <row r="312" spans="1:34" x14ac:dyDescent="0.35">
      <c r="A312" t="s">
        <v>332</v>
      </c>
      <c r="B312" s="3" t="s">
        <v>1265</v>
      </c>
      <c r="C312" s="4" t="s">
        <v>1263</v>
      </c>
      <c r="D312" s="2">
        <f t="shared" si="261"/>
        <v>452879.66170364257</v>
      </c>
      <c r="E312" s="5">
        <v>0</v>
      </c>
      <c r="F312" s="5">
        <v>43504.201163183003</v>
      </c>
      <c r="G312" s="5">
        <v>3246.5821763569397</v>
      </c>
      <c r="H312" s="5">
        <v>0</v>
      </c>
      <c r="I312" s="5">
        <v>0</v>
      </c>
      <c r="J312" s="5">
        <v>76804.858343529908</v>
      </c>
      <c r="K312" s="5">
        <v>32688.444541376739</v>
      </c>
      <c r="L312" s="5">
        <v>34617.841949040296</v>
      </c>
      <c r="M312" s="5">
        <v>0</v>
      </c>
      <c r="N312" s="5">
        <v>0</v>
      </c>
      <c r="O312" s="5">
        <v>109632.44212103623</v>
      </c>
      <c r="P312" s="5">
        <v>0</v>
      </c>
      <c r="Q312" s="5">
        <v>0</v>
      </c>
      <c r="R312" s="5">
        <v>0</v>
      </c>
      <c r="S312" s="5">
        <v>99957.627235492531</v>
      </c>
      <c r="T312" s="5">
        <v>5676.8808340869928</v>
      </c>
      <c r="U312" s="5">
        <v>31723.745837544961</v>
      </c>
      <c r="V312" s="5">
        <v>15027.037501994982</v>
      </c>
      <c r="W312" s="5">
        <f t="shared" ref="W312:AH312" si="314">IF(OR((SLOPE($E312:$V312,$E$1:$V$1)*W$1+INTERCEPT($E312:$V312,$E$1:$V$1))&gt;(AVERAGE($E312:$V312)+_xlfn.STDEV.P($E312:$V312)),(SLOPE($E312:$V312,$E$1:$V$1)*W$1+INTERCEPT($E312:$V312,$E$1:$V$1))&lt;(AVERAGE($E312:$V312)-_xlfn.STDEV.P($E312:$V312))),V312,(SLOPE($E312:$V312,$E$1:$V$1)*W$1+INTERCEPT($E312:$V312,$E$1:$V$1)))</f>
        <v>32354.571001783879</v>
      </c>
      <c r="X312" s="5">
        <f t="shared" si="314"/>
        <v>33111.896243470823</v>
      </c>
      <c r="Y312" s="5">
        <f t="shared" si="314"/>
        <v>33869.221485157759</v>
      </c>
      <c r="Z312" s="5">
        <f t="shared" si="314"/>
        <v>34626.54672684471</v>
      </c>
      <c r="AA312" s="5">
        <f t="shared" si="314"/>
        <v>35383.871968531646</v>
      </c>
      <c r="AB312" s="5">
        <f t="shared" si="314"/>
        <v>36141.19721021859</v>
      </c>
      <c r="AC312" s="5">
        <f t="shared" si="314"/>
        <v>36898.522451905534</v>
      </c>
      <c r="AD312" s="5">
        <f t="shared" si="314"/>
        <v>37655.847693592477</v>
      </c>
      <c r="AE312" s="5">
        <f t="shared" si="314"/>
        <v>38413.172935279421</v>
      </c>
      <c r="AF312" s="5">
        <f t="shared" si="314"/>
        <v>39170.498176966357</v>
      </c>
      <c r="AG312" s="5">
        <f t="shared" si="314"/>
        <v>39927.823418653308</v>
      </c>
      <c r="AH312" s="5">
        <f t="shared" si="314"/>
        <v>40685.148660340245</v>
      </c>
    </row>
    <row r="313" spans="1:34" x14ac:dyDescent="0.35">
      <c r="A313" t="s">
        <v>333</v>
      </c>
      <c r="B313" s="3" t="s">
        <v>1265</v>
      </c>
      <c r="C313" s="4" t="s">
        <v>1263</v>
      </c>
      <c r="D313" s="2">
        <f t="shared" si="261"/>
        <v>456430.1096996846</v>
      </c>
      <c r="E313" s="5">
        <v>10517.085254486763</v>
      </c>
      <c r="F313" s="5">
        <v>18110.648615127026</v>
      </c>
      <c r="G313" s="5">
        <v>22344.060188683969</v>
      </c>
      <c r="H313" s="5">
        <v>17863.857805906213</v>
      </c>
      <c r="I313" s="5">
        <v>17787.922172299819</v>
      </c>
      <c r="J313" s="5">
        <v>23217.319975157607</v>
      </c>
      <c r="K313" s="5">
        <v>14997.287637264517</v>
      </c>
      <c r="L313" s="5">
        <v>25875.067151381689</v>
      </c>
      <c r="M313" s="5">
        <v>31228.529320633079</v>
      </c>
      <c r="N313" s="5">
        <v>19192.731394018265</v>
      </c>
      <c r="O313" s="5">
        <v>29785.752282111425</v>
      </c>
      <c r="P313" s="5">
        <v>36069.425963041263</v>
      </c>
      <c r="Q313" s="5">
        <v>23578.014234788014</v>
      </c>
      <c r="R313" s="5">
        <v>36733.862757097275</v>
      </c>
      <c r="S313" s="5">
        <v>34341.890298495586</v>
      </c>
      <c r="T313" s="5">
        <v>30222.382175348241</v>
      </c>
      <c r="U313" s="5">
        <v>40112.998452582193</v>
      </c>
      <c r="V313" s="5">
        <v>24451.274021261641</v>
      </c>
      <c r="W313" s="5">
        <f t="shared" ref="W313:AH313" si="315">IF(OR((SLOPE($E313:$V313,$E$1:$V$1)*W$1+INTERCEPT($E313:$V313,$E$1:$V$1))&gt;(AVERAGE($E313:$V313)+_xlfn.STDEV.P($E313:$V313)),(SLOPE($E313:$V313,$E$1:$V$1)*W$1+INTERCEPT($E313:$V313,$E$1:$V$1))&lt;(AVERAGE($E313:$V313)-_xlfn.STDEV.P($E313:$V313))),V313,(SLOPE($E313:$V313,$E$1:$V$1)*W$1+INTERCEPT($E313:$V313,$E$1:$V$1)))</f>
        <v>24451.274021261641</v>
      </c>
      <c r="X313" s="5">
        <f t="shared" si="315"/>
        <v>24451.274021261641</v>
      </c>
      <c r="Y313" s="5">
        <f t="shared" si="315"/>
        <v>24451.274021261641</v>
      </c>
      <c r="Z313" s="5">
        <f t="shared" si="315"/>
        <v>24451.274021261641</v>
      </c>
      <c r="AA313" s="5">
        <f t="shared" si="315"/>
        <v>24451.274021261641</v>
      </c>
      <c r="AB313" s="5">
        <f t="shared" si="315"/>
        <v>24451.274021261641</v>
      </c>
      <c r="AC313" s="5">
        <f t="shared" si="315"/>
        <v>24451.274021261641</v>
      </c>
      <c r="AD313" s="5">
        <f t="shared" si="315"/>
        <v>24451.274021261641</v>
      </c>
      <c r="AE313" s="5">
        <f t="shared" si="315"/>
        <v>24451.274021261641</v>
      </c>
      <c r="AF313" s="5">
        <f t="shared" si="315"/>
        <v>24451.274021261641</v>
      </c>
      <c r="AG313" s="5">
        <f t="shared" si="315"/>
        <v>24451.274021261641</v>
      </c>
      <c r="AH313" s="5">
        <f t="shared" si="315"/>
        <v>24451.274021261641</v>
      </c>
    </row>
    <row r="314" spans="1:34" x14ac:dyDescent="0.35">
      <c r="A314" t="s">
        <v>334</v>
      </c>
      <c r="B314" s="3" t="s">
        <v>1266</v>
      </c>
      <c r="C314" s="4" t="s">
        <v>1266</v>
      </c>
      <c r="D314" s="2">
        <f t="shared" si="261"/>
        <v>459656.34996315453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206259.42568549362</v>
      </c>
      <c r="P314" s="5">
        <v>228816.3708036954</v>
      </c>
      <c r="Q314" s="5">
        <v>0</v>
      </c>
      <c r="R314" s="5">
        <v>0</v>
      </c>
      <c r="S314" s="5">
        <v>24580.553473965483</v>
      </c>
      <c r="T314" s="5">
        <v>0</v>
      </c>
      <c r="U314" s="5">
        <v>0</v>
      </c>
      <c r="V314" s="5">
        <v>0</v>
      </c>
      <c r="W314" s="5">
        <f t="shared" ref="W314:AH314" si="316">IF(OR((SLOPE($E314:$V314,$E$1:$V$1)*W$1+INTERCEPT($E314:$V314,$E$1:$V$1))&gt;(AVERAGE($E314:$V314)+_xlfn.STDEV.P($E314:$V314)),(SLOPE($E314:$V314,$E$1:$V$1)*W$1+INTERCEPT($E314:$V314,$E$1:$V$1))&lt;(AVERAGE($E314:$V314)-_xlfn.STDEV.P($E314:$V314))),V314,(SLOPE($E314:$V314,$E$1:$V$1)*W$1+INTERCEPT($E314:$V314,$E$1:$V$1)))</f>
        <v>45470.250350455426</v>
      </c>
      <c r="X314" s="5">
        <f t="shared" si="316"/>
        <v>47568.543662414741</v>
      </c>
      <c r="Y314" s="5">
        <f t="shared" si="316"/>
        <v>49666.836974374062</v>
      </c>
      <c r="Z314" s="5">
        <f t="shared" si="316"/>
        <v>51765.130286333377</v>
      </c>
      <c r="AA314" s="5">
        <f t="shared" si="316"/>
        <v>53863.423598292691</v>
      </c>
      <c r="AB314" s="5">
        <f t="shared" si="316"/>
        <v>55961.716910252013</v>
      </c>
      <c r="AC314" s="5">
        <f t="shared" si="316"/>
        <v>58060.010222211327</v>
      </c>
      <c r="AD314" s="5">
        <f t="shared" si="316"/>
        <v>60158.303534170642</v>
      </c>
      <c r="AE314" s="5">
        <f t="shared" si="316"/>
        <v>62256.596846129956</v>
      </c>
      <c r="AF314" s="5">
        <f t="shared" si="316"/>
        <v>64354.890158089278</v>
      </c>
      <c r="AG314" s="5">
        <f t="shared" si="316"/>
        <v>66453.183470048592</v>
      </c>
      <c r="AH314" s="5">
        <f t="shared" si="316"/>
        <v>68551.4767820079</v>
      </c>
    </row>
    <row r="315" spans="1:34" x14ac:dyDescent="0.35">
      <c r="A315" t="s">
        <v>335</v>
      </c>
      <c r="B315" s="3" t="s">
        <v>1264</v>
      </c>
      <c r="C315" s="4" t="s">
        <v>1263</v>
      </c>
      <c r="D315" s="2">
        <f t="shared" si="261"/>
        <v>458651.89712701784</v>
      </c>
      <c r="E315" s="5">
        <v>0</v>
      </c>
      <c r="F315" s="5">
        <v>6042.2195105883784</v>
      </c>
      <c r="G315" s="5">
        <v>0</v>
      </c>
      <c r="H315" s="5">
        <v>0</v>
      </c>
      <c r="I315" s="5">
        <v>0</v>
      </c>
      <c r="J315" s="5">
        <v>37642.444572342007</v>
      </c>
      <c r="K315" s="5">
        <v>37828.870478711797</v>
      </c>
      <c r="L315" s="5">
        <v>0</v>
      </c>
      <c r="M315" s="5">
        <v>0</v>
      </c>
      <c r="N315" s="5">
        <v>0</v>
      </c>
      <c r="O315" s="5">
        <v>150266.04085915207</v>
      </c>
      <c r="P315" s="5">
        <v>75671.765318127465</v>
      </c>
      <c r="Q315" s="5">
        <v>0</v>
      </c>
      <c r="R315" s="5">
        <v>0</v>
      </c>
      <c r="S315" s="5">
        <v>0</v>
      </c>
      <c r="T315" s="5">
        <v>75812.698213215888</v>
      </c>
      <c r="U315" s="5">
        <v>75387.858174880297</v>
      </c>
      <c r="V315" s="5">
        <v>0</v>
      </c>
      <c r="W315" s="5">
        <f t="shared" ref="W315:AH315" si="317">IF(OR((SLOPE($E315:$V315,$E$1:$V$1)*W$1+INTERCEPT($E315:$V315,$E$1:$V$1))&gt;(AVERAGE($E315:$V315)+_xlfn.STDEV.P($E315:$V315)),(SLOPE($E315:$V315,$E$1:$V$1)*W$1+INTERCEPT($E315:$V315,$E$1:$V$1))&lt;(AVERAGE($E315:$V315)-_xlfn.STDEV.P($E315:$V315))),V315,(SLOPE($E315:$V315,$E$1:$V$1)*W$1+INTERCEPT($E315:$V315,$E$1:$V$1)))</f>
        <v>49032.279985857123</v>
      </c>
      <c r="X315" s="5">
        <f t="shared" si="317"/>
        <v>51511.397778947241</v>
      </c>
      <c r="Y315" s="5">
        <f t="shared" si="317"/>
        <v>53990.515572037359</v>
      </c>
      <c r="Z315" s="5">
        <f t="shared" si="317"/>
        <v>56469.633365127491</v>
      </c>
      <c r="AA315" s="5">
        <f t="shared" si="317"/>
        <v>58948.751158217608</v>
      </c>
      <c r="AB315" s="5">
        <f t="shared" si="317"/>
        <v>61427.868951307726</v>
      </c>
      <c r="AC315" s="5">
        <f t="shared" si="317"/>
        <v>63906.986744397844</v>
      </c>
      <c r="AD315" s="5">
        <f t="shared" si="317"/>
        <v>66386.104537487961</v>
      </c>
      <c r="AE315" s="5">
        <f t="shared" si="317"/>
        <v>66386.104537487961</v>
      </c>
      <c r="AF315" s="5">
        <f t="shared" si="317"/>
        <v>66386.104537487961</v>
      </c>
      <c r="AG315" s="5">
        <f t="shared" si="317"/>
        <v>66386.104537487961</v>
      </c>
      <c r="AH315" s="5">
        <f t="shared" si="317"/>
        <v>66386.104537487961</v>
      </c>
    </row>
    <row r="316" spans="1:34" x14ac:dyDescent="0.35">
      <c r="A316" t="s">
        <v>336</v>
      </c>
      <c r="B316" s="3" t="s">
        <v>1266</v>
      </c>
      <c r="C316" s="4" t="s">
        <v>1263</v>
      </c>
      <c r="D316" s="2">
        <f t="shared" si="261"/>
        <v>458543.37960799929</v>
      </c>
      <c r="E316" s="5">
        <v>0</v>
      </c>
      <c r="F316" s="5">
        <v>0</v>
      </c>
      <c r="G316" s="5">
        <v>0</v>
      </c>
      <c r="H316" s="5">
        <v>0</v>
      </c>
      <c r="I316" s="5">
        <v>87250.19115364844</v>
      </c>
      <c r="J316" s="5">
        <v>44104.971628169289</v>
      </c>
      <c r="K316" s="5">
        <v>69800.152922918744</v>
      </c>
      <c r="L316" s="5">
        <v>71981.407701759963</v>
      </c>
      <c r="M316" s="5">
        <v>0</v>
      </c>
      <c r="N316" s="5">
        <v>54531.369471030273</v>
      </c>
      <c r="O316" s="5">
        <v>130875.28673047265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f t="shared" ref="W316:AH316" si="318">IF(OR((SLOPE($E316:$V316,$E$1:$V$1)*W$1+INTERCEPT($E316:$V316,$E$1:$V$1))&gt;(AVERAGE($E316:$V316)+_xlfn.STDEV.P($E316:$V316)),(SLOPE($E316:$V316,$E$1:$V$1)*W$1+INTERCEPT($E316:$V316,$E$1:$V$1))&lt;(AVERAGE($E316:$V316)-_xlfn.STDEV.P($E316:$V316))),V316,(SLOPE($E316:$V316,$E$1:$V$1)*W$1+INTERCEPT($E316:$V316,$E$1:$V$1)))</f>
        <v>13594.492202038076</v>
      </c>
      <c r="X316" s="5">
        <f t="shared" si="318"/>
        <v>12343.951149574252</v>
      </c>
      <c r="Y316" s="5">
        <f t="shared" si="318"/>
        <v>11093.410097110427</v>
      </c>
      <c r="Z316" s="5">
        <f t="shared" si="318"/>
        <v>9842.8690446466026</v>
      </c>
      <c r="AA316" s="5">
        <f t="shared" si="318"/>
        <v>8592.327992182778</v>
      </c>
      <c r="AB316" s="5">
        <f t="shared" si="318"/>
        <v>7341.786939718957</v>
      </c>
      <c r="AC316" s="5">
        <f t="shared" si="318"/>
        <v>6091.2458872551324</v>
      </c>
      <c r="AD316" s="5">
        <f t="shared" si="318"/>
        <v>4840.7048347913078</v>
      </c>
      <c r="AE316" s="5">
        <f t="shared" si="318"/>
        <v>3590.1637823274796</v>
      </c>
      <c r="AF316" s="5">
        <f t="shared" si="318"/>
        <v>2339.6227298636586</v>
      </c>
      <c r="AG316" s="5">
        <f t="shared" si="318"/>
        <v>1089.0816773998304</v>
      </c>
      <c r="AH316" s="5">
        <f t="shared" si="318"/>
        <v>-161.45937506399059</v>
      </c>
    </row>
    <row r="317" spans="1:34" x14ac:dyDescent="0.35">
      <c r="A317" t="s">
        <v>337</v>
      </c>
      <c r="B317" s="3" t="s">
        <v>1264</v>
      </c>
      <c r="C317" s="4" t="s">
        <v>1263</v>
      </c>
      <c r="D317" s="2">
        <f t="shared" si="261"/>
        <v>451473.75</v>
      </c>
      <c r="E317" s="5">
        <v>1146.6000000000001</v>
      </c>
      <c r="F317" s="5">
        <v>4013.1000000000004</v>
      </c>
      <c r="G317" s="5">
        <v>32678.1</v>
      </c>
      <c r="H317" s="5">
        <v>45290.7</v>
      </c>
      <c r="I317" s="5">
        <v>66904.11</v>
      </c>
      <c r="J317" s="5">
        <v>3325.14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77395.5</v>
      </c>
      <c r="Q317" s="5">
        <v>61171.11</v>
      </c>
      <c r="R317" s="5">
        <v>65528.19</v>
      </c>
      <c r="S317" s="5">
        <v>573.30000000000007</v>
      </c>
      <c r="T317" s="5">
        <v>0</v>
      </c>
      <c r="U317" s="5">
        <v>34398</v>
      </c>
      <c r="V317" s="5">
        <v>59049.9</v>
      </c>
      <c r="W317" s="5">
        <f t="shared" ref="W317:AH317" si="319">IF(OR((SLOPE($E317:$V317,$E$1:$V$1)*W$1+INTERCEPT($E317:$V317,$E$1:$V$1))&gt;(AVERAGE($E317:$V317)+_xlfn.STDEV.P($E317:$V317)),(SLOPE($E317:$V317,$E$1:$V$1)*W$1+INTERCEPT($E317:$V317,$E$1:$V$1))&lt;(AVERAGE($E317:$V317)-_xlfn.STDEV.P($E317:$V317))),V317,(SLOPE($E317:$V317,$E$1:$V$1)*W$1+INTERCEPT($E317:$V317,$E$1:$V$1)))</f>
        <v>37855.785882352939</v>
      </c>
      <c r="X317" s="5">
        <f t="shared" si="319"/>
        <v>39200.408080495356</v>
      </c>
      <c r="Y317" s="5">
        <f t="shared" si="319"/>
        <v>40545.030278637772</v>
      </c>
      <c r="Z317" s="5">
        <f t="shared" si="319"/>
        <v>41889.652476780189</v>
      </c>
      <c r="AA317" s="5">
        <f t="shared" si="319"/>
        <v>43234.274674922606</v>
      </c>
      <c r="AB317" s="5">
        <f t="shared" si="319"/>
        <v>44578.896873065023</v>
      </c>
      <c r="AC317" s="5">
        <f t="shared" si="319"/>
        <v>45923.51907120744</v>
      </c>
      <c r="AD317" s="5">
        <f t="shared" si="319"/>
        <v>47268.141269349857</v>
      </c>
      <c r="AE317" s="5">
        <f t="shared" si="319"/>
        <v>48612.763467492259</v>
      </c>
      <c r="AF317" s="5">
        <f t="shared" si="319"/>
        <v>49957.385665634676</v>
      </c>
      <c r="AG317" s="5">
        <f t="shared" si="319"/>
        <v>51302.007863777093</v>
      </c>
      <c r="AH317" s="5">
        <f t="shared" si="319"/>
        <v>52646.63006191951</v>
      </c>
    </row>
    <row r="318" spans="1:34" x14ac:dyDescent="0.35">
      <c r="A318" t="s">
        <v>338</v>
      </c>
      <c r="B318" s="3" t="s">
        <v>1262</v>
      </c>
      <c r="C318" s="4" t="s">
        <v>1263</v>
      </c>
      <c r="D318" s="2">
        <f t="shared" si="261"/>
        <v>442439.42400000006</v>
      </c>
      <c r="E318" s="5">
        <v>14337.791999999999</v>
      </c>
      <c r="F318" s="5">
        <v>43577.855999999992</v>
      </c>
      <c r="G318" s="5">
        <v>28901.376</v>
      </c>
      <c r="H318" s="5">
        <v>20913.984000000004</v>
      </c>
      <c r="I318" s="5">
        <v>18373.823999999993</v>
      </c>
      <c r="J318" s="5">
        <v>23313.024000000001</v>
      </c>
      <c r="K318" s="5">
        <v>27998.208000000002</v>
      </c>
      <c r="L318" s="5">
        <v>24893.567999999999</v>
      </c>
      <c r="M318" s="5">
        <v>17273.088</v>
      </c>
      <c r="N318" s="5">
        <v>31836.671999999995</v>
      </c>
      <c r="O318" s="5">
        <v>16708.608</v>
      </c>
      <c r="P318" s="5">
        <v>36380.736000000012</v>
      </c>
      <c r="Q318" s="5">
        <v>14168.447999999997</v>
      </c>
      <c r="R318" s="5">
        <v>37368.576000000008</v>
      </c>
      <c r="S318" s="5">
        <v>43464.960000000006</v>
      </c>
      <c r="T318" s="5">
        <v>17470.656000000003</v>
      </c>
      <c r="U318" s="5">
        <v>17781.120000000003</v>
      </c>
      <c r="V318" s="5">
        <v>7676.927999999999</v>
      </c>
      <c r="W318" s="5">
        <f t="shared" ref="W318:AH318" si="320">IF(OR((SLOPE($E318:$V318,$E$1:$V$1)*W$1+INTERCEPT($E318:$V318,$E$1:$V$1))&gt;(AVERAGE($E318:$V318)+_xlfn.STDEV.P($E318:$V318)),(SLOPE($E318:$V318,$E$1:$V$1)*W$1+INTERCEPT($E318:$V318,$E$1:$V$1))&lt;(AVERAGE($E318:$V318)-_xlfn.STDEV.P($E318:$V318))),V318,(SLOPE($E318:$V318,$E$1:$V$1)*W$1+INTERCEPT($E318:$V318,$E$1:$V$1)))</f>
        <v>22012.690823529421</v>
      </c>
      <c r="X318" s="5">
        <f t="shared" si="320"/>
        <v>21742.451120743044</v>
      </c>
      <c r="Y318" s="5">
        <f t="shared" si="320"/>
        <v>21472.211417956667</v>
      </c>
      <c r="Z318" s="5">
        <f t="shared" si="320"/>
        <v>21201.97171517029</v>
      </c>
      <c r="AA318" s="5">
        <f t="shared" si="320"/>
        <v>20931.732012383913</v>
      </c>
      <c r="AB318" s="5">
        <f t="shared" si="320"/>
        <v>20661.492309597535</v>
      </c>
      <c r="AC318" s="5">
        <f t="shared" si="320"/>
        <v>20391.252606811158</v>
      </c>
      <c r="AD318" s="5">
        <f t="shared" si="320"/>
        <v>20121.012904024781</v>
      </c>
      <c r="AE318" s="5">
        <f t="shared" si="320"/>
        <v>19850.773201238404</v>
      </c>
      <c r="AF318" s="5">
        <f t="shared" si="320"/>
        <v>19580.533498452027</v>
      </c>
      <c r="AG318" s="5">
        <f t="shared" si="320"/>
        <v>19310.29379566565</v>
      </c>
      <c r="AH318" s="5">
        <f t="shared" si="320"/>
        <v>19040.054092879269</v>
      </c>
    </row>
    <row r="319" spans="1:34" x14ac:dyDescent="0.35">
      <c r="A319" t="s">
        <v>339</v>
      </c>
      <c r="B319" s="3" t="s">
        <v>1266</v>
      </c>
      <c r="C319" s="4" t="s">
        <v>1263</v>
      </c>
      <c r="D319" s="2">
        <f t="shared" si="261"/>
        <v>447423.31199999992</v>
      </c>
      <c r="E319" s="5">
        <v>156945.82399999996</v>
      </c>
      <c r="F319" s="5">
        <v>189370.88799999998</v>
      </c>
      <c r="G319" s="5">
        <v>79040.527999999991</v>
      </c>
      <c r="H319" s="5">
        <v>18660.375999999997</v>
      </c>
      <c r="I319" s="5">
        <v>3405.6959999999995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f t="shared" ref="W319:AH319" si="321">IF(OR((SLOPE($E319:$V319,$E$1:$V$1)*W$1+INTERCEPT($E319:$V319,$E$1:$V$1))&gt;(AVERAGE($E319:$V319)+_xlfn.STDEV.P($E319:$V319)),(SLOPE($E319:$V319,$E$1:$V$1)*W$1+INTERCEPT($E319:$V319,$E$1:$V$1))&lt;(AVERAGE($E319:$V319)-_xlfn.STDEV.P($E319:$V319))),V319,(SLOPE($E319:$V319,$E$1:$V$1)*W$1+INTERCEPT($E319:$V319,$E$1:$V$1)))</f>
        <v>0</v>
      </c>
      <c r="X319" s="5">
        <f t="shared" si="321"/>
        <v>0</v>
      </c>
      <c r="Y319" s="5">
        <f t="shared" si="321"/>
        <v>0</v>
      </c>
      <c r="Z319" s="5">
        <f t="shared" si="321"/>
        <v>0</v>
      </c>
      <c r="AA319" s="5">
        <f t="shared" si="321"/>
        <v>0</v>
      </c>
      <c r="AB319" s="5">
        <f t="shared" si="321"/>
        <v>0</v>
      </c>
      <c r="AC319" s="5">
        <f t="shared" si="321"/>
        <v>0</v>
      </c>
      <c r="AD319" s="5">
        <f t="shared" si="321"/>
        <v>0</v>
      </c>
      <c r="AE319" s="5">
        <f t="shared" si="321"/>
        <v>0</v>
      </c>
      <c r="AF319" s="5">
        <f t="shared" si="321"/>
        <v>0</v>
      </c>
      <c r="AG319" s="5">
        <f t="shared" si="321"/>
        <v>0</v>
      </c>
      <c r="AH319" s="5">
        <f t="shared" si="321"/>
        <v>0</v>
      </c>
    </row>
    <row r="320" spans="1:34" x14ac:dyDescent="0.35">
      <c r="A320" t="s">
        <v>340</v>
      </c>
      <c r="B320" s="3" t="s">
        <v>1265</v>
      </c>
      <c r="C320" s="4" t="s">
        <v>1263</v>
      </c>
      <c r="D320" s="2">
        <f t="shared" si="261"/>
        <v>438858.98744964623</v>
      </c>
      <c r="E320" s="5">
        <v>40600.185657208567</v>
      </c>
      <c r="F320" s="5">
        <v>14319.905161660739</v>
      </c>
      <c r="G320" s="5">
        <v>6047.9902482014104</v>
      </c>
      <c r="H320" s="5">
        <v>32897.8124263153</v>
      </c>
      <c r="I320" s="5">
        <v>16109.893306868331</v>
      </c>
      <c r="J320" s="5">
        <v>19689.869597283516</v>
      </c>
      <c r="K320" s="5">
        <v>1356.0516251572669</v>
      </c>
      <c r="L320" s="5">
        <v>13479.153154063233</v>
      </c>
      <c r="M320" s="5">
        <v>37155.814529309115</v>
      </c>
      <c r="N320" s="5">
        <v>31351.913573636015</v>
      </c>
      <c r="O320" s="5">
        <v>55164.180111397625</v>
      </c>
      <c r="P320" s="5">
        <v>1084.8413001258136</v>
      </c>
      <c r="Q320" s="5">
        <v>0</v>
      </c>
      <c r="R320" s="5">
        <v>47461.806880504344</v>
      </c>
      <c r="S320" s="5">
        <v>52574.121507347241</v>
      </c>
      <c r="T320" s="5">
        <v>25927.707073006946</v>
      </c>
      <c r="U320" s="5">
        <v>29046.62581086866</v>
      </c>
      <c r="V320" s="5">
        <v>14591.115486692192</v>
      </c>
      <c r="W320" s="5">
        <f t="shared" ref="W320:AH320" si="322">IF(OR((SLOPE($E320:$V320,$E$1:$V$1)*W$1+INTERCEPT($E320:$V320,$E$1:$V$1))&gt;(AVERAGE($E320:$V320)+_xlfn.STDEV.P($E320:$V320)),(SLOPE($E320:$V320,$E$1:$V$1)*W$1+INTERCEPT($E320:$V320,$E$1:$V$1))&lt;(AVERAGE($E320:$V320)-_xlfn.STDEV.P($E320:$V320))),V320,(SLOPE($E320:$V320,$E$1:$V$1)*W$1+INTERCEPT($E320:$V320,$E$1:$V$1)))</f>
        <v>29438.462688961481</v>
      </c>
      <c r="X320" s="5">
        <f t="shared" si="322"/>
        <v>29970.821407977041</v>
      </c>
      <c r="Y320" s="5">
        <f t="shared" si="322"/>
        <v>30503.1801269926</v>
      </c>
      <c r="Z320" s="5">
        <f t="shared" si="322"/>
        <v>31035.538846008159</v>
      </c>
      <c r="AA320" s="5">
        <f t="shared" si="322"/>
        <v>31567.897565023715</v>
      </c>
      <c r="AB320" s="5">
        <f t="shared" si="322"/>
        <v>32100.256284039275</v>
      </c>
      <c r="AC320" s="5">
        <f t="shared" si="322"/>
        <v>32632.615003054831</v>
      </c>
      <c r="AD320" s="5">
        <f t="shared" si="322"/>
        <v>33164.97372207039</v>
      </c>
      <c r="AE320" s="5">
        <f t="shared" si="322"/>
        <v>33697.33244108595</v>
      </c>
      <c r="AF320" s="5">
        <f t="shared" si="322"/>
        <v>34229.691160101509</v>
      </c>
      <c r="AG320" s="5">
        <f t="shared" si="322"/>
        <v>34762.049879117068</v>
      </c>
      <c r="AH320" s="5">
        <f t="shared" si="322"/>
        <v>35294.408598132621</v>
      </c>
    </row>
    <row r="321" spans="1:34" x14ac:dyDescent="0.35">
      <c r="A321" t="s">
        <v>341</v>
      </c>
      <c r="B321" s="3" t="s">
        <v>1266</v>
      </c>
      <c r="C321" s="4" t="s">
        <v>1268</v>
      </c>
      <c r="D321" s="2">
        <f t="shared" si="261"/>
        <v>442347.07248724584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149200.42700713771</v>
      </c>
      <c r="Q321" s="5">
        <v>0</v>
      </c>
      <c r="R321" s="5">
        <v>0</v>
      </c>
      <c r="S321" s="5">
        <v>0</v>
      </c>
      <c r="T321" s="5">
        <v>0</v>
      </c>
      <c r="U321" s="5">
        <v>150122.37501228123</v>
      </c>
      <c r="V321" s="5">
        <v>143024.27046782692</v>
      </c>
      <c r="W321" s="5">
        <f t="shared" ref="W321:AH321" si="323">IF(OR((SLOPE($E321:$V321,$E$1:$V$1)*W$1+INTERCEPT($E321:$V321,$E$1:$V$1))&gt;(AVERAGE($E321:$V321)+_xlfn.STDEV.P($E321:$V321)),(SLOPE($E321:$V321,$E$1:$V$1)*W$1+INTERCEPT($E321:$V321,$E$1:$V$1))&lt;(AVERAGE($E321:$V321)-_xlfn.STDEV.P($E321:$V321))),V321,(SLOPE($E321:$V321,$E$1:$V$1)*W$1+INTERCEPT($E321:$V321,$E$1:$V$1)))</f>
        <v>77802.782048372785</v>
      </c>
      <c r="X321" s="5">
        <f t="shared" si="323"/>
        <v>77802.782048372785</v>
      </c>
      <c r="Y321" s="5">
        <f t="shared" si="323"/>
        <v>77802.782048372785</v>
      </c>
      <c r="Z321" s="5">
        <f t="shared" si="323"/>
        <v>77802.782048372785</v>
      </c>
      <c r="AA321" s="5">
        <f t="shared" si="323"/>
        <v>77802.782048372785</v>
      </c>
      <c r="AB321" s="5">
        <f t="shared" si="323"/>
        <v>77802.782048372785</v>
      </c>
      <c r="AC321" s="5">
        <f t="shared" si="323"/>
        <v>77802.782048372785</v>
      </c>
      <c r="AD321" s="5">
        <f t="shared" si="323"/>
        <v>77802.782048372785</v>
      </c>
      <c r="AE321" s="5">
        <f t="shared" si="323"/>
        <v>77802.782048372785</v>
      </c>
      <c r="AF321" s="5">
        <f t="shared" si="323"/>
        <v>77802.782048372785</v>
      </c>
      <c r="AG321" s="5">
        <f t="shared" si="323"/>
        <v>77802.782048372785</v>
      </c>
      <c r="AH321" s="5">
        <f t="shared" si="323"/>
        <v>77802.782048372785</v>
      </c>
    </row>
    <row r="322" spans="1:34" x14ac:dyDescent="0.35">
      <c r="A322" t="s">
        <v>342</v>
      </c>
      <c r="B322" s="3" t="s">
        <v>1266</v>
      </c>
      <c r="C322" s="4" t="s">
        <v>1263</v>
      </c>
      <c r="D322" s="2">
        <f t="shared" si="261"/>
        <v>441300.68693200004</v>
      </c>
      <c r="E322" s="5">
        <v>23512.896960000005</v>
      </c>
      <c r="F322" s="5">
        <v>38796.279984000008</v>
      </c>
      <c r="G322" s="5">
        <v>31840.381299999997</v>
      </c>
      <c r="H322" s="5">
        <v>28551.374880000003</v>
      </c>
      <c r="I322" s="5">
        <v>36389.007199999993</v>
      </c>
      <c r="J322" s="5">
        <v>56388.96538799999</v>
      </c>
      <c r="K322" s="5">
        <v>53813.743340000001</v>
      </c>
      <c r="L322" s="5">
        <v>40237.844499999999</v>
      </c>
      <c r="M322" s="5">
        <v>59691.967580000011</v>
      </c>
      <c r="N322" s="5">
        <v>38838.2673</v>
      </c>
      <c r="O322" s="5">
        <v>33030.021920000007</v>
      </c>
      <c r="P322" s="5">
        <v>209.93658000000002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f t="shared" ref="W322:AH322" si="324">IF(OR((SLOPE($E322:$V322,$E$1:$V$1)*W$1+INTERCEPT($E322:$V322,$E$1:$V$1))&gt;(AVERAGE($E322:$V322)+_xlfn.STDEV.P($E322:$V322)),(SLOPE($E322:$V322,$E$1:$V$1)*W$1+INTERCEPT($E322:$V322,$E$1:$V$1))&lt;(AVERAGE($E322:$V322)-_xlfn.STDEV.P($E322:$V322))),V322,(SLOPE($E322:$V322,$E$1:$V$1)*W$1+INTERCEPT($E322:$V322,$E$1:$V$1)))</f>
        <v>0</v>
      </c>
      <c r="X322" s="5">
        <f t="shared" si="324"/>
        <v>0</v>
      </c>
      <c r="Y322" s="5">
        <f t="shared" si="324"/>
        <v>0</v>
      </c>
      <c r="Z322" s="5">
        <f t="shared" si="324"/>
        <v>0</v>
      </c>
      <c r="AA322" s="5">
        <f t="shared" si="324"/>
        <v>0</v>
      </c>
      <c r="AB322" s="5">
        <f t="shared" si="324"/>
        <v>0</v>
      </c>
      <c r="AC322" s="5">
        <f t="shared" si="324"/>
        <v>0</v>
      </c>
      <c r="AD322" s="5">
        <f t="shared" si="324"/>
        <v>0</v>
      </c>
      <c r="AE322" s="5">
        <f t="shared" si="324"/>
        <v>0</v>
      </c>
      <c r="AF322" s="5">
        <f t="shared" si="324"/>
        <v>0</v>
      </c>
      <c r="AG322" s="5">
        <f t="shared" si="324"/>
        <v>0</v>
      </c>
      <c r="AH322" s="5">
        <f t="shared" si="324"/>
        <v>0</v>
      </c>
    </row>
    <row r="323" spans="1:34" x14ac:dyDescent="0.35">
      <c r="A323" t="s">
        <v>343</v>
      </c>
      <c r="B323" s="3" t="s">
        <v>1262</v>
      </c>
      <c r="C323" s="4" t="s">
        <v>1263</v>
      </c>
      <c r="D323" s="2">
        <f t="shared" si="261"/>
        <v>432441.95399999985</v>
      </c>
      <c r="E323" s="5">
        <v>10405.836000000001</v>
      </c>
      <c r="F323" s="5">
        <v>30850.154999999995</v>
      </c>
      <c r="G323" s="5">
        <v>48498.093000000001</v>
      </c>
      <c r="H323" s="5">
        <v>33084.260999999999</v>
      </c>
      <c r="I323" s="5">
        <v>29028.383999999998</v>
      </c>
      <c r="J323" s="5">
        <v>33496.59599999999</v>
      </c>
      <c r="K323" s="5">
        <v>9603.6569999999992</v>
      </c>
      <c r="L323" s="5">
        <v>3028.7879999999996</v>
      </c>
      <c r="M323" s="5">
        <v>19514.691000000003</v>
      </c>
      <c r="N323" s="5">
        <v>22955.813999999995</v>
      </c>
      <c r="O323" s="5">
        <v>25039.979999999996</v>
      </c>
      <c r="P323" s="5">
        <v>14146.839</v>
      </c>
      <c r="Q323" s="5">
        <v>21688.821000000004</v>
      </c>
      <c r="R323" s="5">
        <v>17258.093999999997</v>
      </c>
      <c r="S323" s="5">
        <v>23945.418000000009</v>
      </c>
      <c r="T323" s="5">
        <v>28436.120999999996</v>
      </c>
      <c r="U323" s="5">
        <v>32019.686999999994</v>
      </c>
      <c r="V323" s="5">
        <v>29440.718999999997</v>
      </c>
      <c r="W323" s="5">
        <f t="shared" ref="W323:AH323" si="325">IF(OR((SLOPE($E323:$V323,$E$1:$V$1)*W$1+INTERCEPT($E323:$V323,$E$1:$V$1))&gt;(AVERAGE($E323:$V323)+_xlfn.STDEV.P($E323:$V323)),(SLOPE($E323:$V323,$E$1:$V$1)*W$1+INTERCEPT($E323:$V323,$E$1:$V$1))&lt;(AVERAGE($E323:$V323)-_xlfn.STDEV.P($E323:$V323))),V323,(SLOPE($E323:$V323,$E$1:$V$1)*W$1+INTERCEPT($E323:$V323,$E$1:$V$1)))</f>
        <v>22881.480999999992</v>
      </c>
      <c r="X323" s="5">
        <f t="shared" si="325"/>
        <v>22761.157631578939</v>
      </c>
      <c r="Y323" s="5">
        <f t="shared" si="325"/>
        <v>22640.834263157885</v>
      </c>
      <c r="Z323" s="5">
        <f t="shared" si="325"/>
        <v>22520.510894736835</v>
      </c>
      <c r="AA323" s="5">
        <f t="shared" si="325"/>
        <v>22400.187526315782</v>
      </c>
      <c r="AB323" s="5">
        <f t="shared" si="325"/>
        <v>22279.864157894728</v>
      </c>
      <c r="AC323" s="5">
        <f t="shared" si="325"/>
        <v>22159.540789473678</v>
      </c>
      <c r="AD323" s="5">
        <f t="shared" si="325"/>
        <v>22039.217421052625</v>
      </c>
      <c r="AE323" s="5">
        <f t="shared" si="325"/>
        <v>21918.894052631571</v>
      </c>
      <c r="AF323" s="5">
        <f t="shared" si="325"/>
        <v>21798.570684210517</v>
      </c>
      <c r="AG323" s="5">
        <f t="shared" si="325"/>
        <v>21678.247315789467</v>
      </c>
      <c r="AH323" s="5">
        <f t="shared" si="325"/>
        <v>21557.923947368414</v>
      </c>
    </row>
    <row r="324" spans="1:34" x14ac:dyDescent="0.35">
      <c r="A324" t="s">
        <v>344</v>
      </c>
      <c r="B324" s="3" t="s">
        <v>1264</v>
      </c>
      <c r="C324" s="4" t="s">
        <v>1263</v>
      </c>
      <c r="D324" s="2">
        <f t="shared" ref="D324:D387" si="326">SUM(E324:V324)</f>
        <v>432750.46253235015</v>
      </c>
      <c r="E324" s="5">
        <v>18981.293571247752</v>
      </c>
      <c r="F324" s="5">
        <v>25142.057207618356</v>
      </c>
      <c r="G324" s="5">
        <v>40591.947323750246</v>
      </c>
      <c r="H324" s="5">
        <v>25832.983970575806</v>
      </c>
      <c r="I324" s="5">
        <v>25721.667992099334</v>
      </c>
      <c r="J324" s="5">
        <v>20152.030586258985</v>
      </c>
      <c r="K324" s="5">
        <v>25583.482639507834</v>
      </c>
      <c r="L324" s="5">
        <v>21054.073860120097</v>
      </c>
      <c r="M324" s="5">
        <v>31475.552534728318</v>
      </c>
      <c r="N324" s="5">
        <v>28539.113792159162</v>
      </c>
      <c r="O324" s="5">
        <v>23875.358142196364</v>
      </c>
      <c r="P324" s="5">
        <v>28097.688360269676</v>
      </c>
      <c r="Q324" s="5">
        <v>13856.92007931332</v>
      </c>
      <c r="R324" s="5">
        <v>21610.653752502494</v>
      </c>
      <c r="S324" s="5">
        <v>19883.336845108865</v>
      </c>
      <c r="T324" s="5">
        <v>19169.379190052834</v>
      </c>
      <c r="U324" s="5">
        <v>25410.750948768477</v>
      </c>
      <c r="V324" s="5">
        <v>17772.171736072207</v>
      </c>
      <c r="W324" s="5">
        <f t="shared" ref="W324:AH324" si="327">IF(OR((SLOPE($E324:$V324,$E$1:$V$1)*W$1+INTERCEPT($E324:$V324,$E$1:$V$1))&gt;(AVERAGE($E324:$V324)+_xlfn.STDEV.P($E324:$V324)),(SLOPE($E324:$V324,$E$1:$V$1)*W$1+INTERCEPT($E324:$V324,$E$1:$V$1))&lt;(AVERAGE($E324:$V324)-_xlfn.STDEV.P($E324:$V324))),V324,(SLOPE($E324:$V324,$E$1:$V$1)*W$1+INTERCEPT($E324:$V324,$E$1:$V$1)))</f>
        <v>19890.411694315622</v>
      </c>
      <c r="X324" s="5">
        <f t="shared" si="327"/>
        <v>19453.434781832177</v>
      </c>
      <c r="Y324" s="5">
        <f t="shared" si="327"/>
        <v>19016.457869348735</v>
      </c>
      <c r="Z324" s="5">
        <f t="shared" si="327"/>
        <v>18579.480956865289</v>
      </c>
      <c r="AA324" s="5">
        <f t="shared" si="327"/>
        <v>18579.480956865289</v>
      </c>
      <c r="AB324" s="5">
        <f t="shared" si="327"/>
        <v>18579.480956865289</v>
      </c>
      <c r="AC324" s="5">
        <f t="shared" si="327"/>
        <v>18579.480956865289</v>
      </c>
      <c r="AD324" s="5">
        <f t="shared" si="327"/>
        <v>18579.480956865289</v>
      </c>
      <c r="AE324" s="5">
        <f t="shared" si="327"/>
        <v>18579.480956865289</v>
      </c>
      <c r="AF324" s="5">
        <f t="shared" si="327"/>
        <v>18579.480956865289</v>
      </c>
      <c r="AG324" s="5">
        <f t="shared" si="327"/>
        <v>18579.480956865289</v>
      </c>
      <c r="AH324" s="5">
        <f t="shared" si="327"/>
        <v>18579.480956865289</v>
      </c>
    </row>
    <row r="325" spans="1:34" x14ac:dyDescent="0.35">
      <c r="A325" t="s">
        <v>345</v>
      </c>
      <c r="B325" s="3" t="s">
        <v>1266</v>
      </c>
      <c r="C325" s="4" t="s">
        <v>1266</v>
      </c>
      <c r="D325" s="2">
        <f t="shared" si="326"/>
        <v>434748.38400000002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434748.38400000002</v>
      </c>
      <c r="V325" s="5">
        <v>0</v>
      </c>
      <c r="W325" s="5">
        <f t="shared" ref="W325:AH325" si="328">IF(OR((SLOPE($E325:$V325,$E$1:$V$1)*W$1+INTERCEPT($E325:$V325,$E$1:$V$1))&gt;(AVERAGE($E325:$V325)+_xlfn.STDEV.P($E325:$V325)),(SLOPE($E325:$V325,$E$1:$V$1)*W$1+INTERCEPT($E325:$V325,$E$1:$V$1))&lt;(AVERAGE($E325:$V325)-_xlfn.STDEV.P($E325:$V325))),V325,(SLOPE($E325:$V325,$E$1:$V$1)*W$1+INTERCEPT($E325:$V325,$E$1:$V$1)))</f>
        <v>88086.273882352922</v>
      </c>
      <c r="X325" s="5">
        <f t="shared" si="328"/>
        <v>94816.125027863774</v>
      </c>
      <c r="Y325" s="5">
        <f t="shared" si="328"/>
        <v>101545.9761733746</v>
      </c>
      <c r="Z325" s="5">
        <f t="shared" si="328"/>
        <v>108275.82731888542</v>
      </c>
      <c r="AA325" s="5">
        <f t="shared" si="328"/>
        <v>115005.67846439627</v>
      </c>
      <c r="AB325" s="5">
        <f t="shared" si="328"/>
        <v>121735.5296099071</v>
      </c>
      <c r="AC325" s="5">
        <f t="shared" si="328"/>
        <v>121735.5296099071</v>
      </c>
      <c r="AD325" s="5">
        <f t="shared" si="328"/>
        <v>121735.5296099071</v>
      </c>
      <c r="AE325" s="5">
        <f t="shared" si="328"/>
        <v>121735.5296099071</v>
      </c>
      <c r="AF325" s="5">
        <f t="shared" si="328"/>
        <v>121735.5296099071</v>
      </c>
      <c r="AG325" s="5">
        <f t="shared" si="328"/>
        <v>121735.5296099071</v>
      </c>
      <c r="AH325" s="5">
        <f t="shared" si="328"/>
        <v>121735.5296099071</v>
      </c>
    </row>
    <row r="326" spans="1:34" x14ac:dyDescent="0.35">
      <c r="A326" t="s">
        <v>346</v>
      </c>
      <c r="B326" s="3" t="s">
        <v>1265</v>
      </c>
      <c r="C326" s="4" t="s">
        <v>1263</v>
      </c>
      <c r="D326" s="2">
        <f t="shared" si="326"/>
        <v>427616.94310235226</v>
      </c>
      <c r="E326" s="5">
        <v>47502.464376702264</v>
      </c>
      <c r="F326" s="5">
        <v>43235.225707630845</v>
      </c>
      <c r="G326" s="5">
        <v>18074.024349350992</v>
      </c>
      <c r="H326" s="5">
        <v>10277.55531400178</v>
      </c>
      <c r="I326" s="5">
        <v>35125.749259812736</v>
      </c>
      <c r="J326" s="5">
        <v>34806.998592069183</v>
      </c>
      <c r="K326" s="5">
        <v>5134.4702155448967</v>
      </c>
      <c r="L326" s="5">
        <v>11334.314284538987</v>
      </c>
      <c r="M326" s="5">
        <v>43585.564279385027</v>
      </c>
      <c r="N326" s="5">
        <v>21692.275172385984</v>
      </c>
      <c r="O326" s="5">
        <v>20181.799035150747</v>
      </c>
      <c r="P326" s="5">
        <v>14093.9484440125</v>
      </c>
      <c r="Q326" s="5">
        <v>39904.137648328782</v>
      </c>
      <c r="R326" s="5">
        <v>26223.703584091716</v>
      </c>
      <c r="S326" s="5">
        <v>15630.269229983707</v>
      </c>
      <c r="T326" s="5">
        <v>9849.682796039704</v>
      </c>
      <c r="U326" s="5">
        <v>20859.503157560473</v>
      </c>
      <c r="V326" s="5">
        <v>10105.25765576202</v>
      </c>
      <c r="W326" s="5">
        <f t="shared" ref="W326:AH326" si="329">IF(OR((SLOPE($E326:$V326,$E$1:$V$1)*W$1+INTERCEPT($E326:$V326,$E$1:$V$1))&gt;(AVERAGE($E326:$V326)+_xlfn.STDEV.P($E326:$V326)),(SLOPE($E326:$V326,$E$1:$V$1)*W$1+INTERCEPT($E326:$V326,$E$1:$V$1))&lt;(AVERAGE($E326:$V326)-_xlfn.STDEV.P($E326:$V326))),V326,(SLOPE($E326:$V326,$E$1:$V$1)*W$1+INTERCEPT($E326:$V326,$E$1:$V$1)))</f>
        <v>13811.23388779621</v>
      </c>
      <c r="X326" s="5">
        <f t="shared" si="329"/>
        <v>12764.364103456908</v>
      </c>
      <c r="Y326" s="5">
        <f t="shared" si="329"/>
        <v>11717.49431911761</v>
      </c>
      <c r="Z326" s="5">
        <f t="shared" si="329"/>
        <v>10670.624534778308</v>
      </c>
      <c r="AA326" s="5">
        <f t="shared" si="329"/>
        <v>10670.624534778308</v>
      </c>
      <c r="AB326" s="5">
        <f t="shared" si="329"/>
        <v>10670.624534778308</v>
      </c>
      <c r="AC326" s="5">
        <f t="shared" si="329"/>
        <v>10670.624534778308</v>
      </c>
      <c r="AD326" s="5">
        <f t="shared" si="329"/>
        <v>10670.624534778308</v>
      </c>
      <c r="AE326" s="5">
        <f t="shared" si="329"/>
        <v>10670.624534778308</v>
      </c>
      <c r="AF326" s="5">
        <f t="shared" si="329"/>
        <v>10670.624534778308</v>
      </c>
      <c r="AG326" s="5">
        <f t="shared" si="329"/>
        <v>10670.624534778308</v>
      </c>
      <c r="AH326" s="5">
        <f t="shared" si="329"/>
        <v>10670.624534778308</v>
      </c>
    </row>
    <row r="327" spans="1:34" x14ac:dyDescent="0.35">
      <c r="A327" t="s">
        <v>347</v>
      </c>
      <c r="B327" s="3" t="s">
        <v>1265</v>
      </c>
      <c r="C327" s="4" t="s">
        <v>1263</v>
      </c>
      <c r="D327" s="2">
        <f t="shared" si="326"/>
        <v>430054.08599999995</v>
      </c>
      <c r="E327" s="5">
        <v>2584.8479999999995</v>
      </c>
      <c r="F327" s="5">
        <v>4458.8627999999999</v>
      </c>
      <c r="G327" s="5">
        <v>17146.1584</v>
      </c>
      <c r="H327" s="5">
        <v>34593.882399999995</v>
      </c>
      <c r="I327" s="5">
        <v>16327.6232</v>
      </c>
      <c r="J327" s="5">
        <v>45493.324799999988</v>
      </c>
      <c r="K327" s="5">
        <v>12148.785600000001</v>
      </c>
      <c r="L327" s="5">
        <v>30501.206399999995</v>
      </c>
      <c r="M327" s="5">
        <v>18115.476399999996</v>
      </c>
      <c r="N327" s="5">
        <v>4911.2111999999997</v>
      </c>
      <c r="O327" s="5">
        <v>20463.379999999994</v>
      </c>
      <c r="P327" s="5">
        <v>188370.79799999998</v>
      </c>
      <c r="Q327" s="5">
        <v>775.45439999999985</v>
      </c>
      <c r="R327" s="5">
        <v>366.18680000000001</v>
      </c>
      <c r="S327" s="5">
        <v>31578.2264</v>
      </c>
      <c r="T327" s="5">
        <v>1033.9392</v>
      </c>
      <c r="U327" s="5">
        <v>129.24239999999998</v>
      </c>
      <c r="V327" s="5">
        <v>1055.4796000000001</v>
      </c>
      <c r="W327" s="5">
        <f t="shared" ref="W327:AH327" si="330">IF(OR((SLOPE($E327:$V327,$E$1:$V$1)*W$1+INTERCEPT($E327:$V327,$E$1:$V$1))&gt;(AVERAGE($E327:$V327)+_xlfn.STDEV.P($E327:$V327)),(SLOPE($E327:$V327,$E$1:$V$1)*W$1+INTERCEPT($E327:$V327,$E$1:$V$1))&lt;(AVERAGE($E327:$V327)-_xlfn.STDEV.P($E327:$V327))),V327,(SLOPE($E327:$V327,$E$1:$V$1)*W$1+INTERCEPT($E327:$V327,$E$1:$V$1)))</f>
        <v>24357.968792156855</v>
      </c>
      <c r="X327" s="5">
        <f t="shared" si="330"/>
        <v>24407.029331682141</v>
      </c>
      <c r="Y327" s="5">
        <f t="shared" si="330"/>
        <v>24456.089871207423</v>
      </c>
      <c r="Z327" s="5">
        <f t="shared" si="330"/>
        <v>24505.150410732705</v>
      </c>
      <c r="AA327" s="5">
        <f t="shared" si="330"/>
        <v>24554.210950257988</v>
      </c>
      <c r="AB327" s="5">
        <f t="shared" si="330"/>
        <v>24603.271489783274</v>
      </c>
      <c r="AC327" s="5">
        <f t="shared" si="330"/>
        <v>24652.332029308556</v>
      </c>
      <c r="AD327" s="5">
        <f t="shared" si="330"/>
        <v>24701.392568833839</v>
      </c>
      <c r="AE327" s="5">
        <f t="shared" si="330"/>
        <v>24750.453108359125</v>
      </c>
      <c r="AF327" s="5">
        <f t="shared" si="330"/>
        <v>24799.513647884407</v>
      </c>
      <c r="AG327" s="5">
        <f t="shared" si="330"/>
        <v>24848.574187409689</v>
      </c>
      <c r="AH327" s="5">
        <f t="shared" si="330"/>
        <v>24897.634726934975</v>
      </c>
    </row>
    <row r="328" spans="1:34" x14ac:dyDescent="0.35">
      <c r="A328" t="s">
        <v>348</v>
      </c>
      <c r="B328" s="3" t="s">
        <v>1264</v>
      </c>
      <c r="C328" s="4" t="s">
        <v>1263</v>
      </c>
      <c r="D328" s="2">
        <f t="shared" si="326"/>
        <v>418778.42159999994</v>
      </c>
      <c r="E328" s="5">
        <v>88270.56</v>
      </c>
      <c r="F328" s="5">
        <v>0</v>
      </c>
      <c r="G328" s="5">
        <v>17817.576000000001</v>
      </c>
      <c r="H328" s="5">
        <v>21184.934400000002</v>
      </c>
      <c r="I328" s="5">
        <v>21184.934399999998</v>
      </c>
      <c r="J328" s="5">
        <v>14123.289599999998</v>
      </c>
      <c r="K328" s="5">
        <v>3530.8223999999996</v>
      </c>
      <c r="L328" s="5">
        <v>14123.289599999998</v>
      </c>
      <c r="M328" s="5">
        <v>7061.6447999999991</v>
      </c>
      <c r="N328" s="5">
        <v>7061.6447999999991</v>
      </c>
      <c r="O328" s="5">
        <v>21184.934399999998</v>
      </c>
      <c r="P328" s="5">
        <v>21184.934399999998</v>
      </c>
      <c r="Q328" s="5">
        <v>17654.111999999997</v>
      </c>
      <c r="R328" s="5">
        <v>31777.401599999994</v>
      </c>
      <c r="S328" s="5">
        <v>28246.579199999996</v>
      </c>
      <c r="T328" s="5">
        <v>47878.605599999995</v>
      </c>
      <c r="U328" s="5">
        <v>28246.579199999996</v>
      </c>
      <c r="V328" s="5">
        <v>28246.579199999996</v>
      </c>
      <c r="W328" s="5">
        <f t="shared" ref="W328:AH328" si="331">IF(OR((SLOPE($E328:$V328,$E$1:$V$1)*W$1+INTERCEPT($E328:$V328,$E$1:$V$1))&gt;(AVERAGE($E328:$V328)+_xlfn.STDEV.P($E328:$V328)),(SLOPE($E328:$V328,$E$1:$V$1)*W$1+INTERCEPT($E328:$V328,$E$1:$V$1))&lt;(AVERAGE($E328:$V328)-_xlfn.STDEV.P($E328:$V328))),V328,(SLOPE($E328:$V328,$E$1:$V$1)*W$1+INTERCEPT($E328:$V328,$E$1:$V$1)))</f>
        <v>24258.271278431363</v>
      </c>
      <c r="X328" s="5">
        <f t="shared" si="331"/>
        <v>24362.776900722383</v>
      </c>
      <c r="Y328" s="5">
        <f t="shared" si="331"/>
        <v>24467.282523013404</v>
      </c>
      <c r="Z328" s="5">
        <f t="shared" si="331"/>
        <v>24571.788145304425</v>
      </c>
      <c r="AA328" s="5">
        <f t="shared" si="331"/>
        <v>24676.293767595449</v>
      </c>
      <c r="AB328" s="5">
        <f t="shared" si="331"/>
        <v>24780.79938988647</v>
      </c>
      <c r="AC328" s="5">
        <f t="shared" si="331"/>
        <v>24885.30501217749</v>
      </c>
      <c r="AD328" s="5">
        <f t="shared" si="331"/>
        <v>24989.810634468511</v>
      </c>
      <c r="AE328" s="5">
        <f t="shared" si="331"/>
        <v>25094.316256759532</v>
      </c>
      <c r="AF328" s="5">
        <f t="shared" si="331"/>
        <v>25198.821879050556</v>
      </c>
      <c r="AG328" s="5">
        <f t="shared" si="331"/>
        <v>25303.327501341577</v>
      </c>
      <c r="AH328" s="5">
        <f t="shared" si="331"/>
        <v>25407.833123632598</v>
      </c>
    </row>
    <row r="329" spans="1:34" x14ac:dyDescent="0.35">
      <c r="A329" t="s">
        <v>349</v>
      </c>
      <c r="B329" s="3" t="s">
        <v>1262</v>
      </c>
      <c r="C329" s="4" t="s">
        <v>1263</v>
      </c>
      <c r="D329" s="2">
        <f t="shared" si="326"/>
        <v>407797.80276467832</v>
      </c>
      <c r="E329" s="5">
        <v>10535.077573637247</v>
      </c>
      <c r="F329" s="5">
        <v>24922.983517061828</v>
      </c>
      <c r="G329" s="5">
        <v>0</v>
      </c>
      <c r="H329" s="5">
        <v>29826.309622048993</v>
      </c>
      <c r="I329" s="5">
        <v>18421.335643045699</v>
      </c>
      <c r="J329" s="5">
        <v>32508.239370080646</v>
      </c>
      <c r="K329" s="5">
        <v>0</v>
      </c>
      <c r="L329" s="5">
        <v>30341.023412075268</v>
      </c>
      <c r="M329" s="5">
        <v>33591.847349083335</v>
      </c>
      <c r="N329" s="5">
        <v>0</v>
      </c>
      <c r="O329" s="5">
        <v>9752.4718110241938</v>
      </c>
      <c r="P329" s="5">
        <v>41899.508521437274</v>
      </c>
      <c r="Q329" s="5">
        <v>2709.0199475067207</v>
      </c>
      <c r="R329" s="5">
        <v>24922.983517061824</v>
      </c>
      <c r="S329" s="5">
        <v>54180.398950134404</v>
      </c>
      <c r="T329" s="5">
        <v>69263.620013419044</v>
      </c>
      <c r="U329" s="5">
        <v>10294.275800525538</v>
      </c>
      <c r="V329" s="5">
        <v>14628.707716536292</v>
      </c>
      <c r="W329" s="5">
        <f t="shared" ref="W329:AH329" si="332">IF(OR((SLOPE($E329:$V329,$E$1:$V$1)*W$1+INTERCEPT($E329:$V329,$E$1:$V$1))&gt;(AVERAGE($E329:$V329)+_xlfn.STDEV.P($E329:$V329)),(SLOPE($E329:$V329,$E$1:$V$1)*W$1+INTERCEPT($E329:$V329,$E$1:$V$1))&lt;(AVERAGE($E329:$V329)-_xlfn.STDEV.P($E329:$V329))),V329,(SLOPE($E329:$V329,$E$1:$V$1)*W$1+INTERCEPT($E329:$V329,$E$1:$V$1)))</f>
        <v>32288.212651904065</v>
      </c>
      <c r="X329" s="5">
        <f t="shared" si="332"/>
        <v>33302.189406112222</v>
      </c>
      <c r="Y329" s="5">
        <f t="shared" si="332"/>
        <v>34316.166160320383</v>
      </c>
      <c r="Z329" s="5">
        <f t="shared" si="332"/>
        <v>35330.142914528536</v>
      </c>
      <c r="AA329" s="5">
        <f t="shared" si="332"/>
        <v>36344.11966873669</v>
      </c>
      <c r="AB329" s="5">
        <f t="shared" si="332"/>
        <v>37358.096422944851</v>
      </c>
      <c r="AC329" s="5">
        <f t="shared" si="332"/>
        <v>38372.073177153012</v>
      </c>
      <c r="AD329" s="5">
        <f t="shared" si="332"/>
        <v>39386.049931361165</v>
      </c>
      <c r="AE329" s="5">
        <f t="shared" si="332"/>
        <v>40400.026685569319</v>
      </c>
      <c r="AF329" s="5">
        <f t="shared" si="332"/>
        <v>41414.00343977748</v>
      </c>
      <c r="AG329" s="5">
        <f t="shared" si="332"/>
        <v>41414.00343977748</v>
      </c>
      <c r="AH329" s="5">
        <f t="shared" si="332"/>
        <v>41414.00343977748</v>
      </c>
    </row>
    <row r="330" spans="1:34" x14ac:dyDescent="0.35">
      <c r="A330" t="s">
        <v>350</v>
      </c>
      <c r="B330" s="3" t="s">
        <v>1264</v>
      </c>
      <c r="C330" s="4" t="s">
        <v>1263</v>
      </c>
      <c r="D330" s="2">
        <f t="shared" si="326"/>
        <v>424852.71633910626</v>
      </c>
      <c r="E330" s="5">
        <v>0</v>
      </c>
      <c r="F330" s="5">
        <v>0</v>
      </c>
      <c r="G330" s="5">
        <v>45508.324626989197</v>
      </c>
      <c r="H330" s="5">
        <v>51860.631663253771</v>
      </c>
      <c r="I330" s="5">
        <v>0</v>
      </c>
      <c r="J330" s="5">
        <v>0</v>
      </c>
      <c r="K330" s="5">
        <v>0</v>
      </c>
      <c r="L330" s="5">
        <v>0</v>
      </c>
      <c r="M330" s="5">
        <v>69478.358209143815</v>
      </c>
      <c r="N330" s="5">
        <v>57081.434008683718</v>
      </c>
      <c r="O330" s="5">
        <v>0</v>
      </c>
      <c r="P330" s="5">
        <v>40371.888859384635</v>
      </c>
      <c r="Q330" s="5">
        <v>33902.95743612614</v>
      </c>
      <c r="R330" s="5">
        <v>0</v>
      </c>
      <c r="S330" s="5">
        <v>59552.878464980407</v>
      </c>
      <c r="T330" s="5">
        <v>51959.886460695408</v>
      </c>
      <c r="U330" s="5">
        <v>0</v>
      </c>
      <c r="V330" s="5">
        <v>15136.356609849188</v>
      </c>
      <c r="W330" s="5">
        <f t="shared" ref="W330:AH330" si="333">IF(OR((SLOPE($E330:$V330,$E$1:$V$1)*W$1+INTERCEPT($E330:$V330,$E$1:$V$1))&gt;(AVERAGE($E330:$V330)+_xlfn.STDEV.P($E330:$V330)),(SLOPE($E330:$V330,$E$1:$V$1)*W$1+INTERCEPT($E330:$V330,$E$1:$V$1))&lt;(AVERAGE($E330:$V330)-_xlfn.STDEV.P($E330:$V330))),V330,(SLOPE($E330:$V330,$E$1:$V$1)*W$1+INTERCEPT($E330:$V330,$E$1:$V$1)))</f>
        <v>31961.617932309397</v>
      </c>
      <c r="X330" s="5">
        <f t="shared" si="333"/>
        <v>32841.479958288706</v>
      </c>
      <c r="Y330" s="5">
        <f t="shared" si="333"/>
        <v>33721.341984268023</v>
      </c>
      <c r="Z330" s="5">
        <f t="shared" si="333"/>
        <v>34601.20401024734</v>
      </c>
      <c r="AA330" s="5">
        <f t="shared" si="333"/>
        <v>35481.06603622665</v>
      </c>
      <c r="AB330" s="5">
        <f t="shared" si="333"/>
        <v>36360.928062205967</v>
      </c>
      <c r="AC330" s="5">
        <f t="shared" si="333"/>
        <v>37240.790088185284</v>
      </c>
      <c r="AD330" s="5">
        <f t="shared" si="333"/>
        <v>38120.652114164601</v>
      </c>
      <c r="AE330" s="5">
        <f t="shared" si="333"/>
        <v>39000.51414014391</v>
      </c>
      <c r="AF330" s="5">
        <f t="shared" si="333"/>
        <v>39880.376166123227</v>
      </c>
      <c r="AG330" s="5">
        <f t="shared" si="333"/>
        <v>40760.238192102544</v>
      </c>
      <c r="AH330" s="5">
        <f t="shared" si="333"/>
        <v>41640.100218081854</v>
      </c>
    </row>
    <row r="331" spans="1:34" x14ac:dyDescent="0.35">
      <c r="A331" t="s">
        <v>351</v>
      </c>
      <c r="B331" s="3" t="s">
        <v>1262</v>
      </c>
      <c r="C331" s="4" t="s">
        <v>1263</v>
      </c>
      <c r="D331" s="2">
        <f t="shared" si="326"/>
        <v>409049.93219999998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10016.6976</v>
      </c>
      <c r="M331" s="5">
        <v>37075.693200000002</v>
      </c>
      <c r="N331" s="5">
        <v>1669.4495999999997</v>
      </c>
      <c r="O331" s="5">
        <v>83820.282000000007</v>
      </c>
      <c r="P331" s="5">
        <v>26954.654999999999</v>
      </c>
      <c r="Q331" s="5">
        <v>9181.9727999999996</v>
      </c>
      <c r="R331" s="5">
        <v>21981.086399999997</v>
      </c>
      <c r="S331" s="5">
        <v>54083.211000000003</v>
      </c>
      <c r="T331" s="5">
        <v>56900.407200000001</v>
      </c>
      <c r="U331" s="5">
        <v>54152.771399999991</v>
      </c>
      <c r="V331" s="5">
        <v>53213.706000000006</v>
      </c>
      <c r="W331" s="5">
        <f t="shared" ref="W331:AH331" si="334">IF(OR((SLOPE($E331:$V331,$E$1:$V$1)*W$1+INTERCEPT($E331:$V331,$E$1:$V$1))&gt;(AVERAGE($E331:$V331)+_xlfn.STDEV.P($E331:$V331)),(SLOPE($E331:$V331,$E$1:$V$1)*W$1+INTERCEPT($E331:$V331,$E$1:$V$1))&lt;(AVERAGE($E331:$V331)-_xlfn.STDEV.P($E331:$V331))),V331,(SLOPE($E331:$V331,$E$1:$V$1)*W$1+INTERCEPT($E331:$V331,$E$1:$V$1)))</f>
        <v>53213.706000000006</v>
      </c>
      <c r="X331" s="5">
        <f t="shared" si="334"/>
        <v>53213.706000000006</v>
      </c>
      <c r="Y331" s="5">
        <f t="shared" si="334"/>
        <v>53213.706000000006</v>
      </c>
      <c r="Z331" s="5">
        <f t="shared" si="334"/>
        <v>53213.706000000006</v>
      </c>
      <c r="AA331" s="5">
        <f t="shared" si="334"/>
        <v>53213.706000000006</v>
      </c>
      <c r="AB331" s="5">
        <f t="shared" si="334"/>
        <v>53213.706000000006</v>
      </c>
      <c r="AC331" s="5">
        <f t="shared" si="334"/>
        <v>53213.706000000006</v>
      </c>
      <c r="AD331" s="5">
        <f t="shared" si="334"/>
        <v>53213.706000000006</v>
      </c>
      <c r="AE331" s="5">
        <f t="shared" si="334"/>
        <v>53213.706000000006</v>
      </c>
      <c r="AF331" s="5">
        <f t="shared" si="334"/>
        <v>53213.706000000006</v>
      </c>
      <c r="AG331" s="5">
        <f t="shared" si="334"/>
        <v>53213.706000000006</v>
      </c>
      <c r="AH331" s="5">
        <f t="shared" si="334"/>
        <v>53213.706000000006</v>
      </c>
    </row>
    <row r="332" spans="1:34" x14ac:dyDescent="0.35">
      <c r="A332" t="s">
        <v>352</v>
      </c>
      <c r="B332" s="3" t="s">
        <v>1266</v>
      </c>
      <c r="C332" s="4" t="s">
        <v>1263</v>
      </c>
      <c r="D332" s="2">
        <f t="shared" si="326"/>
        <v>419437.27588673064</v>
      </c>
      <c r="E332" s="5">
        <v>123595.79978351985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295841.47610321076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f t="shared" ref="W332:AH332" si="335">IF(OR((SLOPE($E332:$V332,$E$1:$V$1)*W$1+INTERCEPT($E332:$V332,$E$1:$V$1))&gt;(AVERAGE($E332:$V332)+_xlfn.STDEV.P($E332:$V332)),(SLOPE($E332:$V332,$E$1:$V$1)*W$1+INTERCEPT($E332:$V332,$E$1:$V$1))&lt;(AVERAGE($E332:$V332)-_xlfn.STDEV.P($E332:$V332))),V332,(SLOPE($E332:$V332,$E$1:$V$1)*W$1+INTERCEPT($E332:$V332,$E$1:$V$1)))</f>
        <v>5603.177547139021</v>
      </c>
      <c r="X332" s="5">
        <f t="shared" si="335"/>
        <v>3740.136143406693</v>
      </c>
      <c r="Y332" s="5">
        <f t="shared" si="335"/>
        <v>1877.0947396743577</v>
      </c>
      <c r="Z332" s="5">
        <f t="shared" si="335"/>
        <v>14.053335942029662</v>
      </c>
      <c r="AA332" s="5">
        <f t="shared" si="335"/>
        <v>-1848.9880677902984</v>
      </c>
      <c r="AB332" s="5">
        <f t="shared" si="335"/>
        <v>-3712.0294715226264</v>
      </c>
      <c r="AC332" s="5">
        <f t="shared" si="335"/>
        <v>-5575.0708752549544</v>
      </c>
      <c r="AD332" s="5">
        <f t="shared" si="335"/>
        <v>-7438.1122789872825</v>
      </c>
      <c r="AE332" s="5">
        <f t="shared" si="335"/>
        <v>-9301.1536827196105</v>
      </c>
      <c r="AF332" s="5">
        <f t="shared" si="335"/>
        <v>-11164.195086451946</v>
      </c>
      <c r="AG332" s="5">
        <f t="shared" si="335"/>
        <v>-13027.236490184274</v>
      </c>
      <c r="AH332" s="5">
        <f t="shared" si="335"/>
        <v>-14890.277893916602</v>
      </c>
    </row>
    <row r="333" spans="1:34" x14ac:dyDescent="0.35">
      <c r="A333" t="s">
        <v>353</v>
      </c>
      <c r="B333" s="3" t="s">
        <v>1266</v>
      </c>
      <c r="C333" s="4" t="s">
        <v>1263</v>
      </c>
      <c r="D333" s="2">
        <f t="shared" si="326"/>
        <v>415549.65504245419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200864.65405184176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214685.00099061243</v>
      </c>
      <c r="U333" s="5">
        <v>0</v>
      </c>
      <c r="V333" s="5">
        <v>0</v>
      </c>
      <c r="W333" s="5">
        <f t="shared" ref="W333:AH333" si="336">IF(OR((SLOPE($E333:$V333,$E$1:$V$1)*W$1+INTERCEPT($E333:$V333,$E$1:$V$1))&gt;(AVERAGE($E333:$V333)+_xlfn.STDEV.P($E333:$V333)),(SLOPE($E333:$V333,$E$1:$V$1)*W$1+INTERCEPT($E333:$V333,$E$1:$V$1))&lt;(AVERAGE($E333:$V333)-_xlfn.STDEV.P($E333:$V333))),V333,(SLOPE($E333:$V333,$E$1:$V$1)*W$1+INTERCEPT($E333:$V333,$E$1:$V$1)))</f>
        <v>44540.121855846504</v>
      </c>
      <c r="X333" s="5">
        <f t="shared" si="336"/>
        <v>46798.440793640562</v>
      </c>
      <c r="Y333" s="5">
        <f t="shared" si="336"/>
        <v>49056.759731434606</v>
      </c>
      <c r="Z333" s="5">
        <f t="shared" si="336"/>
        <v>51315.078669228664</v>
      </c>
      <c r="AA333" s="5">
        <f t="shared" si="336"/>
        <v>53573.397607022707</v>
      </c>
      <c r="AB333" s="5">
        <f t="shared" si="336"/>
        <v>55831.716544816765</v>
      </c>
      <c r="AC333" s="5">
        <f t="shared" si="336"/>
        <v>58090.035482610823</v>
      </c>
      <c r="AD333" s="5">
        <f t="shared" si="336"/>
        <v>60348.354420404867</v>
      </c>
      <c r="AE333" s="5">
        <f t="shared" si="336"/>
        <v>62606.673358198925</v>
      </c>
      <c r="AF333" s="5">
        <f t="shared" si="336"/>
        <v>64864.992295992968</v>
      </c>
      <c r="AG333" s="5">
        <f t="shared" si="336"/>
        <v>67123.311233787026</v>
      </c>
      <c r="AH333" s="5">
        <f t="shared" si="336"/>
        <v>69381.630171581084</v>
      </c>
    </row>
    <row r="334" spans="1:34" x14ac:dyDescent="0.35">
      <c r="A334" t="s">
        <v>354</v>
      </c>
      <c r="B334" s="3" t="s">
        <v>1265</v>
      </c>
      <c r="C334" s="4" t="s">
        <v>1263</v>
      </c>
      <c r="D334" s="2">
        <f t="shared" si="326"/>
        <v>407095.65427540278</v>
      </c>
      <c r="E334" s="5">
        <v>15800.797000188648</v>
      </c>
      <c r="F334" s="5">
        <v>17247.425244655446</v>
      </c>
      <c r="G334" s="5">
        <v>23395.595283639359</v>
      </c>
      <c r="H334" s="5">
        <v>19460.766458689657</v>
      </c>
      <c r="I334" s="5">
        <v>25453.423961393379</v>
      </c>
      <c r="J334" s="5">
        <v>22599.949749182622</v>
      </c>
      <c r="K334" s="5">
        <v>22531.234907570448</v>
      </c>
      <c r="L334" s="5">
        <v>21395.631735663996</v>
      </c>
      <c r="M334" s="5">
        <v>25655.951915618738</v>
      </c>
      <c r="N334" s="5">
        <v>22618.032602238458</v>
      </c>
      <c r="O334" s="5">
        <v>24759.04240404932</v>
      </c>
      <c r="P334" s="5">
        <v>26581.793992077492</v>
      </c>
      <c r="Q334" s="5">
        <v>17779.061124497002</v>
      </c>
      <c r="R334" s="5">
        <v>24527.581884934629</v>
      </c>
      <c r="S334" s="5">
        <v>25370.242837336544</v>
      </c>
      <c r="T334" s="5">
        <v>27775.262293762607</v>
      </c>
      <c r="U334" s="5">
        <v>27294.25840247739</v>
      </c>
      <c r="V334" s="5">
        <v>16849.602477427077</v>
      </c>
      <c r="W334" s="5">
        <f t="shared" ref="W334:AH334" si="337">IF(OR((SLOPE($E334:$V334,$E$1:$V$1)*W$1+INTERCEPT($E334:$V334,$E$1:$V$1))&gt;(AVERAGE($E334:$V334)+_xlfn.STDEV.P($E334:$V334)),(SLOPE($E334:$V334,$E$1:$V$1)*W$1+INTERCEPT($E334:$V334,$E$1:$V$1))&lt;(AVERAGE($E334:$V334)-_xlfn.STDEV.P($E334:$V334))),V334,(SLOPE($E334:$V334,$E$1:$V$1)*W$1+INTERCEPT($E334:$V334,$E$1:$V$1)))</f>
        <v>25319.350833899665</v>
      </c>
      <c r="X334" s="5">
        <f t="shared" si="337"/>
        <v>25603.869317728851</v>
      </c>
      <c r="Y334" s="5">
        <f t="shared" si="337"/>
        <v>25888.387801558041</v>
      </c>
      <c r="Z334" s="5">
        <f t="shared" si="337"/>
        <v>26172.906285387231</v>
      </c>
      <c r="AA334" s="5">
        <f t="shared" si="337"/>
        <v>26172.906285387231</v>
      </c>
      <c r="AB334" s="5">
        <f t="shared" si="337"/>
        <v>26172.906285387231</v>
      </c>
      <c r="AC334" s="5">
        <f t="shared" si="337"/>
        <v>26172.906285387231</v>
      </c>
      <c r="AD334" s="5">
        <f t="shared" si="337"/>
        <v>26172.906285387231</v>
      </c>
      <c r="AE334" s="5">
        <f t="shared" si="337"/>
        <v>26172.906285387231</v>
      </c>
      <c r="AF334" s="5">
        <f t="shared" si="337"/>
        <v>26172.906285387231</v>
      </c>
      <c r="AG334" s="5">
        <f t="shared" si="337"/>
        <v>26172.906285387231</v>
      </c>
      <c r="AH334" s="5">
        <f t="shared" si="337"/>
        <v>26172.906285387231</v>
      </c>
    </row>
    <row r="335" spans="1:34" x14ac:dyDescent="0.35">
      <c r="A335" t="s">
        <v>355</v>
      </c>
      <c r="B335" s="3" t="s">
        <v>1262</v>
      </c>
      <c r="C335" s="4" t="s">
        <v>1263</v>
      </c>
      <c r="D335" s="2">
        <f t="shared" si="326"/>
        <v>397490.93999999994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75781.440000000002</v>
      </c>
      <c r="N335" s="5">
        <v>441</v>
      </c>
      <c r="O335" s="5">
        <v>17648.819999999996</v>
      </c>
      <c r="P335" s="5">
        <v>47963.159999999996</v>
      </c>
      <c r="Q335" s="5">
        <v>11563.019999999999</v>
      </c>
      <c r="R335" s="5">
        <v>27765.359999999993</v>
      </c>
      <c r="S335" s="5">
        <v>51314.759999999995</v>
      </c>
      <c r="T335" s="5">
        <v>41762.699999999997</v>
      </c>
      <c r="U335" s="5">
        <v>67631.759999999995</v>
      </c>
      <c r="V335" s="5">
        <v>55618.920000000013</v>
      </c>
      <c r="W335" s="5">
        <f t="shared" ref="W335:AH335" si="338">IF(OR((SLOPE($E335:$V335,$E$1:$V$1)*W$1+INTERCEPT($E335:$V335,$E$1:$V$1))&gt;(AVERAGE($E335:$V335)+_xlfn.STDEV.P($E335:$V335)),(SLOPE($E335:$V335,$E$1:$V$1)*W$1+INTERCEPT($E335:$V335,$E$1:$V$1))&lt;(AVERAGE($E335:$V335)-_xlfn.STDEV.P($E335:$V335))),V335,(SLOPE($E335:$V335,$E$1:$V$1)*W$1+INTERCEPT($E335:$V335,$E$1:$V$1)))</f>
        <v>55618.920000000013</v>
      </c>
      <c r="X335" s="5">
        <f t="shared" si="338"/>
        <v>55618.920000000013</v>
      </c>
      <c r="Y335" s="5">
        <f t="shared" si="338"/>
        <v>55618.920000000013</v>
      </c>
      <c r="Z335" s="5">
        <f t="shared" si="338"/>
        <v>55618.920000000013</v>
      </c>
      <c r="AA335" s="5">
        <f t="shared" si="338"/>
        <v>55618.920000000013</v>
      </c>
      <c r="AB335" s="5">
        <f t="shared" si="338"/>
        <v>55618.920000000013</v>
      </c>
      <c r="AC335" s="5">
        <f t="shared" si="338"/>
        <v>55618.920000000013</v>
      </c>
      <c r="AD335" s="5">
        <f t="shared" si="338"/>
        <v>55618.920000000013</v>
      </c>
      <c r="AE335" s="5">
        <f t="shared" si="338"/>
        <v>55618.920000000013</v>
      </c>
      <c r="AF335" s="5">
        <f t="shared" si="338"/>
        <v>55618.920000000013</v>
      </c>
      <c r="AG335" s="5">
        <f t="shared" si="338"/>
        <v>55618.920000000013</v>
      </c>
      <c r="AH335" s="5">
        <f t="shared" si="338"/>
        <v>55618.920000000013</v>
      </c>
    </row>
    <row r="336" spans="1:34" x14ac:dyDescent="0.35">
      <c r="A336" t="s">
        <v>356</v>
      </c>
      <c r="B336" s="3" t="s">
        <v>1266</v>
      </c>
      <c r="C336" s="4" t="s">
        <v>1267</v>
      </c>
      <c r="D336" s="2">
        <f t="shared" si="326"/>
        <v>404494.39208396012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201294.40253663997</v>
      </c>
      <c r="Q336" s="5">
        <v>0</v>
      </c>
      <c r="R336" s="5">
        <v>0</v>
      </c>
      <c r="S336" s="5">
        <v>0</v>
      </c>
      <c r="T336" s="5">
        <v>203199.98954732018</v>
      </c>
      <c r="U336" s="5">
        <v>0</v>
      </c>
      <c r="V336" s="5">
        <v>0</v>
      </c>
      <c r="W336" s="5">
        <f t="shared" ref="W336:AH336" si="339">IF(OR((SLOPE($E336:$V336,$E$1:$V$1)*W$1+INTERCEPT($E336:$V336,$E$1:$V$1))&gt;(AVERAGE($E336:$V336)+_xlfn.STDEV.P($E336:$V336)),(SLOPE($E336:$V336,$E$1:$V$1)*W$1+INTERCEPT($E336:$V336,$E$1:$V$1))&lt;(AVERAGE($E336:$V336)-_xlfn.STDEV.P($E336:$V336))),V336,(SLOPE($E336:$V336,$E$1:$V$1)*W$1+INTERCEPT($E336:$V336,$E$1:$V$1)))</f>
        <v>58237.321228177818</v>
      </c>
      <c r="X336" s="5">
        <f t="shared" si="339"/>
        <v>62002.101286793251</v>
      </c>
      <c r="Y336" s="5">
        <f t="shared" si="339"/>
        <v>65766.881345408707</v>
      </c>
      <c r="Z336" s="5">
        <f t="shared" si="339"/>
        <v>69531.66140402414</v>
      </c>
      <c r="AA336" s="5">
        <f t="shared" si="339"/>
        <v>73296.441462639574</v>
      </c>
      <c r="AB336" s="5">
        <f t="shared" si="339"/>
        <v>77061.221521255036</v>
      </c>
      <c r="AC336" s="5">
        <f t="shared" si="339"/>
        <v>80826.00157987047</v>
      </c>
      <c r="AD336" s="5">
        <f t="shared" si="339"/>
        <v>84590.781638485903</v>
      </c>
      <c r="AE336" s="5">
        <f t="shared" si="339"/>
        <v>84590.781638485903</v>
      </c>
      <c r="AF336" s="5">
        <f t="shared" si="339"/>
        <v>84590.781638485903</v>
      </c>
      <c r="AG336" s="5">
        <f t="shared" si="339"/>
        <v>84590.781638485903</v>
      </c>
      <c r="AH336" s="5">
        <f t="shared" si="339"/>
        <v>84590.781638485903</v>
      </c>
    </row>
    <row r="337" spans="1:34" x14ac:dyDescent="0.35">
      <c r="A337" t="s">
        <v>357</v>
      </c>
      <c r="B337" s="3" t="s">
        <v>1266</v>
      </c>
      <c r="C337" s="4" t="s">
        <v>1266</v>
      </c>
      <c r="D337" s="2">
        <f t="shared" si="326"/>
        <v>401147.96900156041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401147.96900156041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f t="shared" ref="W337:AH337" si="340">IF(OR((SLOPE($E337:$V337,$E$1:$V$1)*W$1+INTERCEPT($E337:$V337,$E$1:$V$1))&gt;(AVERAGE($E337:$V337)+_xlfn.STDEV.P($E337:$V337)),(SLOPE($E337:$V337,$E$1:$V$1)*W$1+INTERCEPT($E337:$V337,$E$1:$V$1))&lt;(AVERAGE($E337:$V337)-_xlfn.STDEV.P($E337:$V337))),V337,(SLOPE($E337:$V337,$E$1:$V$1)*W$1+INTERCEPT($E337:$V337,$E$1:$V$1)))</f>
        <v>41950.114405391927</v>
      </c>
      <c r="X337" s="5">
        <f t="shared" si="340"/>
        <v>44020.021366184301</v>
      </c>
      <c r="Y337" s="5">
        <f t="shared" si="340"/>
        <v>46089.92832697666</v>
      </c>
      <c r="Z337" s="5">
        <f t="shared" si="340"/>
        <v>48159.835287769019</v>
      </c>
      <c r="AA337" s="5">
        <f t="shared" si="340"/>
        <v>50229.742248561393</v>
      </c>
      <c r="AB337" s="5">
        <f t="shared" si="340"/>
        <v>52299.649209353753</v>
      </c>
      <c r="AC337" s="5">
        <f t="shared" si="340"/>
        <v>54369.556170146127</v>
      </c>
      <c r="AD337" s="5">
        <f t="shared" si="340"/>
        <v>56439.463130938486</v>
      </c>
      <c r="AE337" s="5">
        <f t="shared" si="340"/>
        <v>58509.370091730845</v>
      </c>
      <c r="AF337" s="5">
        <f t="shared" si="340"/>
        <v>60579.277052523219</v>
      </c>
      <c r="AG337" s="5">
        <f t="shared" si="340"/>
        <v>62649.184013315578</v>
      </c>
      <c r="AH337" s="5">
        <f t="shared" si="340"/>
        <v>64719.090974107938</v>
      </c>
    </row>
    <row r="338" spans="1:34" x14ac:dyDescent="0.35">
      <c r="A338" t="s">
        <v>358</v>
      </c>
      <c r="B338" s="3" t="s">
        <v>1266</v>
      </c>
      <c r="C338" s="4" t="s">
        <v>1268</v>
      </c>
      <c r="D338" s="2">
        <f t="shared" si="326"/>
        <v>399545.6955297133</v>
      </c>
      <c r="E338" s="5">
        <v>0</v>
      </c>
      <c r="F338" s="5">
        <v>0</v>
      </c>
      <c r="G338" s="5">
        <v>0</v>
      </c>
      <c r="H338" s="5">
        <v>122302.10026267247</v>
      </c>
      <c r="I338" s="5">
        <v>0</v>
      </c>
      <c r="J338" s="5">
        <v>124353.79884541278</v>
      </c>
      <c r="K338" s="5">
        <v>0</v>
      </c>
      <c r="L338" s="5">
        <v>0</v>
      </c>
      <c r="M338" s="5">
        <v>0</v>
      </c>
      <c r="N338" s="5">
        <v>0</v>
      </c>
      <c r="O338" s="5">
        <v>152889.79642162804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f t="shared" ref="W338:AH338" si="341">IF(OR((SLOPE($E338:$V338,$E$1:$V$1)*W$1+INTERCEPT($E338:$V338,$E$1:$V$1))&gt;(AVERAGE($E338:$V338)+_xlfn.STDEV.P($E338:$V338)),(SLOPE($E338:$V338,$E$1:$V$1)*W$1+INTERCEPT($E338:$V338,$E$1:$V$1))&lt;(AVERAGE($E338:$V338)-_xlfn.STDEV.P($E338:$V338))),V338,(SLOPE($E338:$V338,$E$1:$V$1)*W$1+INTERCEPT($E338:$V338,$E$1:$V$1)))</f>
        <v>4970.2153835879726</v>
      </c>
      <c r="X338" s="5">
        <f t="shared" si="341"/>
        <v>3156.8714150199594</v>
      </c>
      <c r="Y338" s="5">
        <f t="shared" si="341"/>
        <v>1343.5274464519462</v>
      </c>
      <c r="Z338" s="5">
        <f t="shared" si="341"/>
        <v>-469.81652211605979</v>
      </c>
      <c r="AA338" s="5">
        <f t="shared" si="341"/>
        <v>-2283.160490684073</v>
      </c>
      <c r="AB338" s="5">
        <f t="shared" si="341"/>
        <v>-4096.5044592520862</v>
      </c>
      <c r="AC338" s="5">
        <f t="shared" si="341"/>
        <v>-5909.8484278200922</v>
      </c>
      <c r="AD338" s="5">
        <f t="shared" si="341"/>
        <v>-7723.1923963881054</v>
      </c>
      <c r="AE338" s="5">
        <f t="shared" si="341"/>
        <v>-9536.5363649561186</v>
      </c>
      <c r="AF338" s="5">
        <f t="shared" si="341"/>
        <v>-11349.880333524125</v>
      </c>
      <c r="AG338" s="5">
        <f t="shared" si="341"/>
        <v>-13163.224302092138</v>
      </c>
      <c r="AH338" s="5">
        <f t="shared" si="341"/>
        <v>-14976.568270660151</v>
      </c>
    </row>
    <row r="339" spans="1:34" x14ac:dyDescent="0.35">
      <c r="A339" t="s">
        <v>359</v>
      </c>
      <c r="B339" s="3" t="s">
        <v>1265</v>
      </c>
      <c r="C339" s="4" t="s">
        <v>1263</v>
      </c>
      <c r="D339" s="2">
        <f t="shared" si="326"/>
        <v>393875.49052812369</v>
      </c>
      <c r="E339" s="5">
        <v>17377.741100434479</v>
      </c>
      <c r="F339" s="5">
        <v>3116.0087490434244</v>
      </c>
      <c r="G339" s="5">
        <v>41526.808905521029</v>
      </c>
      <c r="H339" s="5">
        <v>5333.1688204781685</v>
      </c>
      <c r="I339" s="5">
        <v>71009.045531085721</v>
      </c>
      <c r="J339" s="5">
        <v>13392.845296369329</v>
      </c>
      <c r="K339" s="5">
        <v>9947.2586988693911</v>
      </c>
      <c r="L339" s="5">
        <v>1617.9276196956241</v>
      </c>
      <c r="M339" s="5">
        <v>13213.075560847596</v>
      </c>
      <c r="N339" s="5">
        <v>5572.8618011738172</v>
      </c>
      <c r="O339" s="5">
        <v>12523.958241347609</v>
      </c>
      <c r="P339" s="5">
        <v>140999.39589421498</v>
      </c>
      <c r="Q339" s="5">
        <v>6711.4034594781433</v>
      </c>
      <c r="R339" s="5">
        <v>15010.772916064954</v>
      </c>
      <c r="S339" s="5">
        <v>7070.9429305216163</v>
      </c>
      <c r="T339" s="5">
        <v>7490.405646739001</v>
      </c>
      <c r="U339" s="5">
        <v>4853.7828590868721</v>
      </c>
      <c r="V339" s="5">
        <v>17108.086497151879</v>
      </c>
      <c r="W339" s="5">
        <f t="shared" ref="W339:AH339" si="342">IF(OR((SLOPE($E339:$V339,$E$1:$V$1)*W$1+INTERCEPT($E339:$V339,$E$1:$V$1))&gt;(AVERAGE($E339:$V339)+_xlfn.STDEV.P($E339:$V339)),(SLOPE($E339:$V339,$E$1:$V$1)*W$1+INTERCEPT($E339:$V339,$E$1:$V$1))&lt;(AVERAGE($E339:$V339)-_xlfn.STDEV.P($E339:$V339))),V339,(SLOPE($E339:$V339,$E$1:$V$1)*W$1+INTERCEPT($E339:$V339,$E$1:$V$1)))</f>
        <v>19212.449871788674</v>
      </c>
      <c r="X339" s="5">
        <f t="shared" si="342"/>
        <v>18931.447574502548</v>
      </c>
      <c r="Y339" s="5">
        <f t="shared" si="342"/>
        <v>18650.445277216422</v>
      </c>
      <c r="Z339" s="5">
        <f t="shared" si="342"/>
        <v>18369.442979930296</v>
      </c>
      <c r="AA339" s="5">
        <f t="shared" si="342"/>
        <v>18088.44068264417</v>
      </c>
      <c r="AB339" s="5">
        <f t="shared" si="342"/>
        <v>17807.438385358044</v>
      </c>
      <c r="AC339" s="5">
        <f t="shared" si="342"/>
        <v>17526.436088071918</v>
      </c>
      <c r="AD339" s="5">
        <f t="shared" si="342"/>
        <v>17245.433790785792</v>
      </c>
      <c r="AE339" s="5">
        <f t="shared" si="342"/>
        <v>16964.431493499669</v>
      </c>
      <c r="AF339" s="5">
        <f t="shared" si="342"/>
        <v>16683.429196213543</v>
      </c>
      <c r="AG339" s="5">
        <f t="shared" si="342"/>
        <v>16402.426898927417</v>
      </c>
      <c r="AH339" s="5">
        <f t="shared" si="342"/>
        <v>16121.424601641291</v>
      </c>
    </row>
    <row r="340" spans="1:34" x14ac:dyDescent="0.35">
      <c r="A340" t="s">
        <v>360</v>
      </c>
      <c r="B340" s="3" t="s">
        <v>1264</v>
      </c>
      <c r="C340" s="4" t="s">
        <v>1263</v>
      </c>
      <c r="D340" s="2">
        <f t="shared" si="326"/>
        <v>398266.72705761308</v>
      </c>
      <c r="E340" s="5">
        <v>0</v>
      </c>
      <c r="F340" s="5">
        <v>733.4787324183302</v>
      </c>
      <c r="G340" s="5">
        <v>1100.2180986274952</v>
      </c>
      <c r="H340" s="5">
        <v>0</v>
      </c>
      <c r="I340" s="5">
        <v>23287.949754281984</v>
      </c>
      <c r="J340" s="5">
        <v>25109.421939787502</v>
      </c>
      <c r="K340" s="5">
        <v>24204.798169804901</v>
      </c>
      <c r="L340" s="5">
        <v>27138.713099478216</v>
      </c>
      <c r="M340" s="5">
        <v>33556.652008138612</v>
      </c>
      <c r="N340" s="5">
        <v>31906.324860197365</v>
      </c>
      <c r="O340" s="5">
        <v>40341.330283008167</v>
      </c>
      <c r="P340" s="5">
        <v>23471.319437386566</v>
      </c>
      <c r="Q340" s="5">
        <v>23471.319437386566</v>
      </c>
      <c r="R340" s="5">
        <v>42541.766480263155</v>
      </c>
      <c r="S340" s="5">
        <v>30989.476444674452</v>
      </c>
      <c r="T340" s="5">
        <v>23471.319437386566</v>
      </c>
      <c r="U340" s="5">
        <v>23471.319437386566</v>
      </c>
      <c r="V340" s="5">
        <v>23471.319437386566</v>
      </c>
      <c r="W340" s="5">
        <f t="shared" ref="W340:AH340" si="343">IF(OR((SLOPE($E340:$V340,$E$1:$V$1)*W$1+INTERCEPT($E340:$V340,$E$1:$V$1))&gt;(AVERAGE($E340:$V340)+_xlfn.STDEV.P($E340:$V340)),(SLOPE($E340:$V340,$E$1:$V$1)*W$1+INTERCEPT($E340:$V340,$E$1:$V$1))&lt;(AVERAGE($E340:$V340)-_xlfn.STDEV.P($E340:$V340))),V340,(SLOPE($E340:$V340,$E$1:$V$1)*W$1+INTERCEPT($E340:$V340,$E$1:$V$1)))</f>
        <v>23471.319437386566</v>
      </c>
      <c r="X340" s="5">
        <f t="shared" si="343"/>
        <v>23471.319437386566</v>
      </c>
      <c r="Y340" s="5">
        <f t="shared" si="343"/>
        <v>23471.319437386566</v>
      </c>
      <c r="Z340" s="5">
        <f t="shared" si="343"/>
        <v>23471.319437386566</v>
      </c>
      <c r="AA340" s="5">
        <f t="shared" si="343"/>
        <v>23471.319437386566</v>
      </c>
      <c r="AB340" s="5">
        <f t="shared" si="343"/>
        <v>23471.319437386566</v>
      </c>
      <c r="AC340" s="5">
        <f t="shared" si="343"/>
        <v>23471.319437386566</v>
      </c>
      <c r="AD340" s="5">
        <f t="shared" si="343"/>
        <v>23471.319437386566</v>
      </c>
      <c r="AE340" s="5">
        <f t="shared" si="343"/>
        <v>23471.319437386566</v>
      </c>
      <c r="AF340" s="5">
        <f t="shared" si="343"/>
        <v>23471.319437386566</v>
      </c>
      <c r="AG340" s="5">
        <f t="shared" si="343"/>
        <v>23471.319437386566</v>
      </c>
      <c r="AH340" s="5">
        <f t="shared" si="343"/>
        <v>23471.319437386566</v>
      </c>
    </row>
    <row r="341" spans="1:34" x14ac:dyDescent="0.35">
      <c r="A341" t="s">
        <v>361</v>
      </c>
      <c r="B341" s="3" t="s">
        <v>1266</v>
      </c>
      <c r="C341" s="4" t="s">
        <v>1263</v>
      </c>
      <c r="D341" s="2">
        <f t="shared" si="326"/>
        <v>398129.55953381473</v>
      </c>
      <c r="E341" s="5">
        <v>0</v>
      </c>
      <c r="F341" s="5">
        <v>0</v>
      </c>
      <c r="G341" s="5">
        <v>0</v>
      </c>
      <c r="H341" s="5">
        <v>100988.70659128192</v>
      </c>
      <c r="I341" s="5">
        <v>0</v>
      </c>
      <c r="J341" s="5">
        <v>0</v>
      </c>
      <c r="K341" s="5">
        <v>0</v>
      </c>
      <c r="L341" s="5">
        <v>0</v>
      </c>
      <c r="M341" s="5">
        <v>93178.14702822105</v>
      </c>
      <c r="N341" s="5">
        <v>0</v>
      </c>
      <c r="O341" s="5">
        <v>0</v>
      </c>
      <c r="P341" s="5">
        <v>102947.87705024368</v>
      </c>
      <c r="Q341" s="5">
        <v>0</v>
      </c>
      <c r="R341" s="5">
        <v>0</v>
      </c>
      <c r="S341" s="5">
        <v>0</v>
      </c>
      <c r="T341" s="5">
        <v>0</v>
      </c>
      <c r="U341" s="5">
        <v>101014.82886406807</v>
      </c>
      <c r="V341" s="5">
        <v>0</v>
      </c>
      <c r="W341" s="5">
        <f t="shared" ref="W341:AH341" si="344">IF(OR((SLOPE($E341:$V341,$E$1:$V$1)*W$1+INTERCEPT($E341:$V341,$E$1:$V$1))&gt;(AVERAGE($E341:$V341)+_xlfn.STDEV.P($E341:$V341)),(SLOPE($E341:$V341,$E$1:$V$1)*W$1+INTERCEPT($E341:$V341,$E$1:$V$1))&lt;(AVERAGE($E341:$V341)-_xlfn.STDEV.P($E341:$V341))),V341,(SLOPE($E341:$V341,$E$1:$V$1)*W$1+INTERCEPT($E341:$V341,$E$1:$V$1)))</f>
        <v>30215.445124557526</v>
      </c>
      <c r="X341" s="5">
        <f t="shared" si="344"/>
        <v>31067.775257354137</v>
      </c>
      <c r="Y341" s="5">
        <f t="shared" si="344"/>
        <v>31920.105390150748</v>
      </c>
      <c r="Z341" s="5">
        <f t="shared" si="344"/>
        <v>32772.435522947359</v>
      </c>
      <c r="AA341" s="5">
        <f t="shared" si="344"/>
        <v>33624.765655743977</v>
      </c>
      <c r="AB341" s="5">
        <f t="shared" si="344"/>
        <v>34477.095788540588</v>
      </c>
      <c r="AC341" s="5">
        <f t="shared" si="344"/>
        <v>35329.425921337199</v>
      </c>
      <c r="AD341" s="5">
        <f t="shared" si="344"/>
        <v>36181.75605413381</v>
      </c>
      <c r="AE341" s="5">
        <f t="shared" si="344"/>
        <v>37034.086186930421</v>
      </c>
      <c r="AF341" s="5">
        <f t="shared" si="344"/>
        <v>37886.416319727032</v>
      </c>
      <c r="AG341" s="5">
        <f t="shared" si="344"/>
        <v>38738.74645252365</v>
      </c>
      <c r="AH341" s="5">
        <f t="shared" si="344"/>
        <v>39591.076585320261</v>
      </c>
    </row>
    <row r="342" spans="1:34" x14ac:dyDescent="0.35">
      <c r="A342" t="s">
        <v>362</v>
      </c>
      <c r="B342" s="3" t="s">
        <v>1262</v>
      </c>
      <c r="C342" s="4" t="s">
        <v>1263</v>
      </c>
      <c r="D342" s="2">
        <f t="shared" si="326"/>
        <v>392843.68199999991</v>
      </c>
      <c r="E342" s="5">
        <v>6500.3400000000011</v>
      </c>
      <c r="F342" s="5">
        <v>20616.749999999996</v>
      </c>
      <c r="G342" s="5">
        <v>89607.671999999991</v>
      </c>
      <c r="H342" s="5">
        <v>11254.32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69020.027999999991</v>
      </c>
      <c r="T342" s="5">
        <v>73832.22</v>
      </c>
      <c r="U342" s="5">
        <v>44677.709999999985</v>
      </c>
      <c r="V342" s="5">
        <v>77334.641999999993</v>
      </c>
      <c r="W342" s="5">
        <f t="shared" ref="W342:AH342" si="345">IF(OR((SLOPE($E342:$V342,$E$1:$V$1)*W$1+INTERCEPT($E342:$V342,$E$1:$V$1))&gt;(AVERAGE($E342:$V342)+_xlfn.STDEV.P($E342:$V342)),(SLOPE($E342:$V342,$E$1:$V$1)*W$1+INTERCEPT($E342:$V342,$E$1:$V$1))&lt;(AVERAGE($E342:$V342)-_xlfn.STDEV.P($E342:$V342))),V342,(SLOPE($E342:$V342,$E$1:$V$1)*W$1+INTERCEPT($E342:$V342,$E$1:$V$1)))</f>
        <v>41387.780823529407</v>
      </c>
      <c r="X342" s="5">
        <f t="shared" si="345"/>
        <v>43447.057857585132</v>
      </c>
      <c r="Y342" s="5">
        <f t="shared" si="345"/>
        <v>45506.334891640865</v>
      </c>
      <c r="Z342" s="5">
        <f t="shared" si="345"/>
        <v>47565.61192569659</v>
      </c>
      <c r="AA342" s="5">
        <f t="shared" si="345"/>
        <v>49624.888959752316</v>
      </c>
      <c r="AB342" s="5">
        <f t="shared" si="345"/>
        <v>51684.165993808048</v>
      </c>
      <c r="AC342" s="5">
        <f t="shared" si="345"/>
        <v>51684.165993808048</v>
      </c>
      <c r="AD342" s="5">
        <f t="shared" si="345"/>
        <v>51684.165993808048</v>
      </c>
      <c r="AE342" s="5">
        <f t="shared" si="345"/>
        <v>51684.165993808048</v>
      </c>
      <c r="AF342" s="5">
        <f t="shared" si="345"/>
        <v>51684.165993808048</v>
      </c>
      <c r="AG342" s="5">
        <f t="shared" si="345"/>
        <v>51684.165993808048</v>
      </c>
      <c r="AH342" s="5">
        <f t="shared" si="345"/>
        <v>51684.165993808048</v>
      </c>
    </row>
    <row r="343" spans="1:34" x14ac:dyDescent="0.35">
      <c r="A343" t="s">
        <v>363</v>
      </c>
      <c r="B343" s="3" t="s">
        <v>1265</v>
      </c>
      <c r="C343" s="4" t="s">
        <v>1263</v>
      </c>
      <c r="D343" s="2">
        <f t="shared" si="326"/>
        <v>390363.97408368118</v>
      </c>
      <c r="E343" s="5">
        <v>0</v>
      </c>
      <c r="F343" s="5">
        <v>0</v>
      </c>
      <c r="G343" s="5">
        <v>34739.253581763929</v>
      </c>
      <c r="H343" s="5">
        <v>27270.87984757364</v>
      </c>
      <c r="I343" s="5">
        <v>7468.3737341902915</v>
      </c>
      <c r="J343" s="5">
        <v>16803.840901928157</v>
      </c>
      <c r="K343" s="5">
        <v>4724.3121727643138</v>
      </c>
      <c r="L343" s="5">
        <v>25686.679358502974</v>
      </c>
      <c r="M343" s="5">
        <v>39689.880110109771</v>
      </c>
      <c r="N343" s="5">
        <v>0</v>
      </c>
      <c r="O343" s="5">
        <v>33607.681803856314</v>
      </c>
      <c r="P343" s="5">
        <v>0</v>
      </c>
      <c r="Q343" s="5">
        <v>45460.896177438633</v>
      </c>
      <c r="R343" s="5">
        <v>34145.178398362434</v>
      </c>
      <c r="S343" s="5">
        <v>57879.896439974764</v>
      </c>
      <c r="T343" s="5">
        <v>10042.699528930129</v>
      </c>
      <c r="U343" s="5">
        <v>30439.280825714981</v>
      </c>
      <c r="V343" s="5">
        <v>22405.121202570874</v>
      </c>
      <c r="W343" s="5">
        <f t="shared" ref="W343:AH343" si="346">IF(OR((SLOPE($E343:$V343,$E$1:$V$1)*W$1+INTERCEPT($E343:$V343,$E$1:$V$1))&gt;(AVERAGE($E343:$V343)+_xlfn.STDEV.P($E343:$V343)),(SLOPE($E343:$V343,$E$1:$V$1)*W$1+INTERCEPT($E343:$V343,$E$1:$V$1))&lt;(AVERAGE($E343:$V343)-_xlfn.STDEV.P($E343:$V343))),V343,(SLOPE($E343:$V343,$E$1:$V$1)*W$1+INTERCEPT($E343:$V343,$E$1:$V$1)))</f>
        <v>33983.578115046868</v>
      </c>
      <c r="X343" s="5">
        <f t="shared" si="346"/>
        <v>35277.966606199865</v>
      </c>
      <c r="Y343" s="5">
        <f t="shared" si="346"/>
        <v>36572.355097352862</v>
      </c>
      <c r="Z343" s="5">
        <f t="shared" si="346"/>
        <v>37866.743588505858</v>
      </c>
      <c r="AA343" s="5">
        <f t="shared" si="346"/>
        <v>37866.743588505858</v>
      </c>
      <c r="AB343" s="5">
        <f t="shared" si="346"/>
        <v>37866.743588505858</v>
      </c>
      <c r="AC343" s="5">
        <f t="shared" si="346"/>
        <v>37866.743588505858</v>
      </c>
      <c r="AD343" s="5">
        <f t="shared" si="346"/>
        <v>37866.743588505858</v>
      </c>
      <c r="AE343" s="5">
        <f t="shared" si="346"/>
        <v>37866.743588505858</v>
      </c>
      <c r="AF343" s="5">
        <f t="shared" si="346"/>
        <v>37866.743588505858</v>
      </c>
      <c r="AG343" s="5">
        <f t="shared" si="346"/>
        <v>37866.743588505858</v>
      </c>
      <c r="AH343" s="5">
        <f t="shared" si="346"/>
        <v>37866.743588505858</v>
      </c>
    </row>
    <row r="344" spans="1:34" x14ac:dyDescent="0.35">
      <c r="A344" t="s">
        <v>364</v>
      </c>
      <c r="B344" s="3" t="s">
        <v>1265</v>
      </c>
      <c r="C344" s="4" t="s">
        <v>1263</v>
      </c>
      <c r="D344" s="2">
        <f t="shared" si="326"/>
        <v>389068.93187566398</v>
      </c>
      <c r="E344" s="5">
        <v>12514.499722392491</v>
      </c>
      <c r="F344" s="5">
        <v>35008.916944920777</v>
      </c>
      <c r="G344" s="5">
        <v>35473.590352334511</v>
      </c>
      <c r="H344" s="5">
        <v>18956.562870628291</v>
      </c>
      <c r="I344" s="5">
        <v>14119.735129821742</v>
      </c>
      <c r="J344" s="5">
        <v>15365.904722431289</v>
      </c>
      <c r="K344" s="5">
        <v>18375.721111361119</v>
      </c>
      <c r="L344" s="5">
        <v>11247.208611264141</v>
      </c>
      <c r="M344" s="5">
        <v>36434.619444940166</v>
      </c>
      <c r="N344" s="5">
        <v>22758.436204013349</v>
      </c>
      <c r="O344" s="5">
        <v>18243.711620618593</v>
      </c>
      <c r="P344" s="5">
        <v>25108.205139230511</v>
      </c>
      <c r="Q344" s="5">
        <v>47312.201482125209</v>
      </c>
      <c r="R344" s="5">
        <v>24976.195648487974</v>
      </c>
      <c r="S344" s="5">
        <v>11220.806713115635</v>
      </c>
      <c r="T344" s="5">
        <v>12989.733889065628</v>
      </c>
      <c r="U344" s="5">
        <v>15999.550277995468</v>
      </c>
      <c r="V344" s="5">
        <v>12963.33199091712</v>
      </c>
      <c r="W344" s="5">
        <f t="shared" ref="W344:AH344" si="347">IF(OR((SLOPE($E344:$V344,$E$1:$V$1)*W$1+INTERCEPT($E344:$V344,$E$1:$V$1))&gt;(AVERAGE($E344:$V344)+_xlfn.STDEV.P($E344:$V344)),(SLOPE($E344:$V344,$E$1:$V$1)*W$1+INTERCEPT($E344:$V344,$E$1:$V$1))&lt;(AVERAGE($E344:$V344)-_xlfn.STDEV.P($E344:$V344))),V344,(SLOPE($E344:$V344,$E$1:$V$1)*W$1+INTERCEPT($E344:$V344,$E$1:$V$1)))</f>
        <v>18746.452078565402</v>
      </c>
      <c r="X344" s="5">
        <f t="shared" si="347"/>
        <v>18444.505912123957</v>
      </c>
      <c r="Y344" s="5">
        <f t="shared" si="347"/>
        <v>18142.559745682513</v>
      </c>
      <c r="Z344" s="5">
        <f t="shared" si="347"/>
        <v>17840.613579241071</v>
      </c>
      <c r="AA344" s="5">
        <f t="shared" si="347"/>
        <v>17538.667412799627</v>
      </c>
      <c r="AB344" s="5">
        <f t="shared" si="347"/>
        <v>17236.721246358185</v>
      </c>
      <c r="AC344" s="5">
        <f t="shared" si="347"/>
        <v>16934.775079916741</v>
      </c>
      <c r="AD344" s="5">
        <f t="shared" si="347"/>
        <v>16632.828913475299</v>
      </c>
      <c r="AE344" s="5">
        <f t="shared" si="347"/>
        <v>16330.882747033855</v>
      </c>
      <c r="AF344" s="5">
        <f t="shared" si="347"/>
        <v>16028.936580592412</v>
      </c>
      <c r="AG344" s="5">
        <f t="shared" si="347"/>
        <v>15726.990414150969</v>
      </c>
      <c r="AH344" s="5">
        <f t="shared" si="347"/>
        <v>15425.044247709524</v>
      </c>
    </row>
    <row r="345" spans="1:34" x14ac:dyDescent="0.35">
      <c r="A345" t="s">
        <v>365</v>
      </c>
      <c r="B345" s="3" t="s">
        <v>1265</v>
      </c>
      <c r="C345" s="4" t="s">
        <v>1263</v>
      </c>
      <c r="D345" s="2">
        <f t="shared" si="326"/>
        <v>385402.32640000002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345586.61200000002</v>
      </c>
      <c r="O345" s="5">
        <v>12754.817599999998</v>
      </c>
      <c r="P345" s="5">
        <v>11031.193599999999</v>
      </c>
      <c r="Q345" s="5">
        <v>4481.4224000000004</v>
      </c>
      <c r="R345" s="5">
        <v>5343.2344000000003</v>
      </c>
      <c r="S345" s="5">
        <v>2413.0735999999997</v>
      </c>
      <c r="T345" s="5">
        <v>861.8119999999999</v>
      </c>
      <c r="U345" s="5">
        <v>1034.1743999999999</v>
      </c>
      <c r="V345" s="5">
        <v>1895.9863999999998</v>
      </c>
      <c r="W345" s="5">
        <f t="shared" ref="W345:AH345" si="348">IF(OR((SLOPE($E345:$V345,$E$1:$V$1)*W$1+INTERCEPT($E345:$V345,$E$1:$V$1))&gt;(AVERAGE($E345:$V345)+_xlfn.STDEV.P($E345:$V345)),(SLOPE($E345:$V345,$E$1:$V$1)*W$1+INTERCEPT($E345:$V345,$E$1:$V$1))&lt;(AVERAGE($E345:$V345)-_xlfn.STDEV.P($E345:$V345))),V345,(SLOPE($E345:$V345,$E$1:$V$1)*W$1+INTERCEPT($E345:$V345,$E$1:$V$1)))</f>
        <v>27332.395743790854</v>
      </c>
      <c r="X345" s="5">
        <f t="shared" si="348"/>
        <v>27955.67525834194</v>
      </c>
      <c r="Y345" s="5">
        <f t="shared" si="348"/>
        <v>28578.954772893023</v>
      </c>
      <c r="Z345" s="5">
        <f t="shared" si="348"/>
        <v>29202.234287444109</v>
      </c>
      <c r="AA345" s="5">
        <f t="shared" si="348"/>
        <v>29825.513801995192</v>
      </c>
      <c r="AB345" s="5">
        <f t="shared" si="348"/>
        <v>30448.793316546275</v>
      </c>
      <c r="AC345" s="5">
        <f t="shared" si="348"/>
        <v>31072.072831097357</v>
      </c>
      <c r="AD345" s="5">
        <f t="shared" si="348"/>
        <v>31695.352345648444</v>
      </c>
      <c r="AE345" s="5">
        <f t="shared" si="348"/>
        <v>32318.631860199526</v>
      </c>
      <c r="AF345" s="5">
        <f t="shared" si="348"/>
        <v>32941.911374750613</v>
      </c>
      <c r="AG345" s="5">
        <f t="shared" si="348"/>
        <v>33565.190889301695</v>
      </c>
      <c r="AH345" s="5">
        <f t="shared" si="348"/>
        <v>34188.470403852778</v>
      </c>
    </row>
    <row r="346" spans="1:34" x14ac:dyDescent="0.35">
      <c r="A346" t="s">
        <v>366</v>
      </c>
      <c r="B346" s="3" t="s">
        <v>1266</v>
      </c>
      <c r="C346" s="4" t="s">
        <v>1267</v>
      </c>
      <c r="D346" s="2">
        <f t="shared" si="326"/>
        <v>388977.34600717243</v>
      </c>
      <c r="E346" s="5">
        <v>0</v>
      </c>
      <c r="F346" s="5">
        <v>0</v>
      </c>
      <c r="G346" s="5">
        <v>36734.842032451415</v>
      </c>
      <c r="H346" s="5">
        <v>0</v>
      </c>
      <c r="I346" s="5">
        <v>0</v>
      </c>
      <c r="J346" s="5">
        <v>72096.418942194359</v>
      </c>
      <c r="K346" s="5">
        <v>0</v>
      </c>
      <c r="L346" s="5">
        <v>0</v>
      </c>
      <c r="M346" s="5">
        <v>0</v>
      </c>
      <c r="N346" s="5">
        <v>0</v>
      </c>
      <c r="O346" s="5">
        <v>80336.009678445145</v>
      </c>
      <c r="P346" s="5">
        <v>0</v>
      </c>
      <c r="Q346" s="5">
        <v>0</v>
      </c>
      <c r="R346" s="5">
        <v>0</v>
      </c>
      <c r="S346" s="5">
        <v>79649.377117090917</v>
      </c>
      <c r="T346" s="5">
        <v>0</v>
      </c>
      <c r="U346" s="5">
        <v>120160.6982369906</v>
      </c>
      <c r="V346" s="5">
        <v>0</v>
      </c>
      <c r="W346" s="5">
        <f t="shared" ref="W346:AH346" si="349">IF(OR((SLOPE($E346:$V346,$E$1:$V$1)*W$1+INTERCEPT($E346:$V346,$E$1:$V$1))&gt;(AVERAGE($E346:$V346)+_xlfn.STDEV.P($E346:$V346)),(SLOPE($E346:$V346,$E$1:$V$1)*W$1+INTERCEPT($E346:$V346,$E$1:$V$1))&lt;(AVERAGE($E346:$V346)-_xlfn.STDEV.P($E346:$V346))),V346,(SLOPE($E346:$V346,$E$1:$V$1)*W$1+INTERCEPT($E346:$V346,$E$1:$V$1)))</f>
        <v>40603.320907532121</v>
      </c>
      <c r="X346" s="5">
        <f t="shared" si="349"/>
        <v>42602.633365592963</v>
      </c>
      <c r="Y346" s="5">
        <f t="shared" si="349"/>
        <v>44601.945823653819</v>
      </c>
      <c r="Z346" s="5">
        <f t="shared" si="349"/>
        <v>46601.258281714676</v>
      </c>
      <c r="AA346" s="5">
        <f t="shared" si="349"/>
        <v>48600.570739775518</v>
      </c>
      <c r="AB346" s="5">
        <f t="shared" si="349"/>
        <v>50599.883197836374</v>
      </c>
      <c r="AC346" s="5">
        <f t="shared" si="349"/>
        <v>52599.195655897231</v>
      </c>
      <c r="AD346" s="5">
        <f t="shared" si="349"/>
        <v>54598.508113958072</v>
      </c>
      <c r="AE346" s="5">
        <f t="shared" si="349"/>
        <v>56597.820572018929</v>
      </c>
      <c r="AF346" s="5">
        <f t="shared" si="349"/>
        <v>58597.133030079785</v>
      </c>
      <c r="AG346" s="5">
        <f t="shared" si="349"/>
        <v>58597.133030079785</v>
      </c>
      <c r="AH346" s="5">
        <f t="shared" si="349"/>
        <v>58597.133030079785</v>
      </c>
    </row>
    <row r="347" spans="1:34" x14ac:dyDescent="0.35">
      <c r="A347" t="s">
        <v>367</v>
      </c>
      <c r="B347" s="3" t="s">
        <v>1265</v>
      </c>
      <c r="C347" s="4" t="s">
        <v>1263</v>
      </c>
      <c r="D347" s="2">
        <f t="shared" si="326"/>
        <v>384113.68735121656</v>
      </c>
      <c r="E347" s="5">
        <v>16542.442517029169</v>
      </c>
      <c r="F347" s="5">
        <v>23945.41403017483</v>
      </c>
      <c r="G347" s="5">
        <v>22665.888089631135</v>
      </c>
      <c r="H347" s="5">
        <v>25937.818709021438</v>
      </c>
      <c r="I347" s="5">
        <v>25096.987376664143</v>
      </c>
      <c r="J347" s="5">
        <v>19649.862658349568</v>
      </c>
      <c r="K347" s="5">
        <v>22190.635597429191</v>
      </c>
      <c r="L347" s="5">
        <v>19064.936514101028</v>
      </c>
      <c r="M347" s="5">
        <v>25462.566216819487</v>
      </c>
      <c r="N347" s="5">
        <v>27327.018301611723</v>
      </c>
      <c r="O347" s="5">
        <v>20655.204468776759</v>
      </c>
      <c r="P347" s="5">
        <v>22940.072219747639</v>
      </c>
      <c r="Q347" s="5">
        <v>13252.232955631103</v>
      </c>
      <c r="R347" s="5">
        <v>17145.647603285484</v>
      </c>
      <c r="S347" s="5">
        <v>25078.708434656386</v>
      </c>
      <c r="T347" s="5">
        <v>15701.611184671887</v>
      </c>
      <c r="U347" s="5">
        <v>23415.324711949583</v>
      </c>
      <c r="V347" s="5">
        <v>18041.315761666072</v>
      </c>
      <c r="W347" s="5">
        <f t="shared" ref="W347:AH347" si="350">IF(OR((SLOPE($E347:$V347,$E$1:$V$1)*W$1+INTERCEPT($E347:$V347,$E$1:$V$1))&gt;(AVERAGE($E347:$V347)+_xlfn.STDEV.P($E347:$V347)),(SLOPE($E347:$V347,$E$1:$V$1)*W$1+INTERCEPT($E347:$V347,$E$1:$V$1))&lt;(AVERAGE($E347:$V347)-_xlfn.STDEV.P($E347:$V347))),V347,(SLOPE($E347:$V347,$E$1:$V$1)*W$1+INTERCEPT($E347:$V347,$E$1:$V$1)))</f>
        <v>19492.400922622528</v>
      </c>
      <c r="X347" s="5">
        <f t="shared" si="350"/>
        <v>19297.953725289128</v>
      </c>
      <c r="Y347" s="5">
        <f t="shared" si="350"/>
        <v>19103.506527955731</v>
      </c>
      <c r="Z347" s="5">
        <f t="shared" si="350"/>
        <v>18909.059330622331</v>
      </c>
      <c r="AA347" s="5">
        <f t="shared" si="350"/>
        <v>18714.612133288934</v>
      </c>
      <c r="AB347" s="5">
        <f t="shared" si="350"/>
        <v>18520.164935955538</v>
      </c>
      <c r="AC347" s="5">
        <f t="shared" si="350"/>
        <v>18325.717738622137</v>
      </c>
      <c r="AD347" s="5">
        <f t="shared" si="350"/>
        <v>18131.270541288741</v>
      </c>
      <c r="AE347" s="5">
        <f t="shared" si="350"/>
        <v>17936.823343955344</v>
      </c>
      <c r="AF347" s="5">
        <f t="shared" si="350"/>
        <v>17742.376146621944</v>
      </c>
      <c r="AG347" s="5">
        <f t="shared" si="350"/>
        <v>17547.928949288547</v>
      </c>
      <c r="AH347" s="5">
        <f t="shared" si="350"/>
        <v>17547.928949288547</v>
      </c>
    </row>
    <row r="348" spans="1:34" x14ac:dyDescent="0.35">
      <c r="A348" t="s">
        <v>368</v>
      </c>
      <c r="B348" s="3" t="s">
        <v>1266</v>
      </c>
      <c r="C348" s="4" t="s">
        <v>1267</v>
      </c>
      <c r="D348" s="2">
        <f t="shared" si="326"/>
        <v>387764.29065423406</v>
      </c>
      <c r="E348" s="5">
        <v>0</v>
      </c>
      <c r="F348" s="5">
        <v>0</v>
      </c>
      <c r="G348" s="5">
        <v>0</v>
      </c>
      <c r="H348" s="5">
        <v>104582.94552255211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77336.833456387627</v>
      </c>
      <c r="Q348" s="5">
        <v>0</v>
      </c>
      <c r="R348" s="5">
        <v>0</v>
      </c>
      <c r="S348" s="5">
        <v>0</v>
      </c>
      <c r="T348" s="5">
        <v>0</v>
      </c>
      <c r="U348" s="5">
        <v>205844.51167529431</v>
      </c>
      <c r="V348" s="5">
        <v>0</v>
      </c>
      <c r="W348" s="5">
        <f t="shared" ref="W348:AH348" si="351">IF(OR((SLOPE($E348:$V348,$E$1:$V$1)*W$1+INTERCEPT($E348:$V348,$E$1:$V$1))&gt;(AVERAGE($E348:$V348)+_xlfn.STDEV.P($E348:$V348)),(SLOPE($E348:$V348,$E$1:$V$1)*W$1+INTERCEPT($E348:$V348,$E$1:$V$1))&lt;(AVERAGE($E348:$V348)-_xlfn.STDEV.P($E348:$V348))),V348,(SLOPE($E348:$V348,$E$1:$V$1)*W$1+INTERCEPT($E348:$V348,$E$1:$V$1)))</f>
        <v>44326.18060820856</v>
      </c>
      <c r="X348" s="5">
        <f t="shared" si="351"/>
        <v>46724.466925714521</v>
      </c>
      <c r="Y348" s="5">
        <f t="shared" si="351"/>
        <v>49122.753243220483</v>
      </c>
      <c r="Z348" s="5">
        <f t="shared" si="351"/>
        <v>51521.039560726451</v>
      </c>
      <c r="AA348" s="5">
        <f t="shared" si="351"/>
        <v>53919.325878232419</v>
      </c>
      <c r="AB348" s="5">
        <f t="shared" si="351"/>
        <v>56317.61219573838</v>
      </c>
      <c r="AC348" s="5">
        <f t="shared" si="351"/>
        <v>58715.898513244341</v>
      </c>
      <c r="AD348" s="5">
        <f t="shared" si="351"/>
        <v>61114.18483075031</v>
      </c>
      <c r="AE348" s="5">
        <f t="shared" si="351"/>
        <v>63512.471148256278</v>
      </c>
      <c r="AF348" s="5">
        <f t="shared" si="351"/>
        <v>65910.757465762232</v>
      </c>
      <c r="AG348" s="5">
        <f t="shared" si="351"/>
        <v>68309.043783268193</v>
      </c>
      <c r="AH348" s="5">
        <f t="shared" si="351"/>
        <v>70707.330100774183</v>
      </c>
    </row>
    <row r="349" spans="1:34" x14ac:dyDescent="0.35">
      <c r="A349" t="s">
        <v>369</v>
      </c>
      <c r="B349" s="3" t="s">
        <v>1266</v>
      </c>
      <c r="C349" s="4" t="s">
        <v>1267</v>
      </c>
      <c r="D349" s="2">
        <f t="shared" si="326"/>
        <v>385111.17063680978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193954.61872054427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191156.55191626551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f t="shared" ref="W349:AH349" si="352">IF(OR((SLOPE($E349:$V349,$E$1:$V$1)*W$1+INTERCEPT($E349:$V349,$E$1:$V$1))&gt;(AVERAGE($E349:$V349)+_xlfn.STDEV.P($E349:$V349)),(SLOPE($E349:$V349,$E$1:$V$1)*W$1+INTERCEPT($E349:$V349,$E$1:$V$1))&lt;(AVERAGE($E349:$V349)-_xlfn.STDEV.P($E349:$V349))),V349,(SLOPE($E349:$V349,$E$1:$V$1)*W$1+INTERCEPT($E349:$V349,$E$1:$V$1)))</f>
        <v>17454.873158295159</v>
      </c>
      <c r="X349" s="5">
        <f t="shared" si="352"/>
        <v>17040.116118602196</v>
      </c>
      <c r="Y349" s="5">
        <f t="shared" si="352"/>
        <v>16625.359078909234</v>
      </c>
      <c r="Z349" s="5">
        <f t="shared" si="352"/>
        <v>16210.602039216268</v>
      </c>
      <c r="AA349" s="5">
        <f t="shared" si="352"/>
        <v>15795.844999523304</v>
      </c>
      <c r="AB349" s="5">
        <f t="shared" si="352"/>
        <v>15381.08795983034</v>
      </c>
      <c r="AC349" s="5">
        <f t="shared" si="352"/>
        <v>14966.330920137376</v>
      </c>
      <c r="AD349" s="5">
        <f t="shared" si="352"/>
        <v>14551.573880444412</v>
      </c>
      <c r="AE349" s="5">
        <f t="shared" si="352"/>
        <v>14136.816840751448</v>
      </c>
      <c r="AF349" s="5">
        <f t="shared" si="352"/>
        <v>13722.059801058484</v>
      </c>
      <c r="AG349" s="5">
        <f t="shared" si="352"/>
        <v>13307.302761365519</v>
      </c>
      <c r="AH349" s="5">
        <f t="shared" si="352"/>
        <v>12892.545721672555</v>
      </c>
    </row>
    <row r="350" spans="1:34" x14ac:dyDescent="0.35">
      <c r="A350" t="s">
        <v>370</v>
      </c>
      <c r="B350" s="3" t="s">
        <v>1265</v>
      </c>
      <c r="C350" s="4" t="s">
        <v>1263</v>
      </c>
      <c r="D350" s="2">
        <f t="shared" si="326"/>
        <v>382149.18914044986</v>
      </c>
      <c r="E350" s="5">
        <v>10642.420591748187</v>
      </c>
      <c r="F350" s="5">
        <v>20565.758711080958</v>
      </c>
      <c r="G350" s="5">
        <v>32502.527753176899</v>
      </c>
      <c r="H350" s="5">
        <v>25311.703029022723</v>
      </c>
      <c r="I350" s="5">
        <v>29798.777656894934</v>
      </c>
      <c r="J350" s="5">
        <v>12842.812957339369</v>
      </c>
      <c r="K350" s="5">
        <v>22521.663036050893</v>
      </c>
      <c r="L350" s="5">
        <v>39434.482787261542</v>
      </c>
      <c r="M350" s="5">
        <v>32142.986516969195</v>
      </c>
      <c r="N350" s="5">
        <v>14165.924706583739</v>
      </c>
      <c r="O350" s="5">
        <v>18480.419541076251</v>
      </c>
      <c r="P350" s="5">
        <v>25139.123235643016</v>
      </c>
      <c r="Q350" s="5">
        <v>13533.132130858172</v>
      </c>
      <c r="R350" s="5">
        <v>16078.684083208751</v>
      </c>
      <c r="S350" s="5">
        <v>17890.771913695608</v>
      </c>
      <c r="T350" s="5">
        <v>15460.273156931491</v>
      </c>
      <c r="U350" s="5">
        <v>19674.096445285842</v>
      </c>
      <c r="V350" s="5">
        <v>15963.630887622287</v>
      </c>
      <c r="W350" s="5">
        <f t="shared" ref="W350:AH350" si="353">IF(OR((SLOPE($E350:$V350,$E$1:$V$1)*W$1+INTERCEPT($E350:$V350,$E$1:$V$1))&gt;(AVERAGE($E350:$V350)+_xlfn.STDEV.P($E350:$V350)),(SLOPE($E350:$V350,$E$1:$V$1)*W$1+INTERCEPT($E350:$V350,$E$1:$V$1))&lt;(AVERAGE($E350:$V350)-_xlfn.STDEV.P($E350:$V350))),V350,(SLOPE($E350:$V350,$E$1:$V$1)*W$1+INTERCEPT($E350:$V350,$E$1:$V$1)))</f>
        <v>17186.447081563747</v>
      </c>
      <c r="X350" s="5">
        <f t="shared" si="353"/>
        <v>16760.75619459122</v>
      </c>
      <c r="Y350" s="5">
        <f t="shared" si="353"/>
        <v>16335.065307618692</v>
      </c>
      <c r="Z350" s="5">
        <f t="shared" si="353"/>
        <v>15909.374420646163</v>
      </c>
      <c r="AA350" s="5">
        <f t="shared" si="353"/>
        <v>15483.683533673635</v>
      </c>
      <c r="AB350" s="5">
        <f t="shared" si="353"/>
        <v>15057.992646701106</v>
      </c>
      <c r="AC350" s="5">
        <f t="shared" si="353"/>
        <v>14632.301759728578</v>
      </c>
      <c r="AD350" s="5">
        <f t="shared" si="353"/>
        <v>14206.61087275605</v>
      </c>
      <c r="AE350" s="5">
        <f t="shared" si="353"/>
        <v>13780.919985783519</v>
      </c>
      <c r="AF350" s="5">
        <f t="shared" si="353"/>
        <v>13780.919985783519</v>
      </c>
      <c r="AG350" s="5">
        <f t="shared" si="353"/>
        <v>13780.919985783519</v>
      </c>
      <c r="AH350" s="5">
        <f t="shared" si="353"/>
        <v>13780.919985783519</v>
      </c>
    </row>
    <row r="351" spans="1:34" x14ac:dyDescent="0.35">
      <c r="A351" t="s">
        <v>371</v>
      </c>
      <c r="B351" s="3" t="s">
        <v>1265</v>
      </c>
      <c r="C351" s="4" t="s">
        <v>1268</v>
      </c>
      <c r="D351" s="2">
        <f t="shared" si="326"/>
        <v>378172.5773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24235.893919999999</v>
      </c>
      <c r="M351" s="5">
        <v>0</v>
      </c>
      <c r="N351" s="5">
        <v>0</v>
      </c>
      <c r="O351" s="5">
        <v>176937.17916</v>
      </c>
      <c r="P351" s="5">
        <v>30478.176399999997</v>
      </c>
      <c r="Q351" s="5">
        <v>0</v>
      </c>
      <c r="R351" s="5">
        <v>0</v>
      </c>
      <c r="S351" s="5">
        <v>0</v>
      </c>
      <c r="T351" s="5">
        <v>146521.32781999998</v>
      </c>
      <c r="U351" s="5">
        <v>0</v>
      </c>
      <c r="V351" s="5">
        <v>0</v>
      </c>
      <c r="W351" s="5">
        <f t="shared" ref="W351:AH351" si="354">IF(OR((SLOPE($E351:$V351,$E$1:$V$1)*W$1+INTERCEPT($E351:$V351,$E$1:$V$1))&gt;(AVERAGE($E351:$V351)+_xlfn.STDEV.P($E351:$V351)),(SLOPE($E351:$V351,$E$1:$V$1)*W$1+INTERCEPT($E351:$V351,$E$1:$V$1))&lt;(AVERAGE($E351:$V351)-_xlfn.STDEV.P($E351:$V351))),V351,(SLOPE($E351:$V351,$E$1:$V$1)*W$1+INTERCEPT($E351:$V351,$E$1:$V$1)))</f>
        <v>45669.117033464048</v>
      </c>
      <c r="X351" s="5">
        <f t="shared" si="354"/>
        <v>48264.856970904715</v>
      </c>
      <c r="Y351" s="5">
        <f t="shared" si="354"/>
        <v>50860.596908345382</v>
      </c>
      <c r="Z351" s="5">
        <f t="shared" si="354"/>
        <v>53456.336845786034</v>
      </c>
      <c r="AA351" s="5">
        <f t="shared" si="354"/>
        <v>56052.076783226701</v>
      </c>
      <c r="AB351" s="5">
        <f t="shared" si="354"/>
        <v>58647.816720667353</v>
      </c>
      <c r="AC351" s="5">
        <f t="shared" si="354"/>
        <v>61243.55665810802</v>
      </c>
      <c r="AD351" s="5">
        <f t="shared" si="354"/>
        <v>63839.296595548687</v>
      </c>
      <c r="AE351" s="5">
        <f t="shared" si="354"/>
        <v>66435.036532989339</v>
      </c>
      <c r="AF351" s="5">
        <f t="shared" si="354"/>
        <v>69030.776470430006</v>
      </c>
      <c r="AG351" s="5">
        <f t="shared" si="354"/>
        <v>71626.516407870658</v>
      </c>
      <c r="AH351" s="5">
        <f t="shared" si="354"/>
        <v>71626.516407870658</v>
      </c>
    </row>
    <row r="352" spans="1:34" x14ac:dyDescent="0.35">
      <c r="A352" t="s">
        <v>372</v>
      </c>
      <c r="B352" s="3" t="s">
        <v>1262</v>
      </c>
      <c r="C352" s="4" t="s">
        <v>1263</v>
      </c>
      <c r="D352" s="2">
        <f t="shared" si="326"/>
        <v>355804.288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156604</v>
      </c>
      <c r="S352" s="5">
        <v>0</v>
      </c>
      <c r="T352" s="5">
        <v>15033.983999999999</v>
      </c>
      <c r="U352" s="5">
        <v>50113.279999999999</v>
      </c>
      <c r="V352" s="5">
        <v>134053.024</v>
      </c>
      <c r="W352" s="5">
        <f t="shared" ref="W352:AH352" si="355">IF(OR((SLOPE($E352:$V352,$E$1:$V$1)*W$1+INTERCEPT($E352:$V352,$E$1:$V$1))&gt;(AVERAGE($E352:$V352)+_xlfn.STDEV.P($E352:$V352)),(SLOPE($E352:$V352,$E$1:$V$1)*W$1+INTERCEPT($E352:$V352,$E$1:$V$1))&lt;(AVERAGE($E352:$V352)-_xlfn.STDEV.P($E352:$V352))),V352,(SLOPE($E352:$V352,$E$1:$V$1)*W$1+INTERCEPT($E352:$V352,$E$1:$V$1)))</f>
        <v>65212.771555555562</v>
      </c>
      <c r="X352" s="5">
        <f t="shared" si="355"/>
        <v>65212.771555555562</v>
      </c>
      <c r="Y352" s="5">
        <f t="shared" si="355"/>
        <v>65212.771555555562</v>
      </c>
      <c r="Z352" s="5">
        <f t="shared" si="355"/>
        <v>65212.771555555562</v>
      </c>
      <c r="AA352" s="5">
        <f t="shared" si="355"/>
        <v>65212.771555555562</v>
      </c>
      <c r="AB352" s="5">
        <f t="shared" si="355"/>
        <v>65212.771555555562</v>
      </c>
      <c r="AC352" s="5">
        <f t="shared" si="355"/>
        <v>65212.771555555562</v>
      </c>
      <c r="AD352" s="5">
        <f t="shared" si="355"/>
        <v>65212.771555555562</v>
      </c>
      <c r="AE352" s="5">
        <f t="shared" si="355"/>
        <v>65212.771555555562</v>
      </c>
      <c r="AF352" s="5">
        <f t="shared" si="355"/>
        <v>65212.771555555562</v>
      </c>
      <c r="AG352" s="5">
        <f t="shared" si="355"/>
        <v>65212.771555555562</v>
      </c>
      <c r="AH352" s="5">
        <f t="shared" si="355"/>
        <v>65212.771555555562</v>
      </c>
    </row>
    <row r="353" spans="1:34" x14ac:dyDescent="0.35">
      <c r="A353" t="s">
        <v>373</v>
      </c>
      <c r="B353" s="3" t="s">
        <v>1266</v>
      </c>
      <c r="C353" s="4" t="s">
        <v>1267</v>
      </c>
      <c r="D353" s="2">
        <f t="shared" si="326"/>
        <v>372960.4810381874</v>
      </c>
      <c r="E353" s="5">
        <v>0</v>
      </c>
      <c r="F353" s="5">
        <v>0</v>
      </c>
      <c r="G353" s="5">
        <v>0</v>
      </c>
      <c r="H353" s="5">
        <v>0</v>
      </c>
      <c r="I353" s="5">
        <v>90192.700236407632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189568.65722415858</v>
      </c>
      <c r="Q353" s="5">
        <v>0</v>
      </c>
      <c r="R353" s="5">
        <v>0</v>
      </c>
      <c r="S353" s="5">
        <v>0</v>
      </c>
      <c r="T353" s="5">
        <v>93199.123577621212</v>
      </c>
      <c r="U353" s="5">
        <v>0</v>
      </c>
      <c r="V353" s="5">
        <v>0</v>
      </c>
      <c r="W353" s="5">
        <f t="shared" ref="W353:AH353" si="356">IF(OR((SLOPE($E353:$V353,$E$1:$V$1)*W$1+INTERCEPT($E353:$V353,$E$1:$V$1))&gt;(AVERAGE($E353:$V353)+_xlfn.STDEV.P($E353:$V353)),(SLOPE($E353:$V353,$E$1:$V$1)*W$1+INTERCEPT($E353:$V353,$E$1:$V$1))&lt;(AVERAGE($E353:$V353)-_xlfn.STDEV.P($E353:$V353))),V353,(SLOPE($E353:$V353,$E$1:$V$1)*W$1+INTERCEPT($E353:$V353,$E$1:$V$1)))</f>
        <v>33932.748199855509</v>
      </c>
      <c r="X353" s="5">
        <f t="shared" si="356"/>
        <v>35323.560986751487</v>
      </c>
      <c r="Y353" s="5">
        <f t="shared" si="356"/>
        <v>36714.373773647458</v>
      </c>
      <c r="Z353" s="5">
        <f t="shared" si="356"/>
        <v>38105.186560543436</v>
      </c>
      <c r="AA353" s="5">
        <f t="shared" si="356"/>
        <v>39495.999347439407</v>
      </c>
      <c r="AB353" s="5">
        <f t="shared" si="356"/>
        <v>40886.812134335385</v>
      </c>
      <c r="AC353" s="5">
        <f t="shared" si="356"/>
        <v>42277.624921231363</v>
      </c>
      <c r="AD353" s="5">
        <f t="shared" si="356"/>
        <v>43668.437708127334</v>
      </c>
      <c r="AE353" s="5">
        <f t="shared" si="356"/>
        <v>45059.250495023312</v>
      </c>
      <c r="AF353" s="5">
        <f t="shared" si="356"/>
        <v>46450.063281919291</v>
      </c>
      <c r="AG353" s="5">
        <f t="shared" si="356"/>
        <v>47840.876068815262</v>
      </c>
      <c r="AH353" s="5">
        <f t="shared" si="356"/>
        <v>49231.68885571124</v>
      </c>
    </row>
    <row r="354" spans="1:34" x14ac:dyDescent="0.35">
      <c r="A354" t="s">
        <v>374</v>
      </c>
      <c r="B354" s="3" t="s">
        <v>1265</v>
      </c>
      <c r="C354" s="4" t="s">
        <v>1263</v>
      </c>
      <c r="D354" s="2">
        <f t="shared" si="326"/>
        <v>361163.09492196492</v>
      </c>
      <c r="E354" s="5">
        <v>15005.918170475421</v>
      </c>
      <c r="F354" s="5">
        <v>19691.848874985968</v>
      </c>
      <c r="G354" s="5">
        <v>24602.655631463946</v>
      </c>
      <c r="H354" s="5">
        <v>22147.25225322496</v>
      </c>
      <c r="I354" s="5">
        <v>20314.816316247096</v>
      </c>
      <c r="J354" s="5">
        <v>20375.593627589646</v>
      </c>
      <c r="K354" s="5">
        <v>24262.302687945674</v>
      </c>
      <c r="L354" s="5">
        <v>16643.866711157123</v>
      </c>
      <c r="M354" s="5">
        <v>24465.906680943212</v>
      </c>
      <c r="N354" s="5">
        <v>17190.862513240067</v>
      </c>
      <c r="O354" s="5">
        <v>20992.483337716523</v>
      </c>
      <c r="P354" s="5">
        <v>25359.333157678688</v>
      </c>
      <c r="Q354" s="5">
        <v>11043.237470941203</v>
      </c>
      <c r="R354" s="5">
        <v>22502.799524578881</v>
      </c>
      <c r="S354" s="5">
        <v>17421.816296341753</v>
      </c>
      <c r="T354" s="5">
        <v>22056.086286211128</v>
      </c>
      <c r="U354" s="5">
        <v>18138.988570183832</v>
      </c>
      <c r="V354" s="5">
        <v>18947.326811039744</v>
      </c>
      <c r="W354" s="5">
        <f t="shared" ref="W354:AH354" si="357">IF(OR((SLOPE($E354:$V354,$E$1:$V$1)*W$1+INTERCEPT($E354:$V354,$E$1:$V$1))&gt;(AVERAGE($E354:$V354)+_xlfn.STDEV.P($E354:$V354)),(SLOPE($E354:$V354,$E$1:$V$1)*W$1+INTERCEPT($E354:$V354,$E$1:$V$1))&lt;(AVERAGE($E354:$V354)-_xlfn.STDEV.P($E354:$V354))),V354,(SLOPE($E354:$V354,$E$1:$V$1)*W$1+INTERCEPT($E354:$V354,$E$1:$V$1)))</f>
        <v>19321.941474187395</v>
      </c>
      <c r="X354" s="5">
        <f t="shared" si="357"/>
        <v>19243.765167833059</v>
      </c>
      <c r="Y354" s="5">
        <f t="shared" si="357"/>
        <v>19165.588861478718</v>
      </c>
      <c r="Z354" s="5">
        <f t="shared" si="357"/>
        <v>19087.412555124381</v>
      </c>
      <c r="AA354" s="5">
        <f t="shared" si="357"/>
        <v>19009.236248770045</v>
      </c>
      <c r="AB354" s="5">
        <f t="shared" si="357"/>
        <v>18931.059942415704</v>
      </c>
      <c r="AC354" s="5">
        <f t="shared" si="357"/>
        <v>18852.883636061368</v>
      </c>
      <c r="AD354" s="5">
        <f t="shared" si="357"/>
        <v>18774.707329707031</v>
      </c>
      <c r="AE354" s="5">
        <f t="shared" si="357"/>
        <v>18696.531023352691</v>
      </c>
      <c r="AF354" s="5">
        <f t="shared" si="357"/>
        <v>18618.354716998354</v>
      </c>
      <c r="AG354" s="5">
        <f t="shared" si="357"/>
        <v>18540.178410644017</v>
      </c>
      <c r="AH354" s="5">
        <f t="shared" si="357"/>
        <v>18462.002104289681</v>
      </c>
    </row>
    <row r="355" spans="1:34" x14ac:dyDescent="0.35">
      <c r="A355" t="s">
        <v>375</v>
      </c>
      <c r="B355" s="3" t="s">
        <v>1266</v>
      </c>
      <c r="C355" s="4" t="s">
        <v>1263</v>
      </c>
      <c r="D355" s="2">
        <f t="shared" si="326"/>
        <v>365032.17441235069</v>
      </c>
      <c r="E355" s="5">
        <v>0</v>
      </c>
      <c r="F355" s="5">
        <v>0</v>
      </c>
      <c r="G355" s="5">
        <v>83486.101579295297</v>
      </c>
      <c r="H355" s="5">
        <v>0</v>
      </c>
      <c r="I355" s="5">
        <v>0</v>
      </c>
      <c r="J355" s="5">
        <v>82601.794073383018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83685.382144007919</v>
      </c>
      <c r="R355" s="5">
        <v>0</v>
      </c>
      <c r="S355" s="5">
        <v>0</v>
      </c>
      <c r="T355" s="5">
        <v>0</v>
      </c>
      <c r="U355" s="5">
        <v>0</v>
      </c>
      <c r="V355" s="5">
        <v>115258.89661566443</v>
      </c>
      <c r="W355" s="5">
        <f t="shared" ref="W355:AH355" si="358">IF(OR((SLOPE($E355:$V355,$E$1:$V$1)*W$1+INTERCEPT($E355:$V355,$E$1:$V$1))&gt;(AVERAGE($E355:$V355)+_xlfn.STDEV.P($E355:$V355)),(SLOPE($E355:$V355,$E$1:$V$1)*W$1+INTERCEPT($E355:$V355,$E$1:$V$1))&lt;(AVERAGE($E355:$V355)-_xlfn.STDEV.P($E355:$V355))),V355,(SLOPE($E355:$V355,$E$1:$V$1)*W$1+INTERCEPT($E355:$V355,$E$1:$V$1)))</f>
        <v>28923.359739540701</v>
      </c>
      <c r="X355" s="5">
        <f t="shared" si="358"/>
        <v>29833.23284421545</v>
      </c>
      <c r="Y355" s="5">
        <f t="shared" si="358"/>
        <v>30743.105948890196</v>
      </c>
      <c r="Z355" s="5">
        <f t="shared" si="358"/>
        <v>31652.979053564944</v>
      </c>
      <c r="AA355" s="5">
        <f t="shared" si="358"/>
        <v>32562.852158239693</v>
      </c>
      <c r="AB355" s="5">
        <f t="shared" si="358"/>
        <v>33472.725262914442</v>
      </c>
      <c r="AC355" s="5">
        <f t="shared" si="358"/>
        <v>34382.598367589191</v>
      </c>
      <c r="AD355" s="5">
        <f t="shared" si="358"/>
        <v>35292.471472263933</v>
      </c>
      <c r="AE355" s="5">
        <f t="shared" si="358"/>
        <v>36202.344576938689</v>
      </c>
      <c r="AF355" s="5">
        <f t="shared" si="358"/>
        <v>37112.217681613431</v>
      </c>
      <c r="AG355" s="5">
        <f t="shared" si="358"/>
        <v>38022.090786288187</v>
      </c>
      <c r="AH355" s="5">
        <f t="shared" si="358"/>
        <v>38931.963890962928</v>
      </c>
    </row>
    <row r="356" spans="1:34" x14ac:dyDescent="0.35">
      <c r="A356" t="s">
        <v>376</v>
      </c>
      <c r="B356" s="3" t="s">
        <v>1265</v>
      </c>
      <c r="C356" s="4" t="s">
        <v>1263</v>
      </c>
      <c r="D356" s="2">
        <f t="shared" si="326"/>
        <v>363286.9043614465</v>
      </c>
      <c r="E356" s="5">
        <v>0</v>
      </c>
      <c r="F356" s="5">
        <v>0</v>
      </c>
      <c r="G356" s="5">
        <v>101065.32608690638</v>
      </c>
      <c r="H356" s="5">
        <v>0</v>
      </c>
      <c r="I356" s="5">
        <v>0</v>
      </c>
      <c r="J356" s="5">
        <v>45932.156568136648</v>
      </c>
      <c r="K356" s="5">
        <v>0</v>
      </c>
      <c r="L356" s="5">
        <v>0</v>
      </c>
      <c r="M356" s="5">
        <v>56649.659767368539</v>
      </c>
      <c r="N356" s="5">
        <v>0</v>
      </c>
      <c r="O356" s="5">
        <v>0</v>
      </c>
      <c r="P356" s="5">
        <v>72120.776630477412</v>
      </c>
      <c r="Q356" s="5">
        <v>0</v>
      </c>
      <c r="R356" s="5">
        <v>0</v>
      </c>
      <c r="S356" s="5">
        <v>87518.985308557516</v>
      </c>
      <c r="T356" s="5">
        <v>0</v>
      </c>
      <c r="U356" s="5">
        <v>0</v>
      </c>
      <c r="V356" s="5">
        <v>0</v>
      </c>
      <c r="W356" s="5">
        <f t="shared" ref="W356:AH356" si="359">IF(OR((SLOPE($E356:$V356,$E$1:$V$1)*W$1+INTERCEPT($E356:$V356,$E$1:$V$1))&gt;(AVERAGE($E356:$V356)+_xlfn.STDEV.P($E356:$V356)),(SLOPE($E356:$V356,$E$1:$V$1)*W$1+INTERCEPT($E356:$V356,$E$1:$V$1))&lt;(AVERAGE($E356:$V356)-_xlfn.STDEV.P($E356:$V356))),V356,(SLOPE($E356:$V356,$E$1:$V$1)*W$1+INTERCEPT($E356:$V356,$E$1:$V$1)))</f>
        <v>16567.789392685707</v>
      </c>
      <c r="X356" s="5">
        <f t="shared" si="359"/>
        <v>16187.282402667555</v>
      </c>
      <c r="Y356" s="5">
        <f t="shared" si="359"/>
        <v>15806.775412649404</v>
      </c>
      <c r="Z356" s="5">
        <f t="shared" si="359"/>
        <v>15426.268422631252</v>
      </c>
      <c r="AA356" s="5">
        <f t="shared" si="359"/>
        <v>15045.761432613102</v>
      </c>
      <c r="AB356" s="5">
        <f t="shared" si="359"/>
        <v>14665.254442594951</v>
      </c>
      <c r="AC356" s="5">
        <f t="shared" si="359"/>
        <v>14284.747452576799</v>
      </c>
      <c r="AD356" s="5">
        <f t="shared" si="359"/>
        <v>13904.24046255865</v>
      </c>
      <c r="AE356" s="5">
        <f t="shared" si="359"/>
        <v>13523.733472540498</v>
      </c>
      <c r="AF356" s="5">
        <f t="shared" si="359"/>
        <v>13143.226482522346</v>
      </c>
      <c r="AG356" s="5">
        <f t="shared" si="359"/>
        <v>12762.719492504197</v>
      </c>
      <c r="AH356" s="5">
        <f t="shared" si="359"/>
        <v>12382.212502486045</v>
      </c>
    </row>
    <row r="357" spans="1:34" x14ac:dyDescent="0.35">
      <c r="A357" t="s">
        <v>377</v>
      </c>
      <c r="B357" s="3" t="s">
        <v>1266</v>
      </c>
      <c r="C357" s="4" t="s">
        <v>1267</v>
      </c>
      <c r="D357" s="2">
        <f t="shared" si="326"/>
        <v>359374.29260596365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152377.48321530694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206996.80939065674</v>
      </c>
      <c r="V357" s="5">
        <v>0</v>
      </c>
      <c r="W357" s="5">
        <f t="shared" ref="W357:AH357" si="360">IF(OR((SLOPE($E357:$V357,$E$1:$V$1)*W$1+INTERCEPT($E357:$V357,$E$1:$V$1))&gt;(AVERAGE($E357:$V357)+_xlfn.STDEV.P($E357:$V357)),(SLOPE($E357:$V357,$E$1:$V$1)*W$1+INTERCEPT($E357:$V357,$E$1:$V$1))&lt;(AVERAGE($E357:$V357)-_xlfn.STDEV.P($E357:$V357))),V357,(SLOPE($E357:$V357,$E$1:$V$1)*W$1+INTERCEPT($E357:$V357,$E$1:$V$1)))</f>
        <v>48912.048847173253</v>
      </c>
      <c r="X357" s="5">
        <f t="shared" si="360"/>
        <v>51959.081517601066</v>
      </c>
      <c r="Y357" s="5">
        <f t="shared" si="360"/>
        <v>55006.114188028863</v>
      </c>
      <c r="Z357" s="5">
        <f t="shared" si="360"/>
        <v>58053.146858456676</v>
      </c>
      <c r="AA357" s="5">
        <f t="shared" si="360"/>
        <v>61100.179528884473</v>
      </c>
      <c r="AB357" s="5">
        <f t="shared" si="360"/>
        <v>64147.212199312286</v>
      </c>
      <c r="AC357" s="5">
        <f t="shared" si="360"/>
        <v>67194.244869740098</v>
      </c>
      <c r="AD357" s="5">
        <f t="shared" si="360"/>
        <v>70241.277540167895</v>
      </c>
      <c r="AE357" s="5">
        <f t="shared" si="360"/>
        <v>73288.310210595708</v>
      </c>
      <c r="AF357" s="5">
        <f t="shared" si="360"/>
        <v>76335.34288102352</v>
      </c>
      <c r="AG357" s="5">
        <f t="shared" si="360"/>
        <v>76335.34288102352</v>
      </c>
      <c r="AH357" s="5">
        <f t="shared" si="360"/>
        <v>76335.34288102352</v>
      </c>
    </row>
    <row r="358" spans="1:34" x14ac:dyDescent="0.35">
      <c r="A358" t="s">
        <v>378</v>
      </c>
      <c r="B358" s="3" t="s">
        <v>1265</v>
      </c>
      <c r="C358" s="4" t="s">
        <v>1263</v>
      </c>
      <c r="D358" s="2">
        <f t="shared" si="326"/>
        <v>357550.01817712531</v>
      </c>
      <c r="E358" s="5">
        <v>24353.252012064262</v>
      </c>
      <c r="F358" s="5">
        <v>8560.5370709074396</v>
      </c>
      <c r="G358" s="5">
        <v>20220.578943350327</v>
      </c>
      <c r="H358" s="5">
        <v>29223.902414477117</v>
      </c>
      <c r="I358" s="5">
        <v>9741.300804825707</v>
      </c>
      <c r="J358" s="5">
        <v>9741.300804825707</v>
      </c>
      <c r="K358" s="5">
        <v>25829.206679462099</v>
      </c>
      <c r="L358" s="5">
        <v>11586.244139073</v>
      </c>
      <c r="M358" s="5">
        <v>9741.300804825707</v>
      </c>
      <c r="N358" s="5">
        <v>24353.252012064266</v>
      </c>
      <c r="O358" s="5">
        <v>15903.411541211666</v>
      </c>
      <c r="P358" s="5">
        <v>31068.845748724412</v>
      </c>
      <c r="Q358" s="5">
        <v>14169.16480701921</v>
      </c>
      <c r="R358" s="5">
        <v>29223.902414477117</v>
      </c>
      <c r="S358" s="5">
        <v>14611.951207238561</v>
      </c>
      <c r="T358" s="5">
        <v>14796.44554066329</v>
      </c>
      <c r="U358" s="5">
        <v>25460.21801261264</v>
      </c>
      <c r="V358" s="5">
        <v>38965.203219302821</v>
      </c>
      <c r="W358" s="5">
        <f t="shared" ref="W358:AH358" si="361">IF(OR((SLOPE($E358:$V358,$E$1:$V$1)*W$1+INTERCEPT($E358:$V358,$E$1:$V$1))&gt;(AVERAGE($E358:$V358)+_xlfn.STDEV.P($E358:$V358)),(SLOPE($E358:$V358,$E$1:$V$1)*W$1+INTERCEPT($E358:$V358,$E$1:$V$1))&lt;(AVERAGE($E358:$V358)-_xlfn.STDEV.P($E358:$V358))),V358,(SLOPE($E358:$V358,$E$1:$V$1)*W$1+INTERCEPT($E358:$V358,$E$1:$V$1)))</f>
        <v>25067.353608496451</v>
      </c>
      <c r="X358" s="5">
        <f t="shared" si="361"/>
        <v>25615.086630577214</v>
      </c>
      <c r="Y358" s="5">
        <f t="shared" si="361"/>
        <v>26162.819652657978</v>
      </c>
      <c r="Z358" s="5">
        <f t="shared" si="361"/>
        <v>26710.552674738745</v>
      </c>
      <c r="AA358" s="5">
        <f t="shared" si="361"/>
        <v>27258.285696819512</v>
      </c>
      <c r="AB358" s="5">
        <f t="shared" si="361"/>
        <v>27806.018718900275</v>
      </c>
      <c r="AC358" s="5">
        <f t="shared" si="361"/>
        <v>28353.751740981039</v>
      </c>
      <c r="AD358" s="5">
        <f t="shared" si="361"/>
        <v>28353.751740981039</v>
      </c>
      <c r="AE358" s="5">
        <f t="shared" si="361"/>
        <v>28353.751740981039</v>
      </c>
      <c r="AF358" s="5">
        <f t="shared" si="361"/>
        <v>28353.751740981039</v>
      </c>
      <c r="AG358" s="5">
        <f t="shared" si="361"/>
        <v>28353.751740981039</v>
      </c>
      <c r="AH358" s="5">
        <f t="shared" si="361"/>
        <v>28353.751740981039</v>
      </c>
    </row>
    <row r="359" spans="1:34" x14ac:dyDescent="0.35">
      <c r="A359" t="s">
        <v>379</v>
      </c>
      <c r="B359" s="3" t="s">
        <v>1265</v>
      </c>
      <c r="C359" s="4" t="s">
        <v>1263</v>
      </c>
      <c r="D359" s="2">
        <f t="shared" si="326"/>
        <v>349670.65732026467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75063.074690720954</v>
      </c>
      <c r="L359" s="5">
        <v>28528.370908848789</v>
      </c>
      <c r="M359" s="5">
        <v>9333.3559146233692</v>
      </c>
      <c r="N359" s="5">
        <v>8320.7748484142285</v>
      </c>
      <c r="O359" s="5">
        <v>8078.6358977990003</v>
      </c>
      <c r="P359" s="5">
        <v>0</v>
      </c>
      <c r="Q359" s="5">
        <v>77088.236823139247</v>
      </c>
      <c r="R359" s="5">
        <v>54195.099674063051</v>
      </c>
      <c r="S359" s="5">
        <v>24962.324545242685</v>
      </c>
      <c r="T359" s="5">
        <v>27339.688787646755</v>
      </c>
      <c r="U359" s="5">
        <v>23245.339259061973</v>
      </c>
      <c r="V359" s="5">
        <v>13515.755970704593</v>
      </c>
      <c r="W359" s="5">
        <f t="shared" ref="W359:AH359" si="362">IF(OR((SLOPE($E359:$V359,$E$1:$V$1)*W$1+INTERCEPT($E359:$V359,$E$1:$V$1))&gt;(AVERAGE($E359:$V359)+_xlfn.STDEV.P($E359:$V359)),(SLOPE($E359:$V359,$E$1:$V$1)*W$1+INTERCEPT($E359:$V359,$E$1:$V$1))&lt;(AVERAGE($E359:$V359)-_xlfn.STDEV.P($E359:$V359))),V359,(SLOPE($E359:$V359,$E$1:$V$1)*W$1+INTERCEPT($E359:$V359,$E$1:$V$1)))</f>
        <v>37055.028608320892</v>
      </c>
      <c r="X359" s="5">
        <f t="shared" si="362"/>
        <v>38910.70029036481</v>
      </c>
      <c r="Y359" s="5">
        <f t="shared" si="362"/>
        <v>40766.371972408742</v>
      </c>
      <c r="Z359" s="5">
        <f t="shared" si="362"/>
        <v>42622.04365445266</v>
      </c>
      <c r="AA359" s="5">
        <f t="shared" si="362"/>
        <v>42622.04365445266</v>
      </c>
      <c r="AB359" s="5">
        <f t="shared" si="362"/>
        <v>42622.04365445266</v>
      </c>
      <c r="AC359" s="5">
        <f t="shared" si="362"/>
        <v>42622.04365445266</v>
      </c>
      <c r="AD359" s="5">
        <f t="shared" si="362"/>
        <v>42622.04365445266</v>
      </c>
      <c r="AE359" s="5">
        <f t="shared" si="362"/>
        <v>42622.04365445266</v>
      </c>
      <c r="AF359" s="5">
        <f t="shared" si="362"/>
        <v>42622.04365445266</v>
      </c>
      <c r="AG359" s="5">
        <f t="shared" si="362"/>
        <v>42622.04365445266</v>
      </c>
      <c r="AH359" s="5">
        <f t="shared" si="362"/>
        <v>42622.04365445266</v>
      </c>
    </row>
    <row r="360" spans="1:34" x14ac:dyDescent="0.35">
      <c r="A360" t="s">
        <v>380</v>
      </c>
      <c r="B360" s="3" t="s">
        <v>1262</v>
      </c>
      <c r="C360" s="4" t="s">
        <v>1263</v>
      </c>
      <c r="D360" s="2">
        <f t="shared" si="326"/>
        <v>351979.74</v>
      </c>
      <c r="E360" s="5">
        <v>10418.625</v>
      </c>
      <c r="F360" s="5">
        <v>13196.925000000003</v>
      </c>
      <c r="G360" s="5">
        <v>32027.624999999989</v>
      </c>
      <c r="H360" s="5">
        <v>24495.345000000005</v>
      </c>
      <c r="I360" s="5">
        <v>15512.175000000001</v>
      </c>
      <c r="J360" s="5">
        <v>31410.225000000002</v>
      </c>
      <c r="K360" s="5">
        <v>17364.375</v>
      </c>
      <c r="L360" s="5">
        <v>8535.5550000000003</v>
      </c>
      <c r="M360" s="5">
        <v>31255.874999999989</v>
      </c>
      <c r="N360" s="5">
        <v>24850.349999999995</v>
      </c>
      <c r="O360" s="5">
        <v>13119.750000000002</v>
      </c>
      <c r="P360" s="5">
        <v>16361.100000000002</v>
      </c>
      <c r="Q360" s="5">
        <v>4074.84</v>
      </c>
      <c r="R360" s="5">
        <v>14570.640000000003</v>
      </c>
      <c r="S360" s="5">
        <v>32629.589999999989</v>
      </c>
      <c r="T360" s="5">
        <v>19633.320000000003</v>
      </c>
      <c r="U360" s="5">
        <v>15126.300000000001</v>
      </c>
      <c r="V360" s="5">
        <v>27397.125</v>
      </c>
      <c r="W360" s="5">
        <f t="shared" ref="W360:AH360" si="363">IF(OR((SLOPE($E360:$V360,$E$1:$V$1)*W$1+INTERCEPT($E360:$V360,$E$1:$V$1))&gt;(AVERAGE($E360:$V360)+_xlfn.STDEV.P($E360:$V360)),(SLOPE($E360:$V360,$E$1:$V$1)*W$1+INTERCEPT($E360:$V360,$E$1:$V$1))&lt;(AVERAGE($E360:$V360)-_xlfn.STDEV.P($E360:$V360))),V360,(SLOPE($E360:$V360,$E$1:$V$1)*W$1+INTERCEPT($E360:$V360,$E$1:$V$1)))</f>
        <v>20029.283235294119</v>
      </c>
      <c r="X360" s="5">
        <f t="shared" si="363"/>
        <v>20079.26778637771</v>
      </c>
      <c r="Y360" s="5">
        <f t="shared" si="363"/>
        <v>20129.252337461301</v>
      </c>
      <c r="Z360" s="5">
        <f t="shared" si="363"/>
        <v>20179.236888544892</v>
      </c>
      <c r="AA360" s="5">
        <f t="shared" si="363"/>
        <v>20229.221439628483</v>
      </c>
      <c r="AB360" s="5">
        <f t="shared" si="363"/>
        <v>20279.205990712075</v>
      </c>
      <c r="AC360" s="5">
        <f t="shared" si="363"/>
        <v>20329.190541795666</v>
      </c>
      <c r="AD360" s="5">
        <f t="shared" si="363"/>
        <v>20379.175092879257</v>
      </c>
      <c r="AE360" s="5">
        <f t="shared" si="363"/>
        <v>20429.159643962848</v>
      </c>
      <c r="AF360" s="5">
        <f t="shared" si="363"/>
        <v>20479.14419504644</v>
      </c>
      <c r="AG360" s="5">
        <f t="shared" si="363"/>
        <v>20529.128746130031</v>
      </c>
      <c r="AH360" s="5">
        <f t="shared" si="363"/>
        <v>20579.113297213622</v>
      </c>
    </row>
    <row r="361" spans="1:34" x14ac:dyDescent="0.35">
      <c r="A361" t="s">
        <v>381</v>
      </c>
      <c r="B361" s="3" t="s">
        <v>1265</v>
      </c>
      <c r="C361" s="4" t="s">
        <v>1267</v>
      </c>
      <c r="D361" s="2">
        <f t="shared" si="326"/>
        <v>356020.65202332713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233596.88052068755</v>
      </c>
      <c r="U361" s="5">
        <v>122423.77150263959</v>
      </c>
      <c r="V361" s="5">
        <v>0</v>
      </c>
      <c r="W361" s="5">
        <f t="shared" ref="W361:AH361" si="364">IF(OR((SLOPE($E361:$V361,$E$1:$V$1)*W$1+INTERCEPT($E361:$V361,$E$1:$V$1))&gt;(AVERAGE($E361:$V361)+_xlfn.STDEV.P($E361:$V361)),(SLOPE($E361:$V361,$E$1:$V$1)*W$1+INTERCEPT($E361:$V361,$E$1:$V$1))&lt;(AVERAGE($E361:$V361)-_xlfn.STDEV.P($E361:$V361))),V361,(SLOPE($E361:$V361,$E$1:$V$1)*W$1+INTERCEPT($E361:$V361,$E$1:$V$1)))</f>
        <v>67554.572360529928</v>
      </c>
      <c r="X361" s="5">
        <f t="shared" si="364"/>
        <v>72583.587860332336</v>
      </c>
      <c r="Y361" s="5">
        <f t="shared" si="364"/>
        <v>77612.603360134744</v>
      </c>
      <c r="Z361" s="5">
        <f t="shared" si="364"/>
        <v>77612.603360134744</v>
      </c>
      <c r="AA361" s="5">
        <f t="shared" si="364"/>
        <v>77612.603360134744</v>
      </c>
      <c r="AB361" s="5">
        <f t="shared" si="364"/>
        <v>77612.603360134744</v>
      </c>
      <c r="AC361" s="5">
        <f t="shared" si="364"/>
        <v>77612.603360134744</v>
      </c>
      <c r="AD361" s="5">
        <f t="shared" si="364"/>
        <v>77612.603360134744</v>
      </c>
      <c r="AE361" s="5">
        <f t="shared" si="364"/>
        <v>77612.603360134744</v>
      </c>
      <c r="AF361" s="5">
        <f t="shared" si="364"/>
        <v>77612.603360134744</v>
      </c>
      <c r="AG361" s="5">
        <f t="shared" si="364"/>
        <v>77612.603360134744</v>
      </c>
      <c r="AH361" s="5">
        <f t="shared" si="364"/>
        <v>77612.603360134744</v>
      </c>
    </row>
    <row r="362" spans="1:34" x14ac:dyDescent="0.35">
      <c r="A362" t="s">
        <v>382</v>
      </c>
      <c r="B362" s="3" t="s">
        <v>1266</v>
      </c>
      <c r="C362" s="4" t="s">
        <v>1263</v>
      </c>
      <c r="D362" s="2">
        <f t="shared" si="326"/>
        <v>356016.55249176791</v>
      </c>
      <c r="E362" s="5">
        <v>0</v>
      </c>
      <c r="F362" s="5">
        <v>0</v>
      </c>
      <c r="G362" s="5">
        <v>0</v>
      </c>
      <c r="H362" s="5">
        <v>0</v>
      </c>
      <c r="I362" s="5">
        <v>68131.212202669572</v>
      </c>
      <c r="J362" s="5">
        <v>0</v>
      </c>
      <c r="K362" s="5">
        <v>62432.965363900854</v>
      </c>
      <c r="L362" s="5">
        <v>95383.69708373741</v>
      </c>
      <c r="M362" s="5">
        <v>68131.212202669572</v>
      </c>
      <c r="N362" s="5">
        <v>0</v>
      </c>
      <c r="O362" s="5">
        <v>61937.465638790527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f t="shared" ref="W362:AH362" si="365">IF(OR((SLOPE($E362:$V362,$E$1:$V$1)*W$1+INTERCEPT($E362:$V362,$E$1:$V$1))&gt;(AVERAGE($E362:$V362)+_xlfn.STDEV.P($E362:$V362)),(SLOPE($E362:$V362,$E$1:$V$1)*W$1+INTERCEPT($E362:$V362,$E$1:$V$1))&lt;(AVERAGE($E362:$V362)-_xlfn.STDEV.P($E362:$V362))),V362,(SLOPE($E362:$V362,$E$1:$V$1)*W$1+INTERCEPT($E362:$V362,$E$1:$V$1)))</f>
        <v>9055.0145843690589</v>
      </c>
      <c r="X362" s="5">
        <f t="shared" si="365"/>
        <v>7926.2058710759302</v>
      </c>
      <c r="Y362" s="5">
        <f t="shared" si="365"/>
        <v>6797.3971577828052</v>
      </c>
      <c r="Z362" s="5">
        <f t="shared" si="365"/>
        <v>5668.5884444896765</v>
      </c>
      <c r="AA362" s="5">
        <f t="shared" si="365"/>
        <v>4539.7797311965478</v>
      </c>
      <c r="AB362" s="5">
        <f t="shared" si="365"/>
        <v>3410.9710179034228</v>
      </c>
      <c r="AC362" s="5">
        <f t="shared" si="365"/>
        <v>2282.1623046102941</v>
      </c>
      <c r="AD362" s="5">
        <f t="shared" si="365"/>
        <v>1153.3535913171654</v>
      </c>
      <c r="AE362" s="5">
        <f t="shared" si="365"/>
        <v>24.544878024036734</v>
      </c>
      <c r="AF362" s="5">
        <f t="shared" si="365"/>
        <v>-1104.2638352690883</v>
      </c>
      <c r="AG362" s="5">
        <f t="shared" si="365"/>
        <v>-2233.072548562217</v>
      </c>
      <c r="AH362" s="5">
        <f t="shared" si="365"/>
        <v>-3361.881261855342</v>
      </c>
    </row>
    <row r="363" spans="1:34" x14ac:dyDescent="0.35">
      <c r="A363" t="s">
        <v>383</v>
      </c>
      <c r="B363" s="3" t="s">
        <v>1266</v>
      </c>
      <c r="C363" s="4" t="s">
        <v>1267</v>
      </c>
      <c r="D363" s="2">
        <f t="shared" si="326"/>
        <v>354791.73695195781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354791.73695195781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f t="shared" ref="W363:AH363" si="366">IF(OR((SLOPE($E363:$V363,$E$1:$V$1)*W$1+INTERCEPT($E363:$V363,$E$1:$V$1))&gt;(AVERAGE($E363:$V363)+_xlfn.STDEV.P($E363:$V363)),(SLOPE($E363:$V363,$E$1:$V$1)*W$1+INTERCEPT($E363:$V363,$E$1:$V$1))&lt;(AVERAGE($E363:$V363)-_xlfn.STDEV.P($E363:$V363))),V363,(SLOPE($E363:$V363,$E$1:$V$1)*W$1+INTERCEPT($E363:$V363,$E$1:$V$1)))</f>
        <v>37102.40386425703</v>
      </c>
      <c r="X363" s="5">
        <f t="shared" si="366"/>
        <v>38933.114581243397</v>
      </c>
      <c r="Y363" s="5">
        <f t="shared" si="366"/>
        <v>40763.825298229764</v>
      </c>
      <c r="Z363" s="5">
        <f t="shared" si="366"/>
        <v>42594.53601521613</v>
      </c>
      <c r="AA363" s="5">
        <f t="shared" si="366"/>
        <v>44425.246732202497</v>
      </c>
      <c r="AB363" s="5">
        <f t="shared" si="366"/>
        <v>46255.957449188871</v>
      </c>
      <c r="AC363" s="5">
        <f t="shared" si="366"/>
        <v>48086.668166175237</v>
      </c>
      <c r="AD363" s="5">
        <f t="shared" si="366"/>
        <v>49917.378883161604</v>
      </c>
      <c r="AE363" s="5">
        <f t="shared" si="366"/>
        <v>51748.08960014797</v>
      </c>
      <c r="AF363" s="5">
        <f t="shared" si="366"/>
        <v>53578.800317134337</v>
      </c>
      <c r="AG363" s="5">
        <f t="shared" si="366"/>
        <v>55409.511034120704</v>
      </c>
      <c r="AH363" s="5">
        <f t="shared" si="366"/>
        <v>57240.22175110707</v>
      </c>
    </row>
    <row r="364" spans="1:34" x14ac:dyDescent="0.35">
      <c r="A364" t="s">
        <v>384</v>
      </c>
      <c r="B364" s="3" t="s">
        <v>1262</v>
      </c>
      <c r="C364" s="4" t="s">
        <v>1263</v>
      </c>
      <c r="D364" s="2">
        <f t="shared" si="326"/>
        <v>347050.20672000007</v>
      </c>
      <c r="E364" s="5">
        <v>56069.7984</v>
      </c>
      <c r="F364" s="5">
        <v>16602.48576</v>
      </c>
      <c r="G364" s="5">
        <v>11068.323840000001</v>
      </c>
      <c r="H364" s="5">
        <v>36408.959999999999</v>
      </c>
      <c r="I364" s="5">
        <v>0</v>
      </c>
      <c r="J364" s="5">
        <v>11068.323840000001</v>
      </c>
      <c r="K364" s="5">
        <v>16602.485760000003</v>
      </c>
      <c r="L364" s="5">
        <v>16602.48576</v>
      </c>
      <c r="M364" s="5">
        <v>16602.485760000003</v>
      </c>
      <c r="N364" s="5">
        <v>27670.809600000001</v>
      </c>
      <c r="O364" s="5">
        <v>27670.809600000001</v>
      </c>
      <c r="P364" s="5">
        <v>33204.971519999999</v>
      </c>
      <c r="Q364" s="5">
        <v>16602.485760000003</v>
      </c>
      <c r="R364" s="5">
        <v>16602.485760000003</v>
      </c>
      <c r="S364" s="5">
        <v>16602.485760000003</v>
      </c>
      <c r="T364" s="5">
        <v>5534.1619200000005</v>
      </c>
      <c r="U364" s="5">
        <v>22136.647680000002</v>
      </c>
      <c r="V364" s="5">
        <v>0</v>
      </c>
      <c r="W364" s="5">
        <f t="shared" ref="W364:AH364" si="367">IF(OR((SLOPE($E364:$V364,$E$1:$V$1)*W$1+INTERCEPT($E364:$V364,$E$1:$V$1))&gt;(AVERAGE($E364:$V364)+_xlfn.STDEV.P($E364:$V364)),(SLOPE($E364:$V364,$E$1:$V$1)*W$1+INTERCEPT($E364:$V364,$E$1:$V$1))&lt;(AVERAGE($E364:$V364)-_xlfn.STDEV.P($E364:$V364))),V364,(SLOPE($E364:$V364,$E$1:$V$1)*W$1+INTERCEPT($E364:$V364,$E$1:$V$1)))</f>
        <v>11000.741195294126</v>
      </c>
      <c r="X364" s="5">
        <f t="shared" si="367"/>
        <v>10129.180580061926</v>
      </c>
      <c r="Y364" s="5">
        <f t="shared" si="367"/>
        <v>9257.6199648297261</v>
      </c>
      <c r="Z364" s="5">
        <f t="shared" si="367"/>
        <v>8386.0593495975299</v>
      </c>
      <c r="AA364" s="5">
        <f t="shared" si="367"/>
        <v>7514.4987343653338</v>
      </c>
      <c r="AB364" s="5">
        <f t="shared" si="367"/>
        <v>6642.938119133134</v>
      </c>
      <c r="AC364" s="5">
        <f t="shared" si="367"/>
        <v>6642.938119133134</v>
      </c>
      <c r="AD364" s="5">
        <f t="shared" si="367"/>
        <v>6642.938119133134</v>
      </c>
      <c r="AE364" s="5">
        <f t="shared" si="367"/>
        <v>6642.938119133134</v>
      </c>
      <c r="AF364" s="5">
        <f t="shared" si="367"/>
        <v>6642.938119133134</v>
      </c>
      <c r="AG364" s="5">
        <f t="shared" si="367"/>
        <v>6642.938119133134</v>
      </c>
      <c r="AH364" s="5">
        <f t="shared" si="367"/>
        <v>6642.938119133134</v>
      </c>
    </row>
    <row r="365" spans="1:34" x14ac:dyDescent="0.35">
      <c r="A365" t="s">
        <v>385</v>
      </c>
      <c r="B365" s="3" t="s">
        <v>1266</v>
      </c>
      <c r="C365" s="4" t="s">
        <v>1263</v>
      </c>
      <c r="D365" s="2">
        <f t="shared" si="326"/>
        <v>351246.17728718783</v>
      </c>
      <c r="E365" s="5">
        <v>51626.095561059927</v>
      </c>
      <c r="F365" s="5">
        <v>0</v>
      </c>
      <c r="G365" s="5">
        <v>67789.690338726694</v>
      </c>
      <c r="H365" s="5">
        <v>0</v>
      </c>
      <c r="I365" s="5">
        <v>0</v>
      </c>
      <c r="J365" s="5">
        <v>72538.317053069462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73329.754838793262</v>
      </c>
      <c r="R365" s="5">
        <v>0</v>
      </c>
      <c r="S365" s="5">
        <v>0</v>
      </c>
      <c r="T365" s="5">
        <v>0</v>
      </c>
      <c r="U365" s="5">
        <v>0</v>
      </c>
      <c r="V365" s="5">
        <v>85962.319495538468</v>
      </c>
      <c r="W365" s="5">
        <f t="shared" ref="W365:AH365" si="368">IF(OR((SLOPE($E365:$V365,$E$1:$V$1)*W$1+INTERCEPT($E365:$V365,$E$1:$V$1))&gt;(AVERAGE($E365:$V365)+_xlfn.STDEV.P($E365:$V365)),(SLOPE($E365:$V365,$E$1:$V$1)*W$1+INTERCEPT($E365:$V365,$E$1:$V$1))&lt;(AVERAGE($E365:$V365)-_xlfn.STDEV.P($E365:$V365))),V365,(SLOPE($E365:$V365,$E$1:$V$1)*W$1+INTERCEPT($E365:$V365,$E$1:$V$1)))</f>
        <v>16650.832368726991</v>
      </c>
      <c r="X365" s="5">
        <f t="shared" si="368"/>
        <v>16349.480353229319</v>
      </c>
      <c r="Y365" s="5">
        <f t="shared" si="368"/>
        <v>16048.128337731647</v>
      </c>
      <c r="Z365" s="5">
        <f t="shared" si="368"/>
        <v>15746.776322233973</v>
      </c>
      <c r="AA365" s="5">
        <f t="shared" si="368"/>
        <v>15445.4243067363</v>
      </c>
      <c r="AB365" s="5">
        <f t="shared" si="368"/>
        <v>15144.072291238626</v>
      </c>
      <c r="AC365" s="5">
        <f t="shared" si="368"/>
        <v>14842.720275740954</v>
      </c>
      <c r="AD365" s="5">
        <f t="shared" si="368"/>
        <v>14541.368260243282</v>
      </c>
      <c r="AE365" s="5">
        <f t="shared" si="368"/>
        <v>14240.01624474561</v>
      </c>
      <c r="AF365" s="5">
        <f t="shared" si="368"/>
        <v>13938.664229247936</v>
      </c>
      <c r="AG365" s="5">
        <f t="shared" si="368"/>
        <v>13637.312213750263</v>
      </c>
      <c r="AH365" s="5">
        <f t="shared" si="368"/>
        <v>13335.960198252591</v>
      </c>
    </row>
    <row r="366" spans="1:34" x14ac:dyDescent="0.35">
      <c r="A366" t="s">
        <v>386</v>
      </c>
      <c r="B366" s="3" t="s">
        <v>1265</v>
      </c>
      <c r="C366" s="4" t="s">
        <v>1263</v>
      </c>
      <c r="D366" s="2">
        <f t="shared" si="326"/>
        <v>350380.32421164116</v>
      </c>
      <c r="E366" s="5">
        <v>65394.184748513457</v>
      </c>
      <c r="F366" s="5">
        <v>2024.3978393067014</v>
      </c>
      <c r="G366" s="5">
        <v>4968.9765146619047</v>
      </c>
      <c r="H366" s="5">
        <v>21225.50461818542</v>
      </c>
      <c r="I366" s="5">
        <v>0</v>
      </c>
      <c r="J366" s="5">
        <v>25949.099576567722</v>
      </c>
      <c r="K366" s="5">
        <v>2821.8878972154025</v>
      </c>
      <c r="L366" s="5">
        <v>10060.64380746361</v>
      </c>
      <c r="M366" s="5">
        <v>19483.295568600261</v>
      </c>
      <c r="N366" s="5">
        <v>38647.595114037031</v>
      </c>
      <c r="O366" s="5">
        <v>35212.253326122634</v>
      </c>
      <c r="P366" s="5">
        <v>56192.376388028446</v>
      </c>
      <c r="Q366" s="5">
        <v>51162.054484296648</v>
      </c>
      <c r="R366" s="5">
        <v>2208.4340065164015</v>
      </c>
      <c r="S366" s="5">
        <v>0</v>
      </c>
      <c r="T366" s="5">
        <v>2760.5425081455023</v>
      </c>
      <c r="U366" s="5">
        <v>6625.3020195492063</v>
      </c>
      <c r="V366" s="5">
        <v>5643.7757944308041</v>
      </c>
      <c r="W366" s="5">
        <f t="shared" ref="W366:AH366" si="369">IF(OR((SLOPE($E366:$V366,$E$1:$V$1)*W$1+INTERCEPT($E366:$V366,$E$1:$V$1))&gt;(AVERAGE($E366:$V366)+_xlfn.STDEV.P($E366:$V366)),(SLOPE($E366:$V366,$E$1:$V$1)*W$1+INTERCEPT($E366:$V366,$E$1:$V$1))&lt;(AVERAGE($E366:$V366)-_xlfn.STDEV.P($E366:$V366))),V366,(SLOPE($E366:$V366,$E$1:$V$1)*W$1+INTERCEPT($E366:$V366,$E$1:$V$1)))</f>
        <v>13082.285121898776</v>
      </c>
      <c r="X366" s="5">
        <f t="shared" si="369"/>
        <v>12410.360022381448</v>
      </c>
      <c r="Y366" s="5">
        <f t="shared" si="369"/>
        <v>11738.43492286412</v>
      </c>
      <c r="Z366" s="5">
        <f t="shared" si="369"/>
        <v>11066.509823346791</v>
      </c>
      <c r="AA366" s="5">
        <f t="shared" si="369"/>
        <v>10394.584723829463</v>
      </c>
      <c r="AB366" s="5">
        <f t="shared" si="369"/>
        <v>9722.6596243121348</v>
      </c>
      <c r="AC366" s="5">
        <f t="shared" si="369"/>
        <v>9050.7345247948069</v>
      </c>
      <c r="AD366" s="5">
        <f t="shared" si="369"/>
        <v>8378.809425277479</v>
      </c>
      <c r="AE366" s="5">
        <f t="shared" si="369"/>
        <v>7706.8843257601511</v>
      </c>
      <c r="AF366" s="5">
        <f t="shared" si="369"/>
        <v>7034.9592262428196</v>
      </c>
      <c r="AG366" s="5">
        <f t="shared" si="369"/>
        <v>6363.0341267254917</v>
      </c>
      <c r="AH366" s="5">
        <f t="shared" si="369"/>
        <v>5691.1090272081638</v>
      </c>
    </row>
    <row r="367" spans="1:34" x14ac:dyDescent="0.35">
      <c r="A367" t="s">
        <v>387</v>
      </c>
      <c r="B367" s="3" t="s">
        <v>1266</v>
      </c>
      <c r="C367" s="4" t="s">
        <v>1263</v>
      </c>
      <c r="D367" s="2">
        <f t="shared" si="326"/>
        <v>350924.16355582245</v>
      </c>
      <c r="E367" s="5">
        <v>0</v>
      </c>
      <c r="F367" s="5">
        <v>122331.6522481619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228592.51130766055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f t="shared" ref="W367:AH367" si="370">IF(OR((SLOPE($E367:$V367,$E$1:$V$1)*W$1+INTERCEPT($E367:$V367,$E$1:$V$1))&gt;(AVERAGE($E367:$V367)+_xlfn.STDEV.P($E367:$V367)),(SLOPE($E367:$V367,$E$1:$V$1)*W$1+INTERCEPT($E367:$V367,$E$1:$V$1))&lt;(AVERAGE($E367:$V367)-_xlfn.STDEV.P($E367:$V367))),V367,(SLOPE($E367:$V367,$E$1:$V$1)*W$1+INTERCEPT($E367:$V367,$E$1:$V$1)))</f>
        <v>3746.9410562244375</v>
      </c>
      <c r="X367" s="5">
        <f t="shared" si="370"/>
        <v>2089.1678132783418</v>
      </c>
      <c r="Y367" s="5">
        <f t="shared" si="370"/>
        <v>431.39457033224608</v>
      </c>
      <c r="Z367" s="5">
        <f t="shared" si="370"/>
        <v>-1226.3786726138496</v>
      </c>
      <c r="AA367" s="5">
        <f t="shared" si="370"/>
        <v>-2884.1519155599526</v>
      </c>
      <c r="AB367" s="5">
        <f t="shared" si="370"/>
        <v>-4541.9251585060483</v>
      </c>
      <c r="AC367" s="5">
        <f t="shared" si="370"/>
        <v>-6199.698401452144</v>
      </c>
      <c r="AD367" s="5">
        <f t="shared" si="370"/>
        <v>-7857.4716443982397</v>
      </c>
      <c r="AE367" s="5">
        <f t="shared" si="370"/>
        <v>-9515.2448873443354</v>
      </c>
      <c r="AF367" s="5">
        <f t="shared" si="370"/>
        <v>-11173.018130290431</v>
      </c>
      <c r="AG367" s="5">
        <f t="shared" si="370"/>
        <v>-12830.791373236534</v>
      </c>
      <c r="AH367" s="5">
        <f t="shared" si="370"/>
        <v>-14488.56461618263</v>
      </c>
    </row>
    <row r="368" spans="1:34" x14ac:dyDescent="0.35">
      <c r="A368" t="s">
        <v>388</v>
      </c>
      <c r="B368" s="3" t="s">
        <v>1265</v>
      </c>
      <c r="C368" s="4" t="s">
        <v>1263</v>
      </c>
      <c r="D368" s="2">
        <f t="shared" si="326"/>
        <v>346431.25439999998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4004.9855999999995</v>
      </c>
      <c r="L368" s="5">
        <v>136577.42560000002</v>
      </c>
      <c r="M368" s="5">
        <v>164445.45039999997</v>
      </c>
      <c r="N368" s="5">
        <v>7045.808</v>
      </c>
      <c r="O368" s="5">
        <v>17966.810399999998</v>
      </c>
      <c r="P368" s="5">
        <v>5414.1471999999985</v>
      </c>
      <c r="Q368" s="5">
        <v>6971.641599999999</v>
      </c>
      <c r="R368" s="5">
        <v>3448.7375999999999</v>
      </c>
      <c r="S368" s="5">
        <v>556.24800000000005</v>
      </c>
      <c r="T368" s="5">
        <v>0</v>
      </c>
      <c r="U368" s="5">
        <v>0</v>
      </c>
      <c r="V368" s="5">
        <v>0</v>
      </c>
      <c r="W368" s="5">
        <f t="shared" ref="W368:AH368" si="371">IF(OR((SLOPE($E368:$V368,$E$1:$V$1)*W$1+INTERCEPT($E368:$V368,$E$1:$V$1))&gt;(AVERAGE($E368:$V368)+_xlfn.STDEV.P($E368:$V368)),(SLOPE($E368:$V368,$E$1:$V$1)*W$1+INTERCEPT($E368:$V368,$E$1:$V$1))&lt;(AVERAGE($E368:$V368)-_xlfn.STDEV.P($E368:$V368))),V368,(SLOPE($E368:$V368,$E$1:$V$1)*W$1+INTERCEPT($E368:$V368,$E$1:$V$1)))</f>
        <v>15126.309992156859</v>
      </c>
      <c r="X368" s="5">
        <f t="shared" si="371"/>
        <v>14692.639380804951</v>
      </c>
      <c r="Y368" s="5">
        <f t="shared" si="371"/>
        <v>14258.96876945304</v>
      </c>
      <c r="Z368" s="5">
        <f t="shared" si="371"/>
        <v>13825.298158101132</v>
      </c>
      <c r="AA368" s="5">
        <f t="shared" si="371"/>
        <v>13391.627546749223</v>
      </c>
      <c r="AB368" s="5">
        <f t="shared" si="371"/>
        <v>12957.956935397313</v>
      </c>
      <c r="AC368" s="5">
        <f t="shared" si="371"/>
        <v>12524.286324045404</v>
      </c>
      <c r="AD368" s="5">
        <f t="shared" si="371"/>
        <v>12090.615712693494</v>
      </c>
      <c r="AE368" s="5">
        <f t="shared" si="371"/>
        <v>11656.945101341586</v>
      </c>
      <c r="AF368" s="5">
        <f t="shared" si="371"/>
        <v>11223.274489989677</v>
      </c>
      <c r="AG368" s="5">
        <f t="shared" si="371"/>
        <v>10789.603878637767</v>
      </c>
      <c r="AH368" s="5">
        <f t="shared" si="371"/>
        <v>10355.933267285858</v>
      </c>
    </row>
    <row r="369" spans="1:34" x14ac:dyDescent="0.35">
      <c r="A369" t="s">
        <v>389</v>
      </c>
      <c r="B369" s="3" t="s">
        <v>1262</v>
      </c>
      <c r="C369" s="4" t="s">
        <v>1263</v>
      </c>
      <c r="D369" s="2">
        <f t="shared" si="326"/>
        <v>341687.24100000004</v>
      </c>
      <c r="E369" s="5">
        <v>14705.144999999999</v>
      </c>
      <c r="F369" s="5">
        <v>16171.470000000001</v>
      </c>
      <c r="G369" s="5">
        <v>21709.989000000005</v>
      </c>
      <c r="H369" s="5">
        <v>20235.285</v>
      </c>
      <c r="I369" s="5">
        <v>17101.539000000001</v>
      </c>
      <c r="J369" s="5">
        <v>26519.535000000003</v>
      </c>
      <c r="K369" s="5">
        <v>10431.855</v>
      </c>
      <c r="L369" s="5">
        <v>15375.465</v>
      </c>
      <c r="M369" s="5">
        <v>27064.170000000002</v>
      </c>
      <c r="N369" s="5">
        <v>13992.930000000002</v>
      </c>
      <c r="O369" s="5">
        <v>23293.619999999992</v>
      </c>
      <c r="P369" s="5">
        <v>22573.026000000002</v>
      </c>
      <c r="Q369" s="5">
        <v>12987.449999999999</v>
      </c>
      <c r="R369" s="5">
        <v>20444.760000000006</v>
      </c>
      <c r="S369" s="5">
        <v>20612.339999999997</v>
      </c>
      <c r="T369" s="5">
        <v>19858.230000000003</v>
      </c>
      <c r="U369" s="5">
        <v>21391.587000000007</v>
      </c>
      <c r="V369" s="5">
        <v>17218.845000000005</v>
      </c>
      <c r="W369" s="5">
        <f t="shared" ref="W369:AH369" si="372">IF(OR((SLOPE($E369:$V369,$E$1:$V$1)*W$1+INTERCEPT($E369:$V369,$E$1:$V$1))&gt;(AVERAGE($E369:$V369)+_xlfn.STDEV.P($E369:$V369)),(SLOPE($E369:$V369,$E$1:$V$1)*W$1+INTERCEPT($E369:$V369,$E$1:$V$1))&lt;(AVERAGE($E369:$V369)-_xlfn.STDEV.P($E369:$V369))),V369,(SLOPE($E369:$V369,$E$1:$V$1)*W$1+INTERCEPT($E369:$V369,$E$1:$V$1)))</f>
        <v>20040.103588235299</v>
      </c>
      <c r="X369" s="5">
        <f t="shared" si="372"/>
        <v>20151.417176470593</v>
      </c>
      <c r="Y369" s="5">
        <f t="shared" si="372"/>
        <v>20262.730764705888</v>
      </c>
      <c r="Z369" s="5">
        <f t="shared" si="372"/>
        <v>20374.044352941179</v>
      </c>
      <c r="AA369" s="5">
        <f t="shared" si="372"/>
        <v>20485.357941176473</v>
      </c>
      <c r="AB369" s="5">
        <f t="shared" si="372"/>
        <v>20596.671529411768</v>
      </c>
      <c r="AC369" s="5">
        <f t="shared" si="372"/>
        <v>20707.985117647062</v>
      </c>
      <c r="AD369" s="5">
        <f t="shared" si="372"/>
        <v>20819.298705882356</v>
      </c>
      <c r="AE369" s="5">
        <f t="shared" si="372"/>
        <v>20930.612294117651</v>
      </c>
      <c r="AF369" s="5">
        <f t="shared" si="372"/>
        <v>21041.925882352945</v>
      </c>
      <c r="AG369" s="5">
        <f t="shared" si="372"/>
        <v>21153.23947058824</v>
      </c>
      <c r="AH369" s="5">
        <f t="shared" si="372"/>
        <v>21264.553058823534</v>
      </c>
    </row>
    <row r="370" spans="1:34" x14ac:dyDescent="0.35">
      <c r="A370" t="s">
        <v>390</v>
      </c>
      <c r="B370" s="3" t="s">
        <v>1265</v>
      </c>
      <c r="C370" s="4" t="s">
        <v>1263</v>
      </c>
      <c r="D370" s="2">
        <f t="shared" si="326"/>
        <v>343215.4521438363</v>
      </c>
      <c r="E370" s="5">
        <v>36817.588936103013</v>
      </c>
      <c r="F370" s="5">
        <v>91005.527524111065</v>
      </c>
      <c r="G370" s="5">
        <v>67026.892678546516</v>
      </c>
      <c r="H370" s="5">
        <v>33702.254487663544</v>
      </c>
      <c r="I370" s="5">
        <v>17974.535726753886</v>
      </c>
      <c r="J370" s="5">
        <v>4342.5874129762542</v>
      </c>
      <c r="K370" s="5">
        <v>3436.3083007029486</v>
      </c>
      <c r="L370" s="5">
        <v>1227.2529645367674</v>
      </c>
      <c r="M370" s="5">
        <v>5664.2444517081567</v>
      </c>
      <c r="N370" s="5">
        <v>9440.4074195135945</v>
      </c>
      <c r="O370" s="5">
        <v>11706.105200196856</v>
      </c>
      <c r="P370" s="5">
        <v>9440.4074195135927</v>
      </c>
      <c r="Q370" s="5">
        <v>26716.352997223479</v>
      </c>
      <c r="R370" s="5">
        <v>7533.4451207718475</v>
      </c>
      <c r="S370" s="5">
        <v>3832.8054123225193</v>
      </c>
      <c r="T370" s="5">
        <v>3285.2617819907309</v>
      </c>
      <c r="U370" s="5">
        <v>4078.2560052298727</v>
      </c>
      <c r="V370" s="5">
        <v>5985.2183039716174</v>
      </c>
      <c r="W370" s="5">
        <f t="shared" ref="W370:AH370" si="373">IF(OR((SLOPE($E370:$V370,$E$1:$V$1)*W$1+INTERCEPT($E370:$V370,$E$1:$V$1))&gt;(AVERAGE($E370:$V370)+_xlfn.STDEV.P($E370:$V370)),(SLOPE($E370:$V370,$E$1:$V$1)*W$1+INTERCEPT($E370:$V370,$E$1:$V$1))&lt;(AVERAGE($E370:$V370)-_xlfn.STDEV.P($E370:$V370))),V370,(SLOPE($E370:$V370,$E$1:$V$1)*W$1+INTERCEPT($E370:$V370,$E$1:$V$1)))</f>
        <v>5985.2183039716174</v>
      </c>
      <c r="X370" s="5">
        <f t="shared" si="373"/>
        <v>5985.2183039716174</v>
      </c>
      <c r="Y370" s="5">
        <f t="shared" si="373"/>
        <v>5985.2183039716174</v>
      </c>
      <c r="Z370" s="5">
        <f t="shared" si="373"/>
        <v>5985.2183039716174</v>
      </c>
      <c r="AA370" s="5">
        <f t="shared" si="373"/>
        <v>5985.2183039716174</v>
      </c>
      <c r="AB370" s="5">
        <f t="shared" si="373"/>
        <v>5985.2183039716174</v>
      </c>
      <c r="AC370" s="5">
        <f t="shared" si="373"/>
        <v>5985.2183039716174</v>
      </c>
      <c r="AD370" s="5">
        <f t="shared" si="373"/>
        <v>5985.2183039716174</v>
      </c>
      <c r="AE370" s="5">
        <f t="shared" si="373"/>
        <v>5985.2183039716174</v>
      </c>
      <c r="AF370" s="5">
        <f t="shared" si="373"/>
        <v>5985.2183039716174</v>
      </c>
      <c r="AG370" s="5">
        <f t="shared" si="373"/>
        <v>5985.2183039716174</v>
      </c>
      <c r="AH370" s="5">
        <f t="shared" si="373"/>
        <v>5985.2183039716174</v>
      </c>
    </row>
    <row r="371" spans="1:34" x14ac:dyDescent="0.35">
      <c r="A371" t="s">
        <v>391</v>
      </c>
      <c r="B371" s="3" t="s">
        <v>1265</v>
      </c>
      <c r="C371" s="4" t="s">
        <v>1263</v>
      </c>
      <c r="D371" s="2">
        <f t="shared" si="326"/>
        <v>333917.36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1440.6</v>
      </c>
      <c r="P371" s="5">
        <v>33065.199999999997</v>
      </c>
      <c r="Q371" s="5">
        <v>28194.6</v>
      </c>
      <c r="R371" s="5">
        <v>71687</v>
      </c>
      <c r="S371" s="5">
        <v>57075.199999999983</v>
      </c>
      <c r="T371" s="5">
        <v>57898.399999999987</v>
      </c>
      <c r="U371" s="5">
        <v>34505.799999999996</v>
      </c>
      <c r="V371" s="5">
        <v>50050.55999999999</v>
      </c>
      <c r="W371" s="5">
        <f t="shared" ref="W371:AH371" si="374">IF(OR((SLOPE($E371:$V371,$E$1:$V$1)*W$1+INTERCEPT($E371:$V371,$E$1:$V$1))&gt;(AVERAGE($E371:$V371)+_xlfn.STDEV.P($E371:$V371)),(SLOPE($E371:$V371,$E$1:$V$1)*W$1+INTERCEPT($E371:$V371,$E$1:$V$1))&lt;(AVERAGE($E371:$V371)-_xlfn.STDEV.P($E371:$V371))),V371,(SLOPE($E371:$V371,$E$1:$V$1)*W$1+INTERCEPT($E371:$V371,$E$1:$V$1)))</f>
        <v>50050.55999999999</v>
      </c>
      <c r="X371" s="5">
        <f t="shared" si="374"/>
        <v>50050.55999999999</v>
      </c>
      <c r="Y371" s="5">
        <f t="shared" si="374"/>
        <v>50050.55999999999</v>
      </c>
      <c r="Z371" s="5">
        <f t="shared" si="374"/>
        <v>50050.55999999999</v>
      </c>
      <c r="AA371" s="5">
        <f t="shared" si="374"/>
        <v>50050.55999999999</v>
      </c>
      <c r="AB371" s="5">
        <f t="shared" si="374"/>
        <v>50050.55999999999</v>
      </c>
      <c r="AC371" s="5">
        <f t="shared" si="374"/>
        <v>50050.55999999999</v>
      </c>
      <c r="AD371" s="5">
        <f t="shared" si="374"/>
        <v>50050.55999999999</v>
      </c>
      <c r="AE371" s="5">
        <f t="shared" si="374"/>
        <v>50050.55999999999</v>
      </c>
      <c r="AF371" s="5">
        <f t="shared" si="374"/>
        <v>50050.55999999999</v>
      </c>
      <c r="AG371" s="5">
        <f t="shared" si="374"/>
        <v>50050.55999999999</v>
      </c>
      <c r="AH371" s="5">
        <f t="shared" si="374"/>
        <v>50050.55999999999</v>
      </c>
    </row>
    <row r="372" spans="1:34" x14ac:dyDescent="0.35">
      <c r="A372" t="s">
        <v>392</v>
      </c>
      <c r="B372" s="3" t="s">
        <v>1265</v>
      </c>
      <c r="C372" s="4" t="s">
        <v>1263</v>
      </c>
      <c r="D372" s="2">
        <f t="shared" si="326"/>
        <v>340469.23436961474</v>
      </c>
      <c r="E372" s="5">
        <v>13050.738792562288</v>
      </c>
      <c r="F372" s="5">
        <v>17804.863152087339</v>
      </c>
      <c r="G372" s="5">
        <v>24314.830417614081</v>
      </c>
      <c r="H372" s="5">
        <v>13872.185766130331</v>
      </c>
      <c r="I372" s="5">
        <v>7701.0653772004061</v>
      </c>
      <c r="J372" s="5">
        <v>31112.304123889644</v>
      </c>
      <c r="K372" s="5">
        <v>17065.560875876097</v>
      </c>
      <c r="L372" s="5">
        <v>18924.084653573802</v>
      </c>
      <c r="M372" s="5">
        <v>27805.980055278262</v>
      </c>
      <c r="N372" s="5">
        <v>16572.692691735276</v>
      </c>
      <c r="O372" s="5">
        <v>16993.684265688898</v>
      </c>
      <c r="P372" s="5">
        <v>17989.688721140148</v>
      </c>
      <c r="Q372" s="5">
        <v>20474.565816183476</v>
      </c>
      <c r="R372" s="5">
        <v>17137.437486063307</v>
      </c>
      <c r="S372" s="5">
        <v>21193.331918055515</v>
      </c>
      <c r="T372" s="5">
        <v>20382.153031657068</v>
      </c>
      <c r="U372" s="5">
        <v>18770.063346029787</v>
      </c>
      <c r="V372" s="5">
        <v>19304.003878849016</v>
      </c>
      <c r="W372" s="5">
        <f t="shared" ref="W372:AH372" si="375">IF(OR((SLOPE($E372:$V372,$E$1:$V$1)*W$1+INTERCEPT($E372:$V372,$E$1:$V$1))&gt;(AVERAGE($E372:$V372)+_xlfn.STDEV.P($E372:$V372)),(SLOPE($E372:$V372,$E$1:$V$1)*W$1+INTERCEPT($E372:$V372,$E$1:$V$1))&lt;(AVERAGE($E372:$V372)-_xlfn.STDEV.P($E372:$V372))),V372,(SLOPE($E372:$V372,$E$1:$V$1)*W$1+INTERCEPT($E372:$V372,$E$1:$V$1)))</f>
        <v>20368.395137083426</v>
      </c>
      <c r="X372" s="5">
        <f t="shared" si="375"/>
        <v>20521.388576252353</v>
      </c>
      <c r="Y372" s="5">
        <f t="shared" si="375"/>
        <v>20674.382015421284</v>
      </c>
      <c r="Z372" s="5">
        <f t="shared" si="375"/>
        <v>20827.375454590212</v>
      </c>
      <c r="AA372" s="5">
        <f t="shared" si="375"/>
        <v>20980.368893759143</v>
      </c>
      <c r="AB372" s="5">
        <f t="shared" si="375"/>
        <v>21133.362332928071</v>
      </c>
      <c r="AC372" s="5">
        <f t="shared" si="375"/>
        <v>21286.355772096998</v>
      </c>
      <c r="AD372" s="5">
        <f t="shared" si="375"/>
        <v>21439.34921126593</v>
      </c>
      <c r="AE372" s="5">
        <f t="shared" si="375"/>
        <v>21592.342650434861</v>
      </c>
      <c r="AF372" s="5">
        <f t="shared" si="375"/>
        <v>21745.336089603788</v>
      </c>
      <c r="AG372" s="5">
        <f t="shared" si="375"/>
        <v>21898.329528772716</v>
      </c>
      <c r="AH372" s="5">
        <f t="shared" si="375"/>
        <v>22051.322967941647</v>
      </c>
    </row>
    <row r="373" spans="1:34" x14ac:dyDescent="0.35">
      <c r="A373" t="s">
        <v>393</v>
      </c>
      <c r="B373" s="3" t="s">
        <v>1266</v>
      </c>
      <c r="C373" s="4" t="s">
        <v>1267</v>
      </c>
      <c r="D373" s="2">
        <f t="shared" si="326"/>
        <v>342880.22825337807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166045.27042144971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176834.95783192833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f t="shared" ref="W373:AH373" si="376">IF(OR((SLOPE($E373:$V373,$E$1:$V$1)*W$1+INTERCEPT($E373:$V373,$E$1:$V$1))&gt;(AVERAGE($E373:$V373)+_xlfn.STDEV.P($E373:$V373)),(SLOPE($E373:$V373,$E$1:$V$1)*W$1+INTERCEPT($E373:$V373,$E$1:$V$1))&lt;(AVERAGE($E373:$V373)-_xlfn.STDEV.P($E373:$V373))),V373,(SLOPE($E373:$V373,$E$1:$V$1)*W$1+INTERCEPT($E373:$V373,$E$1:$V$1)))</f>
        <v>16322.018199136957</v>
      </c>
      <c r="X373" s="5">
        <f t="shared" si="376"/>
        <v>16034.977844347994</v>
      </c>
      <c r="Y373" s="5">
        <f t="shared" si="376"/>
        <v>15747.93748955903</v>
      </c>
      <c r="Z373" s="5">
        <f t="shared" si="376"/>
        <v>15460.897134770064</v>
      </c>
      <c r="AA373" s="5">
        <f t="shared" si="376"/>
        <v>15173.856779981101</v>
      </c>
      <c r="AB373" s="5">
        <f t="shared" si="376"/>
        <v>14886.816425192137</v>
      </c>
      <c r="AC373" s="5">
        <f t="shared" si="376"/>
        <v>14599.776070403173</v>
      </c>
      <c r="AD373" s="5">
        <f t="shared" si="376"/>
        <v>14312.73571561421</v>
      </c>
      <c r="AE373" s="5">
        <f t="shared" si="376"/>
        <v>14025.695360825244</v>
      </c>
      <c r="AF373" s="5">
        <f t="shared" si="376"/>
        <v>13738.655006036281</v>
      </c>
      <c r="AG373" s="5">
        <f t="shared" si="376"/>
        <v>13451.614651247317</v>
      </c>
      <c r="AH373" s="5">
        <f t="shared" si="376"/>
        <v>13164.574296458351</v>
      </c>
    </row>
    <row r="374" spans="1:34" x14ac:dyDescent="0.35">
      <c r="A374" t="s">
        <v>394</v>
      </c>
      <c r="B374" s="3" t="s">
        <v>1266</v>
      </c>
      <c r="C374" s="4" t="s">
        <v>1263</v>
      </c>
      <c r="D374" s="2">
        <f t="shared" si="326"/>
        <v>340235.96879999997</v>
      </c>
      <c r="E374" s="5">
        <v>0</v>
      </c>
      <c r="F374" s="5">
        <v>32104.799999999999</v>
      </c>
      <c r="G374" s="5">
        <v>308131.16879999998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f t="shared" ref="W374:AH374" si="377">IF(OR((SLOPE($E374:$V374,$E$1:$V$1)*W$1+INTERCEPT($E374:$V374,$E$1:$V$1))&gt;(AVERAGE($E374:$V374)+_xlfn.STDEV.P($E374:$V374)),(SLOPE($E374:$V374,$E$1:$V$1)*W$1+INTERCEPT($E374:$V374,$E$1:$V$1))&lt;(AVERAGE($E374:$V374)-_xlfn.STDEV.P($E374:$V374))),V374,(SLOPE($E374:$V374,$E$1:$V$1)*W$1+INTERCEPT($E374:$V374,$E$1:$V$1)))</f>
        <v>-25090.915403921565</v>
      </c>
      <c r="X374" s="5">
        <f t="shared" si="377"/>
        <v>-29721.748421878219</v>
      </c>
      <c r="Y374" s="5">
        <f t="shared" si="377"/>
        <v>-34352.581439834888</v>
      </c>
      <c r="Z374" s="5">
        <f t="shared" si="377"/>
        <v>-38983.414457791543</v>
      </c>
      <c r="AA374" s="5">
        <f t="shared" si="377"/>
        <v>-43614.247475748198</v>
      </c>
      <c r="AB374" s="5">
        <f t="shared" si="377"/>
        <v>-48245.080493704852</v>
      </c>
      <c r="AC374" s="5">
        <f t="shared" si="377"/>
        <v>-48245.080493704852</v>
      </c>
      <c r="AD374" s="5">
        <f t="shared" si="377"/>
        <v>-48245.080493704852</v>
      </c>
      <c r="AE374" s="5">
        <f t="shared" si="377"/>
        <v>-48245.080493704852</v>
      </c>
      <c r="AF374" s="5">
        <f t="shared" si="377"/>
        <v>-48245.080493704852</v>
      </c>
      <c r="AG374" s="5">
        <f t="shared" si="377"/>
        <v>-48245.080493704852</v>
      </c>
      <c r="AH374" s="5">
        <f t="shared" si="377"/>
        <v>-48245.080493704852</v>
      </c>
    </row>
    <row r="375" spans="1:34" x14ac:dyDescent="0.35">
      <c r="A375" t="s">
        <v>395</v>
      </c>
      <c r="B375" s="3" t="s">
        <v>1266</v>
      </c>
      <c r="C375" s="4" t="s">
        <v>1267</v>
      </c>
      <c r="D375" s="2">
        <f t="shared" si="326"/>
        <v>340206.84839004843</v>
      </c>
      <c r="E375" s="5">
        <v>0</v>
      </c>
      <c r="F375" s="5">
        <v>0</v>
      </c>
      <c r="G375" s="5">
        <v>186883.14836181042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153323.700028238</v>
      </c>
      <c r="T375" s="5">
        <v>0</v>
      </c>
      <c r="U375" s="5">
        <v>0</v>
      </c>
      <c r="V375" s="5">
        <v>0</v>
      </c>
      <c r="W375" s="5">
        <f t="shared" ref="W375:AH375" si="378">IF(OR((SLOPE($E375:$V375,$E$1:$V$1)*W$1+INTERCEPT($E375:$V375,$E$1:$V$1))&gt;(AVERAGE($E375:$V375)+_xlfn.STDEV.P($E375:$V375)),(SLOPE($E375:$V375,$E$1:$V$1)*W$1+INTERCEPT($E375:$V375,$E$1:$V$1))&lt;(AVERAGE($E375:$V375)-_xlfn.STDEV.P($E375:$V375))),V375,(SLOPE($E375:$V375,$E$1:$V$1)*W$1+INTERCEPT($E375:$V375,$E$1:$V$1)))</f>
        <v>11616.848815202846</v>
      </c>
      <c r="X375" s="5">
        <f t="shared" si="378"/>
        <v>10850.161273001693</v>
      </c>
      <c r="Y375" s="5">
        <f t="shared" si="378"/>
        <v>10083.473730800539</v>
      </c>
      <c r="Z375" s="5">
        <f t="shared" si="378"/>
        <v>9316.786188599388</v>
      </c>
      <c r="AA375" s="5">
        <f t="shared" si="378"/>
        <v>8550.0986463982335</v>
      </c>
      <c r="AB375" s="5">
        <f t="shared" si="378"/>
        <v>7783.4111041970791</v>
      </c>
      <c r="AC375" s="5">
        <f t="shared" si="378"/>
        <v>7016.7235619959283</v>
      </c>
      <c r="AD375" s="5">
        <f t="shared" si="378"/>
        <v>6250.0360197947739</v>
      </c>
      <c r="AE375" s="5">
        <f t="shared" si="378"/>
        <v>5483.3484775936195</v>
      </c>
      <c r="AF375" s="5">
        <f t="shared" si="378"/>
        <v>4716.6609353924687</v>
      </c>
      <c r="AG375" s="5">
        <f t="shared" si="378"/>
        <v>3949.9733931913142</v>
      </c>
      <c r="AH375" s="5">
        <f t="shared" si="378"/>
        <v>3183.2858509901598</v>
      </c>
    </row>
    <row r="376" spans="1:34" x14ac:dyDescent="0.35">
      <c r="A376" t="s">
        <v>396</v>
      </c>
      <c r="B376" s="3" t="s">
        <v>1264</v>
      </c>
      <c r="C376" s="4" t="s">
        <v>1263</v>
      </c>
      <c r="D376" s="2">
        <f t="shared" si="326"/>
        <v>336771.43268875411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113482.61773986703</v>
      </c>
      <c r="Q376" s="5">
        <v>0</v>
      </c>
      <c r="R376" s="5">
        <v>0</v>
      </c>
      <c r="S376" s="5">
        <v>0</v>
      </c>
      <c r="T376" s="5">
        <v>0</v>
      </c>
      <c r="U376" s="5">
        <v>114285.77422506745</v>
      </c>
      <c r="V376" s="5">
        <v>109003.04072381965</v>
      </c>
      <c r="W376" s="5">
        <f t="shared" ref="W376:AH376" si="379">IF(OR((SLOPE($E376:$V376,$E$1:$V$1)*W$1+INTERCEPT($E376:$V376,$E$1:$V$1))&gt;(AVERAGE($E376:$V376)+_xlfn.STDEV.P($E376:$V376)),(SLOPE($E376:$V376,$E$1:$V$1)*W$1+INTERCEPT($E376:$V376,$E$1:$V$1))&lt;(AVERAGE($E376:$V376)-_xlfn.STDEV.P($E376:$V376))),V376,(SLOPE($E376:$V376,$E$1:$V$1)*W$1+INTERCEPT($E376:$V376,$E$1:$V$1)))</f>
        <v>59246.30241454138</v>
      </c>
      <c r="X376" s="5">
        <f t="shared" si="379"/>
        <v>59246.30241454138</v>
      </c>
      <c r="Y376" s="5">
        <f t="shared" si="379"/>
        <v>59246.30241454138</v>
      </c>
      <c r="Z376" s="5">
        <f t="shared" si="379"/>
        <v>59246.30241454138</v>
      </c>
      <c r="AA376" s="5">
        <f t="shared" si="379"/>
        <v>59246.30241454138</v>
      </c>
      <c r="AB376" s="5">
        <f t="shared" si="379"/>
        <v>59246.30241454138</v>
      </c>
      <c r="AC376" s="5">
        <f t="shared" si="379"/>
        <v>59246.30241454138</v>
      </c>
      <c r="AD376" s="5">
        <f t="shared" si="379"/>
        <v>59246.30241454138</v>
      </c>
      <c r="AE376" s="5">
        <f t="shared" si="379"/>
        <v>59246.30241454138</v>
      </c>
      <c r="AF376" s="5">
        <f t="shared" si="379"/>
        <v>59246.30241454138</v>
      </c>
      <c r="AG376" s="5">
        <f t="shared" si="379"/>
        <v>59246.30241454138</v>
      </c>
      <c r="AH376" s="5">
        <f t="shared" si="379"/>
        <v>59246.30241454138</v>
      </c>
    </row>
    <row r="377" spans="1:34" x14ac:dyDescent="0.35">
      <c r="A377" t="s">
        <v>397</v>
      </c>
      <c r="B377" s="3" t="s">
        <v>1266</v>
      </c>
      <c r="C377" s="4" t="s">
        <v>1267</v>
      </c>
      <c r="D377" s="2">
        <f t="shared" si="326"/>
        <v>336557.00476443156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161157.7400223072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175399.26474212436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f t="shared" ref="W377:AH377" si="380">IF(OR((SLOPE($E377:$V377,$E$1:$V$1)*W$1+INTERCEPT($E377:$V377,$E$1:$V$1))&gt;(AVERAGE($E377:$V377)+_xlfn.STDEV.P($E377:$V377)),(SLOPE($E377:$V377,$E$1:$V$1)*W$1+INTERCEPT($E377:$V377,$E$1:$V$1))&lt;(AVERAGE($E377:$V377)-_xlfn.STDEV.P($E377:$V377))),V377,(SLOPE($E377:$V377,$E$1:$V$1)*W$1+INTERCEPT($E377:$V377,$E$1:$V$1)))</f>
        <v>16235.76964594363</v>
      </c>
      <c r="X377" s="5">
        <f t="shared" si="380"/>
        <v>15976.628411221722</v>
      </c>
      <c r="Y377" s="5">
        <f t="shared" si="380"/>
        <v>15717.487176499813</v>
      </c>
      <c r="Z377" s="5">
        <f t="shared" si="380"/>
        <v>15458.345941777905</v>
      </c>
      <c r="AA377" s="5">
        <f t="shared" si="380"/>
        <v>15199.204707055997</v>
      </c>
      <c r="AB377" s="5">
        <f t="shared" si="380"/>
        <v>14940.06347233409</v>
      </c>
      <c r="AC377" s="5">
        <f t="shared" si="380"/>
        <v>14680.922237612182</v>
      </c>
      <c r="AD377" s="5">
        <f t="shared" si="380"/>
        <v>14421.781002890275</v>
      </c>
      <c r="AE377" s="5">
        <f t="shared" si="380"/>
        <v>14162.639768168367</v>
      </c>
      <c r="AF377" s="5">
        <f t="shared" si="380"/>
        <v>13903.498533446458</v>
      </c>
      <c r="AG377" s="5">
        <f t="shared" si="380"/>
        <v>13644.35729872455</v>
      </c>
      <c r="AH377" s="5">
        <f t="shared" si="380"/>
        <v>13385.216064002641</v>
      </c>
    </row>
    <row r="378" spans="1:34" x14ac:dyDescent="0.35">
      <c r="A378" t="s">
        <v>398</v>
      </c>
      <c r="B378" s="3" t="s">
        <v>1266</v>
      </c>
      <c r="C378" s="4" t="s">
        <v>1267</v>
      </c>
      <c r="D378" s="2">
        <f t="shared" si="326"/>
        <v>332439.56335487519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60073.720810201798</v>
      </c>
      <c r="P378" s="5">
        <v>132013.01852986781</v>
      </c>
      <c r="Q378" s="5">
        <v>0</v>
      </c>
      <c r="R378" s="5">
        <v>0</v>
      </c>
      <c r="S378" s="5">
        <v>0</v>
      </c>
      <c r="T378" s="5">
        <v>140352.82401480555</v>
      </c>
      <c r="U378" s="5">
        <v>0</v>
      </c>
      <c r="V378" s="5">
        <v>0</v>
      </c>
      <c r="W378" s="5">
        <f t="shared" ref="W378:AH378" si="381">IF(OR((SLOPE($E378:$V378,$E$1:$V$1)*W$1+INTERCEPT($E378:$V378,$E$1:$V$1))&gt;(AVERAGE($E378:$V378)+_xlfn.STDEV.P($E378:$V378)),(SLOPE($E378:$V378,$E$1:$V$1)*W$1+INTERCEPT($E378:$V378,$E$1:$V$1))&lt;(AVERAGE($E378:$V378)-_xlfn.STDEV.P($E378:$V378))),V378,(SLOPE($E378:$V378,$E$1:$V$1)*W$1+INTERCEPT($E378:$V378,$E$1:$V$1)))</f>
        <v>44595.07019232068</v>
      </c>
      <c r="X378" s="5">
        <f t="shared" si="381"/>
        <v>47345.197093530602</v>
      </c>
      <c r="Y378" s="5">
        <f t="shared" si="381"/>
        <v>50095.323994740531</v>
      </c>
      <c r="Z378" s="5">
        <f t="shared" si="381"/>
        <v>52845.450895950453</v>
      </c>
      <c r="AA378" s="5">
        <f t="shared" si="381"/>
        <v>55595.577797160375</v>
      </c>
      <c r="AB378" s="5">
        <f t="shared" si="381"/>
        <v>58345.704698370304</v>
      </c>
      <c r="AC378" s="5">
        <f t="shared" si="381"/>
        <v>61095.831599580226</v>
      </c>
      <c r="AD378" s="5">
        <f t="shared" si="381"/>
        <v>61095.831599580226</v>
      </c>
      <c r="AE378" s="5">
        <f t="shared" si="381"/>
        <v>61095.831599580226</v>
      </c>
      <c r="AF378" s="5">
        <f t="shared" si="381"/>
        <v>61095.831599580226</v>
      </c>
      <c r="AG378" s="5">
        <f t="shared" si="381"/>
        <v>61095.831599580226</v>
      </c>
      <c r="AH378" s="5">
        <f t="shared" si="381"/>
        <v>61095.831599580226</v>
      </c>
    </row>
    <row r="379" spans="1:34" x14ac:dyDescent="0.35">
      <c r="A379" t="s">
        <v>399</v>
      </c>
      <c r="B379" s="3" t="s">
        <v>1265</v>
      </c>
      <c r="C379" s="4" t="s">
        <v>1263</v>
      </c>
      <c r="D379" s="2">
        <f t="shared" si="326"/>
        <v>329009.55047823041</v>
      </c>
      <c r="E379" s="5">
        <v>22222.609941614093</v>
      </c>
      <c r="F379" s="5">
        <v>14242.50512712684</v>
      </c>
      <c r="G379" s="5">
        <v>24859.086618868641</v>
      </c>
      <c r="H379" s="5">
        <v>13016.451287704273</v>
      </c>
      <c r="I379" s="5">
        <v>19017.662185930534</v>
      </c>
      <c r="J379" s="5">
        <v>15772.767813924935</v>
      </c>
      <c r="K379" s="5">
        <v>9455.056801762521</v>
      </c>
      <c r="L379" s="5">
        <v>23795.892061374383</v>
      </c>
      <c r="M379" s="5">
        <v>35899.716806952078</v>
      </c>
      <c r="N379" s="5">
        <v>14337.7624429717</v>
      </c>
      <c r="O379" s="5">
        <v>30125.894340097424</v>
      </c>
      <c r="P379" s="5">
        <v>13511.17476676952</v>
      </c>
      <c r="Q379" s="5">
        <v>14605.097490665346</v>
      </c>
      <c r="R379" s="5">
        <v>14758.738322673187</v>
      </c>
      <c r="S379" s="5">
        <v>20637.036555293176</v>
      </c>
      <c r="T379" s="5">
        <v>13710.907848379713</v>
      </c>
      <c r="U379" s="5">
        <v>18203.365776288978</v>
      </c>
      <c r="V379" s="5">
        <v>10837.82428983309</v>
      </c>
      <c r="W379" s="5">
        <f t="shared" ref="W379:AH379" si="382">IF(OR((SLOPE($E379:$V379,$E$1:$V$1)*W$1+INTERCEPT($E379:$V379,$E$1:$V$1))&gt;(AVERAGE($E379:$V379)+_xlfn.STDEV.P($E379:$V379)),(SLOPE($E379:$V379,$E$1:$V$1)*W$1+INTERCEPT($E379:$V379,$E$1:$V$1))&lt;(AVERAGE($E379:$V379)-_xlfn.STDEV.P($E379:$V379))),V379,(SLOPE($E379:$V379,$E$1:$V$1)*W$1+INTERCEPT($E379:$V379,$E$1:$V$1)))</f>
        <v>16081.997603522941</v>
      </c>
      <c r="X379" s="5">
        <f t="shared" si="382"/>
        <v>15850.806997588334</v>
      </c>
      <c r="Y379" s="5">
        <f t="shared" si="382"/>
        <v>15619.61639165373</v>
      </c>
      <c r="Z379" s="5">
        <f t="shared" si="382"/>
        <v>15388.425785719124</v>
      </c>
      <c r="AA379" s="5">
        <f t="shared" si="382"/>
        <v>15157.235179784519</v>
      </c>
      <c r="AB379" s="5">
        <f t="shared" si="382"/>
        <v>14926.044573849913</v>
      </c>
      <c r="AC379" s="5">
        <f t="shared" si="382"/>
        <v>14694.853967915307</v>
      </c>
      <c r="AD379" s="5">
        <f t="shared" si="382"/>
        <v>14463.663361980702</v>
      </c>
      <c r="AE379" s="5">
        <f t="shared" si="382"/>
        <v>14232.472756046096</v>
      </c>
      <c r="AF379" s="5">
        <f t="shared" si="382"/>
        <v>14001.282150111492</v>
      </c>
      <c r="AG379" s="5">
        <f t="shared" si="382"/>
        <v>13770.091544176885</v>
      </c>
      <c r="AH379" s="5">
        <f t="shared" si="382"/>
        <v>13538.900938242281</v>
      </c>
    </row>
    <row r="380" spans="1:34" x14ac:dyDescent="0.35">
      <c r="A380" t="s">
        <v>400</v>
      </c>
      <c r="B380" s="3" t="s">
        <v>1266</v>
      </c>
      <c r="C380" s="4" t="s">
        <v>1263</v>
      </c>
      <c r="D380" s="2">
        <f t="shared" si="326"/>
        <v>332244.01000000007</v>
      </c>
      <c r="E380" s="5">
        <v>17421.460000000003</v>
      </c>
      <c r="F380" s="5">
        <v>16938.32</v>
      </c>
      <c r="G380" s="5">
        <v>26288.500000000004</v>
      </c>
      <c r="H380" s="5">
        <v>58474.15</v>
      </c>
      <c r="I380" s="5">
        <v>16824.64</v>
      </c>
      <c r="J380" s="5">
        <v>20888.700000000008</v>
      </c>
      <c r="K380" s="5">
        <v>8852.8300000000017</v>
      </c>
      <c r="L380" s="5">
        <v>21613.410000000007</v>
      </c>
      <c r="M380" s="5">
        <v>26387.97</v>
      </c>
      <c r="N380" s="5">
        <v>11595.36</v>
      </c>
      <c r="O380" s="5">
        <v>19012.980000000003</v>
      </c>
      <c r="P380" s="5">
        <v>85217.37</v>
      </c>
      <c r="Q380" s="5">
        <v>2728.3199999999997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f t="shared" ref="W380:AH380" si="383">IF(OR((SLOPE($E380:$V380,$E$1:$V$1)*W$1+INTERCEPT($E380:$V380,$E$1:$V$1))&gt;(AVERAGE($E380:$V380)+_xlfn.STDEV.P($E380:$V380)),(SLOPE($E380:$V380,$E$1:$V$1)*W$1+INTERCEPT($E380:$V380,$E$1:$V$1))&lt;(AVERAGE($E380:$V380)-_xlfn.STDEV.P($E380:$V380))),V380,(SLOPE($E380:$V380,$E$1:$V$1)*W$1+INTERCEPT($E380:$V380,$E$1:$V$1)))</f>
        <v>4197.9869281045794</v>
      </c>
      <c r="X380" s="5">
        <f t="shared" si="383"/>
        <v>2696.9328620571068</v>
      </c>
      <c r="Y380" s="5">
        <f t="shared" si="383"/>
        <v>1195.8787960096342</v>
      </c>
      <c r="Z380" s="5">
        <f t="shared" si="383"/>
        <v>-305.17527003783471</v>
      </c>
      <c r="AA380" s="5">
        <f t="shared" si="383"/>
        <v>-1806.2293360853073</v>
      </c>
      <c r="AB380" s="5">
        <f t="shared" si="383"/>
        <v>-1806.2293360853073</v>
      </c>
      <c r="AC380" s="5">
        <f t="shared" si="383"/>
        <v>-1806.2293360853073</v>
      </c>
      <c r="AD380" s="5">
        <f t="shared" si="383"/>
        <v>-1806.2293360853073</v>
      </c>
      <c r="AE380" s="5">
        <f t="shared" si="383"/>
        <v>-1806.2293360853073</v>
      </c>
      <c r="AF380" s="5">
        <f t="shared" si="383"/>
        <v>-1806.2293360853073</v>
      </c>
      <c r="AG380" s="5">
        <f t="shared" si="383"/>
        <v>-1806.2293360853073</v>
      </c>
      <c r="AH380" s="5">
        <f t="shared" si="383"/>
        <v>-1806.2293360853073</v>
      </c>
    </row>
    <row r="381" spans="1:34" x14ac:dyDescent="0.35">
      <c r="A381" t="s">
        <v>401</v>
      </c>
      <c r="B381" s="3" t="s">
        <v>1265</v>
      </c>
      <c r="C381" s="4" t="s">
        <v>1263</v>
      </c>
      <c r="D381" s="2">
        <f t="shared" si="326"/>
        <v>329878.31295728206</v>
      </c>
      <c r="E381" s="5">
        <v>60687.977668341162</v>
      </c>
      <c r="F381" s="5">
        <v>2921.1547914186494</v>
      </c>
      <c r="G381" s="5">
        <v>8309.5011296435896</v>
      </c>
      <c r="H381" s="5">
        <v>11492.178225023712</v>
      </c>
      <c r="I381" s="5">
        <v>15711.075770062467</v>
      </c>
      <c r="J381" s="5">
        <v>12138.582410286957</v>
      </c>
      <c r="K381" s="5">
        <v>11275.065368904754</v>
      </c>
      <c r="L381" s="5">
        <v>14753.805449901623</v>
      </c>
      <c r="M381" s="5">
        <v>21365.878795342491</v>
      </c>
      <c r="N381" s="5">
        <v>17837.794883409486</v>
      </c>
      <c r="O381" s="5">
        <v>24400.524397914225</v>
      </c>
      <c r="P381" s="5">
        <v>23142.256709043017</v>
      </c>
      <c r="Q381" s="5">
        <v>19564.8289661739</v>
      </c>
      <c r="R381" s="5">
        <v>20156.954937407409</v>
      </c>
      <c r="S381" s="5">
        <v>16061.416969708964</v>
      </c>
      <c r="T381" s="5">
        <v>19441.469388833582</v>
      </c>
      <c r="U381" s="5">
        <v>20995.800063321542</v>
      </c>
      <c r="V381" s="5">
        <v>9622.0470325445367</v>
      </c>
      <c r="W381" s="5">
        <f t="shared" ref="W381:AH381" si="384">IF(OR((SLOPE($E381:$V381,$E$1:$V$1)*W$1+INTERCEPT($E381:$V381,$E$1:$V$1))&gt;(AVERAGE($E381:$V381)+_xlfn.STDEV.P($E381:$V381)),(SLOPE($E381:$V381,$E$1:$V$1)*W$1+INTERCEPT($E381:$V381,$E$1:$V$1))&lt;(AVERAGE($E381:$V381)-_xlfn.STDEV.P($E381:$V381))),V381,(SLOPE($E381:$V381,$E$1:$V$1)*W$1+INTERCEPT($E381:$V381,$E$1:$V$1)))</f>
        <v>16117.952744631206</v>
      </c>
      <c r="X381" s="5">
        <f t="shared" si="384"/>
        <v>15885.466408058572</v>
      </c>
      <c r="Y381" s="5">
        <f t="shared" si="384"/>
        <v>15652.980071485938</v>
      </c>
      <c r="Z381" s="5">
        <f t="shared" si="384"/>
        <v>15420.493734913303</v>
      </c>
      <c r="AA381" s="5">
        <f t="shared" si="384"/>
        <v>15188.007398340669</v>
      </c>
      <c r="AB381" s="5">
        <f t="shared" si="384"/>
        <v>14955.521061768035</v>
      </c>
      <c r="AC381" s="5">
        <f t="shared" si="384"/>
        <v>14723.034725195401</v>
      </c>
      <c r="AD381" s="5">
        <f t="shared" si="384"/>
        <v>14490.548388622767</v>
      </c>
      <c r="AE381" s="5">
        <f t="shared" si="384"/>
        <v>14258.062052050132</v>
      </c>
      <c r="AF381" s="5">
        <f t="shared" si="384"/>
        <v>14025.5757154775</v>
      </c>
      <c r="AG381" s="5">
        <f t="shared" si="384"/>
        <v>13793.089378904866</v>
      </c>
      <c r="AH381" s="5">
        <f t="shared" si="384"/>
        <v>13560.603042332232</v>
      </c>
    </row>
    <row r="382" spans="1:34" x14ac:dyDescent="0.35">
      <c r="A382" t="s">
        <v>402</v>
      </c>
      <c r="B382" s="3" t="s">
        <v>1266</v>
      </c>
      <c r="C382" s="4" t="s">
        <v>1267</v>
      </c>
      <c r="D382" s="2">
        <f t="shared" si="326"/>
        <v>331451.0978828693</v>
      </c>
      <c r="E382" s="5">
        <v>0</v>
      </c>
      <c r="F382" s="5">
        <v>0</v>
      </c>
      <c r="G382" s="5">
        <v>0</v>
      </c>
      <c r="H382" s="5">
        <v>0</v>
      </c>
      <c r="I382" s="5">
        <v>152112.95824347754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147482.02272976298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31856.116909628803</v>
      </c>
      <c r="W382" s="5">
        <f t="shared" ref="W382:AH382" si="385">IF(OR((SLOPE($E382:$V382,$E$1:$V$1)*W$1+INTERCEPT($E382:$V382,$E$1:$V$1))&gt;(AVERAGE($E382:$V382)+_xlfn.STDEV.P($E382:$V382)),(SLOPE($E382:$V382,$E$1:$V$1)*W$1+INTERCEPT($E382:$V382,$E$1:$V$1))&lt;(AVERAGE($E382:$V382)-_xlfn.STDEV.P($E382:$V382))),V382,(SLOPE($E382:$V382,$E$1:$V$1)*W$1+INTERCEPT($E382:$V382,$E$1:$V$1)))</f>
        <v>17531.082009060126</v>
      </c>
      <c r="X382" s="5">
        <f t="shared" si="385"/>
        <v>17438.148548710495</v>
      </c>
      <c r="Y382" s="5">
        <f t="shared" si="385"/>
        <v>17345.215088360863</v>
      </c>
      <c r="Z382" s="5">
        <f t="shared" si="385"/>
        <v>17252.281628011231</v>
      </c>
      <c r="AA382" s="5">
        <f t="shared" si="385"/>
        <v>17159.348167661599</v>
      </c>
      <c r="AB382" s="5">
        <f t="shared" si="385"/>
        <v>17066.414707311968</v>
      </c>
      <c r="AC382" s="5">
        <f t="shared" si="385"/>
        <v>16973.481246962336</v>
      </c>
      <c r="AD382" s="5">
        <f t="shared" si="385"/>
        <v>16880.547786612704</v>
      </c>
      <c r="AE382" s="5">
        <f t="shared" si="385"/>
        <v>16787.614326263072</v>
      </c>
      <c r="AF382" s="5">
        <f t="shared" si="385"/>
        <v>16694.68086591344</v>
      </c>
      <c r="AG382" s="5">
        <f t="shared" si="385"/>
        <v>16601.747405563805</v>
      </c>
      <c r="AH382" s="5">
        <f t="shared" si="385"/>
        <v>16508.813945214173</v>
      </c>
    </row>
    <row r="383" spans="1:34" x14ac:dyDescent="0.35">
      <c r="A383" t="s">
        <v>403</v>
      </c>
      <c r="B383" s="3" t="s">
        <v>1262</v>
      </c>
      <c r="C383" s="4" t="s">
        <v>1267</v>
      </c>
      <c r="D383" s="2">
        <f t="shared" si="326"/>
        <v>331026.50550669839</v>
      </c>
      <c r="E383" s="5">
        <v>0</v>
      </c>
      <c r="F383" s="5">
        <v>0</v>
      </c>
      <c r="G383" s="5">
        <v>0</v>
      </c>
      <c r="H383" s="5">
        <v>0</v>
      </c>
      <c r="I383" s="5">
        <v>78657.978748037494</v>
      </c>
      <c r="J383" s="5">
        <v>0</v>
      </c>
      <c r="K383" s="5">
        <v>0</v>
      </c>
      <c r="L383" s="5">
        <v>0</v>
      </c>
      <c r="M383" s="5">
        <v>80827.779796934905</v>
      </c>
      <c r="N383" s="5">
        <v>0</v>
      </c>
      <c r="O383" s="5">
        <v>0</v>
      </c>
      <c r="P383" s="5">
        <v>0</v>
      </c>
      <c r="Q383" s="5">
        <v>89313.251756015772</v>
      </c>
      <c r="R383" s="5">
        <v>0</v>
      </c>
      <c r="S383" s="5">
        <v>82227.49520571022</v>
      </c>
      <c r="T383" s="5">
        <v>0</v>
      </c>
      <c r="U383" s="5">
        <v>0</v>
      </c>
      <c r="V383" s="5">
        <v>0</v>
      </c>
      <c r="W383" s="5">
        <f t="shared" ref="W383:AH383" si="386">IF(OR((SLOPE($E383:$V383,$E$1:$V$1)*W$1+INTERCEPT($E383:$V383,$E$1:$V$1))&gt;(AVERAGE($E383:$V383)+_xlfn.STDEV.P($E383:$V383)),(SLOPE($E383:$V383,$E$1:$V$1)*W$1+INTERCEPT($E383:$V383,$E$1:$V$1))&lt;(AVERAGE($E383:$V383)-_xlfn.STDEV.P($E383:$V383))),V383,(SLOPE($E383:$V383,$E$1:$V$1)*W$1+INTERCEPT($E383:$V383,$E$1:$V$1)))</f>
        <v>25654.534172192238</v>
      </c>
      <c r="X383" s="5">
        <f t="shared" si="386"/>
        <v>26419.183935892597</v>
      </c>
      <c r="Y383" s="5">
        <f t="shared" si="386"/>
        <v>27183.833699592957</v>
      </c>
      <c r="Z383" s="5">
        <f t="shared" si="386"/>
        <v>27948.48346329332</v>
      </c>
      <c r="AA383" s="5">
        <f t="shared" si="386"/>
        <v>28713.133226993683</v>
      </c>
      <c r="AB383" s="5">
        <f t="shared" si="386"/>
        <v>29477.782990694042</v>
      </c>
      <c r="AC383" s="5">
        <f t="shared" si="386"/>
        <v>30242.432754394405</v>
      </c>
      <c r="AD383" s="5">
        <f t="shared" si="386"/>
        <v>31007.082518094765</v>
      </c>
      <c r="AE383" s="5">
        <f t="shared" si="386"/>
        <v>31771.732281795128</v>
      </c>
      <c r="AF383" s="5">
        <f t="shared" si="386"/>
        <v>32536.382045495491</v>
      </c>
      <c r="AG383" s="5">
        <f t="shared" si="386"/>
        <v>33301.031809195847</v>
      </c>
      <c r="AH383" s="5">
        <f t="shared" si="386"/>
        <v>34065.68157289621</v>
      </c>
    </row>
    <row r="384" spans="1:34" x14ac:dyDescent="0.35">
      <c r="A384" t="s">
        <v>404</v>
      </c>
      <c r="B384" s="3" t="s">
        <v>1265</v>
      </c>
      <c r="C384" s="4" t="s">
        <v>1263</v>
      </c>
      <c r="D384" s="2">
        <f t="shared" si="326"/>
        <v>327084.62623855978</v>
      </c>
      <c r="E384" s="5">
        <v>17180.915787310569</v>
      </c>
      <c r="F384" s="5">
        <v>17798.722690621391</v>
      </c>
      <c r="G384" s="5">
        <v>23437.436490680524</v>
      </c>
      <c r="H384" s="5">
        <v>23241.307315026286</v>
      </c>
      <c r="I384" s="5">
        <v>23682.597960248302</v>
      </c>
      <c r="J384" s="5">
        <v>22319.500189451406</v>
      </c>
      <c r="K384" s="5">
        <v>15788.398640165529</v>
      </c>
      <c r="L384" s="5">
        <v>20985.821795002637</v>
      </c>
      <c r="M384" s="5">
        <v>22770.597293456129</v>
      </c>
      <c r="N384" s="5">
        <v>16680.78638939228</v>
      </c>
      <c r="O384" s="5">
        <v>18308.658547322393</v>
      </c>
      <c r="P384" s="5">
        <v>18396.9166763668</v>
      </c>
      <c r="Q384" s="5">
        <v>18387.110217584079</v>
      </c>
      <c r="R384" s="5">
        <v>16818.076812350238</v>
      </c>
      <c r="S384" s="5">
        <v>14366.462116672361</v>
      </c>
      <c r="T384" s="5">
        <v>15709.94696990384</v>
      </c>
      <c r="U384" s="5">
        <v>21064.273465264319</v>
      </c>
      <c r="V384" s="5">
        <v>147.09688174067267</v>
      </c>
      <c r="W384" s="5">
        <f t="shared" ref="W384:AH384" si="387">IF(OR((SLOPE($E384:$V384,$E$1:$V$1)*W$1+INTERCEPT($E384:$V384,$E$1:$V$1))&gt;(AVERAGE($E384:$V384)+_xlfn.STDEV.P($E384:$V384)),(SLOPE($E384:$V384,$E$1:$V$1)*W$1+INTERCEPT($E384:$V384,$E$1:$V$1))&lt;(AVERAGE($E384:$V384)-_xlfn.STDEV.P($E384:$V384))),V384,(SLOPE($E384:$V384,$E$1:$V$1)*W$1+INTERCEPT($E384:$V384,$E$1:$V$1)))</f>
        <v>12984.520562332211</v>
      </c>
      <c r="X384" s="5">
        <f t="shared" si="387"/>
        <v>12984.520562332211</v>
      </c>
      <c r="Y384" s="5">
        <f t="shared" si="387"/>
        <v>12984.520562332211</v>
      </c>
      <c r="Z384" s="5">
        <f t="shared" si="387"/>
        <v>12984.520562332211</v>
      </c>
      <c r="AA384" s="5">
        <f t="shared" si="387"/>
        <v>12984.520562332211</v>
      </c>
      <c r="AB384" s="5">
        <f t="shared" si="387"/>
        <v>12984.520562332211</v>
      </c>
      <c r="AC384" s="5">
        <f t="shared" si="387"/>
        <v>12984.520562332211</v>
      </c>
      <c r="AD384" s="5">
        <f t="shared" si="387"/>
        <v>12984.520562332211</v>
      </c>
      <c r="AE384" s="5">
        <f t="shared" si="387"/>
        <v>12984.520562332211</v>
      </c>
      <c r="AF384" s="5">
        <f t="shared" si="387"/>
        <v>12984.520562332211</v>
      </c>
      <c r="AG384" s="5">
        <f t="shared" si="387"/>
        <v>12984.520562332211</v>
      </c>
      <c r="AH384" s="5">
        <f t="shared" si="387"/>
        <v>12984.520562332211</v>
      </c>
    </row>
    <row r="385" spans="1:34" x14ac:dyDescent="0.35">
      <c r="A385" t="s">
        <v>405</v>
      </c>
      <c r="B385" s="3" t="s">
        <v>1266</v>
      </c>
      <c r="C385" s="4" t="s">
        <v>1267</v>
      </c>
      <c r="D385" s="2">
        <f t="shared" si="326"/>
        <v>326110.28748585249</v>
      </c>
      <c r="E385" s="5">
        <v>0</v>
      </c>
      <c r="F385" s="5">
        <v>81761.48182341861</v>
      </c>
      <c r="G385" s="5">
        <v>0</v>
      </c>
      <c r="H385" s="5">
        <v>0</v>
      </c>
      <c r="I385" s="5">
        <v>81005.00708517959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81500.199430276843</v>
      </c>
      <c r="Q385" s="5">
        <v>0</v>
      </c>
      <c r="R385" s="5">
        <v>81843.599146977445</v>
      </c>
      <c r="S385" s="5">
        <v>0</v>
      </c>
      <c r="T385" s="5">
        <v>0</v>
      </c>
      <c r="U385" s="5">
        <v>0</v>
      </c>
      <c r="V385" s="5">
        <v>0</v>
      </c>
      <c r="W385" s="5">
        <f t="shared" ref="W385:AH385" si="388">IF(OR((SLOPE($E385:$V385,$E$1:$V$1)*W$1+INTERCEPT($E385:$V385,$E$1:$V$1))&gt;(AVERAGE($E385:$V385)+_xlfn.STDEV.P($E385:$V385)),(SLOPE($E385:$V385,$E$1:$V$1)*W$1+INTERCEPT($E385:$V385,$E$1:$V$1))&lt;(AVERAGE($E385:$V385)-_xlfn.STDEV.P($E385:$V385))),V385,(SLOPE($E385:$V385,$E$1:$V$1)*W$1+INTERCEPT($E385:$V385,$E$1:$V$1)))</f>
        <v>10162.592099112253</v>
      </c>
      <c r="X385" s="5">
        <f t="shared" si="388"/>
        <v>9325.2609312652821</v>
      </c>
      <c r="Y385" s="5">
        <f t="shared" si="388"/>
        <v>8487.9297634183094</v>
      </c>
      <c r="Z385" s="5">
        <f t="shared" si="388"/>
        <v>7650.5985955713404</v>
      </c>
      <c r="AA385" s="5">
        <f t="shared" si="388"/>
        <v>6813.2674277243714</v>
      </c>
      <c r="AB385" s="5">
        <f t="shared" si="388"/>
        <v>5975.9362598773987</v>
      </c>
      <c r="AC385" s="5">
        <f t="shared" si="388"/>
        <v>5138.6050920304297</v>
      </c>
      <c r="AD385" s="5">
        <f t="shared" si="388"/>
        <v>4301.273924183457</v>
      </c>
      <c r="AE385" s="5">
        <f t="shared" si="388"/>
        <v>3463.9427563364879</v>
      </c>
      <c r="AF385" s="5">
        <f t="shared" si="388"/>
        <v>2626.6115884895189</v>
      </c>
      <c r="AG385" s="5">
        <f t="shared" si="388"/>
        <v>1789.2804206425462</v>
      </c>
      <c r="AH385" s="5">
        <f t="shared" si="388"/>
        <v>951.94925279557719</v>
      </c>
    </row>
    <row r="386" spans="1:34" x14ac:dyDescent="0.35">
      <c r="A386" t="s">
        <v>406</v>
      </c>
      <c r="B386" s="3" t="s">
        <v>1266</v>
      </c>
      <c r="C386" s="4" t="s">
        <v>1263</v>
      </c>
      <c r="D386" s="2">
        <f t="shared" si="326"/>
        <v>324222.97024062573</v>
      </c>
      <c r="E386" s="5">
        <v>0</v>
      </c>
      <c r="F386" s="5">
        <v>0</v>
      </c>
      <c r="G386" s="5">
        <v>85046.08244004396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45488.303630765178</v>
      </c>
      <c r="P386" s="5">
        <v>48575.318537843523</v>
      </c>
      <c r="Q386" s="5">
        <v>0</v>
      </c>
      <c r="R386" s="5">
        <v>48575.318537843523</v>
      </c>
      <c r="S386" s="5">
        <v>48159.003550374946</v>
      </c>
      <c r="T386" s="5">
        <v>48378.943543754569</v>
      </c>
      <c r="U386" s="5">
        <v>0</v>
      </c>
      <c r="V386" s="5">
        <v>0</v>
      </c>
      <c r="W386" s="5">
        <f t="shared" ref="W386:AH386" si="389">IF(OR((SLOPE($E386:$V386,$E$1:$V$1)*W$1+INTERCEPT($E386:$V386,$E$1:$V$1))&gt;(AVERAGE($E386:$V386)+_xlfn.STDEV.P($E386:$V386)),(SLOPE($E386:$V386,$E$1:$V$1)*W$1+INTERCEPT($E386:$V386,$E$1:$V$1))&lt;(AVERAGE($E386:$V386)-_xlfn.STDEV.P($E386:$V386))),V386,(SLOPE($E386:$V386,$E$1:$V$1)*W$1+INTERCEPT($E386:$V386,$E$1:$V$1)))</f>
        <v>26537.834331908627</v>
      </c>
      <c r="X386" s="5">
        <f t="shared" si="389"/>
        <v>27435.249815731608</v>
      </c>
      <c r="Y386" s="5">
        <f t="shared" si="389"/>
        <v>28332.665299554588</v>
      </c>
      <c r="Z386" s="5">
        <f t="shared" si="389"/>
        <v>29230.080783377562</v>
      </c>
      <c r="AA386" s="5">
        <f t="shared" si="389"/>
        <v>30127.496267200542</v>
      </c>
      <c r="AB386" s="5">
        <f t="shared" si="389"/>
        <v>31024.911751023523</v>
      </c>
      <c r="AC386" s="5">
        <f t="shared" si="389"/>
        <v>31922.327234846503</v>
      </c>
      <c r="AD386" s="5">
        <f t="shared" si="389"/>
        <v>32819.742718669484</v>
      </c>
      <c r="AE386" s="5">
        <f t="shared" si="389"/>
        <v>33717.158202492465</v>
      </c>
      <c r="AF386" s="5">
        <f t="shared" si="389"/>
        <v>34614.573686315445</v>
      </c>
      <c r="AG386" s="5">
        <f t="shared" si="389"/>
        <v>35511.989170138426</v>
      </c>
      <c r="AH386" s="5">
        <f t="shared" si="389"/>
        <v>36409.404653961399</v>
      </c>
    </row>
    <row r="387" spans="1:34" x14ac:dyDescent="0.35">
      <c r="A387" t="s">
        <v>407</v>
      </c>
      <c r="B387" s="3" t="s">
        <v>1264</v>
      </c>
      <c r="C387" s="4" t="s">
        <v>1263</v>
      </c>
      <c r="D387" s="2">
        <f t="shared" si="326"/>
        <v>322847.36173913302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322847.36173913302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f t="shared" ref="W387:AH387" si="390">IF(OR((SLOPE($E387:$V387,$E$1:$V$1)*W$1+INTERCEPT($E387:$V387,$E$1:$V$1))&gt;(AVERAGE($E387:$V387)+_xlfn.STDEV.P($E387:$V387)),(SLOPE($E387:$V387,$E$1:$V$1)*W$1+INTERCEPT($E387:$V387,$E$1:$V$1))&lt;(AVERAGE($E387:$V387)-_xlfn.STDEV.P($E387:$V387))),V387,(SLOPE($E387:$V387,$E$1:$V$1)*W$1+INTERCEPT($E387:$V387,$E$1:$V$1)))</f>
        <v>33761.815606706725</v>
      </c>
      <c r="X387" s="5">
        <f t="shared" si="390"/>
        <v>35427.694666248179</v>
      </c>
      <c r="Y387" s="5">
        <f t="shared" si="390"/>
        <v>37093.573725789625</v>
      </c>
      <c r="Z387" s="5">
        <f t="shared" si="390"/>
        <v>38759.452785331079</v>
      </c>
      <c r="AA387" s="5">
        <f t="shared" si="390"/>
        <v>40425.331844872526</v>
      </c>
      <c r="AB387" s="5">
        <f t="shared" si="390"/>
        <v>42091.21090441398</v>
      </c>
      <c r="AC387" s="5">
        <f t="shared" si="390"/>
        <v>43757.089963955426</v>
      </c>
      <c r="AD387" s="5">
        <f t="shared" si="390"/>
        <v>45422.96902349688</v>
      </c>
      <c r="AE387" s="5">
        <f t="shared" si="390"/>
        <v>47088.848083038327</v>
      </c>
      <c r="AF387" s="5">
        <f t="shared" si="390"/>
        <v>48754.727142579781</v>
      </c>
      <c r="AG387" s="5">
        <f t="shared" si="390"/>
        <v>50420.606202121227</v>
      </c>
      <c r="AH387" s="5">
        <f t="shared" si="390"/>
        <v>52086.485261662681</v>
      </c>
    </row>
    <row r="388" spans="1:34" x14ac:dyDescent="0.35">
      <c r="A388" t="s">
        <v>408</v>
      </c>
      <c r="B388" s="3" t="s">
        <v>1262</v>
      </c>
      <c r="C388" s="4" t="s">
        <v>1263</v>
      </c>
      <c r="D388" s="2">
        <f t="shared" ref="D388:D451" si="391">SUM(E388:V388)</f>
        <v>319788.50399999996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11400.731999999998</v>
      </c>
      <c r="L388" s="5">
        <v>44791.487999999998</v>
      </c>
      <c r="M388" s="5">
        <v>21462.588000000003</v>
      </c>
      <c r="N388" s="5">
        <v>12658.463999999998</v>
      </c>
      <c r="O388" s="5">
        <v>33066.18</v>
      </c>
      <c r="P388" s="5">
        <v>59397.408000000003</v>
      </c>
      <c r="Q388" s="5">
        <v>18744.263999999999</v>
      </c>
      <c r="R388" s="5">
        <v>29536.41599999999</v>
      </c>
      <c r="S388" s="5">
        <v>32863.320000000007</v>
      </c>
      <c r="T388" s="5">
        <v>15092.784000000001</v>
      </c>
      <c r="U388" s="5">
        <v>11360.16</v>
      </c>
      <c r="V388" s="5">
        <v>29414.699999999997</v>
      </c>
      <c r="W388" s="5">
        <f t="shared" ref="W388:AH388" si="392">IF(OR((SLOPE($E388:$V388,$E$1:$V$1)*W$1+INTERCEPT($E388:$V388,$E$1:$V$1))&gt;(AVERAGE($E388:$V388)+_xlfn.STDEV.P($E388:$V388)),(SLOPE($E388:$V388,$E$1:$V$1)*W$1+INTERCEPT($E388:$V388,$E$1:$V$1))&lt;(AVERAGE($E388:$V388)-_xlfn.STDEV.P($E388:$V388))),V388,(SLOPE($E388:$V388,$E$1:$V$1)*W$1+INTERCEPT($E388:$V388,$E$1:$V$1)))</f>
        <v>29414.699999999997</v>
      </c>
      <c r="X388" s="5">
        <f t="shared" si="392"/>
        <v>29414.699999999997</v>
      </c>
      <c r="Y388" s="5">
        <f t="shared" si="392"/>
        <v>29414.699999999997</v>
      </c>
      <c r="Z388" s="5">
        <f t="shared" si="392"/>
        <v>29414.699999999997</v>
      </c>
      <c r="AA388" s="5">
        <f t="shared" si="392"/>
        <v>29414.699999999997</v>
      </c>
      <c r="AB388" s="5">
        <f t="shared" si="392"/>
        <v>29414.699999999997</v>
      </c>
      <c r="AC388" s="5">
        <f t="shared" si="392"/>
        <v>29414.699999999997</v>
      </c>
      <c r="AD388" s="5">
        <f t="shared" si="392"/>
        <v>29414.699999999997</v>
      </c>
      <c r="AE388" s="5">
        <f t="shared" si="392"/>
        <v>29414.699999999997</v>
      </c>
      <c r="AF388" s="5">
        <f t="shared" si="392"/>
        <v>29414.699999999997</v>
      </c>
      <c r="AG388" s="5">
        <f t="shared" si="392"/>
        <v>29414.699999999997</v>
      </c>
      <c r="AH388" s="5">
        <f t="shared" si="392"/>
        <v>29414.699999999997</v>
      </c>
    </row>
    <row r="389" spans="1:34" x14ac:dyDescent="0.35">
      <c r="A389" t="s">
        <v>409</v>
      </c>
      <c r="B389" s="3" t="s">
        <v>1265</v>
      </c>
      <c r="C389" s="4" t="s">
        <v>1263</v>
      </c>
      <c r="D389" s="2">
        <f t="shared" si="391"/>
        <v>319432.88159999996</v>
      </c>
      <c r="E389" s="5">
        <v>13544.521200000001</v>
      </c>
      <c r="F389" s="5">
        <v>31769.551800000001</v>
      </c>
      <c r="G389" s="5">
        <v>22970.366999999998</v>
      </c>
      <c r="H389" s="5">
        <v>22179.477600000002</v>
      </c>
      <c r="I389" s="5">
        <v>15597.376200000001</v>
      </c>
      <c r="J389" s="5">
        <v>15342.390000000003</v>
      </c>
      <c r="K389" s="5">
        <v>16880.950799999999</v>
      </c>
      <c r="L389" s="5">
        <v>3677.851799999999</v>
      </c>
      <c r="M389" s="5">
        <v>14918.853600000002</v>
      </c>
      <c r="N389" s="5">
        <v>14106.3552</v>
      </c>
      <c r="O389" s="5">
        <v>17451.428399999997</v>
      </c>
      <c r="P389" s="5">
        <v>20865.650400000006</v>
      </c>
      <c r="Q389" s="5">
        <v>35023.867200000008</v>
      </c>
      <c r="R389" s="5">
        <v>13285.213200000004</v>
      </c>
      <c r="S389" s="5">
        <v>14633.614800000003</v>
      </c>
      <c r="T389" s="5">
        <v>14357.019600000001</v>
      </c>
      <c r="U389" s="5">
        <v>16621.642799999998</v>
      </c>
      <c r="V389" s="5">
        <v>16206.750000000002</v>
      </c>
      <c r="W389" s="5">
        <f t="shared" ref="W389:AH389" si="393">IF(OR((SLOPE($E389:$V389,$E$1:$V$1)*W$1+INTERCEPT($E389:$V389,$E$1:$V$1))&gt;(AVERAGE($E389:$V389)+_xlfn.STDEV.P($E389:$V389)),(SLOPE($E389:$V389,$E$1:$V$1)*W$1+INTERCEPT($E389:$V389,$E$1:$V$1))&lt;(AVERAGE($E389:$V389)-_xlfn.STDEV.P($E389:$V389))),V389,(SLOPE($E389:$V389,$E$1:$V$1)*W$1+INTERCEPT($E389:$V389,$E$1:$V$1)))</f>
        <v>15789.936400000002</v>
      </c>
      <c r="X389" s="5">
        <f t="shared" si="393"/>
        <v>15584.006421052633</v>
      </c>
      <c r="Y389" s="5">
        <f t="shared" si="393"/>
        <v>15378.076442105266</v>
      </c>
      <c r="Z389" s="5">
        <f t="shared" si="393"/>
        <v>15172.146463157897</v>
      </c>
      <c r="AA389" s="5">
        <f t="shared" si="393"/>
        <v>14966.216484210529</v>
      </c>
      <c r="AB389" s="5">
        <f t="shared" si="393"/>
        <v>14760.286505263161</v>
      </c>
      <c r="AC389" s="5">
        <f t="shared" si="393"/>
        <v>14554.356526315791</v>
      </c>
      <c r="AD389" s="5">
        <f t="shared" si="393"/>
        <v>14348.426547368425</v>
      </c>
      <c r="AE389" s="5">
        <f t="shared" si="393"/>
        <v>14142.496568421055</v>
      </c>
      <c r="AF389" s="5">
        <f t="shared" si="393"/>
        <v>13936.566589473687</v>
      </c>
      <c r="AG389" s="5">
        <f t="shared" si="393"/>
        <v>13730.636610526319</v>
      </c>
      <c r="AH389" s="5">
        <f t="shared" si="393"/>
        <v>13524.706631578951</v>
      </c>
    </row>
    <row r="390" spans="1:34" x14ac:dyDescent="0.35">
      <c r="A390" t="s">
        <v>410</v>
      </c>
      <c r="B390" s="3" t="s">
        <v>1266</v>
      </c>
      <c r="C390" s="4" t="s">
        <v>1267</v>
      </c>
      <c r="D390" s="2">
        <f t="shared" si="391"/>
        <v>320388.78114153165</v>
      </c>
      <c r="E390" s="5">
        <v>0</v>
      </c>
      <c r="F390" s="5">
        <v>0</v>
      </c>
      <c r="G390" s="5">
        <v>54188.817860906376</v>
      </c>
      <c r="H390" s="5">
        <v>0</v>
      </c>
      <c r="I390" s="5">
        <v>109451.47505830514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102639.8076253311</v>
      </c>
      <c r="P390" s="5">
        <v>0</v>
      </c>
      <c r="Q390" s="5">
        <v>0</v>
      </c>
      <c r="R390" s="5">
        <v>0</v>
      </c>
      <c r="S390" s="5">
        <v>0</v>
      </c>
      <c r="T390" s="5">
        <v>54108.680596989034</v>
      </c>
      <c r="U390" s="5">
        <v>0</v>
      </c>
      <c r="V390" s="5">
        <v>0</v>
      </c>
      <c r="W390" s="5">
        <f t="shared" ref="W390:AH390" si="394">IF(OR((SLOPE($E390:$V390,$E$1:$V$1)*W$1+INTERCEPT($E390:$V390,$E$1:$V$1))&gt;(AVERAGE($E390:$V390)+_xlfn.STDEV.P($E390:$V390)),(SLOPE($E390:$V390,$E$1:$V$1)*W$1+INTERCEPT($E390:$V390,$E$1:$V$1))&lt;(AVERAGE($E390:$V390)-_xlfn.STDEV.P($E390:$V390))),V390,(SLOPE($E390:$V390,$E$1:$V$1)*W$1+INTERCEPT($E390:$V390,$E$1:$V$1)))</f>
        <v>11150.497935186282</v>
      </c>
      <c r="X390" s="5">
        <f t="shared" si="394"/>
        <v>10450.615956775882</v>
      </c>
      <c r="Y390" s="5">
        <f t="shared" si="394"/>
        <v>9750.7339783654807</v>
      </c>
      <c r="Z390" s="5">
        <f t="shared" si="394"/>
        <v>9050.8519999550808</v>
      </c>
      <c r="AA390" s="5">
        <f t="shared" si="394"/>
        <v>8350.9700215446792</v>
      </c>
      <c r="AB390" s="5">
        <f t="shared" si="394"/>
        <v>7651.0880431342775</v>
      </c>
      <c r="AC390" s="5">
        <f t="shared" si="394"/>
        <v>6951.2060647238759</v>
      </c>
      <c r="AD390" s="5">
        <f t="shared" si="394"/>
        <v>6251.3240863134779</v>
      </c>
      <c r="AE390" s="5">
        <f t="shared" si="394"/>
        <v>5551.4421079030762</v>
      </c>
      <c r="AF390" s="5">
        <f t="shared" si="394"/>
        <v>4851.5601294926746</v>
      </c>
      <c r="AG390" s="5">
        <f t="shared" si="394"/>
        <v>4151.678151082273</v>
      </c>
      <c r="AH390" s="5">
        <f t="shared" si="394"/>
        <v>3451.796172671875</v>
      </c>
    </row>
    <row r="391" spans="1:34" x14ac:dyDescent="0.35">
      <c r="A391" t="s">
        <v>411</v>
      </c>
      <c r="B391" s="3" t="s">
        <v>1265</v>
      </c>
      <c r="C391" s="4" t="s">
        <v>1263</v>
      </c>
      <c r="D391" s="2">
        <f t="shared" si="391"/>
        <v>315377.13905945339</v>
      </c>
      <c r="E391" s="5">
        <v>13543.803517890638</v>
      </c>
      <c r="F391" s="5">
        <v>18084.58318967685</v>
      </c>
      <c r="G391" s="5">
        <v>17649.068158263384</v>
      </c>
      <c r="H391" s="5">
        <v>17120.73844802412</v>
      </c>
      <c r="I391" s="5">
        <v>13750.851647579002</v>
      </c>
      <c r="J391" s="5">
        <v>13222.521937339727</v>
      </c>
      <c r="K391" s="5">
        <v>20761.929694267776</v>
      </c>
      <c r="L391" s="5">
        <v>15550.0284986641</v>
      </c>
      <c r="M391" s="5">
        <v>23967.605909097976</v>
      </c>
      <c r="N391" s="5">
        <v>16121.195752976835</v>
      </c>
      <c r="O391" s="5">
        <v>21197.444725681227</v>
      </c>
      <c r="P391" s="5">
        <v>13422.43047634918</v>
      </c>
      <c r="Q391" s="5">
        <v>19241.196879660125</v>
      </c>
      <c r="R391" s="5">
        <v>20062.249807734675</v>
      </c>
      <c r="S391" s="5">
        <v>21690.076482525961</v>
      </c>
      <c r="T391" s="5">
        <v>15492.91177323283</v>
      </c>
      <c r="U391" s="5">
        <v>19812.364133972849</v>
      </c>
      <c r="V391" s="5">
        <v>14686.138026516099</v>
      </c>
      <c r="W391" s="5">
        <f t="shared" ref="W391:AH391" si="395">IF(OR((SLOPE($E391:$V391,$E$1:$V$1)*W$1+INTERCEPT($E391:$V391,$E$1:$V$1))&gt;(AVERAGE($E391:$V391)+_xlfn.STDEV.P($E391:$V391)),(SLOPE($E391:$V391,$E$1:$V$1)*W$1+INTERCEPT($E391:$V391,$E$1:$V$1))&lt;(AVERAGE($E391:$V391)-_xlfn.STDEV.P($E391:$V391))),V391,(SLOPE($E391:$V391,$E$1:$V$1)*W$1+INTERCEPT($E391:$V391,$E$1:$V$1)))</f>
        <v>18882.724097990977</v>
      </c>
      <c r="X391" s="5">
        <f t="shared" si="395"/>
        <v>19026.068511466907</v>
      </c>
      <c r="Y391" s="5">
        <f t="shared" si="395"/>
        <v>19169.412924942837</v>
      </c>
      <c r="Z391" s="5">
        <f t="shared" si="395"/>
        <v>19312.757338418771</v>
      </c>
      <c r="AA391" s="5">
        <f t="shared" si="395"/>
        <v>19456.101751894701</v>
      </c>
      <c r="AB391" s="5">
        <f t="shared" si="395"/>
        <v>19599.446165370631</v>
      </c>
      <c r="AC391" s="5">
        <f t="shared" si="395"/>
        <v>19742.790578846561</v>
      </c>
      <c r="AD391" s="5">
        <f t="shared" si="395"/>
        <v>19886.134992322492</v>
      </c>
      <c r="AE391" s="5">
        <f t="shared" si="395"/>
        <v>20029.479405798422</v>
      </c>
      <c r="AF391" s="5">
        <f t="shared" si="395"/>
        <v>20172.823819274356</v>
      </c>
      <c r="AG391" s="5">
        <f t="shared" si="395"/>
        <v>20316.168232750286</v>
      </c>
      <c r="AH391" s="5">
        <f t="shared" si="395"/>
        <v>20459.512646226216</v>
      </c>
    </row>
    <row r="392" spans="1:34" x14ac:dyDescent="0.35">
      <c r="A392" t="s">
        <v>412</v>
      </c>
      <c r="B392" s="3" t="s">
        <v>1266</v>
      </c>
      <c r="C392" s="4" t="s">
        <v>1266</v>
      </c>
      <c r="D392" s="2">
        <f t="shared" si="391"/>
        <v>317421.68120306783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317421.68120306783</v>
      </c>
      <c r="V392" s="5">
        <v>0</v>
      </c>
      <c r="W392" s="5">
        <f t="shared" ref="W392:AH392" si="396">IF(OR((SLOPE($E392:$V392,$E$1:$V$1)*W$1+INTERCEPT($E392:$V392,$E$1:$V$1))&gt;(AVERAGE($E392:$V392)+_xlfn.STDEV.P($E392:$V392)),(SLOPE($E392:$V392,$E$1:$V$1)*W$1+INTERCEPT($E392:$V392,$E$1:$V$1))&lt;(AVERAGE($E392:$V392)-_xlfn.STDEV.P($E392:$V392))),V392,(SLOPE($E392:$V392,$E$1:$V$1)*W$1+INTERCEPT($E392:$V392,$E$1:$V$1)))</f>
        <v>64314.196845066021</v>
      </c>
      <c r="X392" s="5">
        <f t="shared" si="396"/>
        <v>69227.845160902987</v>
      </c>
      <c r="Y392" s="5">
        <f t="shared" si="396"/>
        <v>74141.493476739954</v>
      </c>
      <c r="Z392" s="5">
        <f t="shared" si="396"/>
        <v>79055.141792576906</v>
      </c>
      <c r="AA392" s="5">
        <f t="shared" si="396"/>
        <v>83968.790108413872</v>
      </c>
      <c r="AB392" s="5">
        <f t="shared" si="396"/>
        <v>88882.438424250839</v>
      </c>
      <c r="AC392" s="5">
        <f t="shared" si="396"/>
        <v>88882.438424250839</v>
      </c>
      <c r="AD392" s="5">
        <f t="shared" si="396"/>
        <v>88882.438424250839</v>
      </c>
      <c r="AE392" s="5">
        <f t="shared" si="396"/>
        <v>88882.438424250839</v>
      </c>
      <c r="AF392" s="5">
        <f t="shared" si="396"/>
        <v>88882.438424250839</v>
      </c>
      <c r="AG392" s="5">
        <f t="shared" si="396"/>
        <v>88882.438424250839</v>
      </c>
      <c r="AH392" s="5">
        <f t="shared" si="396"/>
        <v>88882.438424250839</v>
      </c>
    </row>
    <row r="393" spans="1:34" x14ac:dyDescent="0.35">
      <c r="A393" t="s">
        <v>413</v>
      </c>
      <c r="B393" s="3" t="s">
        <v>1266</v>
      </c>
      <c r="C393" s="4" t="s">
        <v>1267</v>
      </c>
      <c r="D393" s="2">
        <f t="shared" si="391"/>
        <v>314370.66923504137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113803.20905895618</v>
      </c>
      <c r="Q393" s="5">
        <v>0</v>
      </c>
      <c r="R393" s="5">
        <v>0</v>
      </c>
      <c r="S393" s="5">
        <v>127836.08596547408</v>
      </c>
      <c r="T393" s="5">
        <v>0</v>
      </c>
      <c r="U393" s="5">
        <v>0</v>
      </c>
      <c r="V393" s="5">
        <v>72731.374210611088</v>
      </c>
      <c r="W393" s="5">
        <f t="shared" ref="W393:AH393" si="397">IF(OR((SLOPE($E393:$V393,$E$1:$V$1)*W$1+INTERCEPT($E393:$V393,$E$1:$V$1))&gt;(AVERAGE($E393:$V393)+_xlfn.STDEV.P($E393:$V393)),(SLOPE($E393:$V393,$E$1:$V$1)*W$1+INTERCEPT($E393:$V393,$E$1:$V$1))&lt;(AVERAGE($E393:$V393)-_xlfn.STDEV.P($E393:$V393))),V393,(SLOPE($E393:$V393,$E$1:$V$1)*W$1+INTERCEPT($E393:$V393,$E$1:$V$1)))</f>
        <v>48951.766125757698</v>
      </c>
      <c r="X393" s="5">
        <f t="shared" si="397"/>
        <v>52266.158646392767</v>
      </c>
      <c r="Y393" s="5">
        <f t="shared" si="397"/>
        <v>55580.551167027836</v>
      </c>
      <c r="Z393" s="5">
        <f t="shared" si="397"/>
        <v>55580.551167027836</v>
      </c>
      <c r="AA393" s="5">
        <f t="shared" si="397"/>
        <v>55580.551167027836</v>
      </c>
      <c r="AB393" s="5">
        <f t="shared" si="397"/>
        <v>55580.551167027836</v>
      </c>
      <c r="AC393" s="5">
        <f t="shared" si="397"/>
        <v>55580.551167027836</v>
      </c>
      <c r="AD393" s="5">
        <f t="shared" si="397"/>
        <v>55580.551167027836</v>
      </c>
      <c r="AE393" s="5">
        <f t="shared" si="397"/>
        <v>55580.551167027836</v>
      </c>
      <c r="AF393" s="5">
        <f t="shared" si="397"/>
        <v>55580.551167027836</v>
      </c>
      <c r="AG393" s="5">
        <f t="shared" si="397"/>
        <v>55580.551167027836</v>
      </c>
      <c r="AH393" s="5">
        <f t="shared" si="397"/>
        <v>55580.551167027836</v>
      </c>
    </row>
    <row r="394" spans="1:34" x14ac:dyDescent="0.35">
      <c r="A394" t="s">
        <v>414</v>
      </c>
      <c r="B394" s="3" t="s">
        <v>1264</v>
      </c>
      <c r="C394" s="4" t="s">
        <v>1263</v>
      </c>
      <c r="D394" s="2">
        <f t="shared" si="391"/>
        <v>306880.52587331546</v>
      </c>
      <c r="E394" s="5">
        <v>12294.950349863106</v>
      </c>
      <c r="F394" s="5">
        <v>18590.395386773314</v>
      </c>
      <c r="G394" s="5">
        <v>21926.443184110347</v>
      </c>
      <c r="H394" s="5">
        <v>13998.845730223418</v>
      </c>
      <c r="I394" s="5">
        <v>18823.560017769993</v>
      </c>
      <c r="J394" s="5">
        <v>13711.873876689051</v>
      </c>
      <c r="K394" s="5">
        <v>18070.258902242276</v>
      </c>
      <c r="L394" s="5">
        <v>12743.343871010555</v>
      </c>
      <c r="M394" s="5">
        <v>21155.206327736745</v>
      </c>
      <c r="N394" s="5">
        <v>17388.700750098145</v>
      </c>
      <c r="O394" s="5">
        <v>19926.608079792724</v>
      </c>
      <c r="P394" s="5">
        <v>18509.684552966781</v>
      </c>
      <c r="Q394" s="5">
        <v>13057.219335813772</v>
      </c>
      <c r="R394" s="5">
        <v>17442.507972635842</v>
      </c>
      <c r="S394" s="5">
        <v>15630.998147200138</v>
      </c>
      <c r="T394" s="5">
        <v>21217.981420697382</v>
      </c>
      <c r="U394" s="5">
        <v>16751.981950068766</v>
      </c>
      <c r="V394" s="5">
        <v>15639.96601762309</v>
      </c>
      <c r="W394" s="5">
        <f t="shared" ref="W394:AH394" si="398">IF(OR((SLOPE($E394:$V394,$E$1:$V$1)*W$1+INTERCEPT($E394:$V394,$E$1:$V$1))&gt;(AVERAGE($E394:$V394)+_xlfn.STDEV.P($E394:$V394)),(SLOPE($E394:$V394,$E$1:$V$1)*W$1+INTERCEPT($E394:$V394,$E$1:$V$1))&lt;(AVERAGE($E394:$V394)-_xlfn.STDEV.P($E394:$V394))),V394,(SLOPE($E394:$V394,$E$1:$V$1)*W$1+INTERCEPT($E394:$V394,$E$1:$V$1)))</f>
        <v>17450.889707737031</v>
      </c>
      <c r="X394" s="5">
        <f t="shared" si="398"/>
        <v>17493.202508122711</v>
      </c>
      <c r="Y394" s="5">
        <f t="shared" si="398"/>
        <v>17535.515308508388</v>
      </c>
      <c r="Z394" s="5">
        <f t="shared" si="398"/>
        <v>17577.828108894068</v>
      </c>
      <c r="AA394" s="5">
        <f t="shared" si="398"/>
        <v>17620.140909279748</v>
      </c>
      <c r="AB394" s="5">
        <f t="shared" si="398"/>
        <v>17662.453709665428</v>
      </c>
      <c r="AC394" s="5">
        <f t="shared" si="398"/>
        <v>17704.766510051104</v>
      </c>
      <c r="AD394" s="5">
        <f t="shared" si="398"/>
        <v>17747.079310436784</v>
      </c>
      <c r="AE394" s="5">
        <f t="shared" si="398"/>
        <v>17789.392110822464</v>
      </c>
      <c r="AF394" s="5">
        <f t="shared" si="398"/>
        <v>17831.704911208144</v>
      </c>
      <c r="AG394" s="5">
        <f t="shared" si="398"/>
        <v>17874.01771159382</v>
      </c>
      <c r="AH394" s="5">
        <f t="shared" si="398"/>
        <v>17916.3305119795</v>
      </c>
    </row>
    <row r="395" spans="1:34" x14ac:dyDescent="0.35">
      <c r="A395" t="s">
        <v>415</v>
      </c>
      <c r="B395" s="3" t="s">
        <v>1266</v>
      </c>
      <c r="C395" s="4" t="s">
        <v>1266</v>
      </c>
      <c r="D395" s="2">
        <f t="shared" si="391"/>
        <v>309964.31673023914</v>
      </c>
      <c r="E395" s="5">
        <v>0</v>
      </c>
      <c r="F395" s="5">
        <v>309964.31673023914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f t="shared" ref="W395:AH395" si="399">IF(OR((SLOPE($E395:$V395,$E$1:$V$1)*W$1+INTERCEPT($E395:$V395,$E$1:$V$1))&gt;(AVERAGE($E395:$V395)+_xlfn.STDEV.P($E395:$V395)),(SLOPE($E395:$V395,$E$1:$V$1)*W$1+INTERCEPT($E395:$V395,$E$1:$V$1))&lt;(AVERAGE($E395:$V395)-_xlfn.STDEV.P($E395:$V395))),V395,(SLOPE($E395:$V395,$E$1:$V$1)*W$1+INTERCEPT($E395:$V395,$E$1:$V$1)))</f>
        <v>-28362.747936100306</v>
      </c>
      <c r="X395" s="5">
        <f t="shared" si="399"/>
        <v>-33160.957173410512</v>
      </c>
      <c r="Y395" s="5">
        <f t="shared" si="399"/>
        <v>-37959.166410720718</v>
      </c>
      <c r="Z395" s="5">
        <f t="shared" si="399"/>
        <v>-42757.375648030924</v>
      </c>
      <c r="AA395" s="5">
        <f t="shared" si="399"/>
        <v>-47555.58488534113</v>
      </c>
      <c r="AB395" s="5">
        <f t="shared" si="399"/>
        <v>-52353.794122651336</v>
      </c>
      <c r="AC395" s="5">
        <f t="shared" si="399"/>
        <v>-52353.794122651336</v>
      </c>
      <c r="AD395" s="5">
        <f t="shared" si="399"/>
        <v>-52353.794122651336</v>
      </c>
      <c r="AE395" s="5">
        <f t="shared" si="399"/>
        <v>-52353.794122651336</v>
      </c>
      <c r="AF395" s="5">
        <f t="shared" si="399"/>
        <v>-52353.794122651336</v>
      </c>
      <c r="AG395" s="5">
        <f t="shared" si="399"/>
        <v>-52353.794122651336</v>
      </c>
      <c r="AH395" s="5">
        <f t="shared" si="399"/>
        <v>-52353.794122651336</v>
      </c>
    </row>
    <row r="396" spans="1:34" x14ac:dyDescent="0.35">
      <c r="A396" t="s">
        <v>416</v>
      </c>
      <c r="B396" s="3" t="s">
        <v>1264</v>
      </c>
      <c r="C396" s="4" t="s">
        <v>1263</v>
      </c>
      <c r="D396" s="2">
        <f t="shared" si="391"/>
        <v>307837.82200158539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56193.158226145744</v>
      </c>
      <c r="L396" s="5">
        <v>0</v>
      </c>
      <c r="M396" s="5">
        <v>0</v>
      </c>
      <c r="N396" s="5">
        <v>0</v>
      </c>
      <c r="O396" s="5">
        <v>124087.55521124678</v>
      </c>
      <c r="P396" s="5">
        <v>102045.68685135426</v>
      </c>
      <c r="Q396" s="5">
        <v>0</v>
      </c>
      <c r="R396" s="5">
        <v>0</v>
      </c>
      <c r="S396" s="5">
        <v>0</v>
      </c>
      <c r="T396" s="5">
        <v>25511.421712838564</v>
      </c>
      <c r="U396" s="5">
        <v>0</v>
      </c>
      <c r="V396" s="5">
        <v>0</v>
      </c>
      <c r="W396" s="5">
        <f t="shared" ref="W396:AH396" si="400">IF(OR((SLOPE($E396:$V396,$E$1:$V$1)*W$1+INTERCEPT($E396:$V396,$E$1:$V$1))&gt;(AVERAGE($E396:$V396)+_xlfn.STDEV.P($E396:$V396)),(SLOPE($E396:$V396,$E$1:$V$1)*W$1+INTERCEPT($E396:$V396,$E$1:$V$1))&lt;(AVERAGE($E396:$V396)-_xlfn.STDEV.P($E396:$V396))),V396,(SLOPE($E396:$V396,$E$1:$V$1)*W$1+INTERCEPT($E396:$V396,$E$1:$V$1)))</f>
        <v>26250.863879434659</v>
      </c>
      <c r="X396" s="5">
        <f t="shared" si="400"/>
        <v>27213.891527553013</v>
      </c>
      <c r="Y396" s="5">
        <f t="shared" si="400"/>
        <v>28176.919175671366</v>
      </c>
      <c r="Z396" s="5">
        <f t="shared" si="400"/>
        <v>29139.94682378972</v>
      </c>
      <c r="AA396" s="5">
        <f t="shared" si="400"/>
        <v>30102.974471908074</v>
      </c>
      <c r="AB396" s="5">
        <f t="shared" si="400"/>
        <v>31066.002120026427</v>
      </c>
      <c r="AC396" s="5">
        <f t="shared" si="400"/>
        <v>32029.029768144781</v>
      </c>
      <c r="AD396" s="5">
        <f t="shared" si="400"/>
        <v>32992.057416263138</v>
      </c>
      <c r="AE396" s="5">
        <f t="shared" si="400"/>
        <v>33955.085064381492</v>
      </c>
      <c r="AF396" s="5">
        <f t="shared" si="400"/>
        <v>34918.112712499846</v>
      </c>
      <c r="AG396" s="5">
        <f t="shared" si="400"/>
        <v>35881.140360618199</v>
      </c>
      <c r="AH396" s="5">
        <f t="shared" si="400"/>
        <v>36844.168008736553</v>
      </c>
    </row>
    <row r="397" spans="1:34" x14ac:dyDescent="0.35">
      <c r="A397" t="s">
        <v>417</v>
      </c>
      <c r="B397" s="3" t="s">
        <v>1264</v>
      </c>
      <c r="C397" s="4" t="s">
        <v>1263</v>
      </c>
      <c r="D397" s="2">
        <f t="shared" si="391"/>
        <v>303584.77240000002</v>
      </c>
      <c r="E397" s="5">
        <v>27724.787999999997</v>
      </c>
      <c r="F397" s="5">
        <v>4730.1071999999995</v>
      </c>
      <c r="G397" s="5">
        <v>12673.242400000003</v>
      </c>
      <c r="H397" s="5">
        <v>38668.957599999994</v>
      </c>
      <c r="I397" s="5">
        <v>32660.264000000006</v>
      </c>
      <c r="J397" s="5">
        <v>4306.12</v>
      </c>
      <c r="K397" s="5">
        <v>36602.01999999999</v>
      </c>
      <c r="L397" s="5">
        <v>417.36239999999998</v>
      </c>
      <c r="M397" s="5">
        <v>4431.9912000000004</v>
      </c>
      <c r="N397" s="5">
        <v>4988.4744000000001</v>
      </c>
      <c r="O397" s="5">
        <v>6058.3796000000011</v>
      </c>
      <c r="P397" s="5">
        <v>7267.405600000001</v>
      </c>
      <c r="Q397" s="5">
        <v>12732.865600000003</v>
      </c>
      <c r="R397" s="5">
        <v>11706.0216</v>
      </c>
      <c r="S397" s="5">
        <v>4882.4775999999993</v>
      </c>
      <c r="T397" s="5">
        <v>9937.2000000000062</v>
      </c>
      <c r="U397" s="5">
        <v>52577.725199999979</v>
      </c>
      <c r="V397" s="5">
        <v>31219.370000000006</v>
      </c>
      <c r="W397" s="5">
        <f t="shared" ref="W397:AH397" si="401">IF(OR((SLOPE($E397:$V397,$E$1:$V$1)*W$1+INTERCEPT($E397:$V397,$E$1:$V$1))&gt;(AVERAGE($E397:$V397)+_xlfn.STDEV.P($E397:$V397)),(SLOPE($E397:$V397,$E$1:$V$1)*W$1+INTERCEPT($E397:$V397,$E$1:$V$1))&lt;(AVERAGE($E397:$V397)-_xlfn.STDEV.P($E397:$V397))),V397,(SLOPE($E397:$V397,$E$1:$V$1)*W$1+INTERCEPT($E397:$V397,$E$1:$V$1)))</f>
        <v>17955.113171241828</v>
      </c>
      <c r="X397" s="5">
        <f t="shared" si="401"/>
        <v>18069.775537805297</v>
      </c>
      <c r="Y397" s="5">
        <f t="shared" si="401"/>
        <v>18184.437904368766</v>
      </c>
      <c r="Z397" s="5">
        <f t="shared" si="401"/>
        <v>18299.100270932235</v>
      </c>
      <c r="AA397" s="5">
        <f t="shared" si="401"/>
        <v>18413.7626374957</v>
      </c>
      <c r="AB397" s="5">
        <f t="shared" si="401"/>
        <v>18528.425004059169</v>
      </c>
      <c r="AC397" s="5">
        <f t="shared" si="401"/>
        <v>18643.087370622634</v>
      </c>
      <c r="AD397" s="5">
        <f t="shared" si="401"/>
        <v>18757.749737186103</v>
      </c>
      <c r="AE397" s="5">
        <f t="shared" si="401"/>
        <v>18872.412103749572</v>
      </c>
      <c r="AF397" s="5">
        <f t="shared" si="401"/>
        <v>18987.074470313037</v>
      </c>
      <c r="AG397" s="5">
        <f t="shared" si="401"/>
        <v>19101.736836876506</v>
      </c>
      <c r="AH397" s="5">
        <f t="shared" si="401"/>
        <v>19216.399203439974</v>
      </c>
    </row>
    <row r="398" spans="1:34" x14ac:dyDescent="0.35">
      <c r="A398" t="s">
        <v>418</v>
      </c>
      <c r="B398" s="3" t="s">
        <v>1265</v>
      </c>
      <c r="C398" s="4" t="s">
        <v>1263</v>
      </c>
      <c r="D398" s="2">
        <f t="shared" si="391"/>
        <v>301605.19200000004</v>
      </c>
      <c r="E398" s="5">
        <v>0</v>
      </c>
      <c r="F398" s="5">
        <v>0</v>
      </c>
      <c r="G398" s="5">
        <v>49784.490000000013</v>
      </c>
      <c r="H398" s="5">
        <v>16361.099999999999</v>
      </c>
      <c r="I398" s="5">
        <v>7292.3760000000002</v>
      </c>
      <c r="J398" s="5">
        <v>8087.0580000000009</v>
      </c>
      <c r="K398" s="5">
        <v>8881.74</v>
      </c>
      <c r="L398" s="5">
        <v>8180.5500000000011</v>
      </c>
      <c r="M398" s="5">
        <v>18745.146000000001</v>
      </c>
      <c r="N398" s="5">
        <v>15753.402000000002</v>
      </c>
      <c r="O398" s="5">
        <v>22905.54</v>
      </c>
      <c r="P398" s="5">
        <v>16688.322</v>
      </c>
      <c r="Q398" s="5">
        <v>16127.37</v>
      </c>
      <c r="R398" s="5">
        <v>20614.985999999994</v>
      </c>
      <c r="S398" s="5">
        <v>16080.623999999998</v>
      </c>
      <c r="T398" s="5">
        <v>21736.889999999996</v>
      </c>
      <c r="U398" s="5">
        <v>20942.207999999999</v>
      </c>
      <c r="V398" s="5">
        <v>33423.390000000007</v>
      </c>
      <c r="W398" s="5">
        <f t="shared" ref="W398:AH398" si="402">IF(OR((SLOPE($E398:$V398,$E$1:$V$1)*W$1+INTERCEPT($E398:$V398,$E$1:$V$1))&gt;(AVERAGE($E398:$V398)+_xlfn.STDEV.P($E398:$V398)),(SLOPE($E398:$V398,$E$1:$V$1)*W$1+INTERCEPT($E398:$V398,$E$1:$V$1))&lt;(AVERAGE($E398:$V398)-_xlfn.STDEV.P($E398:$V398))),V398,(SLOPE($E398:$V398,$E$1:$V$1)*W$1+INTERCEPT($E398:$V398,$E$1:$V$1)))</f>
        <v>24314.947176470589</v>
      </c>
      <c r="X398" s="5">
        <f t="shared" si="402"/>
        <v>25110.642247678017</v>
      </c>
      <c r="Y398" s="5">
        <f t="shared" si="402"/>
        <v>25906.337318885449</v>
      </c>
      <c r="Z398" s="5">
        <f t="shared" si="402"/>
        <v>26702.032390092878</v>
      </c>
      <c r="AA398" s="5">
        <f t="shared" si="402"/>
        <v>27497.727461300306</v>
      </c>
      <c r="AB398" s="5">
        <f t="shared" si="402"/>
        <v>27497.727461300306</v>
      </c>
      <c r="AC398" s="5">
        <f t="shared" si="402"/>
        <v>27497.727461300306</v>
      </c>
      <c r="AD398" s="5">
        <f t="shared" si="402"/>
        <v>27497.727461300306</v>
      </c>
      <c r="AE398" s="5">
        <f t="shared" si="402"/>
        <v>27497.727461300306</v>
      </c>
      <c r="AF398" s="5">
        <f t="shared" si="402"/>
        <v>27497.727461300306</v>
      </c>
      <c r="AG398" s="5">
        <f t="shared" si="402"/>
        <v>27497.727461300306</v>
      </c>
      <c r="AH398" s="5">
        <f t="shared" si="402"/>
        <v>27497.727461300306</v>
      </c>
    </row>
    <row r="399" spans="1:34" x14ac:dyDescent="0.35">
      <c r="A399" t="s">
        <v>419</v>
      </c>
      <c r="B399" s="3" t="s">
        <v>1265</v>
      </c>
      <c r="C399" s="4" t="s">
        <v>1263</v>
      </c>
      <c r="D399" s="2">
        <f t="shared" si="391"/>
        <v>295990.821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61205.067000000003</v>
      </c>
      <c r="K399" s="5">
        <v>0</v>
      </c>
      <c r="L399" s="5">
        <v>7847.1540000000014</v>
      </c>
      <c r="M399" s="5">
        <v>22338.414000000004</v>
      </c>
      <c r="N399" s="5">
        <v>43747.199999999997</v>
      </c>
      <c r="O399" s="5">
        <v>46002.914999999994</v>
      </c>
      <c r="P399" s="5">
        <v>11880.098999999997</v>
      </c>
      <c r="Q399" s="5">
        <v>4962.5730000000003</v>
      </c>
      <c r="R399" s="5">
        <v>15284.177999999998</v>
      </c>
      <c r="S399" s="5">
        <v>27109.592999999993</v>
      </c>
      <c r="T399" s="5">
        <v>13137.831</v>
      </c>
      <c r="U399" s="5">
        <v>22393.097999999994</v>
      </c>
      <c r="V399" s="5">
        <v>20082.699000000004</v>
      </c>
      <c r="W399" s="5">
        <f t="shared" ref="W399:AH399" si="403">IF(OR((SLOPE($E399:$V399,$E$1:$V$1)*W$1+INTERCEPT($E399:$V399,$E$1:$V$1))&gt;(AVERAGE($E399:$V399)+_xlfn.STDEV.P($E399:$V399)),(SLOPE($E399:$V399,$E$1:$V$1)*W$1+INTERCEPT($E399:$V399,$E$1:$V$1))&lt;(AVERAGE($E399:$V399)-_xlfn.STDEV.P($E399:$V399))),V399,(SLOPE($E399:$V399,$E$1:$V$1)*W$1+INTERCEPT($E399:$V399,$E$1:$V$1)))</f>
        <v>27085.467705882351</v>
      </c>
      <c r="X399" s="5">
        <f t="shared" si="403"/>
        <v>28205.62909597523</v>
      </c>
      <c r="Y399" s="5">
        <f t="shared" si="403"/>
        <v>29325.790486068112</v>
      </c>
      <c r="Z399" s="5">
        <f t="shared" si="403"/>
        <v>30445.951876160991</v>
      </c>
      <c r="AA399" s="5">
        <f t="shared" si="403"/>
        <v>31566.113266253869</v>
      </c>
      <c r="AB399" s="5">
        <f t="shared" si="403"/>
        <v>32686.274656346748</v>
      </c>
      <c r="AC399" s="5">
        <f t="shared" si="403"/>
        <v>33806.43604643963</v>
      </c>
      <c r="AD399" s="5">
        <f t="shared" si="403"/>
        <v>33806.43604643963</v>
      </c>
      <c r="AE399" s="5">
        <f t="shared" si="403"/>
        <v>33806.43604643963</v>
      </c>
      <c r="AF399" s="5">
        <f t="shared" si="403"/>
        <v>33806.43604643963</v>
      </c>
      <c r="AG399" s="5">
        <f t="shared" si="403"/>
        <v>33806.43604643963</v>
      </c>
      <c r="AH399" s="5">
        <f t="shared" si="403"/>
        <v>33806.43604643963</v>
      </c>
    </row>
    <row r="400" spans="1:34" x14ac:dyDescent="0.35">
      <c r="A400" t="s">
        <v>420</v>
      </c>
      <c r="B400" s="3" t="s">
        <v>1265</v>
      </c>
      <c r="C400" s="4" t="s">
        <v>1263</v>
      </c>
      <c r="D400" s="2">
        <f t="shared" si="391"/>
        <v>302511.04839869309</v>
      </c>
      <c r="E400" s="5">
        <v>11823.851163183781</v>
      </c>
      <c r="F400" s="5">
        <v>24043.987351672626</v>
      </c>
      <c r="G400" s="5">
        <v>22321.360609019994</v>
      </c>
      <c r="H400" s="5">
        <v>13910.413133157394</v>
      </c>
      <c r="I400" s="5">
        <v>18035.012376128474</v>
      </c>
      <c r="J400" s="5">
        <v>19652.502275332819</v>
      </c>
      <c r="K400" s="5">
        <v>15471.290885889586</v>
      </c>
      <c r="L400" s="5">
        <v>13910.41313315739</v>
      </c>
      <c r="M400" s="5">
        <v>23049.231063661959</v>
      </c>
      <c r="N400" s="5">
        <v>18010.75002764041</v>
      </c>
      <c r="O400" s="5">
        <v>17751.951643767712</v>
      </c>
      <c r="P400" s="5">
        <v>18123.974320584715</v>
      </c>
      <c r="Q400" s="5">
        <v>7958.050304085391</v>
      </c>
      <c r="R400" s="5">
        <v>24949.781695227062</v>
      </c>
      <c r="S400" s="5">
        <v>13991.287628117605</v>
      </c>
      <c r="T400" s="5">
        <v>14880.90707268</v>
      </c>
      <c r="U400" s="5">
        <v>15487.465784881626</v>
      </c>
      <c r="V400" s="5">
        <v>9138.8179305045669</v>
      </c>
      <c r="W400" s="5">
        <f t="shared" ref="W400:AH400" si="404">IF(OR((SLOPE($E400:$V400,$E$1:$V$1)*W$1+INTERCEPT($E400:$V400,$E$1:$V$1))&gt;(AVERAGE($E400:$V400)+_xlfn.STDEV.P($E400:$V400)),(SLOPE($E400:$V400,$E$1:$V$1)*W$1+INTERCEPT($E400:$V400,$E$1:$V$1))&lt;(AVERAGE($E400:$V400)-_xlfn.STDEV.P($E400:$V400))),V400,(SLOPE($E400:$V400,$E$1:$V$1)*W$1+INTERCEPT($E400:$V400,$E$1:$V$1)))</f>
        <v>14161.96981388659</v>
      </c>
      <c r="X400" s="5">
        <f t="shared" si="404"/>
        <v>13883.63302003434</v>
      </c>
      <c r="Y400" s="5">
        <f t="shared" si="404"/>
        <v>13605.296226182092</v>
      </c>
      <c r="Z400" s="5">
        <f t="shared" si="404"/>
        <v>13326.959432329844</v>
      </c>
      <c r="AA400" s="5">
        <f t="shared" si="404"/>
        <v>13048.622638477595</v>
      </c>
      <c r="AB400" s="5">
        <f t="shared" si="404"/>
        <v>12770.285844625347</v>
      </c>
      <c r="AC400" s="5">
        <f t="shared" si="404"/>
        <v>12491.949050773099</v>
      </c>
      <c r="AD400" s="5">
        <f t="shared" si="404"/>
        <v>12213.612256920849</v>
      </c>
      <c r="AE400" s="5">
        <f t="shared" si="404"/>
        <v>12213.612256920849</v>
      </c>
      <c r="AF400" s="5">
        <f t="shared" si="404"/>
        <v>12213.612256920849</v>
      </c>
      <c r="AG400" s="5">
        <f t="shared" si="404"/>
        <v>12213.612256920849</v>
      </c>
      <c r="AH400" s="5">
        <f t="shared" si="404"/>
        <v>12213.612256920849</v>
      </c>
    </row>
    <row r="401" spans="1:34" x14ac:dyDescent="0.35">
      <c r="A401" t="s">
        <v>421</v>
      </c>
      <c r="B401" s="3" t="s">
        <v>1266</v>
      </c>
      <c r="C401" s="4" t="s">
        <v>1267</v>
      </c>
      <c r="D401" s="2">
        <f t="shared" si="391"/>
        <v>304307.36257126759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208096.73990970416</v>
      </c>
      <c r="S401" s="5">
        <v>0</v>
      </c>
      <c r="T401" s="5">
        <v>96210.622661563408</v>
      </c>
      <c r="U401" s="5">
        <v>0</v>
      </c>
      <c r="V401" s="5">
        <v>0</v>
      </c>
      <c r="W401" s="5">
        <f t="shared" ref="W401:AH401" si="405">IF(OR((SLOPE($E401:$V401,$E$1:$V$1)*W$1+INTERCEPT($E401:$V401,$E$1:$V$1))&gt;(AVERAGE($E401:$V401)+_xlfn.STDEV.P($E401:$V401)),(SLOPE($E401:$V401,$E$1:$V$1)*W$1+INTERCEPT($E401:$V401,$E$1:$V$1))&lt;(AVERAGE($E401:$V401)-_xlfn.STDEV.P($E401:$V401))),V401,(SLOPE($E401:$V401,$E$1:$V$1)*W$1+INTERCEPT($E401:$V401,$E$1:$V$1)))</f>
        <v>47529.579820505023</v>
      </c>
      <c r="X401" s="5">
        <f t="shared" si="405"/>
        <v>50753.118266106321</v>
      </c>
      <c r="Y401" s="5">
        <f t="shared" si="405"/>
        <v>53976.656711707634</v>
      </c>
      <c r="Z401" s="5">
        <f t="shared" si="405"/>
        <v>57200.195157308932</v>
      </c>
      <c r="AA401" s="5">
        <f t="shared" si="405"/>
        <v>60423.73360291023</v>
      </c>
      <c r="AB401" s="5">
        <f t="shared" si="405"/>
        <v>63647.272048511542</v>
      </c>
      <c r="AC401" s="5">
        <f t="shared" si="405"/>
        <v>66870.81049411284</v>
      </c>
      <c r="AD401" s="5">
        <f t="shared" si="405"/>
        <v>66870.81049411284</v>
      </c>
      <c r="AE401" s="5">
        <f t="shared" si="405"/>
        <v>66870.81049411284</v>
      </c>
      <c r="AF401" s="5">
        <f t="shared" si="405"/>
        <v>66870.81049411284</v>
      </c>
      <c r="AG401" s="5">
        <f t="shared" si="405"/>
        <v>66870.81049411284</v>
      </c>
      <c r="AH401" s="5">
        <f t="shared" si="405"/>
        <v>66870.81049411284</v>
      </c>
    </row>
    <row r="402" spans="1:34" x14ac:dyDescent="0.35">
      <c r="A402" t="s">
        <v>422</v>
      </c>
      <c r="B402" s="3" t="s">
        <v>1266</v>
      </c>
      <c r="C402" s="4" t="s">
        <v>1267</v>
      </c>
      <c r="D402" s="2">
        <f t="shared" si="391"/>
        <v>298572.09251634142</v>
      </c>
      <c r="E402" s="5">
        <v>0</v>
      </c>
      <c r="F402" s="5">
        <v>72846.060363271536</v>
      </c>
      <c r="G402" s="5">
        <v>0</v>
      </c>
      <c r="H402" s="5">
        <v>0</v>
      </c>
      <c r="I402" s="5">
        <v>77565.236745943257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70559.986979906927</v>
      </c>
      <c r="Q402" s="5">
        <v>0</v>
      </c>
      <c r="R402" s="5">
        <v>77600.808427219687</v>
      </c>
      <c r="S402" s="5">
        <v>0</v>
      </c>
      <c r="T402" s="5">
        <v>0</v>
      </c>
      <c r="U402" s="5">
        <v>0</v>
      </c>
      <c r="V402" s="5">
        <v>0</v>
      </c>
      <c r="W402" s="5">
        <f t="shared" ref="W402:AH402" si="406">IF(OR((SLOPE($E402:$V402,$E$1:$V$1)*W$1+INTERCEPT($E402:$V402,$E$1:$V$1))&gt;(AVERAGE($E402:$V402)+_xlfn.STDEV.P($E402:$V402)),(SLOPE($E402:$V402,$E$1:$V$1)*W$1+INTERCEPT($E402:$V402,$E$1:$V$1))&lt;(AVERAGE($E402:$V402)-_xlfn.STDEV.P($E402:$V402))),V402,(SLOPE($E402:$V402,$E$1:$V$1)*W$1+INTERCEPT($E402:$V402,$E$1:$V$1)))</f>
        <v>9336.6441062864469</v>
      </c>
      <c r="X402" s="5">
        <f t="shared" si="406"/>
        <v>8573.4131203029065</v>
      </c>
      <c r="Y402" s="5">
        <f t="shared" si="406"/>
        <v>7810.1821343193678</v>
      </c>
      <c r="Z402" s="5">
        <f t="shared" si="406"/>
        <v>7046.9511483358256</v>
      </c>
      <c r="AA402" s="5">
        <f t="shared" si="406"/>
        <v>6283.7201623522851</v>
      </c>
      <c r="AB402" s="5">
        <f t="shared" si="406"/>
        <v>5520.4891763687483</v>
      </c>
      <c r="AC402" s="5">
        <f t="shared" si="406"/>
        <v>4757.2581903852079</v>
      </c>
      <c r="AD402" s="5">
        <f t="shared" si="406"/>
        <v>3994.0272044016674</v>
      </c>
      <c r="AE402" s="5">
        <f t="shared" si="406"/>
        <v>3230.796218418127</v>
      </c>
      <c r="AF402" s="5">
        <f t="shared" si="406"/>
        <v>2467.5652324345865</v>
      </c>
      <c r="AG402" s="5">
        <f t="shared" si="406"/>
        <v>1704.3342464510461</v>
      </c>
      <c r="AH402" s="5">
        <f t="shared" si="406"/>
        <v>941.10326046750561</v>
      </c>
    </row>
    <row r="403" spans="1:34" x14ac:dyDescent="0.35">
      <c r="A403" t="s">
        <v>423</v>
      </c>
      <c r="B403" s="3" t="s">
        <v>1262</v>
      </c>
      <c r="C403" s="4" t="s">
        <v>1263</v>
      </c>
      <c r="D403" s="2">
        <f t="shared" si="391"/>
        <v>284695.26132599998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12653.122725599998</v>
      </c>
      <c r="P403" s="5">
        <v>134615.16677513332</v>
      </c>
      <c r="Q403" s="5">
        <v>50788.22871803333</v>
      </c>
      <c r="R403" s="5">
        <v>1493.7714328833331</v>
      </c>
      <c r="S403" s="5">
        <v>19243.290811849994</v>
      </c>
      <c r="T403" s="5">
        <v>34093.136232866673</v>
      </c>
      <c r="U403" s="5">
        <v>11686.564739616666</v>
      </c>
      <c r="V403" s="5">
        <v>20121.979890016661</v>
      </c>
      <c r="W403" s="5">
        <f t="shared" ref="W403:AH403" si="407">IF(OR((SLOPE($E403:$V403,$E$1:$V$1)*W$1+INTERCEPT($E403:$V403,$E$1:$V$1))&gt;(AVERAGE($E403:$V403)+_xlfn.STDEV.P($E403:$V403)),(SLOPE($E403:$V403,$E$1:$V$1)*W$1+INTERCEPT($E403:$V403,$E$1:$V$1))&lt;(AVERAGE($E403:$V403)-_xlfn.STDEV.P($E403:$V403))),V403,(SLOPE($E403:$V403,$E$1:$V$1)*W$1+INTERCEPT($E403:$V403,$E$1:$V$1)))</f>
        <v>37897.343065399997</v>
      </c>
      <c r="X403" s="5">
        <f t="shared" si="407"/>
        <v>40221.652503126315</v>
      </c>
      <c r="Y403" s="5">
        <f t="shared" si="407"/>
        <v>42545.961940852634</v>
      </c>
      <c r="Z403" s="5">
        <f t="shared" si="407"/>
        <v>44870.271378578953</v>
      </c>
      <c r="AA403" s="5">
        <f t="shared" si="407"/>
        <v>47194.580816305257</v>
      </c>
      <c r="AB403" s="5">
        <f t="shared" si="407"/>
        <v>47194.580816305257</v>
      </c>
      <c r="AC403" s="5">
        <f t="shared" si="407"/>
        <v>47194.580816305257</v>
      </c>
      <c r="AD403" s="5">
        <f t="shared" si="407"/>
        <v>47194.580816305257</v>
      </c>
      <c r="AE403" s="5">
        <f t="shared" si="407"/>
        <v>47194.580816305257</v>
      </c>
      <c r="AF403" s="5">
        <f t="shared" si="407"/>
        <v>47194.580816305257</v>
      </c>
      <c r="AG403" s="5">
        <f t="shared" si="407"/>
        <v>47194.580816305257</v>
      </c>
      <c r="AH403" s="5">
        <f t="shared" si="407"/>
        <v>47194.580816305257</v>
      </c>
    </row>
    <row r="404" spans="1:34" x14ac:dyDescent="0.35">
      <c r="A404" t="s">
        <v>424</v>
      </c>
      <c r="B404" s="3" t="s">
        <v>1264</v>
      </c>
      <c r="C404" s="4" t="s">
        <v>1263</v>
      </c>
      <c r="D404" s="2">
        <f t="shared" si="391"/>
        <v>292875.35199999996</v>
      </c>
      <c r="E404" s="5">
        <v>7606.3679999999986</v>
      </c>
      <c r="F404" s="5">
        <v>4874.7159999999994</v>
      </c>
      <c r="G404" s="5">
        <v>3561.7119999999995</v>
      </c>
      <c r="H404" s="5">
        <v>12511.267999999998</v>
      </c>
      <c r="I404" s="5">
        <v>10654.951999999997</v>
      </c>
      <c r="J404" s="5">
        <v>23951.003999999997</v>
      </c>
      <c r="K404" s="5">
        <v>4346.4960000000001</v>
      </c>
      <c r="L404" s="5">
        <v>7244.1599999999989</v>
      </c>
      <c r="M404" s="5">
        <v>8315.6919999999973</v>
      </c>
      <c r="N404" s="5">
        <v>5644.4079999999985</v>
      </c>
      <c r="O404" s="5">
        <v>45321.275999999983</v>
      </c>
      <c r="P404" s="5">
        <v>8104.4039999999995</v>
      </c>
      <c r="Q404" s="5">
        <v>5252.0159999999996</v>
      </c>
      <c r="R404" s="5">
        <v>6942.32</v>
      </c>
      <c r="S404" s="5">
        <v>2716.56</v>
      </c>
      <c r="T404" s="5">
        <v>135828</v>
      </c>
      <c r="U404" s="5">
        <v>0</v>
      </c>
      <c r="V404" s="5">
        <v>0</v>
      </c>
      <c r="W404" s="5">
        <f t="shared" ref="W404:AH404" si="408">IF(OR((SLOPE($E404:$V404,$E$1:$V$1)*W$1+INTERCEPT($E404:$V404,$E$1:$V$1))&gt;(AVERAGE($E404:$V404)+_xlfn.STDEV.P($E404:$V404)),(SLOPE($E404:$V404,$E$1:$V$1)*W$1+INTERCEPT($E404:$V404,$E$1:$V$1))&lt;(AVERAGE($E404:$V404)-_xlfn.STDEV.P($E404:$V404))),V404,(SLOPE($E404:$V404,$E$1:$V$1)*W$1+INTERCEPT($E404:$V404,$E$1:$V$1)))</f>
        <v>29754.519163398698</v>
      </c>
      <c r="X404" s="5">
        <f t="shared" si="408"/>
        <v>31173.852455452361</v>
      </c>
      <c r="Y404" s="5">
        <f t="shared" si="408"/>
        <v>32593.185747506024</v>
      </c>
      <c r="Z404" s="5">
        <f t="shared" si="408"/>
        <v>34012.519039559687</v>
      </c>
      <c r="AA404" s="5">
        <f t="shared" si="408"/>
        <v>35431.852331613351</v>
      </c>
      <c r="AB404" s="5">
        <f t="shared" si="408"/>
        <v>36851.185623667014</v>
      </c>
      <c r="AC404" s="5">
        <f t="shared" si="408"/>
        <v>38270.518915720677</v>
      </c>
      <c r="AD404" s="5">
        <f t="shared" si="408"/>
        <v>39689.85220777434</v>
      </c>
      <c r="AE404" s="5">
        <f t="shared" si="408"/>
        <v>41109.185499828003</v>
      </c>
      <c r="AF404" s="5">
        <f t="shared" si="408"/>
        <v>42528.518791881674</v>
      </c>
      <c r="AG404" s="5">
        <f t="shared" si="408"/>
        <v>43947.852083935337</v>
      </c>
      <c r="AH404" s="5">
        <f t="shared" si="408"/>
        <v>45367.185375989</v>
      </c>
    </row>
    <row r="405" spans="1:34" x14ac:dyDescent="0.35">
      <c r="A405" t="s">
        <v>425</v>
      </c>
      <c r="B405" s="3" t="s">
        <v>1265</v>
      </c>
      <c r="C405" s="4" t="s">
        <v>1263</v>
      </c>
      <c r="D405" s="2">
        <f t="shared" si="391"/>
        <v>284202.20862979471</v>
      </c>
      <c r="E405" s="5">
        <v>1678.165177737586</v>
      </c>
      <c r="F405" s="5">
        <v>23652.25744623092</v>
      </c>
      <c r="G405" s="5">
        <v>27906.899749789147</v>
      </c>
      <c r="H405" s="5">
        <v>2270.4587698802638</v>
      </c>
      <c r="I405" s="5">
        <v>8489.5414873783739</v>
      </c>
      <c r="J405" s="5">
        <v>2862.7523620229413</v>
      </c>
      <c r="K405" s="5">
        <v>10611.926859222967</v>
      </c>
      <c r="L405" s="5">
        <v>8756.0736038425821</v>
      </c>
      <c r="M405" s="5">
        <v>24728.257471956782</v>
      </c>
      <c r="N405" s="5">
        <v>22359.083103386078</v>
      </c>
      <c r="O405" s="5">
        <v>57995.414230637158</v>
      </c>
      <c r="P405" s="5">
        <v>37117.065107607777</v>
      </c>
      <c r="Q405" s="5">
        <v>3751.1927502369576</v>
      </c>
      <c r="R405" s="5">
        <v>12507.26635407954</v>
      </c>
      <c r="S405" s="5">
        <v>14165.688412079036</v>
      </c>
      <c r="T405" s="5">
        <v>6732.403830688434</v>
      </c>
      <c r="U405" s="5">
        <v>8055.1928531404155</v>
      </c>
      <c r="V405" s="5">
        <v>10562.569059877746</v>
      </c>
      <c r="W405" s="5">
        <f t="shared" ref="W405:AH405" si="409">IF(OR((SLOPE($E405:$V405,$E$1:$V$1)*W$1+INTERCEPT($E405:$V405,$E$1:$V$1))&gt;(AVERAGE($E405:$V405)+_xlfn.STDEV.P($E405:$V405)),(SLOPE($E405:$V405,$E$1:$V$1)*W$1+INTERCEPT($E405:$V405,$E$1:$V$1))&lt;(AVERAGE($E405:$V405)-_xlfn.STDEV.P($E405:$V405))),V405,(SLOPE($E405:$V405,$E$1:$V$1)*W$1+INTERCEPT($E405:$V405,$E$1:$V$1)))</f>
        <v>16699.904938460309</v>
      </c>
      <c r="X405" s="5">
        <f t="shared" si="409"/>
        <v>16795.788448767275</v>
      </c>
      <c r="Y405" s="5">
        <f t="shared" si="409"/>
        <v>16891.67195907424</v>
      </c>
      <c r="Z405" s="5">
        <f t="shared" si="409"/>
        <v>16987.555469381201</v>
      </c>
      <c r="AA405" s="5">
        <f t="shared" si="409"/>
        <v>17083.438979688166</v>
      </c>
      <c r="AB405" s="5">
        <f t="shared" si="409"/>
        <v>17179.322489995131</v>
      </c>
      <c r="AC405" s="5">
        <f t="shared" si="409"/>
        <v>17275.206000302096</v>
      </c>
      <c r="AD405" s="5">
        <f t="shared" si="409"/>
        <v>17371.089510609061</v>
      </c>
      <c r="AE405" s="5">
        <f t="shared" si="409"/>
        <v>17466.973020916023</v>
      </c>
      <c r="AF405" s="5">
        <f t="shared" si="409"/>
        <v>17562.856531222988</v>
      </c>
      <c r="AG405" s="5">
        <f t="shared" si="409"/>
        <v>17658.740041529953</v>
      </c>
      <c r="AH405" s="5">
        <f t="shared" si="409"/>
        <v>17754.623551836914</v>
      </c>
    </row>
    <row r="406" spans="1:34" x14ac:dyDescent="0.35">
      <c r="A406" t="s">
        <v>426</v>
      </c>
      <c r="B406" s="3" t="s">
        <v>1266</v>
      </c>
      <c r="C406" s="4" t="s">
        <v>1263</v>
      </c>
      <c r="D406" s="2">
        <f t="shared" si="391"/>
        <v>283944.06651239994</v>
      </c>
      <c r="E406" s="5">
        <v>0</v>
      </c>
      <c r="F406" s="5">
        <v>24729.887027999997</v>
      </c>
      <c r="G406" s="5">
        <v>0</v>
      </c>
      <c r="H406" s="5">
        <v>0</v>
      </c>
      <c r="I406" s="5">
        <v>0</v>
      </c>
      <c r="J406" s="5">
        <v>0</v>
      </c>
      <c r="K406" s="5">
        <v>71941.489535999994</v>
      </c>
      <c r="L406" s="5">
        <v>0</v>
      </c>
      <c r="M406" s="5">
        <v>0</v>
      </c>
      <c r="N406" s="5">
        <v>22639.087488359997</v>
      </c>
      <c r="O406" s="5">
        <v>0</v>
      </c>
      <c r="P406" s="5">
        <v>24729.887027999997</v>
      </c>
      <c r="Q406" s="5">
        <v>0</v>
      </c>
      <c r="R406" s="5">
        <v>0</v>
      </c>
      <c r="S406" s="5">
        <v>24729.887027999997</v>
      </c>
      <c r="T406" s="5">
        <v>18704.78727936</v>
      </c>
      <c r="U406" s="5">
        <v>0</v>
      </c>
      <c r="V406" s="5">
        <v>96469.041124679992</v>
      </c>
      <c r="W406" s="5">
        <f t="shared" ref="W406:AH406" si="410">IF(OR((SLOPE($E406:$V406,$E$1:$V$1)*W$1+INTERCEPT($E406:$V406,$E$1:$V$1))&gt;(AVERAGE($E406:$V406)+_xlfn.STDEV.P($E406:$V406)),(SLOPE($E406:$V406,$E$1:$V$1)*W$1+INTERCEPT($E406:$V406,$E$1:$V$1))&lt;(AVERAGE($E406:$V406)-_xlfn.STDEV.P($E406:$V406))),V406,(SLOPE($E406:$V406,$E$1:$V$1)*W$1+INTERCEPT($E406:$V406,$E$1:$V$1)))</f>
        <v>31174.645465599991</v>
      </c>
      <c r="X406" s="5">
        <f t="shared" si="410"/>
        <v>32795.695476526307</v>
      </c>
      <c r="Y406" s="5">
        <f t="shared" si="410"/>
        <v>34416.745487452623</v>
      </c>
      <c r="Z406" s="5">
        <f t="shared" si="410"/>
        <v>36037.795498378939</v>
      </c>
      <c r="AA406" s="5">
        <f t="shared" si="410"/>
        <v>37658.845509305254</v>
      </c>
      <c r="AB406" s="5">
        <f t="shared" si="410"/>
        <v>39279.89552023157</v>
      </c>
      <c r="AC406" s="5">
        <f t="shared" si="410"/>
        <v>40900.945531157886</v>
      </c>
      <c r="AD406" s="5">
        <f t="shared" si="410"/>
        <v>40900.945531157886</v>
      </c>
      <c r="AE406" s="5">
        <f t="shared" si="410"/>
        <v>40900.945531157886</v>
      </c>
      <c r="AF406" s="5">
        <f t="shared" si="410"/>
        <v>40900.945531157886</v>
      </c>
      <c r="AG406" s="5">
        <f t="shared" si="410"/>
        <v>40900.945531157886</v>
      </c>
      <c r="AH406" s="5">
        <f t="shared" si="410"/>
        <v>40900.945531157886</v>
      </c>
    </row>
    <row r="407" spans="1:34" x14ac:dyDescent="0.35">
      <c r="A407" t="s">
        <v>427</v>
      </c>
      <c r="B407" s="3" t="s">
        <v>1266</v>
      </c>
      <c r="C407" s="4" t="s">
        <v>1267</v>
      </c>
      <c r="D407" s="2">
        <f t="shared" si="391"/>
        <v>283685.19711884909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124870.82017971644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158814.37693913264</v>
      </c>
      <c r="U407" s="5">
        <v>0</v>
      </c>
      <c r="V407" s="5">
        <v>0</v>
      </c>
      <c r="W407" s="5">
        <f t="shared" ref="W407:AH407" si="411">IF(OR((SLOPE($E407:$V407,$E$1:$V$1)*W$1+INTERCEPT($E407:$V407,$E$1:$V$1))&gt;(AVERAGE($E407:$V407)+_xlfn.STDEV.P($E407:$V407)),(SLOPE($E407:$V407,$E$1:$V$1)*W$1+INTERCEPT($E407:$V407,$E$1:$V$1))&lt;(AVERAGE($E407:$V407)-_xlfn.STDEV.P($E407:$V407))),V407,(SLOPE($E407:$V407,$E$1:$V$1)*W$1+INTERCEPT($E407:$V407,$E$1:$V$1)))</f>
        <v>34777.113042834826</v>
      </c>
      <c r="X407" s="5">
        <f t="shared" si="411"/>
        <v>36778.88402325692</v>
      </c>
      <c r="Y407" s="5">
        <f t="shared" si="411"/>
        <v>38780.655003679007</v>
      </c>
      <c r="Z407" s="5">
        <f t="shared" si="411"/>
        <v>40782.425984101101</v>
      </c>
      <c r="AA407" s="5">
        <f t="shared" si="411"/>
        <v>42784.196964523195</v>
      </c>
      <c r="AB407" s="5">
        <f t="shared" si="411"/>
        <v>44785.967944945289</v>
      </c>
      <c r="AC407" s="5">
        <f t="shared" si="411"/>
        <v>46787.738925367383</v>
      </c>
      <c r="AD407" s="5">
        <f t="shared" si="411"/>
        <v>48789.509905789469</v>
      </c>
      <c r="AE407" s="5">
        <f t="shared" si="411"/>
        <v>50791.280886211563</v>
      </c>
      <c r="AF407" s="5">
        <f t="shared" si="411"/>
        <v>52793.051866633657</v>
      </c>
      <c r="AG407" s="5">
        <f t="shared" si="411"/>
        <v>54794.822847055751</v>
      </c>
      <c r="AH407" s="5">
        <f t="shared" si="411"/>
        <v>56796.593827477838</v>
      </c>
    </row>
    <row r="408" spans="1:34" x14ac:dyDescent="0.35">
      <c r="A408" t="s">
        <v>428</v>
      </c>
      <c r="B408" s="3" t="s">
        <v>1265</v>
      </c>
      <c r="C408" s="4" t="s">
        <v>1263</v>
      </c>
      <c r="D408" s="2">
        <f t="shared" si="391"/>
        <v>281097.19612799981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4911.6445559999975</v>
      </c>
      <c r="L408" s="5">
        <v>41591.554220999969</v>
      </c>
      <c r="M408" s="5">
        <v>59726.857196999954</v>
      </c>
      <c r="N408" s="5">
        <v>25502.769809999983</v>
      </c>
      <c r="O408" s="5">
        <v>18103.818074999992</v>
      </c>
      <c r="P408" s="5">
        <v>20402.215847999982</v>
      </c>
      <c r="Q408" s="5">
        <v>8406.4685669999963</v>
      </c>
      <c r="R408" s="5">
        <v>11586.443567999993</v>
      </c>
      <c r="S408" s="5">
        <v>21913.491095999987</v>
      </c>
      <c r="T408" s="5">
        <v>27706.712879999988</v>
      </c>
      <c r="U408" s="5">
        <v>10264.077725999992</v>
      </c>
      <c r="V408" s="5">
        <v>30981.142583999976</v>
      </c>
      <c r="W408" s="5">
        <f t="shared" ref="W408:AH408" si="412">IF(OR((SLOPE($E408:$V408,$E$1:$V$1)*W$1+INTERCEPT($E408:$V408,$E$1:$V$1))&gt;(AVERAGE($E408:$V408)+_xlfn.STDEV.P($E408:$V408)),(SLOPE($E408:$V408,$E$1:$V$1)*W$1+INTERCEPT($E408:$V408,$E$1:$V$1))&lt;(AVERAGE($E408:$V408)-_xlfn.STDEV.P($E408:$V408))),V408,(SLOPE($E408:$V408,$E$1:$V$1)*W$1+INTERCEPT($E408:$V408,$E$1:$V$1)))</f>
        <v>29516.168660999982</v>
      </c>
      <c r="X408" s="5">
        <f t="shared" si="412"/>
        <v>30979.290530999977</v>
      </c>
      <c r="Y408" s="5">
        <f t="shared" si="412"/>
        <v>30979.290530999977</v>
      </c>
      <c r="Z408" s="5">
        <f t="shared" si="412"/>
        <v>30979.290530999977</v>
      </c>
      <c r="AA408" s="5">
        <f t="shared" si="412"/>
        <v>30979.290530999977</v>
      </c>
      <c r="AB408" s="5">
        <f t="shared" si="412"/>
        <v>30979.290530999977</v>
      </c>
      <c r="AC408" s="5">
        <f t="shared" si="412"/>
        <v>30979.290530999977</v>
      </c>
      <c r="AD408" s="5">
        <f t="shared" si="412"/>
        <v>30979.290530999977</v>
      </c>
      <c r="AE408" s="5">
        <f t="shared" si="412"/>
        <v>30979.290530999977</v>
      </c>
      <c r="AF408" s="5">
        <f t="shared" si="412"/>
        <v>30979.290530999977</v>
      </c>
      <c r="AG408" s="5">
        <f t="shared" si="412"/>
        <v>30979.290530999977</v>
      </c>
      <c r="AH408" s="5">
        <f t="shared" si="412"/>
        <v>30979.290530999977</v>
      </c>
    </row>
    <row r="409" spans="1:34" x14ac:dyDescent="0.35">
      <c r="A409" t="s">
        <v>429</v>
      </c>
      <c r="B409" s="3" t="s">
        <v>1266</v>
      </c>
      <c r="C409" s="4" t="s">
        <v>1266</v>
      </c>
      <c r="D409" s="2">
        <f t="shared" si="391"/>
        <v>279130.93039999995</v>
      </c>
      <c r="E409" s="5">
        <v>0</v>
      </c>
      <c r="F409" s="5">
        <v>0</v>
      </c>
      <c r="G409" s="5">
        <v>0</v>
      </c>
      <c r="H409" s="5">
        <v>0</v>
      </c>
      <c r="I409" s="5">
        <v>66326.636767999982</v>
      </c>
      <c r="J409" s="5">
        <v>0</v>
      </c>
      <c r="K409" s="5">
        <v>0</v>
      </c>
      <c r="L409" s="5">
        <v>0</v>
      </c>
      <c r="M409" s="5">
        <v>68156.274502400003</v>
      </c>
      <c r="N409" s="5">
        <v>0</v>
      </c>
      <c r="O409" s="5">
        <v>0</v>
      </c>
      <c r="P409" s="5">
        <v>0</v>
      </c>
      <c r="Q409" s="5">
        <v>75311.464928000001</v>
      </c>
      <c r="R409" s="5">
        <v>0</v>
      </c>
      <c r="S409" s="5">
        <v>69336.554201599996</v>
      </c>
      <c r="T409" s="5">
        <v>0</v>
      </c>
      <c r="U409" s="5">
        <v>0</v>
      </c>
      <c r="V409" s="5">
        <v>0</v>
      </c>
      <c r="W409" s="5">
        <f t="shared" ref="W409:AH409" si="413">IF(OR((SLOPE($E409:$V409,$E$1:$V$1)*W$1+INTERCEPT($E409:$V409,$E$1:$V$1))&gt;(AVERAGE($E409:$V409)+_xlfn.STDEV.P($E409:$V409)),(SLOPE($E409:$V409,$E$1:$V$1)*W$1+INTERCEPT($E409:$V409,$E$1:$V$1))&lt;(AVERAGE($E409:$V409)-_xlfn.STDEV.P($E409:$V409))),V409,(SLOPE($E409:$V409,$E$1:$V$1)*W$1+INTERCEPT($E409:$V409,$E$1:$V$1)))</f>
        <v>21632.630237573852</v>
      </c>
      <c r="X409" s="5">
        <f t="shared" si="413"/>
        <v>22277.404587727826</v>
      </c>
      <c r="Y409" s="5">
        <f t="shared" si="413"/>
        <v>22922.178937881799</v>
      </c>
      <c r="Z409" s="5">
        <f t="shared" si="413"/>
        <v>23566.953288035773</v>
      </c>
      <c r="AA409" s="5">
        <f t="shared" si="413"/>
        <v>24211.727638189746</v>
      </c>
      <c r="AB409" s="5">
        <f t="shared" si="413"/>
        <v>24856.50198834372</v>
      </c>
      <c r="AC409" s="5">
        <f t="shared" si="413"/>
        <v>25501.276338497693</v>
      </c>
      <c r="AD409" s="5">
        <f t="shared" si="413"/>
        <v>26146.050688651667</v>
      </c>
      <c r="AE409" s="5">
        <f t="shared" si="413"/>
        <v>26790.82503880564</v>
      </c>
      <c r="AF409" s="5">
        <f t="shared" si="413"/>
        <v>27435.599388959614</v>
      </c>
      <c r="AG409" s="5">
        <f t="shared" si="413"/>
        <v>28080.373739113587</v>
      </c>
      <c r="AH409" s="5">
        <f t="shared" si="413"/>
        <v>28725.148089267561</v>
      </c>
    </row>
    <row r="410" spans="1:34" x14ac:dyDescent="0.35">
      <c r="A410" t="s">
        <v>430</v>
      </c>
      <c r="B410" s="3" t="s">
        <v>1265</v>
      </c>
      <c r="C410" s="4" t="s">
        <v>1263</v>
      </c>
      <c r="D410" s="2">
        <f t="shared" si="391"/>
        <v>278832.34613061463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100620.03184469657</v>
      </c>
      <c r="T410" s="5">
        <v>0</v>
      </c>
      <c r="U410" s="5">
        <v>81523.849412546508</v>
      </c>
      <c r="V410" s="5">
        <v>96688.464873371544</v>
      </c>
      <c r="W410" s="5">
        <f t="shared" ref="W410:AH410" si="414">IF(OR((SLOPE($E410:$V410,$E$1:$V$1)*W$1+INTERCEPT($E410:$V410,$E$1:$V$1))&gt;(AVERAGE($E410:$V410)+_xlfn.STDEV.P($E410:$V410)),(SLOPE($E410:$V410,$E$1:$V$1)*W$1+INTERCEPT($E410:$V410,$E$1:$V$1))&lt;(AVERAGE($E410:$V410)-_xlfn.STDEV.P($E410:$V410))),V410,(SLOPE($E410:$V410,$E$1:$V$1)*W$1+INTERCEPT($E410:$V410,$E$1:$V$1)))</f>
        <v>96688.464873371544</v>
      </c>
      <c r="X410" s="5">
        <f t="shared" si="414"/>
        <v>96688.464873371544</v>
      </c>
      <c r="Y410" s="5">
        <f t="shared" si="414"/>
        <v>96688.464873371544</v>
      </c>
      <c r="Z410" s="5">
        <f t="shared" si="414"/>
        <v>96688.464873371544</v>
      </c>
      <c r="AA410" s="5">
        <f t="shared" si="414"/>
        <v>96688.464873371544</v>
      </c>
      <c r="AB410" s="5">
        <f t="shared" si="414"/>
        <v>96688.464873371544</v>
      </c>
      <c r="AC410" s="5">
        <f t="shared" si="414"/>
        <v>96688.464873371544</v>
      </c>
      <c r="AD410" s="5">
        <f t="shared" si="414"/>
        <v>96688.464873371544</v>
      </c>
      <c r="AE410" s="5">
        <f t="shared" si="414"/>
        <v>96688.464873371544</v>
      </c>
      <c r="AF410" s="5">
        <f t="shared" si="414"/>
        <v>96688.464873371544</v>
      </c>
      <c r="AG410" s="5">
        <f t="shared" si="414"/>
        <v>96688.464873371544</v>
      </c>
      <c r="AH410" s="5">
        <f t="shared" si="414"/>
        <v>96688.464873371544</v>
      </c>
    </row>
    <row r="411" spans="1:34" x14ac:dyDescent="0.35">
      <c r="A411" t="s">
        <v>431</v>
      </c>
      <c r="B411" s="3" t="s">
        <v>1264</v>
      </c>
      <c r="C411" s="4" t="s">
        <v>1263</v>
      </c>
      <c r="D411" s="2">
        <f t="shared" si="391"/>
        <v>276221.74558588344</v>
      </c>
      <c r="E411" s="5">
        <v>13005.196545491781</v>
      </c>
      <c r="F411" s="5">
        <v>10077.486422691498</v>
      </c>
      <c r="G411" s="5">
        <v>17442.988731631161</v>
      </c>
      <c r="H411" s="5">
        <v>13806.464579100279</v>
      </c>
      <c r="I411" s="5">
        <v>14607.732612708778</v>
      </c>
      <c r="J411" s="5">
        <v>15563.090652780451</v>
      </c>
      <c r="K411" s="5">
        <v>13991.372586856089</v>
      </c>
      <c r="L411" s="5">
        <v>19168.79680401869</v>
      </c>
      <c r="M411" s="5">
        <v>21665.054908722086</v>
      </c>
      <c r="N411" s="5">
        <v>18768.162787214445</v>
      </c>
      <c r="O411" s="5">
        <v>18028.530756191212</v>
      </c>
      <c r="P411" s="5">
        <v>16025.360672169967</v>
      </c>
      <c r="Q411" s="5">
        <v>18090.166758776482</v>
      </c>
      <c r="R411" s="5">
        <v>11248.57047181161</v>
      </c>
      <c r="S411" s="5">
        <v>10632.210445958917</v>
      </c>
      <c r="T411" s="5">
        <v>16241.086681218409</v>
      </c>
      <c r="U411" s="5">
        <v>11710.840491201126</v>
      </c>
      <c r="V411" s="5">
        <v>16148.632677340505</v>
      </c>
      <c r="W411" s="5">
        <f t="shared" ref="W411:AH411" si="415">IF(OR((SLOPE($E411:$V411,$E$1:$V$1)*W$1+INTERCEPT($E411:$V411,$E$1:$V$1))&gt;(AVERAGE($E411:$V411)+_xlfn.STDEV.P($E411:$V411)),(SLOPE($E411:$V411,$E$1:$V$1)*W$1+INTERCEPT($E411:$V411,$E$1:$V$1))&lt;(AVERAGE($E411:$V411)-_xlfn.STDEV.P($E411:$V411))),V411,(SLOPE($E411:$V411,$E$1:$V$1)*W$1+INTERCEPT($E411:$V411,$E$1:$V$1)))</f>
        <v>15529.049853967012</v>
      </c>
      <c r="X411" s="5">
        <f t="shared" si="415"/>
        <v>15548.354835168899</v>
      </c>
      <c r="Y411" s="5">
        <f t="shared" si="415"/>
        <v>15567.659816370788</v>
      </c>
      <c r="Z411" s="5">
        <f t="shared" si="415"/>
        <v>15586.964797572675</v>
      </c>
      <c r="AA411" s="5">
        <f t="shared" si="415"/>
        <v>15606.269778774562</v>
      </c>
      <c r="AB411" s="5">
        <f t="shared" si="415"/>
        <v>15625.574759976449</v>
      </c>
      <c r="AC411" s="5">
        <f t="shared" si="415"/>
        <v>15644.879741178336</v>
      </c>
      <c r="AD411" s="5">
        <f t="shared" si="415"/>
        <v>15664.184722380225</v>
      </c>
      <c r="AE411" s="5">
        <f t="shared" si="415"/>
        <v>15683.489703582112</v>
      </c>
      <c r="AF411" s="5">
        <f t="shared" si="415"/>
        <v>15702.794684783999</v>
      </c>
      <c r="AG411" s="5">
        <f t="shared" si="415"/>
        <v>15722.099665985887</v>
      </c>
      <c r="AH411" s="5">
        <f t="shared" si="415"/>
        <v>15741.404647187774</v>
      </c>
    </row>
    <row r="412" spans="1:34" x14ac:dyDescent="0.35">
      <c r="A412" t="s">
        <v>432</v>
      </c>
      <c r="B412" s="3" t="s">
        <v>1266</v>
      </c>
      <c r="C412" s="4" t="s">
        <v>1268</v>
      </c>
      <c r="D412" s="2">
        <f t="shared" si="391"/>
        <v>274525.2795783758</v>
      </c>
      <c r="E412" s="5">
        <v>0</v>
      </c>
      <c r="F412" s="5">
        <v>0</v>
      </c>
      <c r="G412" s="5">
        <v>107178.91768107175</v>
      </c>
      <c r="H412" s="5">
        <v>0</v>
      </c>
      <c r="I412" s="5">
        <v>0</v>
      </c>
      <c r="J412" s="5">
        <v>84979.294689697897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82367.067207606146</v>
      </c>
      <c r="W412" s="5">
        <f t="shared" ref="W412:AH412" si="416">IF(OR((SLOPE($E412:$V412,$E$1:$V$1)*W$1+INTERCEPT($E412:$V412,$E$1:$V$1))&gt;(AVERAGE($E412:$V412)+_xlfn.STDEV.P($E412:$V412)),(SLOPE($E412:$V412,$E$1:$V$1)*W$1+INTERCEPT($E412:$V412,$E$1:$V$1))&lt;(AVERAGE($E412:$V412)-_xlfn.STDEV.P($E412:$V412))),V412,(SLOPE($E412:$V412,$E$1:$V$1)*W$1+INTERCEPT($E412:$V412,$E$1:$V$1)))</f>
        <v>9487.2784391334935</v>
      </c>
      <c r="X412" s="5">
        <f t="shared" si="416"/>
        <v>8880.5283357769258</v>
      </c>
      <c r="Y412" s="5">
        <f t="shared" si="416"/>
        <v>8273.7782324203581</v>
      </c>
      <c r="Z412" s="5">
        <f t="shared" si="416"/>
        <v>7667.0281290637922</v>
      </c>
      <c r="AA412" s="5">
        <f t="shared" si="416"/>
        <v>7060.2780257072263</v>
      </c>
      <c r="AB412" s="5">
        <f t="shared" si="416"/>
        <v>6453.5279223506586</v>
      </c>
      <c r="AC412" s="5">
        <f t="shared" si="416"/>
        <v>5846.7778189940909</v>
      </c>
      <c r="AD412" s="5">
        <f t="shared" si="416"/>
        <v>5240.027715637525</v>
      </c>
      <c r="AE412" s="5">
        <f t="shared" si="416"/>
        <v>4633.2776122809591</v>
      </c>
      <c r="AF412" s="5">
        <f t="shared" si="416"/>
        <v>4026.5275089243914</v>
      </c>
      <c r="AG412" s="5">
        <f t="shared" si="416"/>
        <v>3419.7774055678237</v>
      </c>
      <c r="AH412" s="5">
        <f t="shared" si="416"/>
        <v>2813.0273022112597</v>
      </c>
    </row>
    <row r="413" spans="1:34" x14ac:dyDescent="0.35">
      <c r="A413" t="s">
        <v>433</v>
      </c>
      <c r="B413" s="3" t="s">
        <v>1262</v>
      </c>
      <c r="C413" s="4" t="s">
        <v>1263</v>
      </c>
      <c r="D413" s="2">
        <f t="shared" si="391"/>
        <v>274429.16480000003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111482.60480000002</v>
      </c>
      <c r="O413" s="5">
        <v>0</v>
      </c>
      <c r="P413" s="5">
        <v>108631.04000000001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54315.520000000004</v>
      </c>
      <c r="W413" s="5">
        <f t="shared" ref="W413:AH413" si="417">IF(OR((SLOPE($E413:$V413,$E$1:$V$1)*W$1+INTERCEPT($E413:$V413,$E$1:$V$1))&gt;(AVERAGE($E413:$V413)+_xlfn.STDEV.P($E413:$V413)),(SLOPE($E413:$V413,$E$1:$V$1)*W$1+INTERCEPT($E413:$V413,$E$1:$V$1))&lt;(AVERAGE($E413:$V413)-_xlfn.STDEV.P($E413:$V413))),V413,(SLOPE($E413:$V413,$E$1:$V$1)*W$1+INTERCEPT($E413:$V413,$E$1:$V$1)))</f>
        <v>30716.669071895427</v>
      </c>
      <c r="X413" s="5">
        <f t="shared" si="417"/>
        <v>32345.153741451672</v>
      </c>
      <c r="Y413" s="5">
        <f t="shared" si="417"/>
        <v>33973.638411007916</v>
      </c>
      <c r="Z413" s="5">
        <f t="shared" si="417"/>
        <v>35602.123080564161</v>
      </c>
      <c r="AA413" s="5">
        <f t="shared" si="417"/>
        <v>37230.607750120405</v>
      </c>
      <c r="AB413" s="5">
        <f t="shared" si="417"/>
        <v>38859.09241967665</v>
      </c>
      <c r="AC413" s="5">
        <f t="shared" si="417"/>
        <v>40487.577089232895</v>
      </c>
      <c r="AD413" s="5">
        <f t="shared" si="417"/>
        <v>42116.061758789139</v>
      </c>
      <c r="AE413" s="5">
        <f t="shared" si="417"/>
        <v>43744.546428345377</v>
      </c>
      <c r="AF413" s="5">
        <f t="shared" si="417"/>
        <v>45373.031097901621</v>
      </c>
      <c r="AG413" s="5">
        <f t="shared" si="417"/>
        <v>47001.515767457866</v>
      </c>
      <c r="AH413" s="5">
        <f t="shared" si="417"/>
        <v>48630.000437014111</v>
      </c>
    </row>
    <row r="414" spans="1:34" x14ac:dyDescent="0.35">
      <c r="A414" t="s">
        <v>434</v>
      </c>
      <c r="B414" s="3" t="s">
        <v>1266</v>
      </c>
      <c r="C414" s="4" t="s">
        <v>1266</v>
      </c>
      <c r="D414" s="2">
        <f t="shared" si="391"/>
        <v>273818.9079863017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273818.9079863017</v>
      </c>
      <c r="W414" s="5">
        <f t="shared" ref="W414:AH414" si="418">IF(OR((SLOPE($E414:$V414,$E$1:$V$1)*W$1+INTERCEPT($E414:$V414,$E$1:$V$1))&gt;(AVERAGE($E414:$V414)+_xlfn.STDEV.P($E414:$V414)),(SLOPE($E414:$V414,$E$1:$V$1)*W$1+INTERCEPT($E414:$V414,$E$1:$V$1))&lt;(AVERAGE($E414:$V414)-_xlfn.STDEV.P($E414:$V414))),V414,(SLOPE($E414:$V414,$E$1:$V$1)*W$1+INTERCEPT($E414:$V414,$E$1:$V$1)))</f>
        <v>60848.646219178154</v>
      </c>
      <c r="X414" s="5">
        <f t="shared" si="418"/>
        <v>65652.486710165918</v>
      </c>
      <c r="Y414" s="5">
        <f t="shared" si="418"/>
        <v>70456.327201153646</v>
      </c>
      <c r="Z414" s="5">
        <f t="shared" si="418"/>
        <v>75260.167692141404</v>
      </c>
      <c r="AA414" s="5">
        <f t="shared" si="418"/>
        <v>75260.167692141404</v>
      </c>
      <c r="AB414" s="5">
        <f t="shared" si="418"/>
        <v>75260.167692141404</v>
      </c>
      <c r="AC414" s="5">
        <f t="shared" si="418"/>
        <v>75260.167692141404</v>
      </c>
      <c r="AD414" s="5">
        <f t="shared" si="418"/>
        <v>75260.167692141404</v>
      </c>
      <c r="AE414" s="5">
        <f t="shared" si="418"/>
        <v>75260.167692141404</v>
      </c>
      <c r="AF414" s="5">
        <f t="shared" si="418"/>
        <v>75260.167692141404</v>
      </c>
      <c r="AG414" s="5">
        <f t="shared" si="418"/>
        <v>75260.167692141404</v>
      </c>
      <c r="AH414" s="5">
        <f t="shared" si="418"/>
        <v>75260.167692141404</v>
      </c>
    </row>
    <row r="415" spans="1:34" x14ac:dyDescent="0.35">
      <c r="A415" t="s">
        <v>435</v>
      </c>
      <c r="B415" s="3" t="s">
        <v>1262</v>
      </c>
      <c r="C415" s="4" t="s">
        <v>1263</v>
      </c>
      <c r="D415" s="2">
        <f t="shared" si="391"/>
        <v>273735.40982930944</v>
      </c>
      <c r="E415" s="5">
        <v>0</v>
      </c>
      <c r="F415" s="5">
        <v>0</v>
      </c>
      <c r="G415" s="5">
        <v>29189.794887011674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115230.19029206038</v>
      </c>
      <c r="P415" s="5">
        <v>65607.538984140512</v>
      </c>
      <c r="Q415" s="5">
        <v>0</v>
      </c>
      <c r="R415" s="5">
        <v>0</v>
      </c>
      <c r="S415" s="5">
        <v>63707.885666096896</v>
      </c>
      <c r="T415" s="5">
        <v>0</v>
      </c>
      <c r="U415" s="5">
        <v>0</v>
      </c>
      <c r="V415" s="5">
        <v>0</v>
      </c>
      <c r="W415" s="5">
        <f t="shared" ref="W415:AH415" si="419">IF(OR((SLOPE($E415:$V415,$E$1:$V$1)*W$1+INTERCEPT($E415:$V415,$E$1:$V$1))&gt;(AVERAGE($E415:$V415)+_xlfn.STDEV.P($E415:$V415)),(SLOPE($E415:$V415,$E$1:$V$1)*W$1+INTERCEPT($E415:$V415,$E$1:$V$1))&lt;(AVERAGE($E415:$V415)-_xlfn.STDEV.P($E415:$V415))),V415,(SLOPE($E415:$V415,$E$1:$V$1)*W$1+INTERCEPT($E415:$V415,$E$1:$V$1)))</f>
        <v>24962.89212704789</v>
      </c>
      <c r="X415" s="5">
        <f t="shared" si="419"/>
        <v>25989.773112179777</v>
      </c>
      <c r="Y415" s="5">
        <f t="shared" si="419"/>
        <v>27016.654097311661</v>
      </c>
      <c r="Z415" s="5">
        <f t="shared" si="419"/>
        <v>28043.535082443548</v>
      </c>
      <c r="AA415" s="5">
        <f t="shared" si="419"/>
        <v>29070.416067575436</v>
      </c>
      <c r="AB415" s="5">
        <f t="shared" si="419"/>
        <v>30097.297052707319</v>
      </c>
      <c r="AC415" s="5">
        <f t="shared" si="419"/>
        <v>31124.178037839207</v>
      </c>
      <c r="AD415" s="5">
        <f t="shared" si="419"/>
        <v>32151.059022971094</v>
      </c>
      <c r="AE415" s="5">
        <f t="shared" si="419"/>
        <v>33177.940008102982</v>
      </c>
      <c r="AF415" s="5">
        <f t="shared" si="419"/>
        <v>34204.820993234869</v>
      </c>
      <c r="AG415" s="5">
        <f t="shared" si="419"/>
        <v>35231.701978366749</v>
      </c>
      <c r="AH415" s="5">
        <f t="shared" si="419"/>
        <v>36258.582963498644</v>
      </c>
    </row>
    <row r="416" spans="1:34" x14ac:dyDescent="0.35">
      <c r="A416" t="s">
        <v>436</v>
      </c>
      <c r="B416" s="3" t="s">
        <v>1266</v>
      </c>
      <c r="C416" s="4" t="s">
        <v>1267</v>
      </c>
      <c r="D416" s="2">
        <f t="shared" si="391"/>
        <v>272122.31524013041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213914.33337058377</v>
      </c>
      <c r="U416" s="5">
        <v>58207.981869546609</v>
      </c>
      <c r="V416" s="5">
        <v>0</v>
      </c>
      <c r="W416" s="5">
        <f t="shared" ref="W416:AH416" si="420">IF(OR((SLOPE($E416:$V416,$E$1:$V$1)*W$1+INTERCEPT($E416:$V416,$E$1:$V$1))&gt;(AVERAGE($E416:$V416)+_xlfn.STDEV.P($E416:$V416)),(SLOPE($E416:$V416,$E$1:$V$1)*W$1+INTERCEPT($E416:$V416,$E$1:$V$1))&lt;(AVERAGE($E416:$V416)-_xlfn.STDEV.P($E416:$V416))),V416,(SLOPE($E416:$V416,$E$1:$V$1)*W$1+INTERCEPT($E416:$V416,$E$1:$V$1)))</f>
        <v>50941.495244001904</v>
      </c>
      <c r="X416" s="5">
        <f t="shared" si="420"/>
        <v>54712.39933260953</v>
      </c>
      <c r="Y416" s="5">
        <f t="shared" si="420"/>
        <v>58483.303421217155</v>
      </c>
      <c r="Z416" s="5">
        <f t="shared" si="420"/>
        <v>62254.207509824781</v>
      </c>
      <c r="AA416" s="5">
        <f t="shared" si="420"/>
        <v>62254.207509824781</v>
      </c>
      <c r="AB416" s="5">
        <f t="shared" si="420"/>
        <v>62254.207509824781</v>
      </c>
      <c r="AC416" s="5">
        <f t="shared" si="420"/>
        <v>62254.207509824781</v>
      </c>
      <c r="AD416" s="5">
        <f t="shared" si="420"/>
        <v>62254.207509824781</v>
      </c>
      <c r="AE416" s="5">
        <f t="shared" si="420"/>
        <v>62254.207509824781</v>
      </c>
      <c r="AF416" s="5">
        <f t="shared" si="420"/>
        <v>62254.207509824781</v>
      </c>
      <c r="AG416" s="5">
        <f t="shared" si="420"/>
        <v>62254.207509824781</v>
      </c>
      <c r="AH416" s="5">
        <f t="shared" si="420"/>
        <v>62254.207509824781</v>
      </c>
    </row>
    <row r="417" spans="1:34" x14ac:dyDescent="0.35">
      <c r="A417" t="s">
        <v>437</v>
      </c>
      <c r="B417" s="3" t="s">
        <v>1266</v>
      </c>
      <c r="C417" s="4" t="s">
        <v>1268</v>
      </c>
      <c r="D417" s="2">
        <f t="shared" si="391"/>
        <v>270459.23130262131</v>
      </c>
      <c r="E417" s="5">
        <v>0</v>
      </c>
      <c r="F417" s="5">
        <v>0</v>
      </c>
      <c r="G417" s="5">
        <v>0</v>
      </c>
      <c r="H417" s="5">
        <v>0</v>
      </c>
      <c r="I417" s="5">
        <v>109350.09351858003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161109.13778404126</v>
      </c>
      <c r="T417" s="5">
        <v>0</v>
      </c>
      <c r="U417" s="5">
        <v>0</v>
      </c>
      <c r="V417" s="5">
        <v>0</v>
      </c>
      <c r="W417" s="5">
        <f t="shared" ref="W417:AH417" si="421">IF(OR((SLOPE($E417:$V417,$E$1:$V$1)*W$1+INTERCEPT($E417:$V417,$E$1:$V$1))&gt;(AVERAGE($E417:$V417)+_xlfn.STDEV.P($E417:$V417)),(SLOPE($E417:$V417,$E$1:$V$1)*W$1+INTERCEPT($E417:$V417,$E$1:$V$1))&lt;(AVERAGE($E417:$V417)-_xlfn.STDEV.P($E417:$V417))),V417,(SLOPE($E417:$V417,$E$1:$V$1)*W$1+INTERCEPT($E417:$V417,$E$1:$V$1)))</f>
        <v>22751.490045804778</v>
      </c>
      <c r="X417" s="5">
        <f t="shared" si="421"/>
        <v>23564.750803242583</v>
      </c>
      <c r="Y417" s="5">
        <f t="shared" si="421"/>
        <v>24378.011560680388</v>
      </c>
      <c r="Z417" s="5">
        <f t="shared" si="421"/>
        <v>25191.272318118194</v>
      </c>
      <c r="AA417" s="5">
        <f t="shared" si="421"/>
        <v>26004.533075555999</v>
      </c>
      <c r="AB417" s="5">
        <f t="shared" si="421"/>
        <v>26817.793832993812</v>
      </c>
      <c r="AC417" s="5">
        <f t="shared" si="421"/>
        <v>27631.054590431617</v>
      </c>
      <c r="AD417" s="5">
        <f t="shared" si="421"/>
        <v>28444.315347869422</v>
      </c>
      <c r="AE417" s="5">
        <f t="shared" si="421"/>
        <v>29257.576105307227</v>
      </c>
      <c r="AF417" s="5">
        <f t="shared" si="421"/>
        <v>30070.836862745033</v>
      </c>
      <c r="AG417" s="5">
        <f t="shared" si="421"/>
        <v>30884.097620182838</v>
      </c>
      <c r="AH417" s="5">
        <f t="shared" si="421"/>
        <v>31697.358377620643</v>
      </c>
    </row>
    <row r="418" spans="1:34" x14ac:dyDescent="0.35">
      <c r="A418" t="s">
        <v>438</v>
      </c>
      <c r="B418" s="3" t="s">
        <v>1264</v>
      </c>
      <c r="C418" s="4" t="s">
        <v>1263</v>
      </c>
      <c r="D418" s="2">
        <f t="shared" si="391"/>
        <v>270233.03999999998</v>
      </c>
      <c r="E418" s="5">
        <v>0</v>
      </c>
      <c r="F418" s="5">
        <v>0</v>
      </c>
      <c r="G418" s="5">
        <v>18627.84</v>
      </c>
      <c r="H418" s="5">
        <v>14186.48</v>
      </c>
      <c r="I418" s="5">
        <v>23284.799999999999</v>
      </c>
      <c r="J418" s="5">
        <v>4656.96</v>
      </c>
      <c r="K418" s="5">
        <v>0</v>
      </c>
      <c r="L418" s="5">
        <v>9313.92</v>
      </c>
      <c r="M418" s="5">
        <v>18627.84</v>
      </c>
      <c r="N418" s="5">
        <v>4656.96</v>
      </c>
      <c r="O418" s="5">
        <v>18627.84</v>
      </c>
      <c r="P418" s="5">
        <v>23284.799999999999</v>
      </c>
      <c r="Q418" s="5">
        <v>0</v>
      </c>
      <c r="R418" s="5">
        <v>18627.84</v>
      </c>
      <c r="S418" s="5">
        <v>23284.799999999999</v>
      </c>
      <c r="T418" s="5">
        <v>37255.68</v>
      </c>
      <c r="U418" s="5">
        <v>18541.600000000002</v>
      </c>
      <c r="V418" s="5">
        <v>37255.68</v>
      </c>
      <c r="W418" s="5">
        <f t="shared" ref="W418:AH418" si="422">IF(OR((SLOPE($E418:$V418,$E$1:$V$1)*W$1+INTERCEPT($E418:$V418,$E$1:$V$1))&gt;(AVERAGE($E418:$V418)+_xlfn.STDEV.P($E418:$V418)),(SLOPE($E418:$V418,$E$1:$V$1)*W$1+INTERCEPT($E418:$V418,$E$1:$V$1))&lt;(AVERAGE($E418:$V418)-_xlfn.STDEV.P($E418:$V418))),V418,(SLOPE($E418:$V418,$E$1:$V$1)*W$1+INTERCEPT($E418:$V418,$E$1:$V$1)))</f>
        <v>37255.68</v>
      </c>
      <c r="X418" s="5">
        <f t="shared" si="422"/>
        <v>37255.68</v>
      </c>
      <c r="Y418" s="5">
        <f t="shared" si="422"/>
        <v>37255.68</v>
      </c>
      <c r="Z418" s="5">
        <f t="shared" si="422"/>
        <v>37255.68</v>
      </c>
      <c r="AA418" s="5">
        <f t="shared" si="422"/>
        <v>37255.68</v>
      </c>
      <c r="AB418" s="5">
        <f t="shared" si="422"/>
        <v>37255.68</v>
      </c>
      <c r="AC418" s="5">
        <f t="shared" si="422"/>
        <v>37255.68</v>
      </c>
      <c r="AD418" s="5">
        <f t="shared" si="422"/>
        <v>37255.68</v>
      </c>
      <c r="AE418" s="5">
        <f t="shared" si="422"/>
        <v>37255.68</v>
      </c>
      <c r="AF418" s="5">
        <f t="shared" si="422"/>
        <v>37255.68</v>
      </c>
      <c r="AG418" s="5">
        <f t="shared" si="422"/>
        <v>37255.68</v>
      </c>
      <c r="AH418" s="5">
        <f t="shared" si="422"/>
        <v>37255.68</v>
      </c>
    </row>
    <row r="419" spans="1:34" x14ac:dyDescent="0.35">
      <c r="A419" t="s">
        <v>439</v>
      </c>
      <c r="B419" s="3" t="s">
        <v>1266</v>
      </c>
      <c r="C419" s="4" t="s">
        <v>1267</v>
      </c>
      <c r="D419" s="2">
        <f t="shared" si="391"/>
        <v>270018.94406961865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270018.94406961865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f t="shared" ref="W419:AH419" si="423">IF(OR((SLOPE($E419:$V419,$E$1:$V$1)*W$1+INTERCEPT($E419:$V419,$E$1:$V$1))&gt;(AVERAGE($E419:$V419)+_xlfn.STDEV.P($E419:$V419)),(SLOPE($E419:$V419,$E$1:$V$1)*W$1+INTERCEPT($E419:$V419,$E$1:$V$1))&lt;(AVERAGE($E419:$V419)-_xlfn.STDEV.P($E419:$V419))),V419,(SLOPE($E419:$V419,$E$1:$V$1)*W$1+INTERCEPT($E419:$V419,$E$1:$V$1)))</f>
        <v>17648.296998014288</v>
      </c>
      <c r="X419" s="5">
        <f t="shared" si="423"/>
        <v>17926.954319035569</v>
      </c>
      <c r="Y419" s="5">
        <f t="shared" si="423"/>
        <v>18205.611640056846</v>
      </c>
      <c r="Z419" s="5">
        <f t="shared" si="423"/>
        <v>18484.268961078124</v>
      </c>
      <c r="AA419" s="5">
        <f t="shared" si="423"/>
        <v>18762.926282099401</v>
      </c>
      <c r="AB419" s="5">
        <f t="shared" si="423"/>
        <v>19041.583603120678</v>
      </c>
      <c r="AC419" s="5">
        <f t="shared" si="423"/>
        <v>19320.240924141959</v>
      </c>
      <c r="AD419" s="5">
        <f t="shared" si="423"/>
        <v>19598.898245163236</v>
      </c>
      <c r="AE419" s="5">
        <f t="shared" si="423"/>
        <v>19877.555566184514</v>
      </c>
      <c r="AF419" s="5">
        <f t="shared" si="423"/>
        <v>20156.212887205791</v>
      </c>
      <c r="AG419" s="5">
        <f t="shared" si="423"/>
        <v>20434.870208227068</v>
      </c>
      <c r="AH419" s="5">
        <f t="shared" si="423"/>
        <v>20713.527529248349</v>
      </c>
    </row>
    <row r="420" spans="1:34" x14ac:dyDescent="0.35">
      <c r="A420" t="s">
        <v>440</v>
      </c>
      <c r="B420" s="3" t="s">
        <v>1266</v>
      </c>
      <c r="C420" s="4" t="s">
        <v>1267</v>
      </c>
      <c r="D420" s="2">
        <f t="shared" si="391"/>
        <v>268115.60680406727</v>
      </c>
      <c r="E420" s="5">
        <v>0</v>
      </c>
      <c r="F420" s="5">
        <v>0</v>
      </c>
      <c r="G420" s="5">
        <v>71486.355608401689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89630.699407811771</v>
      </c>
      <c r="Q420" s="5">
        <v>0</v>
      </c>
      <c r="R420" s="5">
        <v>0</v>
      </c>
      <c r="S420" s="5">
        <v>106998.55178785381</v>
      </c>
      <c r="T420" s="5">
        <v>0</v>
      </c>
      <c r="U420" s="5">
        <v>0</v>
      </c>
      <c r="V420" s="5">
        <v>0</v>
      </c>
      <c r="W420" s="5">
        <f t="shared" ref="W420:AH420" si="424">IF(OR((SLOPE($E420:$V420,$E$1:$V$1)*W$1+INTERCEPT($E420:$V420,$E$1:$V$1))&gt;(AVERAGE($E420:$V420)+_xlfn.STDEV.P($E420:$V420)),(SLOPE($E420:$V420,$E$1:$V$1)*W$1+INTERCEPT($E420:$V420,$E$1:$V$1))&lt;(AVERAGE($E420:$V420)-_xlfn.STDEV.P($E420:$V420))),V420,(SLOPE($E420:$V420,$E$1:$V$1)*W$1+INTERCEPT($E420:$V420,$E$1:$V$1)))</f>
        <v>21717.026624371996</v>
      </c>
      <c r="X420" s="5">
        <f t="shared" si="424"/>
        <v>22435.101901767484</v>
      </c>
      <c r="Y420" s="5">
        <f t="shared" si="424"/>
        <v>23153.177179162976</v>
      </c>
      <c r="Z420" s="5">
        <f t="shared" si="424"/>
        <v>23871.252456558464</v>
      </c>
      <c r="AA420" s="5">
        <f t="shared" si="424"/>
        <v>24589.327733953953</v>
      </c>
      <c r="AB420" s="5">
        <f t="shared" si="424"/>
        <v>25307.403011349445</v>
      </c>
      <c r="AC420" s="5">
        <f t="shared" si="424"/>
        <v>26025.478288744933</v>
      </c>
      <c r="AD420" s="5">
        <f t="shared" si="424"/>
        <v>26743.553566140421</v>
      </c>
      <c r="AE420" s="5">
        <f t="shared" si="424"/>
        <v>27461.628843535913</v>
      </c>
      <c r="AF420" s="5">
        <f t="shared" si="424"/>
        <v>28179.704120931401</v>
      </c>
      <c r="AG420" s="5">
        <f t="shared" si="424"/>
        <v>28897.779398326889</v>
      </c>
      <c r="AH420" s="5">
        <f t="shared" si="424"/>
        <v>29615.854675722378</v>
      </c>
    </row>
    <row r="421" spans="1:34" x14ac:dyDescent="0.35">
      <c r="A421" t="s">
        <v>441</v>
      </c>
      <c r="B421" s="3" t="s">
        <v>1265</v>
      </c>
      <c r="C421" s="4" t="s">
        <v>1263</v>
      </c>
      <c r="D421" s="2">
        <f t="shared" si="391"/>
        <v>263312.72099999996</v>
      </c>
      <c r="E421" s="5">
        <v>34453.565999999999</v>
      </c>
      <c r="F421" s="5">
        <v>14732.928</v>
      </c>
      <c r="G421" s="5">
        <v>15231.699000000001</v>
      </c>
      <c r="H421" s="5">
        <v>28199.744999999995</v>
      </c>
      <c r="I421" s="5">
        <v>5409.7470000000003</v>
      </c>
      <c r="J421" s="5">
        <v>0</v>
      </c>
      <c r="K421" s="5">
        <v>0</v>
      </c>
      <c r="L421" s="5">
        <v>82872.719999999987</v>
      </c>
      <c r="M421" s="5">
        <v>4335.4709999999995</v>
      </c>
      <c r="N421" s="5">
        <v>767.34</v>
      </c>
      <c r="O421" s="5">
        <v>2493.855</v>
      </c>
      <c r="P421" s="5">
        <v>8095.4370000000008</v>
      </c>
      <c r="Q421" s="5">
        <v>6714.2249999999995</v>
      </c>
      <c r="R421" s="5">
        <v>13198.247999999998</v>
      </c>
      <c r="S421" s="5">
        <v>5102.8110000000006</v>
      </c>
      <c r="T421" s="5">
        <v>7596.6660000000002</v>
      </c>
      <c r="U421" s="5">
        <v>21332.052</v>
      </c>
      <c r="V421" s="5">
        <v>12776.210999999998</v>
      </c>
      <c r="W421" s="5">
        <f t="shared" ref="W421:AH421" si="425">IF(OR((SLOPE($E421:$V421,$E$1:$V$1)*W$1+INTERCEPT($E421:$V421,$E$1:$V$1))&gt;(AVERAGE($E421:$V421)+_xlfn.STDEV.P($E421:$V421)),(SLOPE($E421:$V421,$E$1:$V$1)*W$1+INTERCEPT($E421:$V421,$E$1:$V$1))&lt;(AVERAGE($E421:$V421)-_xlfn.STDEV.P($E421:$V421))),V421,(SLOPE($E421:$V421,$E$1:$V$1)*W$1+INTERCEPT($E421:$V421,$E$1:$V$1)))</f>
        <v>7667.8831764705883</v>
      </c>
      <c r="X421" s="5">
        <f t="shared" si="425"/>
        <v>6935.1883003095973</v>
      </c>
      <c r="Y421" s="5">
        <f t="shared" si="425"/>
        <v>6202.4934241486062</v>
      </c>
      <c r="Z421" s="5">
        <f t="shared" si="425"/>
        <v>5469.7985479876152</v>
      </c>
      <c r="AA421" s="5">
        <f t="shared" si="425"/>
        <v>4737.1036718266259</v>
      </c>
      <c r="AB421" s="5">
        <f t="shared" si="425"/>
        <v>4004.4087956656331</v>
      </c>
      <c r="AC421" s="5">
        <f t="shared" si="425"/>
        <v>3271.7139195046439</v>
      </c>
      <c r="AD421" s="5">
        <f t="shared" si="425"/>
        <v>2539.019043343651</v>
      </c>
      <c r="AE421" s="5">
        <f t="shared" si="425"/>
        <v>1806.3241671826618</v>
      </c>
      <c r="AF421" s="5">
        <f t="shared" si="425"/>
        <v>1073.6292910216725</v>
      </c>
      <c r="AG421" s="5">
        <f t="shared" si="425"/>
        <v>340.93441486067968</v>
      </c>
      <c r="AH421" s="5">
        <f t="shared" si="425"/>
        <v>-391.76046130030954</v>
      </c>
    </row>
    <row r="422" spans="1:34" x14ac:dyDescent="0.35">
      <c r="A422" t="s">
        <v>442</v>
      </c>
      <c r="B422" s="3" t="s">
        <v>1264</v>
      </c>
      <c r="C422" s="4" t="s">
        <v>1263</v>
      </c>
      <c r="D422" s="2">
        <f t="shared" si="391"/>
        <v>266949.62839999999</v>
      </c>
      <c r="E422" s="5">
        <v>36571.64</v>
      </c>
      <c r="F422" s="5">
        <v>11866.329999999996</v>
      </c>
      <c r="G422" s="5">
        <v>2412.1719999999996</v>
      </c>
      <c r="H422" s="5">
        <v>4513.0959999999995</v>
      </c>
      <c r="I422" s="5">
        <v>1034.8996</v>
      </c>
      <c r="J422" s="5">
        <v>427.96600000000001</v>
      </c>
      <c r="K422" s="5">
        <v>427.96600000000001</v>
      </c>
      <c r="L422" s="5">
        <v>1805.2384</v>
      </c>
      <c r="M422" s="5">
        <v>92323.93799999998</v>
      </c>
      <c r="N422" s="5">
        <v>47776.568000000007</v>
      </c>
      <c r="O422" s="5">
        <v>25203.306799999995</v>
      </c>
      <c r="P422" s="5">
        <v>33459.159999999996</v>
      </c>
      <c r="Q422" s="5">
        <v>5353.4655999999986</v>
      </c>
      <c r="R422" s="5">
        <v>1634.0519999999999</v>
      </c>
      <c r="S422" s="5">
        <v>466.87200000000001</v>
      </c>
      <c r="T422" s="5">
        <v>700.30799999999999</v>
      </c>
      <c r="U422" s="5">
        <v>350.154</v>
      </c>
      <c r="V422" s="5">
        <v>622.49599999999998</v>
      </c>
      <c r="W422" s="5">
        <f t="shared" ref="W422:AH422" si="426">IF(OR((SLOPE($E422:$V422,$E$1:$V$1)*W$1+INTERCEPT($E422:$V422,$E$1:$V$1))&gt;(AVERAGE($E422:$V422)+_xlfn.STDEV.P($E422:$V422)),(SLOPE($E422:$V422,$E$1:$V$1)*W$1+INTERCEPT($E422:$V422,$E$1:$V$1))&lt;(AVERAGE($E422:$V422)-_xlfn.STDEV.P($E422:$V422))),V422,(SLOPE($E422:$V422,$E$1:$V$1)*W$1+INTERCEPT($E422:$V422,$E$1:$V$1)))</f>
        <v>8752.4259895424821</v>
      </c>
      <c r="X422" s="5">
        <f t="shared" si="426"/>
        <v>8112.6250504299951</v>
      </c>
      <c r="Y422" s="5">
        <f t="shared" si="426"/>
        <v>7472.8241113175081</v>
      </c>
      <c r="Z422" s="5">
        <f t="shared" si="426"/>
        <v>6833.0231722050212</v>
      </c>
      <c r="AA422" s="5">
        <f t="shared" si="426"/>
        <v>6193.2222330925342</v>
      </c>
      <c r="AB422" s="5">
        <f t="shared" si="426"/>
        <v>5553.4212939800454</v>
      </c>
      <c r="AC422" s="5">
        <f t="shared" si="426"/>
        <v>4913.6203548675585</v>
      </c>
      <c r="AD422" s="5">
        <f t="shared" si="426"/>
        <v>4273.8194157550715</v>
      </c>
      <c r="AE422" s="5">
        <f t="shared" si="426"/>
        <v>3634.0184766425846</v>
      </c>
      <c r="AF422" s="5">
        <f t="shared" si="426"/>
        <v>2994.2175375300976</v>
      </c>
      <c r="AG422" s="5">
        <f t="shared" si="426"/>
        <v>2354.4165984176107</v>
      </c>
      <c r="AH422" s="5">
        <f t="shared" si="426"/>
        <v>1714.6156593051237</v>
      </c>
    </row>
    <row r="423" spans="1:34" x14ac:dyDescent="0.35">
      <c r="A423" t="s">
        <v>443</v>
      </c>
      <c r="B423" s="3" t="s">
        <v>1265</v>
      </c>
      <c r="C423" s="4" t="s">
        <v>1263</v>
      </c>
      <c r="D423" s="2">
        <f t="shared" si="391"/>
        <v>266919.95588681381</v>
      </c>
      <c r="E423" s="5">
        <v>0</v>
      </c>
      <c r="F423" s="5">
        <v>12085.208425364535</v>
      </c>
      <c r="G423" s="5">
        <v>10876.687582828083</v>
      </c>
      <c r="H423" s="5">
        <v>0</v>
      </c>
      <c r="I423" s="5">
        <v>0</v>
      </c>
      <c r="J423" s="5">
        <v>8979.3098600458507</v>
      </c>
      <c r="K423" s="5">
        <v>8701.3500662624665</v>
      </c>
      <c r="L423" s="5">
        <v>10937.113624954905</v>
      </c>
      <c r="M423" s="5">
        <v>8459.6458977551756</v>
      </c>
      <c r="N423" s="5">
        <v>0</v>
      </c>
      <c r="O423" s="5">
        <v>0</v>
      </c>
      <c r="P423" s="5">
        <v>63036.447146701415</v>
      </c>
      <c r="Q423" s="5">
        <v>63568.196317417453</v>
      </c>
      <c r="R423" s="5">
        <v>30623.918149873734</v>
      </c>
      <c r="S423" s="5">
        <v>0</v>
      </c>
      <c r="T423" s="5">
        <v>0</v>
      </c>
      <c r="U423" s="5">
        <v>46171.538789105209</v>
      </c>
      <c r="V423" s="5">
        <v>3480.5400265049861</v>
      </c>
      <c r="W423" s="5">
        <f t="shared" ref="W423:AH423" si="427">IF(OR((SLOPE($E423:$V423,$E$1:$V$1)*W$1+INTERCEPT($E423:$V423,$E$1:$V$1))&gt;(AVERAGE($E423:$V423)+_xlfn.STDEV.P($E423:$V423)),(SLOPE($E423:$V423,$E$1:$V$1)*W$1+INTERCEPT($E423:$V423,$E$1:$V$1))&lt;(AVERAGE($E423:$V423)-_xlfn.STDEV.P($E423:$V423))),V423,(SLOPE($E423:$V423,$E$1:$V$1)*W$1+INTERCEPT($E423:$V423,$E$1:$V$1)))</f>
        <v>27742.701776489357</v>
      </c>
      <c r="X423" s="5">
        <f t="shared" si="427"/>
        <v>29102.050759471782</v>
      </c>
      <c r="Y423" s="5">
        <f t="shared" si="427"/>
        <v>30461.399742454207</v>
      </c>
      <c r="Z423" s="5">
        <f t="shared" si="427"/>
        <v>31820.748725436632</v>
      </c>
      <c r="AA423" s="5">
        <f t="shared" si="427"/>
        <v>33180.097708419053</v>
      </c>
      <c r="AB423" s="5">
        <f t="shared" si="427"/>
        <v>34539.446691401477</v>
      </c>
      <c r="AC423" s="5">
        <f t="shared" si="427"/>
        <v>34539.446691401477</v>
      </c>
      <c r="AD423" s="5">
        <f t="shared" si="427"/>
        <v>34539.446691401477</v>
      </c>
      <c r="AE423" s="5">
        <f t="shared" si="427"/>
        <v>34539.446691401477</v>
      </c>
      <c r="AF423" s="5">
        <f t="shared" si="427"/>
        <v>34539.446691401477</v>
      </c>
      <c r="AG423" s="5">
        <f t="shared" si="427"/>
        <v>34539.446691401477</v>
      </c>
      <c r="AH423" s="5">
        <f t="shared" si="427"/>
        <v>34539.446691401477</v>
      </c>
    </row>
    <row r="424" spans="1:34" x14ac:dyDescent="0.35">
      <c r="A424" t="s">
        <v>444</v>
      </c>
      <c r="B424" s="3" t="s">
        <v>1266</v>
      </c>
      <c r="C424" s="4" t="s">
        <v>1263</v>
      </c>
      <c r="D424" s="2">
        <f t="shared" si="391"/>
        <v>266879.17918180331</v>
      </c>
      <c r="E424" s="5">
        <v>0</v>
      </c>
      <c r="F424" s="5">
        <v>0</v>
      </c>
      <c r="G424" s="5">
        <v>0</v>
      </c>
      <c r="H424" s="5">
        <v>0</v>
      </c>
      <c r="I424" s="5">
        <v>133312.27909245048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133566.90008935283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f t="shared" ref="W424:AH424" si="428">IF(OR((SLOPE($E424:$V424,$E$1:$V$1)*W$1+INTERCEPT($E424:$V424,$E$1:$V$1))&gt;(AVERAGE($E424:$V424)+_xlfn.STDEV.P($E424:$V424)),(SLOPE($E424:$V424,$E$1:$V$1)*W$1+INTERCEPT($E424:$V424,$E$1:$V$1))&lt;(AVERAGE($E424:$V424)-_xlfn.STDEV.P($E424:$V424))),V424,(SLOPE($E424:$V424,$E$1:$V$1)*W$1+INTERCEPT($E424:$V424,$E$1:$V$1)))</f>
        <v>9611.1699736430892</v>
      </c>
      <c r="X424" s="5">
        <f t="shared" si="428"/>
        <v>9062.1751218522841</v>
      </c>
      <c r="Y424" s="5">
        <f t="shared" si="428"/>
        <v>8513.180270061479</v>
      </c>
      <c r="Z424" s="5">
        <f t="shared" si="428"/>
        <v>7964.1854182706738</v>
      </c>
      <c r="AA424" s="5">
        <f t="shared" si="428"/>
        <v>7415.1905664798687</v>
      </c>
      <c r="AB424" s="5">
        <f t="shared" si="428"/>
        <v>6866.1957146890636</v>
      </c>
      <c r="AC424" s="5">
        <f t="shared" si="428"/>
        <v>6317.2008628982585</v>
      </c>
      <c r="AD424" s="5">
        <f t="shared" si="428"/>
        <v>5768.2060111074534</v>
      </c>
      <c r="AE424" s="5">
        <f t="shared" si="428"/>
        <v>5219.2111593166483</v>
      </c>
      <c r="AF424" s="5">
        <f t="shared" si="428"/>
        <v>4670.2163075258431</v>
      </c>
      <c r="AG424" s="5">
        <f t="shared" si="428"/>
        <v>4121.221455735038</v>
      </c>
      <c r="AH424" s="5">
        <f t="shared" si="428"/>
        <v>3572.2266039442329</v>
      </c>
    </row>
    <row r="425" spans="1:34" x14ac:dyDescent="0.35">
      <c r="A425" t="s">
        <v>445</v>
      </c>
      <c r="B425" s="3" t="s">
        <v>1266</v>
      </c>
      <c r="C425" s="4" t="s">
        <v>1267</v>
      </c>
      <c r="D425" s="2">
        <f t="shared" si="391"/>
        <v>266547.52958168177</v>
      </c>
      <c r="E425" s="5">
        <v>0</v>
      </c>
      <c r="F425" s="5">
        <v>0</v>
      </c>
      <c r="G425" s="5">
        <v>0</v>
      </c>
      <c r="H425" s="5">
        <v>0</v>
      </c>
      <c r="I425" s="5">
        <v>134153.71625200941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132393.81332967235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f t="shared" ref="W425:AH425" si="429">IF(OR((SLOPE($E425:$V425,$E$1:$V$1)*W$1+INTERCEPT($E425:$V425,$E$1:$V$1))&gt;(AVERAGE($E425:$V425)+_xlfn.STDEV.P($E425:$V425)),(SLOPE($E425:$V425,$E$1:$V$1)*W$1+INTERCEPT($E425:$V425,$E$1:$V$1))&lt;(AVERAGE($E425:$V425)-_xlfn.STDEV.P($E425:$V425))),V425,(SLOPE($E425:$V425,$E$1:$V$1)*W$1+INTERCEPT($E425:$V425,$E$1:$V$1)))</f>
        <v>9460.9962876778482</v>
      </c>
      <c r="X425" s="5">
        <f t="shared" si="429"/>
        <v>8898.1331508153889</v>
      </c>
      <c r="Y425" s="5">
        <f t="shared" si="429"/>
        <v>8335.2700139529297</v>
      </c>
      <c r="Z425" s="5">
        <f t="shared" si="429"/>
        <v>7772.4068770904705</v>
      </c>
      <c r="AA425" s="5">
        <f t="shared" si="429"/>
        <v>7209.5437402280113</v>
      </c>
      <c r="AB425" s="5">
        <f t="shared" si="429"/>
        <v>6646.6806033655521</v>
      </c>
      <c r="AC425" s="5">
        <f t="shared" si="429"/>
        <v>6083.8174665030929</v>
      </c>
      <c r="AD425" s="5">
        <f t="shared" si="429"/>
        <v>5520.9543296406337</v>
      </c>
      <c r="AE425" s="5">
        <f t="shared" si="429"/>
        <v>4958.0911927781744</v>
      </c>
      <c r="AF425" s="5">
        <f t="shared" si="429"/>
        <v>4395.2280559157152</v>
      </c>
      <c r="AG425" s="5">
        <f t="shared" si="429"/>
        <v>3832.364919053256</v>
      </c>
      <c r="AH425" s="5">
        <f t="shared" si="429"/>
        <v>3269.5017821907968</v>
      </c>
    </row>
    <row r="426" spans="1:34" x14ac:dyDescent="0.35">
      <c r="A426" t="s">
        <v>446</v>
      </c>
      <c r="B426" s="3" t="s">
        <v>1265</v>
      </c>
      <c r="C426" s="4" t="s">
        <v>1263</v>
      </c>
      <c r="D426" s="2">
        <f t="shared" si="391"/>
        <v>261546.51600000006</v>
      </c>
      <c r="E426" s="5">
        <v>10206.504000000001</v>
      </c>
      <c r="F426" s="5">
        <v>10808.028000000002</v>
      </c>
      <c r="G426" s="5">
        <v>12767.832000000004</v>
      </c>
      <c r="H426" s="5">
        <v>17094.924000000003</v>
      </c>
      <c r="I426" s="5">
        <v>17657.640000000007</v>
      </c>
      <c r="J426" s="5">
        <v>14300.748000000003</v>
      </c>
      <c r="K426" s="5">
        <v>11215.512000000002</v>
      </c>
      <c r="L426" s="5">
        <v>11817.036</v>
      </c>
      <c r="M426" s="5">
        <v>12864.852000000004</v>
      </c>
      <c r="N426" s="5">
        <v>13078.296000000002</v>
      </c>
      <c r="O426" s="5">
        <v>22586.256000000005</v>
      </c>
      <c r="P426" s="5">
        <v>26952.156000000006</v>
      </c>
      <c r="Q426" s="5">
        <v>7858.62</v>
      </c>
      <c r="R426" s="5">
        <v>21907.116000000009</v>
      </c>
      <c r="S426" s="5">
        <v>13272.336000000003</v>
      </c>
      <c r="T426" s="5">
        <v>16435.187999999998</v>
      </c>
      <c r="U426" s="5">
        <v>13679.820000000002</v>
      </c>
      <c r="V426" s="5">
        <v>7043.6520000000019</v>
      </c>
      <c r="W426" s="5">
        <f t="shared" ref="W426:AH426" si="430">IF(OR((SLOPE($E426:$V426,$E$1:$V$1)*W$1+INTERCEPT($E426:$V426,$E$1:$V$1))&gt;(AVERAGE($E426:$V426)+_xlfn.STDEV.P($E426:$V426)),(SLOPE($E426:$V426,$E$1:$V$1)*W$1+INTERCEPT($E426:$V426,$E$1:$V$1))&lt;(AVERAGE($E426:$V426)-_xlfn.STDEV.P($E426:$V426))),V426,(SLOPE($E426:$V426,$E$1:$V$1)*W$1+INTERCEPT($E426:$V426,$E$1:$V$1)))</f>
        <v>15503.796000000002</v>
      </c>
      <c r="X426" s="5">
        <f t="shared" si="430"/>
        <v>15606.262736842109</v>
      </c>
      <c r="Y426" s="5">
        <f t="shared" si="430"/>
        <v>15708.729473684214</v>
      </c>
      <c r="Z426" s="5">
        <f t="shared" si="430"/>
        <v>15811.196210526319</v>
      </c>
      <c r="AA426" s="5">
        <f t="shared" si="430"/>
        <v>15913.662947368424</v>
      </c>
      <c r="AB426" s="5">
        <f t="shared" si="430"/>
        <v>16016.129684210529</v>
      </c>
      <c r="AC426" s="5">
        <f t="shared" si="430"/>
        <v>16118.596421052634</v>
      </c>
      <c r="AD426" s="5">
        <f t="shared" si="430"/>
        <v>16221.06315789474</v>
      </c>
      <c r="AE426" s="5">
        <f t="shared" si="430"/>
        <v>16323.529894736845</v>
      </c>
      <c r="AF426" s="5">
        <f t="shared" si="430"/>
        <v>16425.99663157895</v>
      </c>
      <c r="AG426" s="5">
        <f t="shared" si="430"/>
        <v>16528.463368421057</v>
      </c>
      <c r="AH426" s="5">
        <f t="shared" si="430"/>
        <v>16630.93010526316</v>
      </c>
    </row>
    <row r="427" spans="1:34" x14ac:dyDescent="0.35">
      <c r="A427" t="s">
        <v>447</v>
      </c>
      <c r="B427" s="3" t="s">
        <v>1266</v>
      </c>
      <c r="C427" s="4" t="s">
        <v>1263</v>
      </c>
      <c r="D427" s="2">
        <f t="shared" si="391"/>
        <v>265672.61102125043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146403.20091070028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119269.41011055015</v>
      </c>
      <c r="V427" s="5">
        <v>0</v>
      </c>
      <c r="W427" s="5">
        <f t="shared" ref="W427:AH427" si="431">IF(OR((SLOPE($E427:$V427,$E$1:$V$1)*W$1+INTERCEPT($E427:$V427,$E$1:$V$1))&gt;(AVERAGE($E427:$V427)+_xlfn.STDEV.P($E427:$V427)),(SLOPE($E427:$V427,$E$1:$V$1)*W$1+INTERCEPT($E427:$V427,$E$1:$V$1))&lt;(AVERAGE($E427:$V427)-_xlfn.STDEV.P($E427:$V427))),V427,(SLOPE($E427:$V427,$E$1:$V$1)*W$1+INTERCEPT($E427:$V427,$E$1:$V$1)))</f>
        <v>22251.930141213423</v>
      </c>
      <c r="X427" s="5">
        <f t="shared" si="431"/>
        <v>23040.597577006352</v>
      </c>
      <c r="Y427" s="5">
        <f t="shared" si="431"/>
        <v>23829.265012799286</v>
      </c>
      <c r="Z427" s="5">
        <f t="shared" si="431"/>
        <v>24617.932448592215</v>
      </c>
      <c r="AA427" s="5">
        <f t="shared" si="431"/>
        <v>25406.599884385148</v>
      </c>
      <c r="AB427" s="5">
        <f t="shared" si="431"/>
        <v>26195.267320178078</v>
      </c>
      <c r="AC427" s="5">
        <f t="shared" si="431"/>
        <v>26983.934755971008</v>
      </c>
      <c r="AD427" s="5">
        <f t="shared" si="431"/>
        <v>27772.602191763941</v>
      </c>
      <c r="AE427" s="5">
        <f t="shared" si="431"/>
        <v>28561.269627556871</v>
      </c>
      <c r="AF427" s="5">
        <f t="shared" si="431"/>
        <v>29349.9370633498</v>
      </c>
      <c r="AG427" s="5">
        <f t="shared" si="431"/>
        <v>30138.604499142733</v>
      </c>
      <c r="AH427" s="5">
        <f t="shared" si="431"/>
        <v>30927.271934935663</v>
      </c>
    </row>
    <row r="428" spans="1:34" x14ac:dyDescent="0.35">
      <c r="A428" t="s">
        <v>448</v>
      </c>
      <c r="B428" s="3" t="s">
        <v>1266</v>
      </c>
      <c r="C428" s="4" t="s">
        <v>1268</v>
      </c>
      <c r="D428" s="2">
        <f t="shared" si="391"/>
        <v>265523.94649640156</v>
      </c>
      <c r="E428" s="5">
        <v>0</v>
      </c>
      <c r="F428" s="5">
        <v>0</v>
      </c>
      <c r="G428" s="5">
        <v>107103.34128047591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158420.60521592567</v>
      </c>
      <c r="T428" s="5">
        <v>0</v>
      </c>
      <c r="U428" s="5">
        <v>0</v>
      </c>
      <c r="V428" s="5">
        <v>0</v>
      </c>
      <c r="W428" s="5">
        <f t="shared" ref="W428:AH428" si="432">IF(OR((SLOPE($E428:$V428,$E$1:$V$1)*W$1+INTERCEPT($E428:$V428,$E$1:$V$1))&gt;(AVERAGE($E428:$V428)+_xlfn.STDEV.P($E428:$V428)),(SLOPE($E428:$V428,$E$1:$V$1)*W$1+INTERCEPT($E428:$V428,$E$1:$V$1))&lt;(AVERAGE($E428:$V428)-_xlfn.STDEV.P($E428:$V428))),V428,(SLOPE($E428:$V428,$E$1:$V$1)*W$1+INTERCEPT($E428:$V428,$E$1:$V$1)))</f>
        <v>18185.479583744484</v>
      </c>
      <c r="X428" s="5">
        <f t="shared" si="432"/>
        <v>18546.968975621672</v>
      </c>
      <c r="Y428" s="5">
        <f t="shared" si="432"/>
        <v>18908.458367498861</v>
      </c>
      <c r="Z428" s="5">
        <f t="shared" si="432"/>
        <v>19269.947759376049</v>
      </c>
      <c r="AA428" s="5">
        <f t="shared" si="432"/>
        <v>19631.437151253238</v>
      </c>
      <c r="AB428" s="5">
        <f t="shared" si="432"/>
        <v>19992.926543130423</v>
      </c>
      <c r="AC428" s="5">
        <f t="shared" si="432"/>
        <v>20354.415935007615</v>
      </c>
      <c r="AD428" s="5">
        <f t="shared" si="432"/>
        <v>20715.9053268848</v>
      </c>
      <c r="AE428" s="5">
        <f t="shared" si="432"/>
        <v>21077.394718761989</v>
      </c>
      <c r="AF428" s="5">
        <f t="shared" si="432"/>
        <v>21438.884110639177</v>
      </c>
      <c r="AG428" s="5">
        <f t="shared" si="432"/>
        <v>21800.373502516366</v>
      </c>
      <c r="AH428" s="5">
        <f t="shared" si="432"/>
        <v>22161.862894393555</v>
      </c>
    </row>
    <row r="429" spans="1:34" x14ac:dyDescent="0.35">
      <c r="A429" t="s">
        <v>449</v>
      </c>
      <c r="B429" s="3" t="s">
        <v>1262</v>
      </c>
      <c r="C429" s="4" t="s">
        <v>1263</v>
      </c>
      <c r="D429" s="2">
        <f t="shared" si="391"/>
        <v>257233.53599999996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42106.68</v>
      </c>
      <c r="N429" s="5">
        <v>546.84</v>
      </c>
      <c r="O429" s="5">
        <v>55613.627999999997</v>
      </c>
      <c r="P429" s="5">
        <v>29584.043999999998</v>
      </c>
      <c r="Q429" s="5">
        <v>54.683999999999997</v>
      </c>
      <c r="R429" s="5">
        <v>13342.895999999995</v>
      </c>
      <c r="S429" s="5">
        <v>24717.167999999994</v>
      </c>
      <c r="T429" s="5">
        <v>20041.685999999994</v>
      </c>
      <c r="U429" s="5">
        <v>40630.211999999992</v>
      </c>
      <c r="V429" s="5">
        <v>30595.697999999997</v>
      </c>
      <c r="W429" s="5">
        <f t="shared" ref="W429:AH429" si="433">IF(OR((SLOPE($E429:$V429,$E$1:$V$1)*W$1+INTERCEPT($E429:$V429,$E$1:$V$1))&gt;(AVERAGE($E429:$V429)+_xlfn.STDEV.P($E429:$V429)),(SLOPE($E429:$V429,$E$1:$V$1)*W$1+INTERCEPT($E429:$V429,$E$1:$V$1))&lt;(AVERAGE($E429:$V429)-_xlfn.STDEV.P($E429:$V429))),V429,(SLOPE($E429:$V429,$E$1:$V$1)*W$1+INTERCEPT($E429:$V429,$E$1:$V$1)))</f>
        <v>30595.697999999997</v>
      </c>
      <c r="X429" s="5">
        <f t="shared" si="433"/>
        <v>30595.697999999997</v>
      </c>
      <c r="Y429" s="5">
        <f t="shared" si="433"/>
        <v>30595.697999999997</v>
      </c>
      <c r="Z429" s="5">
        <f t="shared" si="433"/>
        <v>30595.697999999997</v>
      </c>
      <c r="AA429" s="5">
        <f t="shared" si="433"/>
        <v>30595.697999999997</v>
      </c>
      <c r="AB429" s="5">
        <f t="shared" si="433"/>
        <v>30595.697999999997</v>
      </c>
      <c r="AC429" s="5">
        <f t="shared" si="433"/>
        <v>30595.697999999997</v>
      </c>
      <c r="AD429" s="5">
        <f t="shared" si="433"/>
        <v>30595.697999999997</v>
      </c>
      <c r="AE429" s="5">
        <f t="shared" si="433"/>
        <v>30595.697999999997</v>
      </c>
      <c r="AF429" s="5">
        <f t="shared" si="433"/>
        <v>30595.697999999997</v>
      </c>
      <c r="AG429" s="5">
        <f t="shared" si="433"/>
        <v>30595.697999999997</v>
      </c>
      <c r="AH429" s="5">
        <f t="shared" si="433"/>
        <v>30595.697999999997</v>
      </c>
    </row>
    <row r="430" spans="1:34" x14ac:dyDescent="0.35">
      <c r="A430" t="s">
        <v>450</v>
      </c>
      <c r="B430" s="3" t="s">
        <v>1265</v>
      </c>
      <c r="C430" s="4" t="s">
        <v>1267</v>
      </c>
      <c r="D430" s="2">
        <f t="shared" si="391"/>
        <v>263742.58706597215</v>
      </c>
      <c r="E430" s="5">
        <v>0</v>
      </c>
      <c r="F430" s="5">
        <v>0</v>
      </c>
      <c r="G430" s="5">
        <v>0</v>
      </c>
      <c r="H430" s="5">
        <v>47514.585241391156</v>
      </c>
      <c r="I430" s="5">
        <v>0</v>
      </c>
      <c r="J430" s="5">
        <v>133888.25103750688</v>
      </c>
      <c r="K430" s="5">
        <v>0</v>
      </c>
      <c r="L430" s="5">
        <v>0</v>
      </c>
      <c r="M430" s="5">
        <v>0</v>
      </c>
      <c r="N430" s="5">
        <v>0</v>
      </c>
      <c r="O430" s="5">
        <v>82339.75078707411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f t="shared" ref="W430:AH430" si="434">IF(OR((SLOPE($E430:$V430,$E$1:$V$1)*W$1+INTERCEPT($E430:$V430,$E$1:$V$1))&gt;(AVERAGE($E430:$V430)+_xlfn.STDEV.P($E430:$V430)),(SLOPE($E430:$V430,$E$1:$V$1)*W$1+INTERCEPT($E430:$V430,$E$1:$V$1))&lt;(AVERAGE($E430:$V430)-_xlfn.STDEV.P($E430:$V430))),V430,(SLOPE($E430:$V430,$E$1:$V$1)*W$1+INTERCEPT($E430:$V430,$E$1:$V$1)))</f>
        <v>2761.5920014759504</v>
      </c>
      <c r="X430" s="5">
        <f t="shared" si="434"/>
        <v>1509.9315860408351</v>
      </c>
      <c r="Y430" s="5">
        <f t="shared" si="434"/>
        <v>258.27117060571982</v>
      </c>
      <c r="Z430" s="5">
        <f t="shared" si="434"/>
        <v>-993.3892448293991</v>
      </c>
      <c r="AA430" s="5">
        <f t="shared" si="434"/>
        <v>-2245.049660264518</v>
      </c>
      <c r="AB430" s="5">
        <f t="shared" si="434"/>
        <v>-3496.7100756996333</v>
      </c>
      <c r="AC430" s="5">
        <f t="shared" si="434"/>
        <v>-4748.3704911347486</v>
      </c>
      <c r="AD430" s="5">
        <f t="shared" si="434"/>
        <v>-6000.0309065698675</v>
      </c>
      <c r="AE430" s="5">
        <f t="shared" si="434"/>
        <v>-7251.6913220049864</v>
      </c>
      <c r="AF430" s="5">
        <f t="shared" si="434"/>
        <v>-8503.3517374401017</v>
      </c>
      <c r="AG430" s="5">
        <f t="shared" si="434"/>
        <v>-9755.012152875217</v>
      </c>
      <c r="AH430" s="5">
        <f t="shared" si="434"/>
        <v>-11006.67256831034</v>
      </c>
    </row>
    <row r="431" spans="1:34" x14ac:dyDescent="0.35">
      <c r="A431" t="s">
        <v>451</v>
      </c>
      <c r="B431" s="3" t="s">
        <v>1266</v>
      </c>
      <c r="C431" s="4" t="s">
        <v>1267</v>
      </c>
      <c r="D431" s="2">
        <f t="shared" si="391"/>
        <v>263392.72517615673</v>
      </c>
      <c r="E431" s="5">
        <v>0</v>
      </c>
      <c r="F431" s="5">
        <v>0</v>
      </c>
      <c r="G431" s="5">
        <v>126919.8105771118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136472.91459904495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f t="shared" ref="W431:AH431" si="435">IF(OR((SLOPE($E431:$V431,$E$1:$V$1)*W$1+INTERCEPT($E431:$V431,$E$1:$V$1))&gt;(AVERAGE($E431:$V431)+_xlfn.STDEV.P($E431:$V431)),(SLOPE($E431:$V431,$E$1:$V$1)*W$1+INTERCEPT($E431:$V431,$E$1:$V$1))&lt;(AVERAGE($E431:$V431)-_xlfn.STDEV.P($E431:$V431))),V431,(SLOPE($E431:$V431,$E$1:$V$1)*W$1+INTERCEPT($E431:$V431,$E$1:$V$1)))</f>
        <v>2470.7841401264996</v>
      </c>
      <c r="X431" s="5">
        <f t="shared" si="435"/>
        <v>1190.5583468289551</v>
      </c>
      <c r="Y431" s="5">
        <f t="shared" si="435"/>
        <v>-89.667446468585695</v>
      </c>
      <c r="Z431" s="5">
        <f t="shared" si="435"/>
        <v>-1369.8932397661301</v>
      </c>
      <c r="AA431" s="5">
        <f t="shared" si="435"/>
        <v>-2650.1190330636709</v>
      </c>
      <c r="AB431" s="5">
        <f t="shared" si="435"/>
        <v>-3930.3448263612117</v>
      </c>
      <c r="AC431" s="5">
        <f t="shared" si="435"/>
        <v>-5210.5706196587562</v>
      </c>
      <c r="AD431" s="5">
        <f t="shared" si="435"/>
        <v>-6490.7964129563006</v>
      </c>
      <c r="AE431" s="5">
        <f t="shared" si="435"/>
        <v>-7771.0222062538414</v>
      </c>
      <c r="AF431" s="5">
        <f t="shared" si="435"/>
        <v>-9051.2479995513822</v>
      </c>
      <c r="AG431" s="5">
        <f t="shared" si="435"/>
        <v>-10331.473792848923</v>
      </c>
      <c r="AH431" s="5">
        <f t="shared" si="435"/>
        <v>-11611.699586146471</v>
      </c>
    </row>
    <row r="432" spans="1:34" x14ac:dyDescent="0.35">
      <c r="A432" t="s">
        <v>452</v>
      </c>
      <c r="B432" s="3" t="s">
        <v>1264</v>
      </c>
      <c r="C432" s="4" t="s">
        <v>1263</v>
      </c>
      <c r="D432" s="2">
        <f t="shared" si="391"/>
        <v>253945.66252330173</v>
      </c>
      <c r="E432" s="5">
        <v>6254.8192739729484</v>
      </c>
      <c r="F432" s="5">
        <v>6394.852541300701</v>
      </c>
      <c r="G432" s="5">
        <v>10922.594851564703</v>
      </c>
      <c r="H432" s="5">
        <v>9111.4979274591042</v>
      </c>
      <c r="I432" s="5">
        <v>11389.372409323876</v>
      </c>
      <c r="J432" s="5">
        <v>8168.6072607855676</v>
      </c>
      <c r="K432" s="5">
        <v>9755.650957166763</v>
      </c>
      <c r="L432" s="5">
        <v>6936.3145083013451</v>
      </c>
      <c r="M432" s="5">
        <v>13741.931300430122</v>
      </c>
      <c r="N432" s="5">
        <v>7888.5407261300634</v>
      </c>
      <c r="O432" s="5">
        <v>8588.7070627688263</v>
      </c>
      <c r="P432" s="5">
        <v>8355.318283889239</v>
      </c>
      <c r="Q432" s="5">
        <v>12883.060594153241</v>
      </c>
      <c r="R432" s="5">
        <v>34261.472739523466</v>
      </c>
      <c r="S432" s="5">
        <v>22601.369346699263</v>
      </c>
      <c r="T432" s="5">
        <v>26419.609769169329</v>
      </c>
      <c r="U432" s="5">
        <v>28146.686732878276</v>
      </c>
      <c r="V432" s="5">
        <v>22125.25623778491</v>
      </c>
      <c r="W432" s="5">
        <f t="shared" ref="W432:AH432" si="436">IF(OR((SLOPE($E432:$V432,$E$1:$V$1)*W$1+INTERCEPT($E432:$V432,$E$1:$V$1))&gt;(AVERAGE($E432:$V432)+_xlfn.STDEV.P($E432:$V432)),(SLOPE($E432:$V432,$E$1:$V$1)*W$1+INTERCEPT($E432:$V432,$E$1:$V$1))&lt;(AVERAGE($E432:$V432)-_xlfn.STDEV.P($E432:$V432))),V432,(SLOPE($E432:$V432,$E$1:$V$1)*W$1+INTERCEPT($E432:$V432,$E$1:$V$1)))</f>
        <v>22125.25623778491</v>
      </c>
      <c r="X432" s="5">
        <f t="shared" si="436"/>
        <v>22125.25623778491</v>
      </c>
      <c r="Y432" s="5">
        <f t="shared" si="436"/>
        <v>22125.25623778491</v>
      </c>
      <c r="Z432" s="5">
        <f t="shared" si="436"/>
        <v>22125.25623778491</v>
      </c>
      <c r="AA432" s="5">
        <f t="shared" si="436"/>
        <v>22125.25623778491</v>
      </c>
      <c r="AB432" s="5">
        <f t="shared" si="436"/>
        <v>22125.25623778491</v>
      </c>
      <c r="AC432" s="5">
        <f t="shared" si="436"/>
        <v>22125.25623778491</v>
      </c>
      <c r="AD432" s="5">
        <f t="shared" si="436"/>
        <v>22125.25623778491</v>
      </c>
      <c r="AE432" s="5">
        <f t="shared" si="436"/>
        <v>22125.25623778491</v>
      </c>
      <c r="AF432" s="5">
        <f t="shared" si="436"/>
        <v>22125.25623778491</v>
      </c>
      <c r="AG432" s="5">
        <f t="shared" si="436"/>
        <v>22125.25623778491</v>
      </c>
      <c r="AH432" s="5">
        <f t="shared" si="436"/>
        <v>22125.25623778491</v>
      </c>
    </row>
    <row r="433" spans="1:34" x14ac:dyDescent="0.35">
      <c r="A433" t="s">
        <v>453</v>
      </c>
      <c r="B433" s="3" t="s">
        <v>1264</v>
      </c>
      <c r="C433" s="4" t="s">
        <v>1263</v>
      </c>
      <c r="D433" s="2">
        <f t="shared" si="391"/>
        <v>255568.32</v>
      </c>
      <c r="E433" s="5">
        <v>1364.1599999999999</v>
      </c>
      <c r="F433" s="5">
        <v>11289.6</v>
      </c>
      <c r="G433" s="5">
        <v>82592.832000000009</v>
      </c>
      <c r="H433" s="5">
        <v>24573.696000000011</v>
      </c>
      <c r="I433" s="5">
        <v>2587.1999999999998</v>
      </c>
      <c r="J433" s="5">
        <v>2097.9840000000004</v>
      </c>
      <c r="K433" s="5">
        <v>19098.240000000009</v>
      </c>
      <c r="L433" s="5">
        <v>6397.4399999999987</v>
      </c>
      <c r="M433" s="5">
        <v>45788.736000000012</v>
      </c>
      <c r="N433" s="5">
        <v>4186.5599999999995</v>
      </c>
      <c r="O433" s="5">
        <v>7140.6719999999987</v>
      </c>
      <c r="P433" s="5">
        <v>1787.52</v>
      </c>
      <c r="Q433" s="5">
        <v>3292.7999999999993</v>
      </c>
      <c r="R433" s="5">
        <v>3462.1439999999998</v>
      </c>
      <c r="S433" s="5">
        <v>19728.576000000005</v>
      </c>
      <c r="T433" s="5">
        <v>13124.159999999998</v>
      </c>
      <c r="U433" s="5">
        <v>3057.5999999999995</v>
      </c>
      <c r="V433" s="5">
        <v>3998.3999999999996</v>
      </c>
      <c r="W433" s="5">
        <f t="shared" ref="W433:AH433" si="437">IF(OR((SLOPE($E433:$V433,$E$1:$V$1)*W$1+INTERCEPT($E433:$V433,$E$1:$V$1))&gt;(AVERAGE($E433:$V433)+_xlfn.STDEV.P($E433:$V433)),(SLOPE($E433:$V433,$E$1:$V$1)*W$1+INTERCEPT($E433:$V433,$E$1:$V$1))&lt;(AVERAGE($E433:$V433)-_xlfn.STDEV.P($E433:$V433))),V433,(SLOPE($E433:$V433,$E$1:$V$1)*W$1+INTERCEPT($E433:$V433,$E$1:$V$1)))</f>
        <v>2974.957176470587</v>
      </c>
      <c r="X433" s="5">
        <f t="shared" si="437"/>
        <v>1793.5589845201248</v>
      </c>
      <c r="Y433" s="5">
        <f t="shared" si="437"/>
        <v>612.16079256965895</v>
      </c>
      <c r="Z433" s="5">
        <f t="shared" si="437"/>
        <v>-569.23739938080689</v>
      </c>
      <c r="AA433" s="5">
        <f t="shared" si="437"/>
        <v>-1750.6355913312691</v>
      </c>
      <c r="AB433" s="5">
        <f t="shared" si="437"/>
        <v>-2932.0337832817349</v>
      </c>
      <c r="AC433" s="5">
        <f t="shared" si="437"/>
        <v>-4113.4319752322008</v>
      </c>
      <c r="AD433" s="5">
        <f t="shared" si="437"/>
        <v>-5294.830167182663</v>
      </c>
      <c r="AE433" s="5">
        <f t="shared" si="437"/>
        <v>-5294.830167182663</v>
      </c>
      <c r="AF433" s="5">
        <f t="shared" si="437"/>
        <v>-5294.830167182663</v>
      </c>
      <c r="AG433" s="5">
        <f t="shared" si="437"/>
        <v>-5294.830167182663</v>
      </c>
      <c r="AH433" s="5">
        <f t="shared" si="437"/>
        <v>-5294.830167182663</v>
      </c>
    </row>
    <row r="434" spans="1:34" x14ac:dyDescent="0.35">
      <c r="A434" t="s">
        <v>454</v>
      </c>
      <c r="B434" s="3" t="s">
        <v>1262</v>
      </c>
      <c r="C434" s="4" t="s">
        <v>1263</v>
      </c>
      <c r="D434" s="2">
        <f t="shared" si="391"/>
        <v>200356.70759999997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1643.1659999999999</v>
      </c>
      <c r="P434" s="5">
        <v>0</v>
      </c>
      <c r="Q434" s="5">
        <v>0</v>
      </c>
      <c r="R434" s="5">
        <v>0</v>
      </c>
      <c r="S434" s="5">
        <v>0</v>
      </c>
      <c r="T434" s="5">
        <v>43872.532200000001</v>
      </c>
      <c r="U434" s="5">
        <v>78926.7402</v>
      </c>
      <c r="V434" s="5">
        <v>75914.269199999981</v>
      </c>
      <c r="W434" s="5">
        <f t="shared" ref="W434:AH434" si="438">IF(OR((SLOPE($E434:$V434,$E$1:$V$1)*W$1+INTERCEPT($E434:$V434,$E$1:$V$1))&gt;(AVERAGE($E434:$V434)+_xlfn.STDEV.P($E434:$V434)),(SLOPE($E434:$V434,$E$1:$V$1)*W$1+INTERCEPT($E434:$V434,$E$1:$V$1))&lt;(AVERAGE($E434:$V434)-_xlfn.STDEV.P($E434:$V434))),V434,(SLOPE($E434:$V434,$E$1:$V$1)*W$1+INTERCEPT($E434:$V434,$E$1:$V$1)))</f>
        <v>75914.269199999981</v>
      </c>
      <c r="X434" s="5">
        <f t="shared" si="438"/>
        <v>75914.269199999981</v>
      </c>
      <c r="Y434" s="5">
        <f t="shared" si="438"/>
        <v>75914.269199999981</v>
      </c>
      <c r="Z434" s="5">
        <f t="shared" si="438"/>
        <v>75914.269199999981</v>
      </c>
      <c r="AA434" s="5">
        <f t="shared" si="438"/>
        <v>75914.269199999981</v>
      </c>
      <c r="AB434" s="5">
        <f t="shared" si="438"/>
        <v>75914.269199999981</v>
      </c>
      <c r="AC434" s="5">
        <f t="shared" si="438"/>
        <v>75914.269199999981</v>
      </c>
      <c r="AD434" s="5">
        <f t="shared" si="438"/>
        <v>75914.269199999981</v>
      </c>
      <c r="AE434" s="5">
        <f t="shared" si="438"/>
        <v>75914.269199999981</v>
      </c>
      <c r="AF434" s="5">
        <f t="shared" si="438"/>
        <v>75914.269199999981</v>
      </c>
      <c r="AG434" s="5">
        <f t="shared" si="438"/>
        <v>75914.269199999981</v>
      </c>
      <c r="AH434" s="5">
        <f t="shared" si="438"/>
        <v>75914.269199999981</v>
      </c>
    </row>
    <row r="435" spans="1:34" x14ac:dyDescent="0.35">
      <c r="A435" t="s">
        <v>455</v>
      </c>
      <c r="B435" s="3" t="s">
        <v>1266</v>
      </c>
      <c r="C435" s="4" t="s">
        <v>1263</v>
      </c>
      <c r="D435" s="2">
        <f t="shared" si="391"/>
        <v>254051.86847506955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91870.683236011057</v>
      </c>
      <c r="P435" s="5">
        <v>14032.24456111775</v>
      </c>
      <c r="Q435" s="5">
        <v>0</v>
      </c>
      <c r="R435" s="5">
        <v>0</v>
      </c>
      <c r="S435" s="5">
        <v>71717.991579086622</v>
      </c>
      <c r="T435" s="5">
        <v>0</v>
      </c>
      <c r="U435" s="5">
        <v>76430.949098854122</v>
      </c>
      <c r="V435" s="5">
        <v>0</v>
      </c>
      <c r="W435" s="5">
        <f t="shared" ref="W435:AH435" si="439">IF(OR((SLOPE($E435:$V435,$E$1:$V$1)*W$1+INTERCEPT($E435:$V435,$E$1:$V$1))&gt;(AVERAGE($E435:$V435)+_xlfn.STDEV.P($E435:$V435)),(SLOPE($E435:$V435,$E$1:$V$1)*W$1+INTERCEPT($E435:$V435,$E$1:$V$1))&lt;(AVERAGE($E435:$V435)-_xlfn.STDEV.P($E435:$V435))),V435,(SLOPE($E435:$V435,$E$1:$V$1)*W$1+INTERCEPT($E435:$V435,$E$1:$V$1)))</f>
        <v>36478.065402533794</v>
      </c>
      <c r="X435" s="5">
        <f t="shared" si="439"/>
        <v>38832.17831932057</v>
      </c>
      <c r="Y435" s="5">
        <f t="shared" si="439"/>
        <v>41186.291236107347</v>
      </c>
      <c r="Z435" s="5">
        <f t="shared" si="439"/>
        <v>43540.404152894123</v>
      </c>
      <c r="AA435" s="5">
        <f t="shared" si="439"/>
        <v>43540.404152894123</v>
      </c>
      <c r="AB435" s="5">
        <f t="shared" si="439"/>
        <v>43540.404152894123</v>
      </c>
      <c r="AC435" s="5">
        <f t="shared" si="439"/>
        <v>43540.404152894123</v>
      </c>
      <c r="AD435" s="5">
        <f t="shared" si="439"/>
        <v>43540.404152894123</v>
      </c>
      <c r="AE435" s="5">
        <f t="shared" si="439"/>
        <v>43540.404152894123</v>
      </c>
      <c r="AF435" s="5">
        <f t="shared" si="439"/>
        <v>43540.404152894123</v>
      </c>
      <c r="AG435" s="5">
        <f t="shared" si="439"/>
        <v>43540.404152894123</v>
      </c>
      <c r="AH435" s="5">
        <f t="shared" si="439"/>
        <v>43540.404152894123</v>
      </c>
    </row>
    <row r="436" spans="1:34" x14ac:dyDescent="0.35">
      <c r="A436" t="s">
        <v>456</v>
      </c>
      <c r="B436" s="3" t="s">
        <v>1262</v>
      </c>
      <c r="C436" s="4" t="s">
        <v>1263</v>
      </c>
      <c r="D436" s="2">
        <f t="shared" si="391"/>
        <v>249728.00999999998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56183.399999999994</v>
      </c>
      <c r="N436" s="5">
        <v>26891.199999999997</v>
      </c>
      <c r="O436" s="5">
        <v>0</v>
      </c>
      <c r="P436" s="5">
        <v>10804.5</v>
      </c>
      <c r="Q436" s="5">
        <v>432.17999999999995</v>
      </c>
      <c r="R436" s="5">
        <v>35534.799999999996</v>
      </c>
      <c r="S436" s="5">
        <v>46339.3</v>
      </c>
      <c r="T436" s="5">
        <v>3721.5499999999993</v>
      </c>
      <c r="U436" s="5">
        <v>47083.609999999993</v>
      </c>
      <c r="V436" s="5">
        <v>22737.469999999998</v>
      </c>
      <c r="W436" s="5">
        <f t="shared" ref="W436:AH436" si="440">IF(OR((SLOPE($E436:$V436,$E$1:$V$1)*W$1+INTERCEPT($E436:$V436,$E$1:$V$1))&gt;(AVERAGE($E436:$V436)+_xlfn.STDEV.P($E436:$V436)),(SLOPE($E436:$V436,$E$1:$V$1)*W$1+INTERCEPT($E436:$V436,$E$1:$V$1))&lt;(AVERAGE($E436:$V436)-_xlfn.STDEV.P($E436:$V436))),V436,(SLOPE($E436:$V436,$E$1:$V$1)*W$1+INTERCEPT($E436:$V436,$E$1:$V$1)))</f>
        <v>22737.469999999998</v>
      </c>
      <c r="X436" s="5">
        <f t="shared" si="440"/>
        <v>22737.469999999998</v>
      </c>
      <c r="Y436" s="5">
        <f t="shared" si="440"/>
        <v>22737.469999999998</v>
      </c>
      <c r="Z436" s="5">
        <f t="shared" si="440"/>
        <v>22737.469999999998</v>
      </c>
      <c r="AA436" s="5">
        <f t="shared" si="440"/>
        <v>22737.469999999998</v>
      </c>
      <c r="AB436" s="5">
        <f t="shared" si="440"/>
        <v>22737.469999999998</v>
      </c>
      <c r="AC436" s="5">
        <f t="shared" si="440"/>
        <v>22737.469999999998</v>
      </c>
      <c r="AD436" s="5">
        <f t="shared" si="440"/>
        <v>22737.469999999998</v>
      </c>
      <c r="AE436" s="5">
        <f t="shared" si="440"/>
        <v>22737.469999999998</v>
      </c>
      <c r="AF436" s="5">
        <f t="shared" si="440"/>
        <v>22737.469999999998</v>
      </c>
      <c r="AG436" s="5">
        <f t="shared" si="440"/>
        <v>22737.469999999998</v>
      </c>
      <c r="AH436" s="5">
        <f t="shared" si="440"/>
        <v>22737.469999999998</v>
      </c>
    </row>
    <row r="437" spans="1:34" x14ac:dyDescent="0.35">
      <c r="A437" t="s">
        <v>457</v>
      </c>
      <c r="B437" s="3" t="s">
        <v>1266</v>
      </c>
      <c r="C437" s="4" t="s">
        <v>1263</v>
      </c>
      <c r="D437" s="2">
        <f t="shared" si="391"/>
        <v>250710.51567647548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124179.31733318861</v>
      </c>
      <c r="R437" s="5">
        <v>0</v>
      </c>
      <c r="S437" s="5">
        <v>0</v>
      </c>
      <c r="T437" s="5">
        <v>0</v>
      </c>
      <c r="U437" s="5">
        <v>126531.19834328689</v>
      </c>
      <c r="V437" s="5">
        <v>0</v>
      </c>
      <c r="W437" s="5">
        <f t="shared" ref="W437:AH437" si="441">IF(OR((SLOPE($E437:$V437,$E$1:$V$1)*W$1+INTERCEPT($E437:$V437,$E$1:$V$1))&gt;(AVERAGE($E437:$V437)+_xlfn.STDEV.P($E437:$V437)),(SLOPE($E437:$V437,$E$1:$V$1)*W$1+INTERCEPT($E437:$V437,$E$1:$V$1))&lt;(AVERAGE($E437:$V437)-_xlfn.STDEV.P($E437:$V437))),V437,(SLOPE($E437:$V437,$E$1:$V$1)*W$1+INTERCEPT($E437:$V437,$E$1:$V$1)))</f>
        <v>41058.001163218803</v>
      </c>
      <c r="X437" s="5">
        <f t="shared" si="441"/>
        <v>43913.752655975899</v>
      </c>
      <c r="Y437" s="5">
        <f t="shared" si="441"/>
        <v>46769.504148732995</v>
      </c>
      <c r="Z437" s="5">
        <f t="shared" si="441"/>
        <v>49625.255641490083</v>
      </c>
      <c r="AA437" s="5">
        <f t="shared" si="441"/>
        <v>52481.007134247186</v>
      </c>
      <c r="AB437" s="5">
        <f t="shared" si="441"/>
        <v>52481.007134247186</v>
      </c>
      <c r="AC437" s="5">
        <f t="shared" si="441"/>
        <v>52481.007134247186</v>
      </c>
      <c r="AD437" s="5">
        <f t="shared" si="441"/>
        <v>52481.007134247186</v>
      </c>
      <c r="AE437" s="5">
        <f t="shared" si="441"/>
        <v>52481.007134247186</v>
      </c>
      <c r="AF437" s="5">
        <f t="shared" si="441"/>
        <v>52481.007134247186</v>
      </c>
      <c r="AG437" s="5">
        <f t="shared" si="441"/>
        <v>52481.007134247186</v>
      </c>
      <c r="AH437" s="5">
        <f t="shared" si="441"/>
        <v>52481.007134247186</v>
      </c>
    </row>
    <row r="438" spans="1:34" x14ac:dyDescent="0.35">
      <c r="A438" t="s">
        <v>458</v>
      </c>
      <c r="B438" s="3" t="s">
        <v>1265</v>
      </c>
      <c r="C438" s="4" t="s">
        <v>1263</v>
      </c>
      <c r="D438" s="2">
        <f t="shared" si="391"/>
        <v>248790.79680000001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20739.700799999999</v>
      </c>
      <c r="L438" s="5">
        <v>173194.69440000001</v>
      </c>
      <c r="M438" s="5">
        <v>14447.16</v>
      </c>
      <c r="N438" s="5">
        <v>5671.848</v>
      </c>
      <c r="O438" s="5">
        <v>3574.3343999999997</v>
      </c>
      <c r="P438" s="5">
        <v>7961.9903999999997</v>
      </c>
      <c r="Q438" s="5">
        <v>9010.7471999999998</v>
      </c>
      <c r="R438" s="5">
        <v>12199.824000000001</v>
      </c>
      <c r="S438" s="5">
        <v>1969.0943999999997</v>
      </c>
      <c r="T438" s="5">
        <v>0</v>
      </c>
      <c r="U438" s="5">
        <v>21.403199999999998</v>
      </c>
      <c r="V438" s="5">
        <v>0</v>
      </c>
      <c r="W438" s="5">
        <f t="shared" ref="W438:AH438" si="442">IF(OR((SLOPE($E438:$V438,$E$1:$V$1)*W$1+INTERCEPT($E438:$V438,$E$1:$V$1))&gt;(AVERAGE($E438:$V438)+_xlfn.STDEV.P($E438:$V438)),(SLOPE($E438:$V438,$E$1:$V$1)*W$1+INTERCEPT($E438:$V438,$E$1:$V$1))&lt;(AVERAGE($E438:$V438)-_xlfn.STDEV.P($E438:$V438))),V438,(SLOPE($E438:$V438,$E$1:$V$1)*W$1+INTERCEPT($E438:$V438,$E$1:$V$1)))</f>
        <v>10030.826509803923</v>
      </c>
      <c r="X438" s="5">
        <f t="shared" si="442"/>
        <v>9631.7860441692465</v>
      </c>
      <c r="Y438" s="5">
        <f t="shared" si="442"/>
        <v>9232.7455785345719</v>
      </c>
      <c r="Z438" s="5">
        <f t="shared" si="442"/>
        <v>8833.7051128998974</v>
      </c>
      <c r="AA438" s="5">
        <f t="shared" si="442"/>
        <v>8434.6646472652228</v>
      </c>
      <c r="AB438" s="5">
        <f t="shared" si="442"/>
        <v>8035.6241816305483</v>
      </c>
      <c r="AC438" s="5">
        <f t="shared" si="442"/>
        <v>7636.5837159958719</v>
      </c>
      <c r="AD438" s="5">
        <f t="shared" si="442"/>
        <v>7237.5432503611974</v>
      </c>
      <c r="AE438" s="5">
        <f t="shared" si="442"/>
        <v>6838.5027847265228</v>
      </c>
      <c r="AF438" s="5">
        <f t="shared" si="442"/>
        <v>6439.4623190918483</v>
      </c>
      <c r="AG438" s="5">
        <f t="shared" si="442"/>
        <v>6040.4218534571737</v>
      </c>
      <c r="AH438" s="5">
        <f t="shared" si="442"/>
        <v>5641.3813878224973</v>
      </c>
    </row>
    <row r="439" spans="1:34" x14ac:dyDescent="0.35">
      <c r="A439" t="s">
        <v>459</v>
      </c>
      <c r="B439" s="3" t="s">
        <v>1266</v>
      </c>
      <c r="C439" s="4" t="s">
        <v>1263</v>
      </c>
      <c r="D439" s="2">
        <f t="shared" si="391"/>
        <v>247750.69745381674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58898.473438349793</v>
      </c>
      <c r="N439" s="5">
        <v>0</v>
      </c>
      <c r="O439" s="5">
        <v>0</v>
      </c>
      <c r="P439" s="5">
        <v>156227.33245210134</v>
      </c>
      <c r="Q439" s="5">
        <v>0</v>
      </c>
      <c r="R439" s="5">
        <v>0</v>
      </c>
      <c r="S439" s="5">
        <v>0</v>
      </c>
      <c r="T439" s="5">
        <v>0</v>
      </c>
      <c r="U439" s="5">
        <v>32624.891563365618</v>
      </c>
      <c r="V439" s="5">
        <v>0</v>
      </c>
      <c r="W439" s="5">
        <f t="shared" ref="W439:AH439" si="443">IF(OR((SLOPE($E439:$V439,$E$1:$V$1)*W$1+INTERCEPT($E439:$V439,$E$1:$V$1))&gt;(AVERAGE($E439:$V439)+_xlfn.STDEV.P($E439:$V439)),(SLOPE($E439:$V439,$E$1:$V$1)*W$1+INTERCEPT($E439:$V439,$E$1:$V$1))&lt;(AVERAGE($E439:$V439)-_xlfn.STDEV.P($E439:$V439))),V439,(SLOPE($E439:$V439,$E$1:$V$1)*W$1+INTERCEPT($E439:$V439,$E$1:$V$1)))</f>
        <v>25642.472364486301</v>
      </c>
      <c r="X439" s="5">
        <f t="shared" si="443"/>
        <v>26892.845493766632</v>
      </c>
      <c r="Y439" s="5">
        <f t="shared" si="443"/>
        <v>28143.218623046963</v>
      </c>
      <c r="Z439" s="5">
        <f t="shared" si="443"/>
        <v>29393.591752327295</v>
      </c>
      <c r="AA439" s="5">
        <f t="shared" si="443"/>
        <v>30643.964881607626</v>
      </c>
      <c r="AB439" s="5">
        <f t="shared" si="443"/>
        <v>31894.338010887957</v>
      </c>
      <c r="AC439" s="5">
        <f t="shared" si="443"/>
        <v>33144.711140168292</v>
      </c>
      <c r="AD439" s="5">
        <f t="shared" si="443"/>
        <v>34395.08426944862</v>
      </c>
      <c r="AE439" s="5">
        <f t="shared" si="443"/>
        <v>35645.457398728955</v>
      </c>
      <c r="AF439" s="5">
        <f t="shared" si="443"/>
        <v>36895.830528009283</v>
      </c>
      <c r="AG439" s="5">
        <f t="shared" si="443"/>
        <v>38146.20365728961</v>
      </c>
      <c r="AH439" s="5">
        <f t="shared" si="443"/>
        <v>39396.576786569945</v>
      </c>
    </row>
    <row r="440" spans="1:34" x14ac:dyDescent="0.35">
      <c r="A440" t="s">
        <v>460</v>
      </c>
      <c r="B440" s="3" t="s">
        <v>1265</v>
      </c>
      <c r="C440" s="4" t="s">
        <v>1263</v>
      </c>
      <c r="D440" s="2">
        <f t="shared" si="391"/>
        <v>243209.73600000006</v>
      </c>
      <c r="E440" s="5">
        <v>7363.8180000000011</v>
      </c>
      <c r="F440" s="5">
        <v>11205.81</v>
      </c>
      <c r="G440" s="5">
        <v>10521.819000000003</v>
      </c>
      <c r="H440" s="5">
        <v>15047.802000000001</v>
      </c>
      <c r="I440" s="5">
        <v>18948.005999999998</v>
      </c>
      <c r="J440" s="5">
        <v>7261.9469999999992</v>
      </c>
      <c r="K440" s="5">
        <v>11860.695</v>
      </c>
      <c r="L440" s="5">
        <v>11424.105000000005</v>
      </c>
      <c r="M440" s="5">
        <v>20228.669999999995</v>
      </c>
      <c r="N440" s="5">
        <v>13679.820000000003</v>
      </c>
      <c r="O440" s="5">
        <v>10434.501000000002</v>
      </c>
      <c r="P440" s="5">
        <v>17056.115999999998</v>
      </c>
      <c r="Q440" s="5">
        <v>11715.165000000003</v>
      </c>
      <c r="R440" s="5">
        <v>8426.1870000000017</v>
      </c>
      <c r="S440" s="5">
        <v>14945.931</v>
      </c>
      <c r="T440" s="5">
        <v>16299.360000000002</v>
      </c>
      <c r="U440" s="5">
        <v>19035.323999999997</v>
      </c>
      <c r="V440" s="5">
        <v>17754.660000000003</v>
      </c>
      <c r="W440" s="5">
        <f t="shared" ref="W440:AH440" si="444">IF(OR((SLOPE($E440:$V440,$E$1:$V$1)*W$1+INTERCEPT($E440:$V440,$E$1:$V$1))&gt;(AVERAGE($E440:$V440)+_xlfn.STDEV.P($E440:$V440)),(SLOPE($E440:$V440,$E$1:$V$1)*W$1+INTERCEPT($E440:$V440,$E$1:$V$1))&lt;(AVERAGE($E440:$V440)-_xlfn.STDEV.P($E440:$V440))),V440,(SLOPE($E440:$V440,$E$1:$V$1)*W$1+INTERCEPT($E440:$V440,$E$1:$V$1)))</f>
        <v>16658.809588235301</v>
      </c>
      <c r="X440" s="5">
        <f t="shared" si="444"/>
        <v>16990.08933436533</v>
      </c>
      <c r="Y440" s="5">
        <f t="shared" si="444"/>
        <v>17321.369080495362</v>
      </c>
      <c r="Z440" s="5">
        <f t="shared" si="444"/>
        <v>17321.369080495362</v>
      </c>
      <c r="AA440" s="5">
        <f t="shared" si="444"/>
        <v>17321.369080495362</v>
      </c>
      <c r="AB440" s="5">
        <f t="shared" si="444"/>
        <v>17321.369080495362</v>
      </c>
      <c r="AC440" s="5">
        <f t="shared" si="444"/>
        <v>17321.369080495362</v>
      </c>
      <c r="AD440" s="5">
        <f t="shared" si="444"/>
        <v>17321.369080495362</v>
      </c>
      <c r="AE440" s="5">
        <f t="shared" si="444"/>
        <v>17321.369080495362</v>
      </c>
      <c r="AF440" s="5">
        <f t="shared" si="444"/>
        <v>17321.369080495362</v>
      </c>
      <c r="AG440" s="5">
        <f t="shared" si="444"/>
        <v>17321.369080495362</v>
      </c>
      <c r="AH440" s="5">
        <f t="shared" si="444"/>
        <v>17321.369080495362</v>
      </c>
    </row>
    <row r="441" spans="1:34" x14ac:dyDescent="0.35">
      <c r="A441" t="s">
        <v>461</v>
      </c>
      <c r="B441" s="3" t="s">
        <v>1264</v>
      </c>
      <c r="C441" s="4" t="s">
        <v>1267</v>
      </c>
      <c r="D441" s="2">
        <f t="shared" si="391"/>
        <v>246920.8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246920.8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f t="shared" ref="W441:AH441" si="445">IF(OR((SLOPE($E441:$V441,$E$1:$V$1)*W$1+INTERCEPT($E441:$V441,$E$1:$V$1))&gt;(AVERAGE($E441:$V441)+_xlfn.STDEV.P($E441:$V441)),(SLOPE($E441:$V441,$E$1:$V$1)*W$1+INTERCEPT($E441:$V441,$E$1:$V$1))&lt;(AVERAGE($E441:$V441)-_xlfn.STDEV.P($E441:$V441))),V441,(SLOPE($E441:$V441,$E$1:$V$1)*W$1+INTERCEPT($E441:$V441,$E$1:$V$1)))</f>
        <v>25821.783006535952</v>
      </c>
      <c r="X441" s="5">
        <f t="shared" si="445"/>
        <v>27095.88414172687</v>
      </c>
      <c r="Y441" s="5">
        <f t="shared" si="445"/>
        <v>28369.985276917789</v>
      </c>
      <c r="Z441" s="5">
        <f t="shared" si="445"/>
        <v>29644.086412108707</v>
      </c>
      <c r="AA441" s="5">
        <f t="shared" si="445"/>
        <v>30918.187547299625</v>
      </c>
      <c r="AB441" s="5">
        <f t="shared" si="445"/>
        <v>32192.288682490544</v>
      </c>
      <c r="AC441" s="5">
        <f t="shared" si="445"/>
        <v>33466.389817681469</v>
      </c>
      <c r="AD441" s="5">
        <f t="shared" si="445"/>
        <v>34740.49095287238</v>
      </c>
      <c r="AE441" s="5">
        <f t="shared" si="445"/>
        <v>36014.592088063306</v>
      </c>
      <c r="AF441" s="5">
        <f t="shared" si="445"/>
        <v>37288.693223254224</v>
      </c>
      <c r="AG441" s="5">
        <f t="shared" si="445"/>
        <v>38562.794358445142</v>
      </c>
      <c r="AH441" s="5">
        <f t="shared" si="445"/>
        <v>39836.895493636061</v>
      </c>
    </row>
    <row r="442" spans="1:34" x14ac:dyDescent="0.35">
      <c r="A442" t="s">
        <v>462</v>
      </c>
      <c r="B442" s="3" t="s">
        <v>1266</v>
      </c>
      <c r="C442" s="4" t="s">
        <v>1267</v>
      </c>
      <c r="D442" s="2">
        <f t="shared" si="391"/>
        <v>246361.24629658187</v>
      </c>
      <c r="E442" s="5">
        <v>0</v>
      </c>
      <c r="F442" s="5">
        <v>0</v>
      </c>
      <c r="G442" s="5">
        <v>0</v>
      </c>
      <c r="H442" s="5">
        <v>41150.660421963723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47184.387978015809</v>
      </c>
      <c r="P442" s="5">
        <v>34606.141115134735</v>
      </c>
      <c r="Q442" s="5">
        <v>0</v>
      </c>
      <c r="R442" s="5">
        <v>0</v>
      </c>
      <c r="S442" s="5">
        <v>0</v>
      </c>
      <c r="T442" s="5">
        <v>0</v>
      </c>
      <c r="U442" s="5">
        <v>123420.05678146762</v>
      </c>
      <c r="V442" s="5">
        <v>0</v>
      </c>
      <c r="W442" s="5">
        <f t="shared" ref="W442:AH442" si="446">IF(OR((SLOPE($E442:$V442,$E$1:$V$1)*W$1+INTERCEPT($E442:$V442,$E$1:$V$1))&gt;(AVERAGE($E442:$V442)+_xlfn.STDEV.P($E442:$V442)),(SLOPE($E442:$V442,$E$1:$V$1)*W$1+INTERCEPT($E442:$V442,$E$1:$V$1))&lt;(AVERAGE($E442:$V442)-_xlfn.STDEV.P($E442:$V442))),V442,(SLOPE($E442:$V442,$E$1:$V$1)*W$1+INTERCEPT($E442:$V442,$E$1:$V$1)))</f>
        <v>30483.083518994434</v>
      </c>
      <c r="X442" s="5">
        <f t="shared" si="446"/>
        <v>32251.120109902724</v>
      </c>
      <c r="Y442" s="5">
        <f t="shared" si="446"/>
        <v>34019.156700811014</v>
      </c>
      <c r="Z442" s="5">
        <f t="shared" si="446"/>
        <v>35787.193291719304</v>
      </c>
      <c r="AA442" s="5">
        <f t="shared" si="446"/>
        <v>37555.229882627595</v>
      </c>
      <c r="AB442" s="5">
        <f t="shared" si="446"/>
        <v>39323.266473535885</v>
      </c>
      <c r="AC442" s="5">
        <f t="shared" si="446"/>
        <v>41091.303064444182</v>
      </c>
      <c r="AD442" s="5">
        <f t="shared" si="446"/>
        <v>42859.339655352473</v>
      </c>
      <c r="AE442" s="5">
        <f t="shared" si="446"/>
        <v>42859.339655352473</v>
      </c>
      <c r="AF442" s="5">
        <f t="shared" si="446"/>
        <v>42859.339655352473</v>
      </c>
      <c r="AG442" s="5">
        <f t="shared" si="446"/>
        <v>42859.339655352473</v>
      </c>
      <c r="AH442" s="5">
        <f t="shared" si="446"/>
        <v>42859.339655352473</v>
      </c>
    </row>
    <row r="443" spans="1:34" x14ac:dyDescent="0.35">
      <c r="A443" t="s">
        <v>463</v>
      </c>
      <c r="B443" s="3" t="s">
        <v>1265</v>
      </c>
      <c r="C443" s="4" t="s">
        <v>1263</v>
      </c>
      <c r="D443" s="2">
        <f t="shared" si="391"/>
        <v>242674.336513099</v>
      </c>
      <c r="E443" s="5">
        <v>10434.71574216407</v>
      </c>
      <c r="F443" s="5">
        <v>35532.984516390403</v>
      </c>
      <c r="G443" s="5">
        <v>18217.448777103844</v>
      </c>
      <c r="H443" s="5">
        <v>7418.3840593976956</v>
      </c>
      <c r="I443" s="5">
        <v>8433.7828436952877</v>
      </c>
      <c r="J443" s="5">
        <v>4802.2389563250772</v>
      </c>
      <c r="K443" s="5">
        <v>4419.971178707161</v>
      </c>
      <c r="L443" s="5">
        <v>5787.7730704962705</v>
      </c>
      <c r="M443" s="5">
        <v>18635.554158873441</v>
      </c>
      <c r="N443" s="5">
        <v>14066.259629534281</v>
      </c>
      <c r="O443" s="5">
        <v>13349.507546500688</v>
      </c>
      <c r="P443" s="5">
        <v>19740.546953550231</v>
      </c>
      <c r="Q443" s="5">
        <v>35359.769429657295</v>
      </c>
      <c r="R443" s="5">
        <v>13725.802390093319</v>
      </c>
      <c r="S443" s="5">
        <v>12023.516192888539</v>
      </c>
      <c r="T443" s="5">
        <v>6898.7387991983396</v>
      </c>
      <c r="U443" s="5">
        <v>8212.7842847599277</v>
      </c>
      <c r="V443" s="5">
        <v>5614.5579837631494</v>
      </c>
      <c r="W443" s="5">
        <f t="shared" ref="W443:AH443" si="447">IF(OR((SLOPE($E443:$V443,$E$1:$V$1)*W$1+INTERCEPT($E443:$V443,$E$1:$V$1))&gt;(AVERAGE($E443:$V443)+_xlfn.STDEV.P($E443:$V443)),(SLOPE($E443:$V443,$E$1:$V$1)*W$1+INTERCEPT($E443:$V443,$E$1:$V$1))&lt;(AVERAGE($E443:$V443)-_xlfn.STDEV.P($E443:$V443))),V443,(SLOPE($E443:$V443,$E$1:$V$1)*W$1+INTERCEPT($E443:$V443,$E$1:$V$1)))</f>
        <v>11207.56655849392</v>
      </c>
      <c r="X443" s="5">
        <f t="shared" si="447"/>
        <v>10968.162240013167</v>
      </c>
      <c r="Y443" s="5">
        <f t="shared" si="447"/>
        <v>10728.757921532417</v>
      </c>
      <c r="Z443" s="5">
        <f t="shared" si="447"/>
        <v>10489.353603051666</v>
      </c>
      <c r="AA443" s="5">
        <f t="shared" si="447"/>
        <v>10249.949284570914</v>
      </c>
      <c r="AB443" s="5">
        <f t="shared" si="447"/>
        <v>10010.544966090163</v>
      </c>
      <c r="AC443" s="5">
        <f t="shared" si="447"/>
        <v>9771.1406476094126</v>
      </c>
      <c r="AD443" s="5">
        <f t="shared" si="447"/>
        <v>9531.7363291286601</v>
      </c>
      <c r="AE443" s="5">
        <f t="shared" si="447"/>
        <v>9292.3320106479114</v>
      </c>
      <c r="AF443" s="5">
        <f t="shared" si="447"/>
        <v>9052.927692167159</v>
      </c>
      <c r="AG443" s="5">
        <f t="shared" si="447"/>
        <v>8813.5233736864084</v>
      </c>
      <c r="AH443" s="5">
        <f t="shared" si="447"/>
        <v>8574.1190552056578</v>
      </c>
    </row>
    <row r="444" spans="1:34" x14ac:dyDescent="0.35">
      <c r="A444" t="s">
        <v>464</v>
      </c>
      <c r="B444" s="3" t="s">
        <v>1262</v>
      </c>
      <c r="C444" s="4" t="s">
        <v>1263</v>
      </c>
      <c r="D444" s="2">
        <f t="shared" si="391"/>
        <v>243011.08488083025</v>
      </c>
      <c r="E444" s="5">
        <v>11359.138833510073</v>
      </c>
      <c r="F444" s="5">
        <v>15296.264237162273</v>
      </c>
      <c r="G444" s="5">
        <v>14072.563098189292</v>
      </c>
      <c r="H444" s="5">
        <v>11492.149826876703</v>
      </c>
      <c r="I444" s="5">
        <v>13567.121323396106</v>
      </c>
      <c r="J444" s="5">
        <v>13726.734515436057</v>
      </c>
      <c r="K444" s="5">
        <v>9975.8245024971366</v>
      </c>
      <c r="L444" s="5">
        <v>12503.033376463076</v>
      </c>
      <c r="M444" s="5">
        <v>22292.642488246944</v>
      </c>
      <c r="N444" s="5">
        <v>12104.000396363192</v>
      </c>
      <c r="O444" s="5">
        <v>17397.837932355007</v>
      </c>
      <c r="P444" s="5">
        <v>11891.182806976589</v>
      </c>
      <c r="Q444" s="5">
        <v>11970.989402996564</v>
      </c>
      <c r="R444" s="5">
        <v>9284.1673369906675</v>
      </c>
      <c r="S444" s="5">
        <v>18302.312687248086</v>
      </c>
      <c r="T444" s="5">
        <v>10241.846489230396</v>
      </c>
      <c r="U444" s="5">
        <v>18089.495097861472</v>
      </c>
      <c r="V444" s="5">
        <v>9443.7805290306223</v>
      </c>
      <c r="W444" s="5">
        <f t="shared" ref="W444:AH444" si="448">IF(OR((SLOPE($E444:$V444,$E$1:$V$1)*W$1+INTERCEPT($E444:$V444,$E$1:$V$1))&gt;(AVERAGE($E444:$V444)+_xlfn.STDEV.P($E444:$V444)),(SLOPE($E444:$V444,$E$1:$V$1)*W$1+INTERCEPT($E444:$V444,$E$1:$V$1))&lt;(AVERAGE($E444:$V444)-_xlfn.STDEV.P($E444:$V444))),V444,(SLOPE($E444:$V444,$E$1:$V$1)*W$1+INTERCEPT($E444:$V444,$E$1:$V$1)))</f>
        <v>13477.925716079662</v>
      </c>
      <c r="X444" s="5">
        <f t="shared" si="448"/>
        <v>13475.53728338144</v>
      </c>
      <c r="Y444" s="5">
        <f t="shared" si="448"/>
        <v>13473.148850683216</v>
      </c>
      <c r="Z444" s="5">
        <f t="shared" si="448"/>
        <v>13470.760417984991</v>
      </c>
      <c r="AA444" s="5">
        <f t="shared" si="448"/>
        <v>13468.371985286767</v>
      </c>
      <c r="AB444" s="5">
        <f t="shared" si="448"/>
        <v>13465.983552588543</v>
      </c>
      <c r="AC444" s="5">
        <f t="shared" si="448"/>
        <v>13463.595119890319</v>
      </c>
      <c r="AD444" s="5">
        <f t="shared" si="448"/>
        <v>13461.206687192094</v>
      </c>
      <c r="AE444" s="5">
        <f t="shared" si="448"/>
        <v>13458.81825449387</v>
      </c>
      <c r="AF444" s="5">
        <f t="shared" si="448"/>
        <v>13456.429821795646</v>
      </c>
      <c r="AG444" s="5">
        <f t="shared" si="448"/>
        <v>13454.041389097421</v>
      </c>
      <c r="AH444" s="5">
        <f t="shared" si="448"/>
        <v>13451.652956399197</v>
      </c>
    </row>
    <row r="445" spans="1:34" x14ac:dyDescent="0.35">
      <c r="A445" t="s">
        <v>465</v>
      </c>
      <c r="B445" s="3" t="s">
        <v>1262</v>
      </c>
      <c r="C445" s="4" t="s">
        <v>1268</v>
      </c>
      <c r="D445" s="2">
        <f t="shared" si="391"/>
        <v>243012.03040799993</v>
      </c>
      <c r="E445" s="5">
        <v>0</v>
      </c>
      <c r="F445" s="5">
        <v>0</v>
      </c>
      <c r="G445" s="5">
        <v>185882.77360799996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57129.256799999988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f t="shared" ref="W445:AH445" si="449">IF(OR((SLOPE($E445:$V445,$E$1:$V$1)*W$1+INTERCEPT($E445:$V445,$E$1:$V$1))&gt;(AVERAGE($E445:$V445)+_xlfn.STDEV.P($E445:$V445)),(SLOPE($E445:$V445,$E$1:$V$1)*W$1+INTERCEPT($E445:$V445,$E$1:$V$1))&lt;(AVERAGE($E445:$V445)-_xlfn.STDEV.P($E445:$V445))),V445,(SLOPE($E445:$V445,$E$1:$V$1)*W$1+INTERCEPT($E445:$V445,$E$1:$V$1)))</f>
        <v>-9630.1826254117623</v>
      </c>
      <c r="X445" s="5">
        <f t="shared" si="449"/>
        <v>-12065.009044507737</v>
      </c>
      <c r="Y445" s="5">
        <f t="shared" si="449"/>
        <v>-14499.835463603711</v>
      </c>
      <c r="Z445" s="5">
        <f t="shared" si="449"/>
        <v>-16934.661882699686</v>
      </c>
      <c r="AA445" s="5">
        <f t="shared" si="449"/>
        <v>-19369.48830179566</v>
      </c>
      <c r="AB445" s="5">
        <f t="shared" si="449"/>
        <v>-21804.314720891642</v>
      </c>
      <c r="AC445" s="5">
        <f t="shared" si="449"/>
        <v>-24239.141139987616</v>
      </c>
      <c r="AD445" s="5">
        <f t="shared" si="449"/>
        <v>-26673.96755908359</v>
      </c>
      <c r="AE445" s="5">
        <f t="shared" si="449"/>
        <v>-29108.793978179565</v>
      </c>
      <c r="AF445" s="5">
        <f t="shared" si="449"/>
        <v>-29108.793978179565</v>
      </c>
      <c r="AG445" s="5">
        <f t="shared" si="449"/>
        <v>-29108.793978179565</v>
      </c>
      <c r="AH445" s="5">
        <f t="shared" si="449"/>
        <v>-29108.793978179565</v>
      </c>
    </row>
    <row r="446" spans="1:34" x14ac:dyDescent="0.35">
      <c r="A446" t="s">
        <v>466</v>
      </c>
      <c r="B446" s="3" t="s">
        <v>1265</v>
      </c>
      <c r="C446" s="4" t="s">
        <v>1267</v>
      </c>
      <c r="D446" s="2">
        <f t="shared" si="391"/>
        <v>241315.19999999998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241315.19999999998</v>
      </c>
      <c r="W446" s="5">
        <f t="shared" ref="W446:AH446" si="450">IF(OR((SLOPE($E446:$V446,$E$1:$V$1)*W$1+INTERCEPT($E446:$V446,$E$1:$V$1))&gt;(AVERAGE($E446:$V446)+_xlfn.STDEV.P($E446:$V446)),(SLOPE($E446:$V446,$E$1:$V$1)*W$1+INTERCEPT($E446:$V446,$E$1:$V$1))&lt;(AVERAGE($E446:$V446)-_xlfn.STDEV.P($E446:$V446))),V446,(SLOPE($E446:$V446,$E$1:$V$1)*W$1+INTERCEPT($E446:$V446,$E$1:$V$1)))</f>
        <v>53625.599999999999</v>
      </c>
      <c r="X446" s="5">
        <f t="shared" si="450"/>
        <v>57859.19999999999</v>
      </c>
      <c r="Y446" s="5">
        <f t="shared" si="450"/>
        <v>62092.799999999996</v>
      </c>
      <c r="Z446" s="5">
        <f t="shared" si="450"/>
        <v>66326.399999999994</v>
      </c>
      <c r="AA446" s="5">
        <f t="shared" si="450"/>
        <v>66326.399999999994</v>
      </c>
      <c r="AB446" s="5">
        <f t="shared" si="450"/>
        <v>66326.399999999994</v>
      </c>
      <c r="AC446" s="5">
        <f t="shared" si="450"/>
        <v>66326.399999999994</v>
      </c>
      <c r="AD446" s="5">
        <f t="shared" si="450"/>
        <v>66326.399999999994</v>
      </c>
      <c r="AE446" s="5">
        <f t="shared" si="450"/>
        <v>66326.399999999994</v>
      </c>
      <c r="AF446" s="5">
        <f t="shared" si="450"/>
        <v>66326.399999999994</v>
      </c>
      <c r="AG446" s="5">
        <f t="shared" si="450"/>
        <v>66326.399999999994</v>
      </c>
      <c r="AH446" s="5">
        <f t="shared" si="450"/>
        <v>66326.399999999994</v>
      </c>
    </row>
    <row r="447" spans="1:34" x14ac:dyDescent="0.35">
      <c r="A447" t="s">
        <v>467</v>
      </c>
      <c r="B447" s="3" t="s">
        <v>1266</v>
      </c>
      <c r="C447" s="4" t="s">
        <v>1267</v>
      </c>
      <c r="D447" s="2">
        <f t="shared" si="391"/>
        <v>241188.99257601899</v>
      </c>
      <c r="E447" s="5">
        <v>0</v>
      </c>
      <c r="F447" s="5">
        <v>0</v>
      </c>
      <c r="G447" s="5">
        <v>112166.60910348011</v>
      </c>
      <c r="H447" s="5">
        <v>0</v>
      </c>
      <c r="I447" s="5">
        <v>0</v>
      </c>
      <c r="J447" s="5">
        <v>33278.92274246554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95743.460730073362</v>
      </c>
      <c r="W447" s="5">
        <f t="shared" ref="W447:AH447" si="451">IF(OR((SLOPE($E447:$V447,$E$1:$V$1)*W$1+INTERCEPT($E447:$V447,$E$1:$V$1))&gt;(AVERAGE($E447:$V447)+_xlfn.STDEV.P($E447:$V447)),(SLOPE($E447:$V447,$E$1:$V$1)*W$1+INTERCEPT($E447:$V447,$E$1:$V$1))&lt;(AVERAGE($E447:$V447)-_xlfn.STDEV.P($E447:$V447))),V447,(SLOPE($E447:$V447,$E$1:$V$1)*W$1+INTERCEPT($E447:$V447,$E$1:$V$1)))</f>
        <v>12777.03999476655</v>
      </c>
      <c r="X447" s="5">
        <f t="shared" si="451"/>
        <v>12711.529628274029</v>
      </c>
      <c r="Y447" s="5">
        <f t="shared" si="451"/>
        <v>12646.019261781508</v>
      </c>
      <c r="Z447" s="5">
        <f t="shared" si="451"/>
        <v>12580.508895288987</v>
      </c>
      <c r="AA447" s="5">
        <f t="shared" si="451"/>
        <v>12514.998528796466</v>
      </c>
      <c r="AB447" s="5">
        <f t="shared" si="451"/>
        <v>12449.488162303946</v>
      </c>
      <c r="AC447" s="5">
        <f t="shared" si="451"/>
        <v>12383.977795811425</v>
      </c>
      <c r="AD447" s="5">
        <f t="shared" si="451"/>
        <v>12318.467429318904</v>
      </c>
      <c r="AE447" s="5">
        <f t="shared" si="451"/>
        <v>12252.957062826383</v>
      </c>
      <c r="AF447" s="5">
        <f t="shared" si="451"/>
        <v>12187.446696333862</v>
      </c>
      <c r="AG447" s="5">
        <f t="shared" si="451"/>
        <v>12121.936329841341</v>
      </c>
      <c r="AH447" s="5">
        <f t="shared" si="451"/>
        <v>12056.42596334882</v>
      </c>
    </row>
    <row r="448" spans="1:34" x14ac:dyDescent="0.35">
      <c r="A448" t="s">
        <v>468</v>
      </c>
      <c r="B448" s="3" t="s">
        <v>1264</v>
      </c>
      <c r="C448" s="4" t="s">
        <v>1263</v>
      </c>
      <c r="D448" s="2">
        <f t="shared" si="391"/>
        <v>239744.43068678165</v>
      </c>
      <c r="E448" s="5">
        <v>47758.921393958037</v>
      </c>
      <c r="F448" s="5">
        <v>35041.483035582925</v>
      </c>
      <c r="G448" s="5">
        <v>47975.659691795008</v>
      </c>
      <c r="H448" s="5">
        <v>33339.449931980853</v>
      </c>
      <c r="I448" s="5">
        <v>28877.190858866783</v>
      </c>
      <c r="J448" s="5">
        <v>43156.419892831807</v>
      </c>
      <c r="K448" s="5">
        <v>3595.3058817661954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f t="shared" ref="W448:AH448" si="452">IF(OR((SLOPE($E448:$V448,$E$1:$V$1)*W$1+INTERCEPT($E448:$V448,$E$1:$V$1))&gt;(AVERAGE($E448:$V448)+_xlfn.STDEV.P($E448:$V448)),(SLOPE($E448:$V448,$E$1:$V$1)*W$1+INTERCEPT($E448:$V448,$E$1:$V$1))&lt;(AVERAGE($E448:$V448)-_xlfn.STDEV.P($E448:$V448))),V448,(SLOPE($E448:$V448,$E$1:$V$1)*W$1+INTERCEPT($E448:$V448,$E$1:$V$1)))</f>
        <v>0</v>
      </c>
      <c r="X448" s="5">
        <f t="shared" si="452"/>
        <v>0</v>
      </c>
      <c r="Y448" s="5">
        <f t="shared" si="452"/>
        <v>0</v>
      </c>
      <c r="Z448" s="5">
        <f t="shared" si="452"/>
        <v>0</v>
      </c>
      <c r="AA448" s="5">
        <f t="shared" si="452"/>
        <v>0</v>
      </c>
      <c r="AB448" s="5">
        <f t="shared" si="452"/>
        <v>0</v>
      </c>
      <c r="AC448" s="5">
        <f t="shared" si="452"/>
        <v>0</v>
      </c>
      <c r="AD448" s="5">
        <f t="shared" si="452"/>
        <v>0</v>
      </c>
      <c r="AE448" s="5">
        <f t="shared" si="452"/>
        <v>0</v>
      </c>
      <c r="AF448" s="5">
        <f t="shared" si="452"/>
        <v>0</v>
      </c>
      <c r="AG448" s="5">
        <f t="shared" si="452"/>
        <v>0</v>
      </c>
      <c r="AH448" s="5">
        <f t="shared" si="452"/>
        <v>0</v>
      </c>
    </row>
    <row r="449" spans="1:34" x14ac:dyDescent="0.35">
      <c r="A449" t="s">
        <v>469</v>
      </c>
      <c r="B449" s="3" t="s">
        <v>1264</v>
      </c>
      <c r="C449" s="4" t="s">
        <v>1263</v>
      </c>
      <c r="D449" s="2">
        <f t="shared" si="391"/>
        <v>238667.92600000001</v>
      </c>
      <c r="E449" s="5">
        <v>0</v>
      </c>
      <c r="F449" s="5">
        <v>0</v>
      </c>
      <c r="G449" s="5">
        <v>3589.1519999999996</v>
      </c>
      <c r="H449" s="5">
        <v>5640.0959999999995</v>
      </c>
      <c r="I449" s="5">
        <v>11387.011999999999</v>
      </c>
      <c r="J449" s="5">
        <v>10511.088</v>
      </c>
      <c r="K449" s="5">
        <v>14100.24</v>
      </c>
      <c r="L449" s="5">
        <v>10244.037999999999</v>
      </c>
      <c r="M449" s="5">
        <v>11408.376</v>
      </c>
      <c r="N449" s="5">
        <v>7178.3040000000001</v>
      </c>
      <c r="O449" s="5">
        <v>14100.24</v>
      </c>
      <c r="P449" s="5">
        <v>8460.1440000000002</v>
      </c>
      <c r="Q449" s="5">
        <v>6665.5679999999993</v>
      </c>
      <c r="R449" s="5">
        <v>14612.976000000001</v>
      </c>
      <c r="S449" s="5">
        <v>47940.815999999999</v>
      </c>
      <c r="T449" s="5">
        <v>30774.842000000001</v>
      </c>
      <c r="U449" s="5">
        <v>13854.554</v>
      </c>
      <c r="V449" s="5">
        <v>28200.48</v>
      </c>
      <c r="W449" s="5">
        <f t="shared" ref="W449:AH449" si="453">IF(OR((SLOPE($E449:$V449,$E$1:$V$1)*W$1+INTERCEPT($E449:$V449,$E$1:$V$1))&gt;(AVERAGE($E449:$V449)+_xlfn.STDEV.P($E449:$V449)),(SLOPE($E449:$V449,$E$1:$V$1)*W$1+INTERCEPT($E449:$V449,$E$1:$V$1))&lt;(AVERAGE($E449:$V449)-_xlfn.STDEV.P($E449:$V449))),V449,(SLOPE($E449:$V449,$E$1:$V$1)*W$1+INTERCEPT($E449:$V449,$E$1:$V$1)))</f>
        <v>28200.48</v>
      </c>
      <c r="X449" s="5">
        <f t="shared" si="453"/>
        <v>28200.48</v>
      </c>
      <c r="Y449" s="5">
        <f t="shared" si="453"/>
        <v>28200.48</v>
      </c>
      <c r="Z449" s="5">
        <f t="shared" si="453"/>
        <v>28200.48</v>
      </c>
      <c r="AA449" s="5">
        <f t="shared" si="453"/>
        <v>28200.48</v>
      </c>
      <c r="AB449" s="5">
        <f t="shared" si="453"/>
        <v>28200.48</v>
      </c>
      <c r="AC449" s="5">
        <f t="shared" si="453"/>
        <v>28200.48</v>
      </c>
      <c r="AD449" s="5">
        <f t="shared" si="453"/>
        <v>28200.48</v>
      </c>
      <c r="AE449" s="5">
        <f t="shared" si="453"/>
        <v>28200.48</v>
      </c>
      <c r="AF449" s="5">
        <f t="shared" si="453"/>
        <v>28200.48</v>
      </c>
      <c r="AG449" s="5">
        <f t="shared" si="453"/>
        <v>28200.48</v>
      </c>
      <c r="AH449" s="5">
        <f t="shared" si="453"/>
        <v>28200.48</v>
      </c>
    </row>
    <row r="450" spans="1:34" x14ac:dyDescent="0.35">
      <c r="A450" t="s">
        <v>470</v>
      </c>
      <c r="B450" s="3" t="s">
        <v>1266</v>
      </c>
      <c r="C450" s="4" t="s">
        <v>1267</v>
      </c>
      <c r="D450" s="2">
        <f t="shared" si="391"/>
        <v>238122.75238561392</v>
      </c>
      <c r="E450" s="5">
        <v>0</v>
      </c>
      <c r="F450" s="5">
        <v>0</v>
      </c>
      <c r="G450" s="5">
        <v>59742.824178706913</v>
      </c>
      <c r="H450" s="5">
        <v>0</v>
      </c>
      <c r="I450" s="5">
        <v>0</v>
      </c>
      <c r="J450" s="5">
        <v>120183.92962832934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58195.998578577644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f t="shared" ref="W450:AH450" si="454">IF(OR((SLOPE($E450:$V450,$E$1:$V$1)*W$1+INTERCEPT($E450:$V450,$E$1:$V$1))&gt;(AVERAGE($E450:$V450)+_xlfn.STDEV.P($E450:$V450)),(SLOPE($E450:$V450,$E$1:$V$1)*W$1+INTERCEPT($E450:$V450,$E$1:$V$1))&lt;(AVERAGE($E450:$V450)-_xlfn.STDEV.P($E450:$V450))),V450,(SLOPE($E450:$V450,$E$1:$V$1)*W$1+INTERCEPT($E450:$V450,$E$1:$V$1)))</f>
        <v>219.58857539090241</v>
      </c>
      <c r="X450" s="5">
        <f t="shared" si="454"/>
        <v>-1149.8275534311906</v>
      </c>
      <c r="Y450" s="5">
        <f t="shared" si="454"/>
        <v>-2519.24368225328</v>
      </c>
      <c r="Z450" s="5">
        <f t="shared" si="454"/>
        <v>-3888.659811075373</v>
      </c>
      <c r="AA450" s="5">
        <f t="shared" si="454"/>
        <v>-5258.075939897466</v>
      </c>
      <c r="AB450" s="5">
        <f t="shared" si="454"/>
        <v>-6627.4920687195554</v>
      </c>
      <c r="AC450" s="5">
        <f t="shared" si="454"/>
        <v>-7996.9081975416484</v>
      </c>
      <c r="AD450" s="5">
        <f t="shared" si="454"/>
        <v>-9366.3243263637414</v>
      </c>
      <c r="AE450" s="5">
        <f t="shared" si="454"/>
        <v>-10735.740455185834</v>
      </c>
      <c r="AF450" s="5">
        <f t="shared" si="454"/>
        <v>-12105.156584007927</v>
      </c>
      <c r="AG450" s="5">
        <f t="shared" si="454"/>
        <v>-13474.572712830013</v>
      </c>
      <c r="AH450" s="5">
        <f t="shared" si="454"/>
        <v>-14843.988841652106</v>
      </c>
    </row>
    <row r="451" spans="1:34" x14ac:dyDescent="0.35">
      <c r="A451" t="s">
        <v>471</v>
      </c>
      <c r="B451" s="3" t="s">
        <v>1264</v>
      </c>
      <c r="C451" s="4" t="s">
        <v>1263</v>
      </c>
      <c r="D451" s="2">
        <f t="shared" si="391"/>
        <v>236737.62000000002</v>
      </c>
      <c r="E451" s="5">
        <v>3448.6200000000003</v>
      </c>
      <c r="F451" s="5">
        <v>12901.896000000001</v>
      </c>
      <c r="G451" s="5">
        <v>16857.666000000001</v>
      </c>
      <c r="H451" s="5">
        <v>13693.050000000001</v>
      </c>
      <c r="I451" s="5">
        <v>2677.752</v>
      </c>
      <c r="J451" s="5">
        <v>11157.300000000001</v>
      </c>
      <c r="K451" s="5">
        <v>13794.48</v>
      </c>
      <c r="L451" s="5">
        <v>12313.601999999999</v>
      </c>
      <c r="M451" s="5">
        <v>16431.66</v>
      </c>
      <c r="N451" s="5">
        <v>26006.652000000006</v>
      </c>
      <c r="O451" s="5">
        <v>20286.000000000004</v>
      </c>
      <c r="P451" s="5">
        <v>40166.280000000013</v>
      </c>
      <c r="Q451" s="5">
        <v>12273.03</v>
      </c>
      <c r="R451" s="5">
        <v>13023.612000000003</v>
      </c>
      <c r="S451" s="5">
        <v>20286.000000000011</v>
      </c>
      <c r="T451" s="5">
        <v>1420.02</v>
      </c>
      <c r="U451" s="5">
        <v>0</v>
      </c>
      <c r="V451" s="5">
        <v>0</v>
      </c>
      <c r="W451" s="5">
        <f t="shared" ref="W451:AH451" si="455">IF(OR((SLOPE($E451:$V451,$E$1:$V$1)*W$1+INTERCEPT($E451:$V451,$E$1:$V$1))&gt;(AVERAGE($E451:$V451)+_xlfn.STDEV.P($E451:$V451)),(SLOPE($E451:$V451,$E$1:$V$1)*W$1+INTERCEPT($E451:$V451,$E$1:$V$1))&lt;(AVERAGE($E451:$V451)-_xlfn.STDEV.P($E451:$V451))),V451,(SLOPE($E451:$V451,$E$1:$V$1)*W$1+INTERCEPT($E451:$V451,$E$1:$V$1)))</f>
        <v>12033.973411764709</v>
      </c>
      <c r="X451" s="5">
        <f t="shared" si="455"/>
        <v>11916.276928792573</v>
      </c>
      <c r="Y451" s="5">
        <f t="shared" si="455"/>
        <v>11798.580445820437</v>
      </c>
      <c r="Z451" s="5">
        <f t="shared" si="455"/>
        <v>11680.883962848302</v>
      </c>
      <c r="AA451" s="5">
        <f t="shared" si="455"/>
        <v>11563.187479876166</v>
      </c>
      <c r="AB451" s="5">
        <f t="shared" si="455"/>
        <v>11445.490996904029</v>
      </c>
      <c r="AC451" s="5">
        <f t="shared" si="455"/>
        <v>11327.794513931894</v>
      </c>
      <c r="AD451" s="5">
        <f t="shared" si="455"/>
        <v>11210.098030959758</v>
      </c>
      <c r="AE451" s="5">
        <f t="shared" si="455"/>
        <v>11092.401547987622</v>
      </c>
      <c r="AF451" s="5">
        <f t="shared" si="455"/>
        <v>10974.705065015485</v>
      </c>
      <c r="AG451" s="5">
        <f t="shared" si="455"/>
        <v>10857.008582043349</v>
      </c>
      <c r="AH451" s="5">
        <f t="shared" si="455"/>
        <v>10739.312099071212</v>
      </c>
    </row>
    <row r="452" spans="1:34" x14ac:dyDescent="0.35">
      <c r="A452" t="s">
        <v>472</v>
      </c>
      <c r="B452" s="3" t="s">
        <v>1266</v>
      </c>
      <c r="C452" s="4" t="s">
        <v>1263</v>
      </c>
      <c r="D452" s="2">
        <f t="shared" ref="D452:D515" si="456">SUM(E452:V452)</f>
        <v>236617.34223124688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60066.425554838599</v>
      </c>
      <c r="K452" s="5">
        <v>0</v>
      </c>
      <c r="L452" s="5">
        <v>0</v>
      </c>
      <c r="M452" s="5">
        <v>0</v>
      </c>
      <c r="N452" s="5">
        <v>0</v>
      </c>
      <c r="O452" s="5">
        <v>59987.517005477479</v>
      </c>
      <c r="P452" s="5">
        <v>0</v>
      </c>
      <c r="Q452" s="5">
        <v>0</v>
      </c>
      <c r="R452" s="5">
        <v>55695.510810816675</v>
      </c>
      <c r="S452" s="5">
        <v>0</v>
      </c>
      <c r="T452" s="5">
        <v>0</v>
      </c>
      <c r="U452" s="5">
        <v>0</v>
      </c>
      <c r="V452" s="5">
        <v>60867.888860114123</v>
      </c>
      <c r="W452" s="5">
        <f t="shared" ref="W452:AH452" si="457">IF(OR((SLOPE($E452:$V452,$E$1:$V$1)*W$1+INTERCEPT($E452:$V452,$E$1:$V$1))&gt;(AVERAGE($E452:$V452)+_xlfn.STDEV.P($E452:$V452)),(SLOPE($E452:$V452,$E$1:$V$1)*W$1+INTERCEPT($E452:$V452,$E$1:$V$1))&lt;(AVERAGE($E452:$V452)-_xlfn.STDEV.P($E452:$V452))),V452,(SLOPE($E452:$V452,$E$1:$V$1)*W$1+INTERCEPT($E452:$V452,$E$1:$V$1)))</f>
        <v>25846.49888263645</v>
      </c>
      <c r="X452" s="5">
        <f t="shared" si="457"/>
        <v>27183.455827994403</v>
      </c>
      <c r="Y452" s="5">
        <f t="shared" si="457"/>
        <v>28520.412773352349</v>
      </c>
      <c r="Z452" s="5">
        <f t="shared" si="457"/>
        <v>29857.369718710295</v>
      </c>
      <c r="AA452" s="5">
        <f t="shared" si="457"/>
        <v>31194.326664068249</v>
      </c>
      <c r="AB452" s="5">
        <f t="shared" si="457"/>
        <v>32531.283609426195</v>
      </c>
      <c r="AC452" s="5">
        <f t="shared" si="457"/>
        <v>33868.240554784141</v>
      </c>
      <c r="AD452" s="5">
        <f t="shared" si="457"/>
        <v>35205.197500142094</v>
      </c>
      <c r="AE452" s="5">
        <f t="shared" si="457"/>
        <v>36542.15444550004</v>
      </c>
      <c r="AF452" s="5">
        <f t="shared" si="457"/>
        <v>36542.15444550004</v>
      </c>
      <c r="AG452" s="5">
        <f t="shared" si="457"/>
        <v>36542.15444550004</v>
      </c>
      <c r="AH452" s="5">
        <f t="shared" si="457"/>
        <v>36542.15444550004</v>
      </c>
    </row>
    <row r="453" spans="1:34" x14ac:dyDescent="0.35">
      <c r="A453" t="s">
        <v>473</v>
      </c>
      <c r="B453" s="3" t="s">
        <v>1266</v>
      </c>
      <c r="C453" s="4" t="s">
        <v>1266</v>
      </c>
      <c r="D453" s="2">
        <f t="shared" si="456"/>
        <v>235200</v>
      </c>
      <c r="E453" s="5">
        <v>0</v>
      </c>
      <c r="F453" s="5">
        <v>117600</v>
      </c>
      <c r="G453" s="5">
        <v>117600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f t="shared" ref="W453:AH453" si="458">IF(OR((SLOPE($E453:$V453,$E$1:$V$1)*W$1+INTERCEPT($E453:$V453,$E$1:$V$1))&gt;(AVERAGE($E453:$V453)+_xlfn.STDEV.P($E453:$V453)),(SLOPE($E453:$V453,$E$1:$V$1)*W$1+INTERCEPT($E453:$V453,$E$1:$V$1))&lt;(AVERAGE($E453:$V453)-_xlfn.STDEV.P($E453:$V453))),V453,(SLOPE($E453:$V453,$E$1:$V$1)*W$1+INTERCEPT($E453:$V453,$E$1:$V$1)))</f>
        <v>-19215.686274509804</v>
      </c>
      <c r="X453" s="5">
        <f t="shared" si="458"/>
        <v>-22613.828689370486</v>
      </c>
      <c r="Y453" s="5">
        <f t="shared" si="458"/>
        <v>-22613.828689370486</v>
      </c>
      <c r="Z453" s="5">
        <f t="shared" si="458"/>
        <v>-22613.828689370486</v>
      </c>
      <c r="AA453" s="5">
        <f t="shared" si="458"/>
        <v>-22613.828689370486</v>
      </c>
      <c r="AB453" s="5">
        <f t="shared" si="458"/>
        <v>-22613.828689370486</v>
      </c>
      <c r="AC453" s="5">
        <f t="shared" si="458"/>
        <v>-22613.828689370486</v>
      </c>
      <c r="AD453" s="5">
        <f t="shared" si="458"/>
        <v>-22613.828689370486</v>
      </c>
      <c r="AE453" s="5">
        <f t="shared" si="458"/>
        <v>-22613.828689370486</v>
      </c>
      <c r="AF453" s="5">
        <f t="shared" si="458"/>
        <v>-22613.828689370486</v>
      </c>
      <c r="AG453" s="5">
        <f t="shared" si="458"/>
        <v>-22613.828689370486</v>
      </c>
      <c r="AH453" s="5">
        <f t="shared" si="458"/>
        <v>-22613.828689370486</v>
      </c>
    </row>
    <row r="454" spans="1:34" x14ac:dyDescent="0.35">
      <c r="A454" t="s">
        <v>474</v>
      </c>
      <c r="B454" s="3" t="s">
        <v>1266</v>
      </c>
      <c r="C454" s="4" t="s">
        <v>1263</v>
      </c>
      <c r="D454" s="2">
        <f t="shared" si="456"/>
        <v>234839.29283701093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56337.73585198506</v>
      </c>
      <c r="K454" s="5">
        <v>0</v>
      </c>
      <c r="L454" s="5">
        <v>0</v>
      </c>
      <c r="M454" s="5">
        <v>0</v>
      </c>
      <c r="N454" s="5">
        <v>0</v>
      </c>
      <c r="O454" s="5">
        <v>56390.625202202849</v>
      </c>
      <c r="P454" s="5">
        <v>26233.117708021586</v>
      </c>
      <c r="Q454" s="5">
        <v>0</v>
      </c>
      <c r="R454" s="5">
        <v>0</v>
      </c>
      <c r="S454" s="5">
        <v>41888.365372486078</v>
      </c>
      <c r="T454" s="5">
        <v>53989.448702315385</v>
      </c>
      <c r="U454" s="5">
        <v>0</v>
      </c>
      <c r="V454" s="5">
        <v>0</v>
      </c>
      <c r="W454" s="5">
        <f t="shared" ref="W454:AH454" si="459">IF(OR((SLOPE($E454:$V454,$E$1:$V$1)*W$1+INTERCEPT($E454:$V454,$E$1:$V$1))&gt;(AVERAGE($E454:$V454)+_xlfn.STDEV.P($E454:$V454)),(SLOPE($E454:$V454,$E$1:$V$1)*W$1+INTERCEPT($E454:$V454,$E$1:$V$1))&lt;(AVERAGE($E454:$V454)-_xlfn.STDEV.P($E454:$V454))),V454,(SLOPE($E454:$V454,$E$1:$V$1)*W$1+INTERCEPT($E454:$V454,$E$1:$V$1)))</f>
        <v>23523.178021111074</v>
      </c>
      <c r="X454" s="5">
        <f t="shared" si="459"/>
        <v>24625.97282545604</v>
      </c>
      <c r="Y454" s="5">
        <f t="shared" si="459"/>
        <v>25728.767629800997</v>
      </c>
      <c r="Z454" s="5">
        <f t="shared" si="459"/>
        <v>26831.562434145962</v>
      </c>
      <c r="AA454" s="5">
        <f t="shared" si="459"/>
        <v>27934.35723849092</v>
      </c>
      <c r="AB454" s="5">
        <f t="shared" si="459"/>
        <v>29037.152042835885</v>
      </c>
      <c r="AC454" s="5">
        <f t="shared" si="459"/>
        <v>30139.94684718085</v>
      </c>
      <c r="AD454" s="5">
        <f t="shared" si="459"/>
        <v>31242.741651525808</v>
      </c>
      <c r="AE454" s="5">
        <f t="shared" si="459"/>
        <v>32345.536455870773</v>
      </c>
      <c r="AF454" s="5">
        <f t="shared" si="459"/>
        <v>33448.331260215731</v>
      </c>
      <c r="AG454" s="5">
        <f t="shared" si="459"/>
        <v>34551.126064560696</v>
      </c>
      <c r="AH454" s="5">
        <f t="shared" si="459"/>
        <v>34551.126064560696</v>
      </c>
    </row>
    <row r="455" spans="1:34" x14ac:dyDescent="0.35">
      <c r="A455" t="s">
        <v>475</v>
      </c>
      <c r="B455" s="3" t="s">
        <v>1266</v>
      </c>
      <c r="C455" s="4" t="s">
        <v>1267</v>
      </c>
      <c r="D455" s="2">
        <f t="shared" si="456"/>
        <v>234111.56195948372</v>
      </c>
      <c r="E455" s="5">
        <v>0</v>
      </c>
      <c r="F455" s="5">
        <v>0</v>
      </c>
      <c r="G455" s="5">
        <v>0</v>
      </c>
      <c r="H455" s="5">
        <v>0</v>
      </c>
      <c r="I455" s="5">
        <v>130048.66307637561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20579.553451547483</v>
      </c>
      <c r="Q455" s="5">
        <v>0</v>
      </c>
      <c r="R455" s="5">
        <v>0</v>
      </c>
      <c r="S455" s="5">
        <v>40120.475282764521</v>
      </c>
      <c r="T455" s="5">
        <v>0</v>
      </c>
      <c r="U455" s="5">
        <v>0</v>
      </c>
      <c r="V455" s="5">
        <v>43362.870148796101</v>
      </c>
      <c r="W455" s="5">
        <f t="shared" ref="W455:AH455" si="460">IF(OR((SLOPE($E455:$V455,$E$1:$V$1)*W$1+INTERCEPT($E455:$V455,$E$1:$V$1))&gt;(AVERAGE($E455:$V455)+_xlfn.STDEV.P($E455:$V455)),(SLOPE($E455:$V455,$E$1:$V$1)*W$1+INTERCEPT($E455:$V455,$E$1:$V$1))&lt;(AVERAGE($E455:$V455)-_xlfn.STDEV.P($E455:$V455))),V455,(SLOPE($E455:$V455,$E$1:$V$1)*W$1+INTERCEPT($E455:$V455,$E$1:$V$1)))</f>
        <v>14093.980437719361</v>
      </c>
      <c r="X455" s="5">
        <f t="shared" si="460"/>
        <v>14208.483864148979</v>
      </c>
      <c r="Y455" s="5">
        <f t="shared" si="460"/>
        <v>14322.987290578598</v>
      </c>
      <c r="Z455" s="5">
        <f t="shared" si="460"/>
        <v>14437.490717008215</v>
      </c>
      <c r="AA455" s="5">
        <f t="shared" si="460"/>
        <v>14551.994143437834</v>
      </c>
      <c r="AB455" s="5">
        <f t="shared" si="460"/>
        <v>14666.497569867453</v>
      </c>
      <c r="AC455" s="5">
        <f t="shared" si="460"/>
        <v>14781.000996297073</v>
      </c>
      <c r="AD455" s="5">
        <f t="shared" si="460"/>
        <v>14895.50442272669</v>
      </c>
      <c r="AE455" s="5">
        <f t="shared" si="460"/>
        <v>15010.007849156309</v>
      </c>
      <c r="AF455" s="5">
        <f t="shared" si="460"/>
        <v>15124.511275585926</v>
      </c>
      <c r="AG455" s="5">
        <f t="shared" si="460"/>
        <v>15239.014702015545</v>
      </c>
      <c r="AH455" s="5">
        <f t="shared" si="460"/>
        <v>15353.518128445165</v>
      </c>
    </row>
    <row r="456" spans="1:34" x14ac:dyDescent="0.35">
      <c r="A456" t="s">
        <v>476</v>
      </c>
      <c r="B456" s="3" t="s">
        <v>1265</v>
      </c>
      <c r="C456" s="4" t="s">
        <v>1263</v>
      </c>
      <c r="D456" s="2">
        <f t="shared" si="456"/>
        <v>229318.01254303212</v>
      </c>
      <c r="E456" s="5">
        <v>7224.2568859678559</v>
      </c>
      <c r="F456" s="5">
        <v>9148.8292584763531</v>
      </c>
      <c r="G456" s="5">
        <v>14932.027028083166</v>
      </c>
      <c r="H456" s="5">
        <v>11869.776405815956</v>
      </c>
      <c r="I456" s="5">
        <v>11044.959674740881</v>
      </c>
      <c r="J456" s="5">
        <v>19141.436552190418</v>
      </c>
      <c r="K456" s="5">
        <v>8504.144916946414</v>
      </c>
      <c r="L456" s="5">
        <v>12192.118576580922</v>
      </c>
      <c r="M456" s="5">
        <v>11329.379237180561</v>
      </c>
      <c r="N456" s="5">
        <v>13396.161390908897</v>
      </c>
      <c r="O456" s="5">
        <v>14913.065723920523</v>
      </c>
      <c r="P456" s="5">
        <v>14192.536165740001</v>
      </c>
      <c r="Q456" s="5">
        <v>17833.106564967897</v>
      </c>
      <c r="R456" s="5">
        <v>11281.975976773951</v>
      </c>
      <c r="S456" s="5">
        <v>9926.242729144813</v>
      </c>
      <c r="T456" s="5">
        <v>19008.707423051907</v>
      </c>
      <c r="U456" s="5">
        <v>16022.302017435271</v>
      </c>
      <c r="V456" s="5">
        <v>7356.9860151063731</v>
      </c>
      <c r="W456" s="5">
        <f t="shared" ref="W456:AH456" si="461">IF(OR((SLOPE($E456:$V456,$E$1:$V$1)*W$1+INTERCEPT($E456:$V456,$E$1:$V$1))&gt;(AVERAGE($E456:$V456)+_xlfn.STDEV.P($E456:$V456)),(SLOPE($E456:$V456,$E$1:$V$1)*W$1+INTERCEPT($E456:$V456,$E$1:$V$1))&lt;(AVERAGE($E456:$V456)-_xlfn.STDEV.P($E456:$V456))),V456,(SLOPE($E456:$V456,$E$1:$V$1)*W$1+INTERCEPT($E456:$V456,$E$1:$V$1)))</f>
        <v>14393.055055512288</v>
      </c>
      <c r="X456" s="5">
        <f t="shared" si="461"/>
        <v>14567.072473384738</v>
      </c>
      <c r="Y456" s="5">
        <f t="shared" si="461"/>
        <v>14741.089891257188</v>
      </c>
      <c r="Z456" s="5">
        <f t="shared" si="461"/>
        <v>14915.107309129638</v>
      </c>
      <c r="AA456" s="5">
        <f t="shared" si="461"/>
        <v>15089.12472700209</v>
      </c>
      <c r="AB456" s="5">
        <f t="shared" si="461"/>
        <v>15263.14214487454</v>
      </c>
      <c r="AC456" s="5">
        <f t="shared" si="461"/>
        <v>15437.159562746991</v>
      </c>
      <c r="AD456" s="5">
        <f t="shared" si="461"/>
        <v>15611.176980619442</v>
      </c>
      <c r="AE456" s="5">
        <f t="shared" si="461"/>
        <v>15785.194398491893</v>
      </c>
      <c r="AF456" s="5">
        <f t="shared" si="461"/>
        <v>15959.211816364343</v>
      </c>
      <c r="AG456" s="5">
        <f t="shared" si="461"/>
        <v>16133.229234236795</v>
      </c>
      <c r="AH456" s="5">
        <f t="shared" si="461"/>
        <v>16307.246652109245</v>
      </c>
    </row>
    <row r="457" spans="1:34" x14ac:dyDescent="0.35">
      <c r="A457" t="s">
        <v>477</v>
      </c>
      <c r="B457" s="3" t="s">
        <v>1264</v>
      </c>
      <c r="C457" s="4" t="s">
        <v>1263</v>
      </c>
      <c r="D457" s="2">
        <f t="shared" si="456"/>
        <v>228941.06403625128</v>
      </c>
      <c r="E457" s="5">
        <v>14056.206561395908</v>
      </c>
      <c r="F457" s="5">
        <v>13432.552345361277</v>
      </c>
      <c r="G457" s="5">
        <v>0</v>
      </c>
      <c r="H457" s="5">
        <v>32166.165527016921</v>
      </c>
      <c r="I457" s="5">
        <v>12173.250562983654</v>
      </c>
      <c r="J457" s="5">
        <v>7399.8971402570596</v>
      </c>
      <c r="K457" s="5">
        <v>1858.9692977955333</v>
      </c>
      <c r="L457" s="5">
        <v>3933.8189011415166</v>
      </c>
      <c r="M457" s="5">
        <v>6500.3958671301889</v>
      </c>
      <c r="N457" s="5">
        <v>14751.820879280685</v>
      </c>
      <c r="O457" s="5">
        <v>14368.03366941322</v>
      </c>
      <c r="P457" s="5">
        <v>9894.5140043955835</v>
      </c>
      <c r="Q457" s="5">
        <v>32022.245323316616</v>
      </c>
      <c r="R457" s="5">
        <v>37059.452452827092</v>
      </c>
      <c r="S457" s="5">
        <v>5576.9078933866012</v>
      </c>
      <c r="T457" s="5">
        <v>6896.1764273060126</v>
      </c>
      <c r="U457" s="5">
        <v>11693.516550649325</v>
      </c>
      <c r="V457" s="5">
        <v>5157.1406325940616</v>
      </c>
      <c r="W457" s="5">
        <f t="shared" ref="W457:AH457" si="462">IF(OR((SLOPE($E457:$V457,$E$1:$V$1)*W$1+INTERCEPT($E457:$V457,$E$1:$V$1))&gt;(AVERAGE($E457:$V457)+_xlfn.STDEV.P($E457:$V457)),(SLOPE($E457:$V457,$E$1:$V$1)*W$1+INTERCEPT($E457:$V457,$E$1:$V$1))&lt;(AVERAGE($E457:$V457)-_xlfn.STDEV.P($E457:$V457))),V457,(SLOPE($E457:$V457,$E$1:$V$1)*W$1+INTERCEPT($E457:$V457,$E$1:$V$1)))</f>
        <v>13658.779855099328</v>
      </c>
      <c r="X457" s="5">
        <f t="shared" si="462"/>
        <v>13757.709523845157</v>
      </c>
      <c r="Y457" s="5">
        <f t="shared" si="462"/>
        <v>13856.639192590985</v>
      </c>
      <c r="Z457" s="5">
        <f t="shared" si="462"/>
        <v>13955.568861336815</v>
      </c>
      <c r="AA457" s="5">
        <f t="shared" si="462"/>
        <v>14054.498530082641</v>
      </c>
      <c r="AB457" s="5">
        <f t="shared" si="462"/>
        <v>14153.428198828471</v>
      </c>
      <c r="AC457" s="5">
        <f t="shared" si="462"/>
        <v>14252.357867574299</v>
      </c>
      <c r="AD457" s="5">
        <f t="shared" si="462"/>
        <v>14351.287536320127</v>
      </c>
      <c r="AE457" s="5">
        <f t="shared" si="462"/>
        <v>14450.217205065956</v>
      </c>
      <c r="AF457" s="5">
        <f t="shared" si="462"/>
        <v>14549.146873811784</v>
      </c>
      <c r="AG457" s="5">
        <f t="shared" si="462"/>
        <v>14648.076542557612</v>
      </c>
      <c r="AH457" s="5">
        <f t="shared" si="462"/>
        <v>14747.00621130344</v>
      </c>
    </row>
    <row r="458" spans="1:34" x14ac:dyDescent="0.35">
      <c r="A458" t="s">
        <v>478</v>
      </c>
      <c r="B458" s="3" t="s">
        <v>1264</v>
      </c>
      <c r="C458" s="4" t="s">
        <v>1263</v>
      </c>
      <c r="D458" s="2">
        <f t="shared" si="456"/>
        <v>228558.22639999999</v>
      </c>
      <c r="E458" s="5">
        <v>16264.942399999994</v>
      </c>
      <c r="F458" s="5">
        <v>7858.8159999999971</v>
      </c>
      <c r="G458" s="5">
        <v>15661.497599999995</v>
      </c>
      <c r="H458" s="5">
        <v>10476.082399999996</v>
      </c>
      <c r="I458" s="5">
        <v>19015.528000000002</v>
      </c>
      <c r="J458" s="5">
        <v>13921.331199999993</v>
      </c>
      <c r="K458" s="5">
        <v>8118.4375999999984</v>
      </c>
      <c r="L458" s="5">
        <v>8441.2103999999963</v>
      </c>
      <c r="M458" s="5">
        <v>11486.501599999996</v>
      </c>
      <c r="N458" s="5">
        <v>7536.0431999999973</v>
      </c>
      <c r="O458" s="5">
        <v>12181.164799999999</v>
      </c>
      <c r="P458" s="5">
        <v>17064.857600000003</v>
      </c>
      <c r="Q458" s="5">
        <v>16314.059999999998</v>
      </c>
      <c r="R458" s="5">
        <v>22383.592000000001</v>
      </c>
      <c r="S458" s="5">
        <v>13640.6592</v>
      </c>
      <c r="T458" s="5">
        <v>11444.400799999999</v>
      </c>
      <c r="U458" s="5">
        <v>9605.9991999999966</v>
      </c>
      <c r="V458" s="5">
        <v>7143.102399999997</v>
      </c>
      <c r="W458" s="5">
        <f t="shared" ref="W458:AH458" si="463">IF(OR((SLOPE($E458:$V458,$E$1:$V$1)*W$1+INTERCEPT($E458:$V458,$E$1:$V$1))&gt;(AVERAGE($E458:$V458)+_xlfn.STDEV.P($E458:$V458)),(SLOPE($E458:$V458,$E$1:$V$1)*W$1+INTERCEPT($E458:$V458,$E$1:$V$1))&lt;(AVERAGE($E458:$V458)-_xlfn.STDEV.P($E458:$V458))),V458,(SLOPE($E458:$V458,$E$1:$V$1)*W$1+INTERCEPT($E458:$V458,$E$1:$V$1)))</f>
        <v>12209.323722875819</v>
      </c>
      <c r="X458" s="5">
        <f t="shared" si="463"/>
        <v>12157.917878500173</v>
      </c>
      <c r="Y458" s="5">
        <f t="shared" si="463"/>
        <v>12106.512034124529</v>
      </c>
      <c r="Z458" s="5">
        <f t="shared" si="463"/>
        <v>12055.106189748883</v>
      </c>
      <c r="AA458" s="5">
        <f t="shared" si="463"/>
        <v>12003.70034537324</v>
      </c>
      <c r="AB458" s="5">
        <f t="shared" si="463"/>
        <v>11952.294500997596</v>
      </c>
      <c r="AC458" s="5">
        <f t="shared" si="463"/>
        <v>11900.88865662195</v>
      </c>
      <c r="AD458" s="5">
        <f t="shared" si="463"/>
        <v>11849.482812246304</v>
      </c>
      <c r="AE458" s="5">
        <f t="shared" si="463"/>
        <v>11798.07696787066</v>
      </c>
      <c r="AF458" s="5">
        <f t="shared" si="463"/>
        <v>11746.671123495016</v>
      </c>
      <c r="AG458" s="5">
        <f t="shared" si="463"/>
        <v>11695.26527911937</v>
      </c>
      <c r="AH458" s="5">
        <f t="shared" si="463"/>
        <v>11643.859434743727</v>
      </c>
    </row>
    <row r="459" spans="1:34" x14ac:dyDescent="0.35">
      <c r="A459" t="s">
        <v>479</v>
      </c>
      <c r="B459" s="3" t="s">
        <v>1266</v>
      </c>
      <c r="C459" s="4" t="s">
        <v>1267</v>
      </c>
      <c r="D459" s="2">
        <f t="shared" si="456"/>
        <v>225539.56460337961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108654.45230622757</v>
      </c>
      <c r="L459" s="5">
        <v>0</v>
      </c>
      <c r="M459" s="5">
        <v>0</v>
      </c>
      <c r="N459" s="5">
        <v>0</v>
      </c>
      <c r="O459" s="5">
        <v>0</v>
      </c>
      <c r="P459" s="5">
        <v>116885.11229715204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f t="shared" ref="W459:AH459" si="464">IF(OR((SLOPE($E459:$V459,$E$1:$V$1)*W$1+INTERCEPT($E459:$V459,$E$1:$V$1))&gt;(AVERAGE($E459:$V459)+_xlfn.STDEV.P($E459:$V459)),(SLOPE($E459:$V459,$E$1:$V$1)*W$1+INTERCEPT($E459:$V459,$E$1:$V$1))&lt;(AVERAGE($E459:$V459)-_xlfn.STDEV.P($E459:$V459))),V459,(SLOPE($E459:$V459,$E$1:$V$1)*W$1+INTERCEPT($E459:$V459,$E$1:$V$1)))</f>
        <v>12933.439536344185</v>
      </c>
      <c r="X459" s="5">
        <f t="shared" si="464"/>
        <v>12975.909402138428</v>
      </c>
      <c r="Y459" s="5">
        <f t="shared" si="464"/>
        <v>13018.379267932673</v>
      </c>
      <c r="Z459" s="5">
        <f t="shared" si="464"/>
        <v>13060.849133726917</v>
      </c>
      <c r="AA459" s="5">
        <f t="shared" si="464"/>
        <v>13103.318999521161</v>
      </c>
      <c r="AB459" s="5">
        <f t="shared" si="464"/>
        <v>13145.788865315404</v>
      </c>
      <c r="AC459" s="5">
        <f t="shared" si="464"/>
        <v>13188.258731109649</v>
      </c>
      <c r="AD459" s="5">
        <f t="shared" si="464"/>
        <v>13230.728596903893</v>
      </c>
      <c r="AE459" s="5">
        <f t="shared" si="464"/>
        <v>13273.198462698136</v>
      </c>
      <c r="AF459" s="5">
        <f t="shared" si="464"/>
        <v>13315.66832849238</v>
      </c>
      <c r="AG459" s="5">
        <f t="shared" si="464"/>
        <v>13358.138194286625</v>
      </c>
      <c r="AH459" s="5">
        <f t="shared" si="464"/>
        <v>13400.608060080869</v>
      </c>
    </row>
    <row r="460" spans="1:34" x14ac:dyDescent="0.35">
      <c r="A460" t="s">
        <v>480</v>
      </c>
      <c r="B460" s="3" t="s">
        <v>1262</v>
      </c>
      <c r="C460" s="4" t="s">
        <v>1268</v>
      </c>
      <c r="D460" s="2">
        <f t="shared" si="456"/>
        <v>222583.72500000001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92874.6</v>
      </c>
      <c r="U460" s="5">
        <v>120679.65</v>
      </c>
      <c r="V460" s="5">
        <v>9029.4750000000022</v>
      </c>
      <c r="W460" s="5">
        <f t="shared" ref="W460:AH460" si="465">IF(OR((SLOPE($E460:$V460,$E$1:$V$1)*W$1+INTERCEPT($E460:$V460,$E$1:$V$1))&gt;(AVERAGE($E460:$V460)+_xlfn.STDEV.P($E460:$V460)),(SLOPE($E460:$V460,$E$1:$V$1)*W$1+INTERCEPT($E460:$V460,$E$1:$V$1))&lt;(AVERAGE($E460:$V460)-_xlfn.STDEV.P($E460:$V460))),V460,(SLOPE($E460:$V460,$E$1:$V$1)*W$1+INTERCEPT($E460:$V460,$E$1:$V$1)))</f>
        <v>43454.641176470584</v>
      </c>
      <c r="X460" s="5">
        <f t="shared" si="465"/>
        <v>43454.641176470584</v>
      </c>
      <c r="Y460" s="5">
        <f t="shared" si="465"/>
        <v>43454.641176470584</v>
      </c>
      <c r="Z460" s="5">
        <f t="shared" si="465"/>
        <v>43454.641176470584</v>
      </c>
      <c r="AA460" s="5">
        <f t="shared" si="465"/>
        <v>43454.641176470584</v>
      </c>
      <c r="AB460" s="5">
        <f t="shared" si="465"/>
        <v>43454.641176470584</v>
      </c>
      <c r="AC460" s="5">
        <f t="shared" si="465"/>
        <v>43454.641176470584</v>
      </c>
      <c r="AD460" s="5">
        <f t="shared" si="465"/>
        <v>43454.641176470584</v>
      </c>
      <c r="AE460" s="5">
        <f t="shared" si="465"/>
        <v>43454.641176470584</v>
      </c>
      <c r="AF460" s="5">
        <f t="shared" si="465"/>
        <v>43454.641176470584</v>
      </c>
      <c r="AG460" s="5">
        <f t="shared" si="465"/>
        <v>43454.641176470584</v>
      </c>
      <c r="AH460" s="5">
        <f t="shared" si="465"/>
        <v>43454.641176470584</v>
      </c>
    </row>
    <row r="461" spans="1:34" x14ac:dyDescent="0.35">
      <c r="A461" t="s">
        <v>481</v>
      </c>
      <c r="B461" s="3" t="s">
        <v>1262</v>
      </c>
      <c r="C461" s="4" t="s">
        <v>1263</v>
      </c>
      <c r="D461" s="2">
        <f t="shared" si="456"/>
        <v>222093.87200000003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10339.529199999999</v>
      </c>
      <c r="L461" s="5">
        <v>106318.61239999998</v>
      </c>
      <c r="M461" s="5">
        <v>16970.953999999998</v>
      </c>
      <c r="N461" s="5">
        <v>9966.7567999999992</v>
      </c>
      <c r="O461" s="5">
        <v>3668.8651999999993</v>
      </c>
      <c r="P461" s="5">
        <v>6337.1307999999999</v>
      </c>
      <c r="Q461" s="5">
        <v>5983.9779999999992</v>
      </c>
      <c r="R461" s="5">
        <v>59800.540800000002</v>
      </c>
      <c r="S461" s="5">
        <v>922.12119999999993</v>
      </c>
      <c r="T461" s="5">
        <v>1785.3835999999997</v>
      </c>
      <c r="U461" s="5">
        <v>0</v>
      </c>
      <c r="V461" s="5">
        <v>0</v>
      </c>
      <c r="W461" s="5">
        <f t="shared" ref="W461:AH461" si="466">IF(OR((SLOPE($E461:$V461,$E$1:$V$1)*W$1+INTERCEPT($E461:$V461,$E$1:$V$1))&gt;(AVERAGE($E461:$V461)+_xlfn.STDEV.P($E461:$V461)),(SLOPE($E461:$V461,$E$1:$V$1)*W$1+INTERCEPT($E461:$V461,$E$1:$V$1))&lt;(AVERAGE($E461:$V461)-_xlfn.STDEV.P($E461:$V461))),V461,(SLOPE($E461:$V461,$E$1:$V$1)*W$1+INTERCEPT($E461:$V461,$E$1:$V$1)))</f>
        <v>15068.750428758171</v>
      </c>
      <c r="X461" s="5">
        <f t="shared" si="466"/>
        <v>15356.140111317509</v>
      </c>
      <c r="Y461" s="5">
        <f t="shared" si="466"/>
        <v>15643.529793876849</v>
      </c>
      <c r="Z461" s="5">
        <f t="shared" si="466"/>
        <v>15930.919476436189</v>
      </c>
      <c r="AA461" s="5">
        <f t="shared" si="466"/>
        <v>16218.309158995529</v>
      </c>
      <c r="AB461" s="5">
        <f t="shared" si="466"/>
        <v>16505.698841554869</v>
      </c>
      <c r="AC461" s="5">
        <f t="shared" si="466"/>
        <v>16793.088524114206</v>
      </c>
      <c r="AD461" s="5">
        <f t="shared" si="466"/>
        <v>17080.478206673546</v>
      </c>
      <c r="AE461" s="5">
        <f t="shared" si="466"/>
        <v>17367.867889232886</v>
      </c>
      <c r="AF461" s="5">
        <f t="shared" si="466"/>
        <v>17655.257571792226</v>
      </c>
      <c r="AG461" s="5">
        <f t="shared" si="466"/>
        <v>17942.647254351563</v>
      </c>
      <c r="AH461" s="5">
        <f t="shared" si="466"/>
        <v>18230.036936910903</v>
      </c>
    </row>
    <row r="462" spans="1:34" x14ac:dyDescent="0.35">
      <c r="A462" t="s">
        <v>482</v>
      </c>
      <c r="B462" s="3" t="s">
        <v>1264</v>
      </c>
      <c r="C462" s="4" t="s">
        <v>1263</v>
      </c>
      <c r="D462" s="2">
        <f t="shared" si="456"/>
        <v>220990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9800</v>
      </c>
      <c r="M462" s="5">
        <v>43610</v>
      </c>
      <c r="N462" s="5">
        <v>2449.9999999999995</v>
      </c>
      <c r="O462" s="5">
        <v>24010</v>
      </c>
      <c r="P462" s="5">
        <v>0</v>
      </c>
      <c r="Q462" s="5">
        <v>0</v>
      </c>
      <c r="R462" s="5">
        <v>4410</v>
      </c>
      <c r="S462" s="5">
        <v>93590</v>
      </c>
      <c r="T462" s="5">
        <v>33810</v>
      </c>
      <c r="U462" s="5">
        <v>9310</v>
      </c>
      <c r="V462" s="5">
        <v>0</v>
      </c>
      <c r="W462" s="5">
        <f t="shared" ref="W462:AH462" si="467">IF(OR((SLOPE($E462:$V462,$E$1:$V$1)*W$1+INTERCEPT($E462:$V462,$E$1:$V$1))&gt;(AVERAGE($E462:$V462)+_xlfn.STDEV.P($E462:$V462)),(SLOPE($E462:$V462,$E$1:$V$1)*W$1+INTERCEPT($E462:$V462,$E$1:$V$1))&lt;(AVERAGE($E462:$V462)-_xlfn.STDEV.P($E462:$V462))),V462,(SLOPE($E462:$V462,$E$1:$V$1)*W$1+INTERCEPT($E462:$V462,$E$1:$V$1)))</f>
        <v>28452.026143790848</v>
      </c>
      <c r="X462" s="5">
        <f t="shared" si="467"/>
        <v>30154.63708290334</v>
      </c>
      <c r="Y462" s="5">
        <f t="shared" si="467"/>
        <v>31857.248022015825</v>
      </c>
      <c r="Z462" s="5">
        <f t="shared" si="467"/>
        <v>33559.858961128317</v>
      </c>
      <c r="AA462" s="5">
        <f t="shared" si="467"/>
        <v>35262.469900240802</v>
      </c>
      <c r="AB462" s="5">
        <f t="shared" si="467"/>
        <v>35262.469900240802</v>
      </c>
      <c r="AC462" s="5">
        <f t="shared" si="467"/>
        <v>35262.469900240802</v>
      </c>
      <c r="AD462" s="5">
        <f t="shared" si="467"/>
        <v>35262.469900240802</v>
      </c>
      <c r="AE462" s="5">
        <f t="shared" si="467"/>
        <v>35262.469900240802</v>
      </c>
      <c r="AF462" s="5">
        <f t="shared" si="467"/>
        <v>35262.469900240802</v>
      </c>
      <c r="AG462" s="5">
        <f t="shared" si="467"/>
        <v>35262.469900240802</v>
      </c>
      <c r="AH462" s="5">
        <f t="shared" si="467"/>
        <v>35262.469900240802</v>
      </c>
    </row>
    <row r="463" spans="1:34" x14ac:dyDescent="0.35">
      <c r="A463" t="s">
        <v>483</v>
      </c>
      <c r="B463" s="3" t="s">
        <v>1265</v>
      </c>
      <c r="C463" s="4" t="s">
        <v>1263</v>
      </c>
      <c r="D463" s="2">
        <f t="shared" si="456"/>
        <v>220810.42973894902</v>
      </c>
      <c r="E463" s="5">
        <v>10066.798425005003</v>
      </c>
      <c r="F463" s="5">
        <v>19973.806398819452</v>
      </c>
      <c r="G463" s="5">
        <v>15579.56899107917</v>
      </c>
      <c r="H463" s="5">
        <v>20772.758654772231</v>
      </c>
      <c r="I463" s="5">
        <v>6890.9632075927111</v>
      </c>
      <c r="J463" s="5">
        <v>16298.626021436672</v>
      </c>
      <c r="K463" s="5">
        <v>6711.198950003336</v>
      </c>
      <c r="L463" s="5">
        <v>14041.585898370073</v>
      </c>
      <c r="M463" s="5">
        <v>15669.45111987386</v>
      </c>
      <c r="N463" s="5">
        <v>10855.763777758371</v>
      </c>
      <c r="O463" s="5">
        <v>11025.541132148335</v>
      </c>
      <c r="P463" s="5">
        <v>16711.418020345605</v>
      </c>
      <c r="Q463" s="5">
        <v>7776.4686246070396</v>
      </c>
      <c r="R463" s="5">
        <v>15339.883314293338</v>
      </c>
      <c r="S463" s="5">
        <v>2077.2758654772229</v>
      </c>
      <c r="T463" s="5">
        <v>14241.323962358267</v>
      </c>
      <c r="U463" s="5">
        <v>10226.588876195558</v>
      </c>
      <c r="V463" s="5">
        <v>6551.4084988127797</v>
      </c>
      <c r="W463" s="5">
        <f t="shared" ref="W463:AH463" si="468">IF(OR((SLOPE($E463:$V463,$E$1:$V$1)*W$1+INTERCEPT($E463:$V463,$E$1:$V$1))&gt;(AVERAGE($E463:$V463)+_xlfn.STDEV.P($E463:$V463)),(SLOPE($E463:$V463,$E$1:$V$1)*W$1+INTERCEPT($E463:$V463,$E$1:$V$1))&lt;(AVERAGE($E463:$V463)-_xlfn.STDEV.P($E463:$V463))),V463,(SLOPE($E463:$V463,$E$1:$V$1)*W$1+INTERCEPT($E463:$V463,$E$1:$V$1)))</f>
        <v>8576.1388932081391</v>
      </c>
      <c r="X463" s="5">
        <f t="shared" si="468"/>
        <v>8187.6012928502305</v>
      </c>
      <c r="Y463" s="5">
        <f t="shared" si="468"/>
        <v>7799.063692492321</v>
      </c>
      <c r="Z463" s="5">
        <f t="shared" si="468"/>
        <v>7410.5260921344125</v>
      </c>
      <c r="AA463" s="5">
        <f t="shared" si="468"/>
        <v>7410.5260921344125</v>
      </c>
      <c r="AB463" s="5">
        <f t="shared" si="468"/>
        <v>7410.5260921344125</v>
      </c>
      <c r="AC463" s="5">
        <f t="shared" si="468"/>
        <v>7410.5260921344125</v>
      </c>
      <c r="AD463" s="5">
        <f t="shared" si="468"/>
        <v>7410.5260921344125</v>
      </c>
      <c r="AE463" s="5">
        <f t="shared" si="468"/>
        <v>7410.5260921344125</v>
      </c>
      <c r="AF463" s="5">
        <f t="shared" si="468"/>
        <v>7410.5260921344125</v>
      </c>
      <c r="AG463" s="5">
        <f t="shared" si="468"/>
        <v>7410.5260921344125</v>
      </c>
      <c r="AH463" s="5">
        <f t="shared" si="468"/>
        <v>7410.5260921344125</v>
      </c>
    </row>
    <row r="464" spans="1:34" x14ac:dyDescent="0.35">
      <c r="A464" t="s">
        <v>484</v>
      </c>
      <c r="B464" s="3" t="s">
        <v>1266</v>
      </c>
      <c r="C464" s="4" t="s">
        <v>1263</v>
      </c>
      <c r="D464" s="2">
        <f t="shared" si="456"/>
        <v>220412.85839999997</v>
      </c>
      <c r="E464" s="5">
        <v>43857.489200000011</v>
      </c>
      <c r="F464" s="5">
        <v>51265.054400000001</v>
      </c>
      <c r="G464" s="5">
        <v>66701.681199999992</v>
      </c>
      <c r="H464" s="5">
        <v>13051.4244</v>
      </c>
      <c r="I464" s="5">
        <v>7726.7119999999995</v>
      </c>
      <c r="J464" s="5">
        <v>37810.497199999998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f t="shared" ref="W464:AH464" si="469">IF(OR((SLOPE($E464:$V464,$E$1:$V$1)*W$1+INTERCEPT($E464:$V464,$E$1:$V$1))&gt;(AVERAGE($E464:$V464)+_xlfn.STDEV.P($E464:$V464)),(SLOPE($E464:$V464,$E$1:$V$1)*W$1+INTERCEPT($E464:$V464,$E$1:$V$1))&lt;(AVERAGE($E464:$V464)-_xlfn.STDEV.P($E464:$V464))),V464,(SLOPE($E464:$V464,$E$1:$V$1)*W$1+INTERCEPT($E464:$V464,$E$1:$V$1)))</f>
        <v>0</v>
      </c>
      <c r="X464" s="5">
        <f t="shared" si="469"/>
        <v>0</v>
      </c>
      <c r="Y464" s="5">
        <f t="shared" si="469"/>
        <v>0</v>
      </c>
      <c r="Z464" s="5">
        <f t="shared" si="469"/>
        <v>0</v>
      </c>
      <c r="AA464" s="5">
        <f t="shared" si="469"/>
        <v>0</v>
      </c>
      <c r="AB464" s="5">
        <f t="shared" si="469"/>
        <v>0</v>
      </c>
      <c r="AC464" s="5">
        <f t="shared" si="469"/>
        <v>0</v>
      </c>
      <c r="AD464" s="5">
        <f t="shared" si="469"/>
        <v>0</v>
      </c>
      <c r="AE464" s="5">
        <f t="shared" si="469"/>
        <v>0</v>
      </c>
      <c r="AF464" s="5">
        <f t="shared" si="469"/>
        <v>0</v>
      </c>
      <c r="AG464" s="5">
        <f t="shared" si="469"/>
        <v>0</v>
      </c>
      <c r="AH464" s="5">
        <f t="shared" si="469"/>
        <v>0</v>
      </c>
    </row>
    <row r="465" spans="1:34" x14ac:dyDescent="0.35">
      <c r="A465" t="s">
        <v>485</v>
      </c>
      <c r="B465" s="3" t="s">
        <v>1262</v>
      </c>
      <c r="C465" s="4" t="s">
        <v>1263</v>
      </c>
      <c r="D465" s="2">
        <f t="shared" si="456"/>
        <v>215495.17098024991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3954.039834499999</v>
      </c>
      <c r="P465" s="5">
        <v>108604.29412093329</v>
      </c>
      <c r="Q465" s="5">
        <v>3163.2318675999977</v>
      </c>
      <c r="R465" s="5">
        <v>4349.4438179499975</v>
      </c>
      <c r="S465" s="5">
        <v>40726.610295349987</v>
      </c>
      <c r="T465" s="5">
        <v>5799.258423933331</v>
      </c>
      <c r="U465" s="5">
        <v>10544.106225333328</v>
      </c>
      <c r="V465" s="5">
        <v>38354.186394649987</v>
      </c>
      <c r="W465" s="5">
        <f t="shared" ref="W465:AH465" si="470">IF(OR((SLOPE($E465:$V465,$E$1:$V$1)*W$1+INTERCEPT($E465:$V465,$E$1:$V$1))&gt;(AVERAGE($E465:$V465)+_xlfn.STDEV.P($E465:$V465)),(SLOPE($E465:$V465,$E$1:$V$1)*W$1+INTERCEPT($E465:$V465,$E$1:$V$1))&lt;(AVERAGE($E465:$V465)-_xlfn.STDEV.P($E465:$V465))),V465,(SLOPE($E465:$V465,$E$1:$V$1)*W$1+INTERCEPT($E465:$V465,$E$1:$V$1)))</f>
        <v>31087.02298640554</v>
      </c>
      <c r="X465" s="5">
        <f t="shared" si="470"/>
        <v>33099.135517253788</v>
      </c>
      <c r="Y465" s="5">
        <f t="shared" si="470"/>
        <v>35111.248048102032</v>
      </c>
      <c r="Z465" s="5">
        <f t="shared" si="470"/>
        <v>37123.360578950276</v>
      </c>
      <c r="AA465" s="5">
        <f t="shared" si="470"/>
        <v>37123.360578950276</v>
      </c>
      <c r="AB465" s="5">
        <f t="shared" si="470"/>
        <v>37123.360578950276</v>
      </c>
      <c r="AC465" s="5">
        <f t="shared" si="470"/>
        <v>37123.360578950276</v>
      </c>
      <c r="AD465" s="5">
        <f t="shared" si="470"/>
        <v>37123.360578950276</v>
      </c>
      <c r="AE465" s="5">
        <f t="shared" si="470"/>
        <v>37123.360578950276</v>
      </c>
      <c r="AF465" s="5">
        <f t="shared" si="470"/>
        <v>37123.360578950276</v>
      </c>
      <c r="AG465" s="5">
        <f t="shared" si="470"/>
        <v>37123.360578950276</v>
      </c>
      <c r="AH465" s="5">
        <f t="shared" si="470"/>
        <v>37123.360578950276</v>
      </c>
    </row>
    <row r="466" spans="1:34" x14ac:dyDescent="0.35">
      <c r="A466" t="s">
        <v>486</v>
      </c>
      <c r="B466" s="3" t="s">
        <v>1266</v>
      </c>
      <c r="C466" s="4" t="s">
        <v>1267</v>
      </c>
      <c r="D466" s="2">
        <f t="shared" si="456"/>
        <v>219149.7440278689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109693.90325691883</v>
      </c>
      <c r="Q466" s="5">
        <v>0</v>
      </c>
      <c r="R466" s="5">
        <v>0</v>
      </c>
      <c r="S466" s="5">
        <v>0</v>
      </c>
      <c r="T466" s="5">
        <v>0</v>
      </c>
      <c r="U466" s="5">
        <v>109455.84077095009</v>
      </c>
      <c r="V466" s="5">
        <v>0</v>
      </c>
      <c r="W466" s="5">
        <f t="shared" ref="W466:AH466" si="471">IF(OR((SLOPE($E466:$V466,$E$1:$V$1)*W$1+INTERCEPT($E466:$V466,$E$1:$V$1))&gt;(AVERAGE($E466:$V466)+_xlfn.STDEV.P($E466:$V466)),(SLOPE($E466:$V466,$E$1:$V$1)*W$1+INTERCEPT($E466:$V466,$E$1:$V$1))&lt;(AVERAGE($E466:$V466)-_xlfn.STDEV.P($E466:$V466))),V466,(SLOPE($E466:$V466,$E$1:$V$1)*W$1+INTERCEPT($E466:$V466,$E$1:$V$1)))</f>
        <v>33648.585071961788</v>
      </c>
      <c r="X466" s="5">
        <f t="shared" si="471"/>
        <v>35908.963944870811</v>
      </c>
      <c r="Y466" s="5">
        <f t="shared" si="471"/>
        <v>38169.342817779841</v>
      </c>
      <c r="Z466" s="5">
        <f t="shared" si="471"/>
        <v>40429.721690688864</v>
      </c>
      <c r="AA466" s="5">
        <f t="shared" si="471"/>
        <v>42690.100563597887</v>
      </c>
      <c r="AB466" s="5">
        <f t="shared" si="471"/>
        <v>44950.479436506917</v>
      </c>
      <c r="AC466" s="5">
        <f t="shared" si="471"/>
        <v>44950.479436506917</v>
      </c>
      <c r="AD466" s="5">
        <f t="shared" si="471"/>
        <v>44950.479436506917</v>
      </c>
      <c r="AE466" s="5">
        <f t="shared" si="471"/>
        <v>44950.479436506917</v>
      </c>
      <c r="AF466" s="5">
        <f t="shared" si="471"/>
        <v>44950.479436506917</v>
      </c>
      <c r="AG466" s="5">
        <f t="shared" si="471"/>
        <v>44950.479436506917</v>
      </c>
      <c r="AH466" s="5">
        <f t="shared" si="471"/>
        <v>44950.479436506917</v>
      </c>
    </row>
    <row r="467" spans="1:34" x14ac:dyDescent="0.35">
      <c r="A467" t="s">
        <v>487</v>
      </c>
      <c r="B467" s="3" t="s">
        <v>1265</v>
      </c>
      <c r="C467" s="4" t="s">
        <v>1263</v>
      </c>
      <c r="D467" s="2">
        <f t="shared" si="456"/>
        <v>218862.73360000007</v>
      </c>
      <c r="E467" s="5">
        <v>19953.780000000002</v>
      </c>
      <c r="F467" s="5">
        <v>8344.3080000000009</v>
      </c>
      <c r="G467" s="5">
        <v>18865.392</v>
      </c>
      <c r="H467" s="5">
        <v>6167.5320000000002</v>
      </c>
      <c r="I467" s="5">
        <v>13423.452000000001</v>
      </c>
      <c r="J467" s="5">
        <v>14366.721599999999</v>
      </c>
      <c r="K467" s="5">
        <v>7981.5119999999997</v>
      </c>
      <c r="L467" s="5">
        <v>15600.227999999999</v>
      </c>
      <c r="M467" s="5">
        <v>19373.306399999998</v>
      </c>
      <c r="N467" s="5">
        <v>2055.8440000000001</v>
      </c>
      <c r="O467" s="5">
        <v>0</v>
      </c>
      <c r="P467" s="5">
        <v>25395.72</v>
      </c>
      <c r="Q467" s="5">
        <v>0</v>
      </c>
      <c r="R467" s="5">
        <v>15745.346399999999</v>
      </c>
      <c r="S467" s="5">
        <v>3337.7231999999999</v>
      </c>
      <c r="T467" s="5">
        <v>27572.495999999999</v>
      </c>
      <c r="U467" s="5">
        <v>11065.278</v>
      </c>
      <c r="V467" s="5">
        <v>9614.094000000001</v>
      </c>
      <c r="W467" s="5">
        <f t="shared" ref="W467:AH467" si="472">IF(OR((SLOPE($E467:$V467,$E$1:$V$1)*W$1+INTERCEPT($E467:$V467,$E$1:$V$1))&gt;(AVERAGE($E467:$V467)+_xlfn.STDEV.P($E467:$V467)),(SLOPE($E467:$V467,$E$1:$V$1)*W$1+INTERCEPT($E467:$V467,$E$1:$V$1))&lt;(AVERAGE($E467:$V467)-_xlfn.STDEV.P($E467:$V467))),V467,(SLOPE($E467:$V467,$E$1:$V$1)*W$1+INTERCEPT($E467:$V467,$E$1:$V$1)))</f>
        <v>11084.40580653595</v>
      </c>
      <c r="X467" s="5">
        <f t="shared" si="472"/>
        <v>10971.286338218097</v>
      </c>
      <c r="Y467" s="5">
        <f t="shared" si="472"/>
        <v>10858.166869900244</v>
      </c>
      <c r="Z467" s="5">
        <f t="shared" si="472"/>
        <v>10745.047401582389</v>
      </c>
      <c r="AA467" s="5">
        <f t="shared" si="472"/>
        <v>10631.927933264536</v>
      </c>
      <c r="AB467" s="5">
        <f t="shared" si="472"/>
        <v>10518.808464946684</v>
      </c>
      <c r="AC467" s="5">
        <f t="shared" si="472"/>
        <v>10405.688996628829</v>
      </c>
      <c r="AD467" s="5">
        <f t="shared" si="472"/>
        <v>10292.569528310976</v>
      </c>
      <c r="AE467" s="5">
        <f t="shared" si="472"/>
        <v>10179.450059993122</v>
      </c>
      <c r="AF467" s="5">
        <f t="shared" si="472"/>
        <v>10066.330591675269</v>
      </c>
      <c r="AG467" s="5">
        <f t="shared" si="472"/>
        <v>9953.2111233574142</v>
      </c>
      <c r="AH467" s="5">
        <f t="shared" si="472"/>
        <v>9840.0916550395614</v>
      </c>
    </row>
    <row r="468" spans="1:34" x14ac:dyDescent="0.35">
      <c r="A468" t="s">
        <v>488</v>
      </c>
      <c r="B468" s="3" t="s">
        <v>1266</v>
      </c>
      <c r="C468" s="4" t="s">
        <v>1266</v>
      </c>
      <c r="D468" s="2">
        <f t="shared" si="456"/>
        <v>218764.24009460144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218764.24009460144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f t="shared" ref="W468:AH468" si="473">IF(OR((SLOPE($E468:$V468,$E$1:$V$1)*W$1+INTERCEPT($E468:$V468,$E$1:$V$1))&gt;(AVERAGE($E468:$V468)+_xlfn.STDEV.P($E468:$V468)),(SLOPE($E468:$V468,$E$1:$V$1)*W$1+INTERCEPT($E468:$V468,$E$1:$V$1))&lt;(AVERAGE($E468:$V468)-_xlfn.STDEV.P($E468:$V468))),V468,(SLOPE($E468:$V468,$E$1:$V$1)*W$1+INTERCEPT($E468:$V468,$E$1:$V$1)))</f>
        <v>22877.306153683814</v>
      </c>
      <c r="X468" s="5">
        <f t="shared" si="473"/>
        <v>24006.12060205637</v>
      </c>
      <c r="Y468" s="5">
        <f t="shared" si="473"/>
        <v>25134.935050428925</v>
      </c>
      <c r="Z468" s="5">
        <f t="shared" si="473"/>
        <v>26263.749498801481</v>
      </c>
      <c r="AA468" s="5">
        <f t="shared" si="473"/>
        <v>27392.563947174036</v>
      </c>
      <c r="AB468" s="5">
        <f t="shared" si="473"/>
        <v>28521.378395546599</v>
      </c>
      <c r="AC468" s="5">
        <f t="shared" si="473"/>
        <v>29650.192843919154</v>
      </c>
      <c r="AD468" s="5">
        <f t="shared" si="473"/>
        <v>30779.00729229171</v>
      </c>
      <c r="AE468" s="5">
        <f t="shared" si="473"/>
        <v>31907.821740664265</v>
      </c>
      <c r="AF468" s="5">
        <f t="shared" si="473"/>
        <v>33036.636189036821</v>
      </c>
      <c r="AG468" s="5">
        <f t="shared" si="473"/>
        <v>34165.450637409376</v>
      </c>
      <c r="AH468" s="5">
        <f t="shared" si="473"/>
        <v>35294.265085781939</v>
      </c>
    </row>
    <row r="469" spans="1:34" x14ac:dyDescent="0.35">
      <c r="A469" t="s">
        <v>489</v>
      </c>
      <c r="B469" s="3" t="s">
        <v>1266</v>
      </c>
      <c r="C469" s="4" t="s">
        <v>1267</v>
      </c>
      <c r="D469" s="2">
        <f t="shared" si="456"/>
        <v>216709.6138838458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106730.27553891942</v>
      </c>
      <c r="Q469" s="5">
        <v>0</v>
      </c>
      <c r="R469" s="5">
        <v>0</v>
      </c>
      <c r="S469" s="5">
        <v>0</v>
      </c>
      <c r="T469" s="5">
        <v>109979.33834492639</v>
      </c>
      <c r="U469" s="5">
        <v>0</v>
      </c>
      <c r="V469" s="5">
        <v>0</v>
      </c>
      <c r="W469" s="5">
        <f t="shared" ref="W469:AH469" si="474">IF(OR((SLOPE($E469:$V469,$E$1:$V$1)*W$1+INTERCEPT($E469:$V469,$E$1:$V$1))&gt;(AVERAGE($E469:$V469)+_xlfn.STDEV.P($E469:$V469)),(SLOPE($E469:$V469,$E$1:$V$1)*W$1+INTERCEPT($E469:$V469,$E$1:$V$1))&lt;(AVERAGE($E469:$V469)-_xlfn.STDEV.P($E469:$V469))),V469,(SLOPE($E469:$V469,$E$1:$V$1)*W$1+INTERCEPT($E469:$V469,$E$1:$V$1)))</f>
        <v>31288.273740396398</v>
      </c>
      <c r="X469" s="5">
        <f t="shared" si="474"/>
        <v>33314.468555854233</v>
      </c>
      <c r="Y469" s="5">
        <f t="shared" si="474"/>
        <v>35340.663371312061</v>
      </c>
      <c r="Z469" s="5">
        <f t="shared" si="474"/>
        <v>37366.858186769896</v>
      </c>
      <c r="AA469" s="5">
        <f t="shared" si="474"/>
        <v>39393.053002227731</v>
      </c>
      <c r="AB469" s="5">
        <f t="shared" si="474"/>
        <v>41419.247817685558</v>
      </c>
      <c r="AC469" s="5">
        <f t="shared" si="474"/>
        <v>43445.442633143393</v>
      </c>
      <c r="AD469" s="5">
        <f t="shared" si="474"/>
        <v>45471.637448601228</v>
      </c>
      <c r="AE469" s="5">
        <f t="shared" si="474"/>
        <v>45471.637448601228</v>
      </c>
      <c r="AF469" s="5">
        <f t="shared" si="474"/>
        <v>45471.637448601228</v>
      </c>
      <c r="AG469" s="5">
        <f t="shared" si="474"/>
        <v>45471.637448601228</v>
      </c>
      <c r="AH469" s="5">
        <f t="shared" si="474"/>
        <v>45471.637448601228</v>
      </c>
    </row>
    <row r="470" spans="1:34" x14ac:dyDescent="0.35">
      <c r="A470" t="s">
        <v>490</v>
      </c>
      <c r="B470" s="3" t="s">
        <v>1266</v>
      </c>
      <c r="C470" s="4" t="s">
        <v>1263</v>
      </c>
      <c r="D470" s="2">
        <f t="shared" si="456"/>
        <v>210312.91987641485</v>
      </c>
      <c r="E470" s="5">
        <v>0</v>
      </c>
      <c r="F470" s="5">
        <v>0</v>
      </c>
      <c r="G470" s="5">
        <v>65964.460534624974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72034.960442245094</v>
      </c>
      <c r="Q470" s="5">
        <v>0</v>
      </c>
      <c r="R470" s="5">
        <v>0</v>
      </c>
      <c r="S470" s="5">
        <v>72313.498899544793</v>
      </c>
      <c r="T470" s="5">
        <v>0</v>
      </c>
      <c r="U470" s="5">
        <v>0</v>
      </c>
      <c r="V470" s="5">
        <v>0</v>
      </c>
      <c r="W470" s="5">
        <f t="shared" ref="W470:AH470" si="475">IF(OR((SLOPE($E470:$V470,$E$1:$V$1)*W$1+INTERCEPT($E470:$V470,$E$1:$V$1))&gt;(AVERAGE($E470:$V470)+_xlfn.STDEV.P($E470:$V470)),(SLOPE($E470:$V470,$E$1:$V$1)*W$1+INTERCEPT($E470:$V470,$E$1:$V$1))&lt;(AVERAGE($E470:$V470)-_xlfn.STDEV.P($E470:$V470))),V470,(SLOPE($E470:$V470,$E$1:$V$1)*W$1+INTERCEPT($E470:$V470,$E$1:$V$1)))</f>
        <v>14606.456037148146</v>
      </c>
      <c r="X470" s="5">
        <f t="shared" si="475"/>
        <v>14914.07760903266</v>
      </c>
      <c r="Y470" s="5">
        <f t="shared" si="475"/>
        <v>15221.699180917174</v>
      </c>
      <c r="Z470" s="5">
        <f t="shared" si="475"/>
        <v>15529.320752801686</v>
      </c>
      <c r="AA470" s="5">
        <f t="shared" si="475"/>
        <v>15836.942324686199</v>
      </c>
      <c r="AB470" s="5">
        <f t="shared" si="475"/>
        <v>16144.563896570713</v>
      </c>
      <c r="AC470" s="5">
        <f t="shared" si="475"/>
        <v>16452.185468455227</v>
      </c>
      <c r="AD470" s="5">
        <f t="shared" si="475"/>
        <v>16759.80704033974</v>
      </c>
      <c r="AE470" s="5">
        <f t="shared" si="475"/>
        <v>17067.428612224256</v>
      </c>
      <c r="AF470" s="5">
        <f t="shared" si="475"/>
        <v>17375.050184108768</v>
      </c>
      <c r="AG470" s="5">
        <f t="shared" si="475"/>
        <v>17682.67175599328</v>
      </c>
      <c r="AH470" s="5">
        <f t="shared" si="475"/>
        <v>17990.293327877793</v>
      </c>
    </row>
    <row r="471" spans="1:34" x14ac:dyDescent="0.35">
      <c r="A471" t="s">
        <v>491</v>
      </c>
      <c r="B471" s="3" t="s">
        <v>1264</v>
      </c>
      <c r="C471" s="4" t="s">
        <v>1263</v>
      </c>
      <c r="D471" s="2">
        <f t="shared" si="456"/>
        <v>207524.5208897698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207524.5208897698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f t="shared" ref="W471:AH471" si="476">IF(OR((SLOPE($E471:$V471,$E$1:$V$1)*W$1+INTERCEPT($E471:$V471,$E$1:$V$1))&gt;(AVERAGE($E471:$V471)+_xlfn.STDEV.P($E471:$V471)),(SLOPE($E471:$V471,$E$1:$V$1)*W$1+INTERCEPT($E471:$V471,$E$1:$V$1))&lt;(AVERAGE($E471:$V471)-_xlfn.STDEV.P($E471:$V471))),V471,(SLOPE($E471:$V471,$E$1:$V$1)*W$1+INTERCEPT($E471:$V471,$E$1:$V$1)))</f>
        <v>21701.910681283116</v>
      </c>
      <c r="X471" s="5">
        <f t="shared" si="476"/>
        <v>22772.728642530637</v>
      </c>
      <c r="Y471" s="5">
        <f t="shared" si="476"/>
        <v>23843.546603778159</v>
      </c>
      <c r="Z471" s="5">
        <f t="shared" si="476"/>
        <v>24914.364565025688</v>
      </c>
      <c r="AA471" s="5">
        <f t="shared" si="476"/>
        <v>25985.182526273209</v>
      </c>
      <c r="AB471" s="5">
        <f t="shared" si="476"/>
        <v>27056.000487520731</v>
      </c>
      <c r="AC471" s="5">
        <f t="shared" si="476"/>
        <v>28126.818448768252</v>
      </c>
      <c r="AD471" s="5">
        <f t="shared" si="476"/>
        <v>29197.636410015773</v>
      </c>
      <c r="AE471" s="5">
        <f t="shared" si="476"/>
        <v>30268.454371263295</v>
      </c>
      <c r="AF471" s="5">
        <f t="shared" si="476"/>
        <v>31339.272332510816</v>
      </c>
      <c r="AG471" s="5">
        <f t="shared" si="476"/>
        <v>32410.090293758338</v>
      </c>
      <c r="AH471" s="5">
        <f t="shared" si="476"/>
        <v>33480.908255005867</v>
      </c>
    </row>
    <row r="472" spans="1:34" x14ac:dyDescent="0.35">
      <c r="A472" t="s">
        <v>492</v>
      </c>
      <c r="B472" s="3" t="s">
        <v>1266</v>
      </c>
      <c r="C472" s="4" t="s">
        <v>1267</v>
      </c>
      <c r="D472" s="2">
        <f t="shared" si="456"/>
        <v>206885.63504831126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206885.63504831126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f t="shared" ref="W472:AH472" si="477">IF(OR((SLOPE($E472:$V472,$E$1:$V$1)*W$1+INTERCEPT($E472:$V472,$E$1:$V$1))&gt;(AVERAGE($E472:$V472)+_xlfn.STDEV.P($E472:$V472)),(SLOPE($E472:$V472,$E$1:$V$1)*W$1+INTERCEPT($E472:$V472,$E$1:$V$1))&lt;(AVERAGE($E472:$V472)-_xlfn.STDEV.P($E472:$V472))),V472,(SLOPE($E472:$V472,$E$1:$V$1)*W$1+INTERCEPT($E472:$V472,$E$1:$V$1)))</f>
        <v>21635.099090019477</v>
      </c>
      <c r="X472" s="5">
        <f t="shared" si="477"/>
        <v>22702.620426698071</v>
      </c>
      <c r="Y472" s="5">
        <f t="shared" si="477"/>
        <v>23770.141763376661</v>
      </c>
      <c r="Z472" s="5">
        <f t="shared" si="477"/>
        <v>24837.663100055255</v>
      </c>
      <c r="AA472" s="5">
        <f t="shared" si="477"/>
        <v>25905.184436733849</v>
      </c>
      <c r="AB472" s="5">
        <f t="shared" si="477"/>
        <v>26972.705773412439</v>
      </c>
      <c r="AC472" s="5">
        <f t="shared" si="477"/>
        <v>28040.227110091033</v>
      </c>
      <c r="AD472" s="5">
        <f t="shared" si="477"/>
        <v>29107.748446769627</v>
      </c>
      <c r="AE472" s="5">
        <f t="shared" si="477"/>
        <v>30175.269783448221</v>
      </c>
      <c r="AF472" s="5">
        <f t="shared" si="477"/>
        <v>31242.791120126811</v>
      </c>
      <c r="AG472" s="5">
        <f t="shared" si="477"/>
        <v>32310.312456805405</v>
      </c>
      <c r="AH472" s="5">
        <f t="shared" si="477"/>
        <v>33377.833793483995</v>
      </c>
    </row>
    <row r="473" spans="1:34" x14ac:dyDescent="0.35">
      <c r="A473" t="s">
        <v>493</v>
      </c>
      <c r="B473" s="3" t="s">
        <v>1264</v>
      </c>
      <c r="C473" s="4" t="s">
        <v>1263</v>
      </c>
      <c r="D473" s="2">
        <f t="shared" si="456"/>
        <v>205817.63999999996</v>
      </c>
      <c r="E473" s="5">
        <v>110305.85999999997</v>
      </c>
      <c r="F473" s="5">
        <v>53918.423999999999</v>
      </c>
      <c r="G473" s="5">
        <v>7946.8199999999979</v>
      </c>
      <c r="H473" s="5">
        <v>0</v>
      </c>
      <c r="I473" s="5">
        <v>0</v>
      </c>
      <c r="J473" s="5">
        <v>0</v>
      </c>
      <c r="K473" s="5">
        <v>0</v>
      </c>
      <c r="L473" s="5">
        <v>4508.195999999999</v>
      </c>
      <c r="M473" s="5">
        <v>3388.6440000000002</v>
      </c>
      <c r="N473" s="5">
        <v>24470.207999999995</v>
      </c>
      <c r="O473" s="5">
        <v>399.83999999999992</v>
      </c>
      <c r="P473" s="5">
        <v>349.85999999999996</v>
      </c>
      <c r="Q473" s="5">
        <v>129.94799999999998</v>
      </c>
      <c r="R473" s="5">
        <v>399.83999999999992</v>
      </c>
      <c r="S473" s="5">
        <v>0</v>
      </c>
      <c r="T473" s="5">
        <v>0</v>
      </c>
      <c r="U473" s="5">
        <v>0</v>
      </c>
      <c r="V473" s="5">
        <v>0</v>
      </c>
      <c r="W473" s="5">
        <f t="shared" ref="W473:AH473" si="478">IF(OR((SLOPE($E473:$V473,$E$1:$V$1)*W$1+INTERCEPT($E473:$V473,$E$1:$V$1))&gt;(AVERAGE($E473:$V473)+_xlfn.STDEV.P($E473:$V473)),(SLOPE($E473:$V473,$E$1:$V$1)*W$1+INTERCEPT($E473:$V473,$E$1:$V$1))&lt;(AVERAGE($E473:$V473)-_xlfn.STDEV.P($E473:$V473))),V473,(SLOPE($E473:$V473,$E$1:$V$1)*W$1+INTERCEPT($E473:$V473,$E$1:$V$1)))</f>
        <v>-15744.810666666664</v>
      </c>
      <c r="X473" s="5">
        <f t="shared" si="478"/>
        <v>-15744.810666666664</v>
      </c>
      <c r="Y473" s="5">
        <f t="shared" si="478"/>
        <v>-15744.810666666664</v>
      </c>
      <c r="Z473" s="5">
        <f t="shared" si="478"/>
        <v>-15744.810666666664</v>
      </c>
      <c r="AA473" s="5">
        <f t="shared" si="478"/>
        <v>-15744.810666666664</v>
      </c>
      <c r="AB473" s="5">
        <f t="shared" si="478"/>
        <v>-15744.810666666664</v>
      </c>
      <c r="AC473" s="5">
        <f t="shared" si="478"/>
        <v>-15744.810666666664</v>
      </c>
      <c r="AD473" s="5">
        <f t="shared" si="478"/>
        <v>-15744.810666666664</v>
      </c>
      <c r="AE473" s="5">
        <f t="shared" si="478"/>
        <v>-15744.810666666664</v>
      </c>
      <c r="AF473" s="5">
        <f t="shared" si="478"/>
        <v>-15744.810666666664</v>
      </c>
      <c r="AG473" s="5">
        <f t="shared" si="478"/>
        <v>-15744.810666666664</v>
      </c>
      <c r="AH473" s="5">
        <f t="shared" si="478"/>
        <v>-15744.810666666664</v>
      </c>
    </row>
    <row r="474" spans="1:34" x14ac:dyDescent="0.35">
      <c r="A474" t="s">
        <v>494</v>
      </c>
      <c r="B474" s="3" t="s">
        <v>1265</v>
      </c>
      <c r="C474" s="4" t="s">
        <v>1263</v>
      </c>
      <c r="D474" s="2">
        <f t="shared" si="456"/>
        <v>203912.40239999999</v>
      </c>
      <c r="E474" s="5">
        <v>5037.9840000000004</v>
      </c>
      <c r="F474" s="5">
        <v>18892.440000000006</v>
      </c>
      <c r="G474" s="5">
        <v>9362.2535999999964</v>
      </c>
      <c r="H474" s="5">
        <v>12594.959999999997</v>
      </c>
      <c r="I474" s="5">
        <v>8018.7911999999997</v>
      </c>
      <c r="J474" s="5">
        <v>10915.631999999998</v>
      </c>
      <c r="K474" s="5">
        <v>13686.523199999998</v>
      </c>
      <c r="L474" s="5">
        <v>15701.716800000002</v>
      </c>
      <c r="M474" s="5">
        <v>8816.4719999999979</v>
      </c>
      <c r="N474" s="5">
        <v>12385.044</v>
      </c>
      <c r="O474" s="5">
        <v>15743.699999999997</v>
      </c>
      <c r="P474" s="5">
        <v>13056.7752</v>
      </c>
      <c r="Q474" s="5">
        <v>6465.4128000000001</v>
      </c>
      <c r="R474" s="5">
        <v>12469.010399999996</v>
      </c>
      <c r="S474" s="5">
        <v>15533.784000000001</v>
      </c>
      <c r="T474" s="5">
        <v>5499.7992000000013</v>
      </c>
      <c r="U474" s="5">
        <v>11209.514399999998</v>
      </c>
      <c r="V474" s="5">
        <v>8522.5895999999993</v>
      </c>
      <c r="W474" s="5">
        <f t="shared" ref="W474:AH474" si="479">IF(OR((SLOPE($E474:$V474,$E$1:$V$1)*W$1+INTERCEPT($E474:$V474,$E$1:$V$1))&gt;(AVERAGE($E474:$V474)+_xlfn.STDEV.P($E474:$V474)),(SLOPE($E474:$V474,$E$1:$V$1)*W$1+INTERCEPT($E474:$V474,$E$1:$V$1))&lt;(AVERAGE($E474:$V474)-_xlfn.STDEV.P($E474:$V474))),V474,(SLOPE($E474:$V474,$E$1:$V$1)*W$1+INTERCEPT($E474:$V474,$E$1:$V$1)))</f>
        <v>10696.6608</v>
      </c>
      <c r="X474" s="5">
        <f t="shared" si="479"/>
        <v>10630.154905263158</v>
      </c>
      <c r="Y474" s="5">
        <f t="shared" si="479"/>
        <v>10563.649010526316</v>
      </c>
      <c r="Z474" s="5">
        <f t="shared" si="479"/>
        <v>10497.143115789473</v>
      </c>
      <c r="AA474" s="5">
        <f t="shared" si="479"/>
        <v>10430.637221052632</v>
      </c>
      <c r="AB474" s="5">
        <f t="shared" si="479"/>
        <v>10364.13132631579</v>
      </c>
      <c r="AC474" s="5">
        <f t="shared" si="479"/>
        <v>10297.625431578947</v>
      </c>
      <c r="AD474" s="5">
        <f t="shared" si="479"/>
        <v>10231.119536842105</v>
      </c>
      <c r="AE474" s="5">
        <f t="shared" si="479"/>
        <v>10164.613642105263</v>
      </c>
      <c r="AF474" s="5">
        <f t="shared" si="479"/>
        <v>10098.10774736842</v>
      </c>
      <c r="AG474" s="5">
        <f t="shared" si="479"/>
        <v>10031.601852631578</v>
      </c>
      <c r="AH474" s="5">
        <f t="shared" si="479"/>
        <v>9965.0959578947368</v>
      </c>
    </row>
    <row r="475" spans="1:34" x14ac:dyDescent="0.35">
      <c r="A475" t="s">
        <v>495</v>
      </c>
      <c r="B475" s="3" t="s">
        <v>1262</v>
      </c>
      <c r="C475" s="4" t="s">
        <v>1263</v>
      </c>
      <c r="D475" s="2">
        <f t="shared" si="456"/>
        <v>201750.86616811293</v>
      </c>
      <c r="E475" s="5">
        <v>0</v>
      </c>
      <c r="F475" s="5">
        <v>0</v>
      </c>
      <c r="G475" s="5">
        <v>10766.214339264559</v>
      </c>
      <c r="H475" s="5">
        <v>43201.537812537186</v>
      </c>
      <c r="I475" s="5">
        <v>0</v>
      </c>
      <c r="J475" s="5">
        <v>3027.9977829181576</v>
      </c>
      <c r="K475" s="5">
        <v>121876.91076245584</v>
      </c>
      <c r="L475" s="5">
        <v>18167.986697508946</v>
      </c>
      <c r="M475" s="5">
        <v>0</v>
      </c>
      <c r="N475" s="5">
        <v>0</v>
      </c>
      <c r="O475" s="5">
        <v>0</v>
      </c>
      <c r="P475" s="5">
        <v>0</v>
      </c>
      <c r="Q475" s="5">
        <v>2355.109386714123</v>
      </c>
      <c r="R475" s="5">
        <v>2355.109386714123</v>
      </c>
      <c r="S475" s="5">
        <v>0</v>
      </c>
      <c r="T475" s="5">
        <v>0</v>
      </c>
      <c r="U475" s="5">
        <v>0</v>
      </c>
      <c r="V475" s="5">
        <v>0</v>
      </c>
      <c r="W475" s="5">
        <f t="shared" ref="W475:AH475" si="480">IF(OR((SLOPE($E475:$V475,$E$1:$V$1)*W$1+INTERCEPT($E475:$V475,$E$1:$V$1))&gt;(AVERAGE($E475:$V475)+_xlfn.STDEV.P($E475:$V475)),(SLOPE($E475:$V475,$E$1:$V$1)*W$1+INTERCEPT($E475:$V475,$E$1:$V$1))&lt;(AVERAGE($E475:$V475)-_xlfn.STDEV.P($E475:$V475))),V475,(SLOPE($E475:$V475,$E$1:$V$1)*W$1+INTERCEPT($E475:$V475,$E$1:$V$1)))</f>
        <v>-1169.8582574527645</v>
      </c>
      <c r="X475" s="5">
        <f t="shared" si="480"/>
        <v>-2472.8308586355852</v>
      </c>
      <c r="Y475" s="5">
        <f t="shared" si="480"/>
        <v>-3775.8034598184095</v>
      </c>
      <c r="Z475" s="5">
        <f t="shared" si="480"/>
        <v>-5078.7760610012301</v>
      </c>
      <c r="AA475" s="5">
        <f t="shared" si="480"/>
        <v>-6381.7486621840544</v>
      </c>
      <c r="AB475" s="5">
        <f t="shared" si="480"/>
        <v>-7684.7212633668787</v>
      </c>
      <c r="AC475" s="5">
        <f t="shared" si="480"/>
        <v>-8987.6938645496994</v>
      </c>
      <c r="AD475" s="5">
        <f t="shared" si="480"/>
        <v>-10290.66646573252</v>
      </c>
      <c r="AE475" s="5">
        <f t="shared" si="480"/>
        <v>-11593.639066915344</v>
      </c>
      <c r="AF475" s="5">
        <f t="shared" si="480"/>
        <v>-12896.611668098169</v>
      </c>
      <c r="AG475" s="5">
        <f t="shared" si="480"/>
        <v>-14199.584269280993</v>
      </c>
      <c r="AH475" s="5">
        <f t="shared" si="480"/>
        <v>-15502.55687046381</v>
      </c>
    </row>
    <row r="476" spans="1:34" x14ac:dyDescent="0.35">
      <c r="A476" t="s">
        <v>496</v>
      </c>
      <c r="B476" s="3" t="s">
        <v>1265</v>
      </c>
      <c r="C476" s="4" t="s">
        <v>1263</v>
      </c>
      <c r="D476" s="2">
        <f t="shared" si="456"/>
        <v>197909.09115396455</v>
      </c>
      <c r="E476" s="5">
        <v>0</v>
      </c>
      <c r="F476" s="5">
        <v>10785.001479747829</v>
      </c>
      <c r="G476" s="5">
        <v>20707.202841115832</v>
      </c>
      <c r="H476" s="5">
        <v>10353.601420557916</v>
      </c>
      <c r="I476" s="5">
        <v>0</v>
      </c>
      <c r="J476" s="5">
        <v>7765.2010654184369</v>
      </c>
      <c r="K476" s="5">
        <v>31060.804261673748</v>
      </c>
      <c r="L476" s="5">
        <v>0</v>
      </c>
      <c r="M476" s="5">
        <v>7851.4810772564197</v>
      </c>
      <c r="N476" s="5">
        <v>0</v>
      </c>
      <c r="O476" s="5">
        <v>16608.902278811656</v>
      </c>
      <c r="P476" s="5">
        <v>17601.122414948455</v>
      </c>
      <c r="Q476" s="5">
        <v>22864.2031370654</v>
      </c>
      <c r="R476" s="5">
        <v>5694.4807813068528</v>
      </c>
      <c r="S476" s="5">
        <v>5901.5528097180113</v>
      </c>
      <c r="T476" s="5">
        <v>1656.5762272892666</v>
      </c>
      <c r="U476" s="5">
        <v>3882.600532709218</v>
      </c>
      <c r="V476" s="5">
        <v>35176.360826345517</v>
      </c>
      <c r="W476" s="5">
        <f t="shared" ref="W476:AH476" si="481">IF(OR((SLOPE($E476:$V476,$E$1:$V$1)*W$1+INTERCEPT($E476:$V476,$E$1:$V$1))&gt;(AVERAGE($E476:$V476)+_xlfn.STDEV.P($E476:$V476)),(SLOPE($E476:$V476,$E$1:$V$1)*W$1+INTERCEPT($E476:$V476,$E$1:$V$1))&lt;(AVERAGE($E476:$V476)-_xlfn.STDEV.P($E476:$V476))),V476,(SLOPE($E476:$V476,$E$1:$V$1)*W$1+INTERCEPT($E476:$V476,$E$1:$V$1)))</f>
        <v>14224.867128182534</v>
      </c>
      <c r="X476" s="5">
        <f t="shared" si="481"/>
        <v>14564.858456564529</v>
      </c>
      <c r="Y476" s="5">
        <f t="shared" si="481"/>
        <v>14904.849784946524</v>
      </c>
      <c r="Z476" s="5">
        <f t="shared" si="481"/>
        <v>15244.841113328519</v>
      </c>
      <c r="AA476" s="5">
        <f t="shared" si="481"/>
        <v>15584.832441710514</v>
      </c>
      <c r="AB476" s="5">
        <f t="shared" si="481"/>
        <v>15924.823770092509</v>
      </c>
      <c r="AC476" s="5">
        <f t="shared" si="481"/>
        <v>16264.815098474504</v>
      </c>
      <c r="AD476" s="5">
        <f t="shared" si="481"/>
        <v>16604.806426856499</v>
      </c>
      <c r="AE476" s="5">
        <f t="shared" si="481"/>
        <v>16944.797755238491</v>
      </c>
      <c r="AF476" s="5">
        <f t="shared" si="481"/>
        <v>17284.789083620486</v>
      </c>
      <c r="AG476" s="5">
        <f t="shared" si="481"/>
        <v>17624.780412002481</v>
      </c>
      <c r="AH476" s="5">
        <f t="shared" si="481"/>
        <v>17964.771740384476</v>
      </c>
    </row>
    <row r="477" spans="1:34" x14ac:dyDescent="0.35">
      <c r="A477" t="s">
        <v>497</v>
      </c>
      <c r="B477" s="3" t="s">
        <v>1266</v>
      </c>
      <c r="C477" s="4" t="s">
        <v>1267</v>
      </c>
      <c r="D477" s="2">
        <f t="shared" si="456"/>
        <v>198439.22698803095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198439.22698803095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f t="shared" ref="W477:AH477" si="482">IF(OR((SLOPE($E477:$V477,$E$1:$V$1)*W$1+INTERCEPT($E477:$V477,$E$1:$V$1))&gt;(AVERAGE($E477:$V477)+_xlfn.STDEV.P($E477:$V477)),(SLOPE($E477:$V477,$E$1:$V$1)*W$1+INTERCEPT($E477:$V477,$E$1:$V$1))&lt;(AVERAGE($E477:$V477)-_xlfn.STDEV.P($E477:$V477))),V477,(SLOPE($E477:$V477,$E$1:$V$1)*W$1+INTERCEPT($E477:$V477,$E$1:$V$1)))</f>
        <v>9078.9188818053372</v>
      </c>
      <c r="X477" s="5">
        <f t="shared" si="482"/>
        <v>8874.1312378548391</v>
      </c>
      <c r="Y477" s="5">
        <f t="shared" si="482"/>
        <v>8669.3435939043447</v>
      </c>
      <c r="Z477" s="5">
        <f t="shared" si="482"/>
        <v>8464.5559499538467</v>
      </c>
      <c r="AA477" s="5">
        <f t="shared" si="482"/>
        <v>8259.7683060033505</v>
      </c>
      <c r="AB477" s="5">
        <f t="shared" si="482"/>
        <v>8054.9806620528543</v>
      </c>
      <c r="AC477" s="5">
        <f t="shared" si="482"/>
        <v>7850.1930181023581</v>
      </c>
      <c r="AD477" s="5">
        <f t="shared" si="482"/>
        <v>7645.4053741518619</v>
      </c>
      <c r="AE477" s="5">
        <f t="shared" si="482"/>
        <v>7440.6177302013648</v>
      </c>
      <c r="AF477" s="5">
        <f t="shared" si="482"/>
        <v>7235.8300862508686</v>
      </c>
      <c r="AG477" s="5">
        <f t="shared" si="482"/>
        <v>7031.0424423003724</v>
      </c>
      <c r="AH477" s="5">
        <f t="shared" si="482"/>
        <v>6826.2547983498753</v>
      </c>
    </row>
    <row r="478" spans="1:34" x14ac:dyDescent="0.35">
      <c r="A478" t="s">
        <v>498</v>
      </c>
      <c r="B478" s="3" t="s">
        <v>1266</v>
      </c>
      <c r="C478" s="4" t="s">
        <v>1267</v>
      </c>
      <c r="D478" s="2">
        <f t="shared" si="456"/>
        <v>198054.75917818083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99314.941901820464</v>
      </c>
      <c r="S478" s="5">
        <v>0</v>
      </c>
      <c r="T478" s="5">
        <v>98739.817276360351</v>
      </c>
      <c r="U478" s="5">
        <v>0</v>
      </c>
      <c r="V478" s="5">
        <v>0</v>
      </c>
      <c r="W478" s="5">
        <f t="shared" ref="W478:AH478" si="483">IF(OR((SLOPE($E478:$V478,$E$1:$V$1)*W$1+INTERCEPT($E478:$V478,$E$1:$V$1))&gt;(AVERAGE($E478:$V478)+_xlfn.STDEV.P($E478:$V478)),(SLOPE($E478:$V478,$E$1:$V$1)*W$1+INTERCEPT($E478:$V478,$E$1:$V$1))&lt;(AVERAGE($E478:$V478)-_xlfn.STDEV.P($E478:$V478))),V478,(SLOPE($E478:$V478,$E$1:$V$1)*W$1+INTERCEPT($E478:$V478,$E$1:$V$1)))</f>
        <v>32350.611801164312</v>
      </c>
      <c r="X478" s="5">
        <f t="shared" si="483"/>
        <v>34597.724393227334</v>
      </c>
      <c r="Y478" s="5">
        <f t="shared" si="483"/>
        <v>36844.836985290356</v>
      </c>
      <c r="Z478" s="5">
        <f t="shared" si="483"/>
        <v>39091.949577353378</v>
      </c>
      <c r="AA478" s="5">
        <f t="shared" si="483"/>
        <v>41339.0621694164</v>
      </c>
      <c r="AB478" s="5">
        <f t="shared" si="483"/>
        <v>41339.0621694164</v>
      </c>
      <c r="AC478" s="5">
        <f t="shared" si="483"/>
        <v>41339.0621694164</v>
      </c>
      <c r="AD478" s="5">
        <f t="shared" si="483"/>
        <v>41339.0621694164</v>
      </c>
      <c r="AE478" s="5">
        <f t="shared" si="483"/>
        <v>41339.0621694164</v>
      </c>
      <c r="AF478" s="5">
        <f t="shared" si="483"/>
        <v>41339.0621694164</v>
      </c>
      <c r="AG478" s="5">
        <f t="shared" si="483"/>
        <v>41339.0621694164</v>
      </c>
      <c r="AH478" s="5">
        <f t="shared" si="483"/>
        <v>41339.0621694164</v>
      </c>
    </row>
    <row r="479" spans="1:34" x14ac:dyDescent="0.35">
      <c r="A479" t="s">
        <v>499</v>
      </c>
      <c r="B479" s="3" t="s">
        <v>1265</v>
      </c>
      <c r="C479" s="4" t="s">
        <v>1263</v>
      </c>
      <c r="D479" s="2">
        <f t="shared" si="456"/>
        <v>188956.81181753601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142.36372113599998</v>
      </c>
      <c r="P479" s="5">
        <v>27421.442901888004</v>
      </c>
      <c r="Q479" s="5">
        <v>8954.3130242719999</v>
      </c>
      <c r="R479" s="5">
        <v>21942.264814064009</v>
      </c>
      <c r="S479" s="5">
        <v>35050.678214047999</v>
      </c>
      <c r="T479" s="5">
        <v>19974.725180927995</v>
      </c>
      <c r="U479" s="5">
        <v>44775.215473184006</v>
      </c>
      <c r="V479" s="5">
        <v>30695.808488016006</v>
      </c>
      <c r="W479" s="5">
        <f t="shared" ref="W479:AH479" si="484">IF(OR((SLOPE($E479:$V479,$E$1:$V$1)*W$1+INTERCEPT($E479:$V479,$E$1:$V$1))&gt;(AVERAGE($E479:$V479)+_xlfn.STDEV.P($E479:$V479)),(SLOPE($E479:$V479,$E$1:$V$1)*W$1+INTERCEPT($E479:$V479,$E$1:$V$1))&lt;(AVERAGE($E479:$V479)-_xlfn.STDEV.P($E479:$V479))),V479,(SLOPE($E479:$V479,$E$1:$V$1)*W$1+INTERCEPT($E479:$V479,$E$1:$V$1)))</f>
        <v>30695.808488016006</v>
      </c>
      <c r="X479" s="5">
        <f t="shared" si="484"/>
        <v>30695.808488016006</v>
      </c>
      <c r="Y479" s="5">
        <f t="shared" si="484"/>
        <v>30695.808488016006</v>
      </c>
      <c r="Z479" s="5">
        <f t="shared" si="484"/>
        <v>30695.808488016006</v>
      </c>
      <c r="AA479" s="5">
        <f t="shared" si="484"/>
        <v>30695.808488016006</v>
      </c>
      <c r="AB479" s="5">
        <f t="shared" si="484"/>
        <v>30695.808488016006</v>
      </c>
      <c r="AC479" s="5">
        <f t="shared" si="484"/>
        <v>30695.808488016006</v>
      </c>
      <c r="AD479" s="5">
        <f t="shared" si="484"/>
        <v>30695.808488016006</v>
      </c>
      <c r="AE479" s="5">
        <f t="shared" si="484"/>
        <v>30695.808488016006</v>
      </c>
      <c r="AF479" s="5">
        <f t="shared" si="484"/>
        <v>30695.808488016006</v>
      </c>
      <c r="AG479" s="5">
        <f t="shared" si="484"/>
        <v>30695.808488016006</v>
      </c>
      <c r="AH479" s="5">
        <f t="shared" si="484"/>
        <v>30695.808488016006</v>
      </c>
    </row>
    <row r="480" spans="1:34" x14ac:dyDescent="0.35">
      <c r="A480" t="s">
        <v>500</v>
      </c>
      <c r="B480" s="3" t="s">
        <v>1264</v>
      </c>
      <c r="C480" s="4" t="s">
        <v>1263</v>
      </c>
      <c r="D480" s="2">
        <f t="shared" si="456"/>
        <v>196333.6293655067</v>
      </c>
      <c r="E480" s="5">
        <v>0</v>
      </c>
      <c r="F480" s="5">
        <v>0</v>
      </c>
      <c r="G480" s="5">
        <v>0</v>
      </c>
      <c r="H480" s="5">
        <v>31369.881129980829</v>
      </c>
      <c r="I480" s="5">
        <v>33984.037890812564</v>
      </c>
      <c r="J480" s="5">
        <v>0</v>
      </c>
      <c r="K480" s="5">
        <v>0</v>
      </c>
      <c r="L480" s="5">
        <v>64308.256316460698</v>
      </c>
      <c r="M480" s="5">
        <v>0</v>
      </c>
      <c r="N480" s="5">
        <v>0</v>
      </c>
      <c r="O480" s="5">
        <v>66671.454028252585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f t="shared" ref="W480:AH480" si="485">IF(OR((SLOPE($E480:$V480,$E$1:$V$1)*W$1+INTERCEPT($E480:$V480,$E$1:$V$1))&gt;(AVERAGE($E480:$V480)+_xlfn.STDEV.P($E480:$V480)),(SLOPE($E480:$V480,$E$1:$V$1)*W$1+INTERCEPT($E480:$V480,$E$1:$V$1))&lt;(AVERAGE($E480:$V480)-_xlfn.STDEV.P($E480:$V480))),V480,(SLOPE($E480:$V480,$E$1:$V$1)*W$1+INTERCEPT($E480:$V480,$E$1:$V$1)))</f>
        <v>4595.311693720374</v>
      </c>
      <c r="X480" s="5">
        <f t="shared" si="485"/>
        <v>3930.8788347815425</v>
      </c>
      <c r="Y480" s="5">
        <f t="shared" si="485"/>
        <v>3266.4459758427129</v>
      </c>
      <c r="Z480" s="5">
        <f t="shared" si="485"/>
        <v>2602.0131169038832</v>
      </c>
      <c r="AA480" s="5">
        <f t="shared" si="485"/>
        <v>1937.5802579650517</v>
      </c>
      <c r="AB480" s="5">
        <f t="shared" si="485"/>
        <v>1273.147399026222</v>
      </c>
      <c r="AC480" s="5">
        <f t="shared" si="485"/>
        <v>608.71454008739238</v>
      </c>
      <c r="AD480" s="5">
        <f t="shared" si="485"/>
        <v>-55.718318851439108</v>
      </c>
      <c r="AE480" s="5">
        <f t="shared" si="485"/>
        <v>-720.15117779027059</v>
      </c>
      <c r="AF480" s="5">
        <f t="shared" si="485"/>
        <v>-1384.5840367290984</v>
      </c>
      <c r="AG480" s="5">
        <f t="shared" si="485"/>
        <v>-2049.0168956679299</v>
      </c>
      <c r="AH480" s="5">
        <f t="shared" si="485"/>
        <v>-2713.4497546067614</v>
      </c>
    </row>
    <row r="481" spans="1:34" x14ac:dyDescent="0.35">
      <c r="A481" t="s">
        <v>501</v>
      </c>
      <c r="B481" s="3" t="s">
        <v>1262</v>
      </c>
      <c r="C481" s="4" t="s">
        <v>1268</v>
      </c>
      <c r="D481" s="2">
        <f t="shared" si="456"/>
        <v>194955.51599999997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82872.719999999987</v>
      </c>
      <c r="U481" s="5">
        <v>108194.93999999999</v>
      </c>
      <c r="V481" s="5">
        <v>3887.8560000000007</v>
      </c>
      <c r="W481" s="5">
        <f t="shared" ref="W481:AH481" si="486">IF(OR((SLOPE($E481:$V481,$E$1:$V$1)*W$1+INTERCEPT($E481:$V481,$E$1:$V$1))&gt;(AVERAGE($E481:$V481)+_xlfn.STDEV.P($E481:$V481)),(SLOPE($E481:$V481,$E$1:$V$1)*W$1+INTERCEPT($E481:$V481,$E$1:$V$1))&lt;(AVERAGE($E481:$V481)-_xlfn.STDEV.P($E481:$V481))),V481,(SLOPE($E481:$V481,$E$1:$V$1)*W$1+INTERCEPT($E481:$V481,$E$1:$V$1)))</f>
        <v>37952.067999999999</v>
      </c>
      <c r="X481" s="5">
        <f t="shared" si="486"/>
        <v>40806.931789473681</v>
      </c>
      <c r="Y481" s="5">
        <f t="shared" si="486"/>
        <v>40806.931789473681</v>
      </c>
      <c r="Z481" s="5">
        <f t="shared" si="486"/>
        <v>40806.931789473681</v>
      </c>
      <c r="AA481" s="5">
        <f t="shared" si="486"/>
        <v>40806.931789473681</v>
      </c>
      <c r="AB481" s="5">
        <f t="shared" si="486"/>
        <v>40806.931789473681</v>
      </c>
      <c r="AC481" s="5">
        <f t="shared" si="486"/>
        <v>40806.931789473681</v>
      </c>
      <c r="AD481" s="5">
        <f t="shared" si="486"/>
        <v>40806.931789473681</v>
      </c>
      <c r="AE481" s="5">
        <f t="shared" si="486"/>
        <v>40806.931789473681</v>
      </c>
      <c r="AF481" s="5">
        <f t="shared" si="486"/>
        <v>40806.931789473681</v>
      </c>
      <c r="AG481" s="5">
        <f t="shared" si="486"/>
        <v>40806.931789473681</v>
      </c>
      <c r="AH481" s="5">
        <f t="shared" si="486"/>
        <v>40806.931789473681</v>
      </c>
    </row>
    <row r="482" spans="1:34" x14ac:dyDescent="0.35">
      <c r="A482" t="s">
        <v>502</v>
      </c>
      <c r="B482" s="3" t="s">
        <v>1265</v>
      </c>
      <c r="C482" s="4" t="s">
        <v>1263</v>
      </c>
      <c r="D482" s="2">
        <f t="shared" si="456"/>
        <v>188984.39230491724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143844.91535647085</v>
      </c>
      <c r="M482" s="5">
        <v>976.17064243470872</v>
      </c>
      <c r="N482" s="5">
        <v>628.33972386601931</v>
      </c>
      <c r="O482" s="5">
        <v>605.89901944223288</v>
      </c>
      <c r="P482" s="5">
        <v>112.20352211893203</v>
      </c>
      <c r="Q482" s="5">
        <v>0</v>
      </c>
      <c r="R482" s="5">
        <v>297.33933361516989</v>
      </c>
      <c r="S482" s="5">
        <v>2446.036782192718</v>
      </c>
      <c r="T482" s="5">
        <v>1694.2731839958738</v>
      </c>
      <c r="U482" s="5">
        <v>6182.4140687531553</v>
      </c>
      <c r="V482" s="5">
        <v>32196.800672027544</v>
      </c>
      <c r="W482" s="5">
        <f t="shared" ref="W482:AH482" si="487">IF(OR((SLOPE($E482:$V482,$E$1:$V$1)*W$1+INTERCEPT($E482:$V482,$E$1:$V$1))&gt;(AVERAGE($E482:$V482)+_xlfn.STDEV.P($E482:$V482)),(SLOPE($E482:$V482,$E$1:$V$1)*W$1+INTERCEPT($E482:$V482,$E$1:$V$1))&lt;(AVERAGE($E482:$V482)-_xlfn.STDEV.P($E482:$V482))),V482,(SLOPE($E482:$V482,$E$1:$V$1)*W$1+INTERCEPT($E482:$V482,$E$1:$V$1)))</f>
        <v>13069.583593429799</v>
      </c>
      <c r="X482" s="5">
        <f t="shared" si="487"/>
        <v>13340.157350019384</v>
      </c>
      <c r="Y482" s="5">
        <f t="shared" si="487"/>
        <v>13610.73110660897</v>
      </c>
      <c r="Z482" s="5">
        <f t="shared" si="487"/>
        <v>13881.304863198555</v>
      </c>
      <c r="AA482" s="5">
        <f t="shared" si="487"/>
        <v>14151.878619788142</v>
      </c>
      <c r="AB482" s="5">
        <f t="shared" si="487"/>
        <v>14422.452376377727</v>
      </c>
      <c r="AC482" s="5">
        <f t="shared" si="487"/>
        <v>14693.026132967312</v>
      </c>
      <c r="AD482" s="5">
        <f t="shared" si="487"/>
        <v>14963.599889556899</v>
      </c>
      <c r="AE482" s="5">
        <f t="shared" si="487"/>
        <v>15234.173646146484</v>
      </c>
      <c r="AF482" s="5">
        <f t="shared" si="487"/>
        <v>15504.747402736069</v>
      </c>
      <c r="AG482" s="5">
        <f t="shared" si="487"/>
        <v>15775.321159325655</v>
      </c>
      <c r="AH482" s="5">
        <f t="shared" si="487"/>
        <v>16045.89491591524</v>
      </c>
    </row>
    <row r="483" spans="1:34" x14ac:dyDescent="0.35">
      <c r="A483" t="s">
        <v>503</v>
      </c>
      <c r="B483" s="3" t="s">
        <v>1265</v>
      </c>
      <c r="C483" s="4" t="s">
        <v>1263</v>
      </c>
      <c r="D483" s="2">
        <f t="shared" si="456"/>
        <v>189806.71827241618</v>
      </c>
      <c r="E483" s="5">
        <v>12947.625262581865</v>
      </c>
      <c r="F483" s="5">
        <v>14031.476246101167</v>
      </c>
      <c r="G483" s="5">
        <v>14644.682027767936</v>
      </c>
      <c r="H483" s="5">
        <v>12849.981029832379</v>
      </c>
      <c r="I483" s="5">
        <v>19685.077322296413</v>
      </c>
      <c r="J483" s="5">
        <v>3394.1135303721385</v>
      </c>
      <c r="K483" s="5">
        <v>1308.4327188431143</v>
      </c>
      <c r="L483" s="5">
        <v>1415.8413748675491</v>
      </c>
      <c r="M483" s="5">
        <v>4784.5674047248212</v>
      </c>
      <c r="N483" s="5">
        <v>4979.8558702237933</v>
      </c>
      <c r="O483" s="5">
        <v>12381.288712634845</v>
      </c>
      <c r="P483" s="5">
        <v>30349.780423195287</v>
      </c>
      <c r="Q483" s="5">
        <v>12127.413707486183</v>
      </c>
      <c r="R483" s="5">
        <v>4804.0962512747183</v>
      </c>
      <c r="S483" s="5">
        <v>15164.149345995203</v>
      </c>
      <c r="T483" s="5">
        <v>10565.105983494403</v>
      </c>
      <c r="U483" s="5">
        <v>9159.0290319018022</v>
      </c>
      <c r="V483" s="5">
        <v>5214.2020288225604</v>
      </c>
      <c r="W483" s="5">
        <f t="shared" ref="W483:AH483" si="488">IF(OR((SLOPE($E483:$V483,$E$1:$V$1)*W$1+INTERCEPT($E483:$V483,$E$1:$V$1))&gt;(AVERAGE($E483:$V483)+_xlfn.STDEV.P($E483:$V483)),(SLOPE($E483:$V483,$E$1:$V$1)*W$1+INTERCEPT($E483:$V483,$E$1:$V$1))&lt;(AVERAGE($E483:$V483)-_xlfn.STDEV.P($E483:$V483))),V483,(SLOPE($E483:$V483,$E$1:$V$1)*W$1+INTERCEPT($E483:$V483,$E$1:$V$1)))</f>
        <v>9303.3382731391466</v>
      </c>
      <c r="X483" s="5">
        <f t="shared" si="488"/>
        <v>9172.6562301221202</v>
      </c>
      <c r="Y483" s="5">
        <f t="shared" si="488"/>
        <v>9041.9741871050937</v>
      </c>
      <c r="Z483" s="5">
        <f t="shared" si="488"/>
        <v>8911.2921440880673</v>
      </c>
      <c r="AA483" s="5">
        <f t="shared" si="488"/>
        <v>8780.6101010710408</v>
      </c>
      <c r="AB483" s="5">
        <f t="shared" si="488"/>
        <v>8649.9280580540144</v>
      </c>
      <c r="AC483" s="5">
        <f t="shared" si="488"/>
        <v>8519.246015036988</v>
      </c>
      <c r="AD483" s="5">
        <f t="shared" si="488"/>
        <v>8388.5639720199615</v>
      </c>
      <c r="AE483" s="5">
        <f t="shared" si="488"/>
        <v>8257.8819290029351</v>
      </c>
      <c r="AF483" s="5">
        <f t="shared" si="488"/>
        <v>8127.1998859859086</v>
      </c>
      <c r="AG483" s="5">
        <f t="shared" si="488"/>
        <v>7996.5178429688822</v>
      </c>
      <c r="AH483" s="5">
        <f t="shared" si="488"/>
        <v>7865.8357999518557</v>
      </c>
    </row>
    <row r="484" spans="1:34" x14ac:dyDescent="0.35">
      <c r="A484" t="s">
        <v>504</v>
      </c>
      <c r="B484" s="3" t="s">
        <v>1266</v>
      </c>
      <c r="C484" s="4" t="s">
        <v>1267</v>
      </c>
      <c r="D484" s="2">
        <f t="shared" si="456"/>
        <v>192269.65868484782</v>
      </c>
      <c r="E484" s="5">
        <v>0</v>
      </c>
      <c r="F484" s="5">
        <v>0</v>
      </c>
      <c r="G484" s="5">
        <v>192269.65868484782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f t="shared" ref="W484:AH484" si="489">IF(OR((SLOPE($E484:$V484,$E$1:$V$1)*W$1+INTERCEPT($E484:$V484,$E$1:$V$1))&gt;(AVERAGE($E484:$V484)+_xlfn.STDEV.P($E484:$V484)),(SLOPE($E484:$V484,$E$1:$V$1)*W$1+INTERCEPT($E484:$V484,$E$1:$V$1))&lt;(AVERAGE($E484:$V484)-_xlfn.STDEV.P($E484:$V484))),V484,(SLOPE($E484:$V484,$E$1:$V$1)*W$1+INTERCEPT($E484:$V484,$E$1:$V$1)))</f>
        <v>-13823.308794335462</v>
      </c>
      <c r="X484" s="5">
        <f t="shared" si="489"/>
        <v>-16402.777899498535</v>
      </c>
      <c r="Y484" s="5">
        <f t="shared" si="489"/>
        <v>-18982.247004661614</v>
      </c>
      <c r="Z484" s="5">
        <f t="shared" si="489"/>
        <v>-21561.716109824687</v>
      </c>
      <c r="AA484" s="5">
        <f t="shared" si="489"/>
        <v>-24141.185214987767</v>
      </c>
      <c r="AB484" s="5">
        <f t="shared" si="489"/>
        <v>-26720.654320150847</v>
      </c>
      <c r="AC484" s="5">
        <f t="shared" si="489"/>
        <v>-29300.123425313919</v>
      </c>
      <c r="AD484" s="5">
        <f t="shared" si="489"/>
        <v>-31879.592530476992</v>
      </c>
      <c r="AE484" s="5">
        <f t="shared" si="489"/>
        <v>-31879.592530476992</v>
      </c>
      <c r="AF484" s="5">
        <f t="shared" si="489"/>
        <v>-31879.592530476992</v>
      </c>
      <c r="AG484" s="5">
        <f t="shared" si="489"/>
        <v>-31879.592530476992</v>
      </c>
      <c r="AH484" s="5">
        <f t="shared" si="489"/>
        <v>-31879.592530476992</v>
      </c>
    </row>
    <row r="485" spans="1:34" x14ac:dyDescent="0.35">
      <c r="A485" t="s">
        <v>505</v>
      </c>
      <c r="B485" s="3" t="s">
        <v>1266</v>
      </c>
      <c r="C485" s="4" t="s">
        <v>1267</v>
      </c>
      <c r="D485" s="2">
        <f t="shared" si="456"/>
        <v>191702.49323425948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191702.49323425948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f t="shared" ref="W485:AH485" si="490">IF(OR((SLOPE($E485:$V485,$E$1:$V$1)*W$1+INTERCEPT($E485:$V485,$E$1:$V$1))&gt;(AVERAGE($E485:$V485)+_xlfn.STDEV.P($E485:$V485)),(SLOPE($E485:$V485,$E$1:$V$1)*W$1+INTERCEPT($E485:$V485,$E$1:$V$1))&lt;(AVERAGE($E485:$V485)-_xlfn.STDEV.P($E485:$V485))),V485,(SLOPE($E485:$V485,$E$1:$V$1)*W$1+INTERCEPT($E485:$V485,$E$1:$V$1)))</f>
        <v>12529.57472119343</v>
      </c>
      <c r="X485" s="5">
        <f t="shared" si="490"/>
        <v>12727.410111528063</v>
      </c>
      <c r="Y485" s="5">
        <f t="shared" si="490"/>
        <v>12925.245501862697</v>
      </c>
      <c r="Z485" s="5">
        <f t="shared" si="490"/>
        <v>13123.080892197329</v>
      </c>
      <c r="AA485" s="5">
        <f t="shared" si="490"/>
        <v>13320.916282531962</v>
      </c>
      <c r="AB485" s="5">
        <f t="shared" si="490"/>
        <v>13518.751672866594</v>
      </c>
      <c r="AC485" s="5">
        <f t="shared" si="490"/>
        <v>13716.587063201228</v>
      </c>
      <c r="AD485" s="5">
        <f t="shared" si="490"/>
        <v>13914.422453535863</v>
      </c>
      <c r="AE485" s="5">
        <f t="shared" si="490"/>
        <v>14112.257843870495</v>
      </c>
      <c r="AF485" s="5">
        <f t="shared" si="490"/>
        <v>14310.093234205127</v>
      </c>
      <c r="AG485" s="5">
        <f t="shared" si="490"/>
        <v>14507.92862453976</v>
      </c>
      <c r="AH485" s="5">
        <f t="shared" si="490"/>
        <v>14705.764014874394</v>
      </c>
    </row>
    <row r="486" spans="1:34" x14ac:dyDescent="0.35">
      <c r="A486" t="s">
        <v>506</v>
      </c>
      <c r="B486" s="3" t="s">
        <v>1266</v>
      </c>
      <c r="C486" s="4" t="s">
        <v>1263</v>
      </c>
      <c r="D486" s="2">
        <f t="shared" si="456"/>
        <v>191309.35816931346</v>
      </c>
      <c r="E486" s="5">
        <v>0</v>
      </c>
      <c r="F486" s="5">
        <v>0</v>
      </c>
      <c r="G486" s="5">
        <v>0</v>
      </c>
      <c r="H486" s="5">
        <v>32776.778147889367</v>
      </c>
      <c r="I486" s="5">
        <v>0</v>
      </c>
      <c r="J486" s="5">
        <v>0</v>
      </c>
      <c r="K486" s="5">
        <v>30465.984883288635</v>
      </c>
      <c r="L486" s="5">
        <v>0</v>
      </c>
      <c r="M486" s="5">
        <v>30770.036628630838</v>
      </c>
      <c r="N486" s="5">
        <v>0</v>
      </c>
      <c r="O486" s="5">
        <v>0</v>
      </c>
      <c r="P486" s="5">
        <v>63850.866521862416</v>
      </c>
      <c r="Q486" s="5">
        <v>0</v>
      </c>
      <c r="R486" s="5">
        <v>33445.691987642218</v>
      </c>
      <c r="S486" s="5">
        <v>0</v>
      </c>
      <c r="T486" s="5">
        <v>0</v>
      </c>
      <c r="U486" s="5">
        <v>0</v>
      </c>
      <c r="V486" s="5">
        <v>0</v>
      </c>
      <c r="W486" s="5">
        <f t="shared" ref="W486:AH486" si="491">IF(OR((SLOPE($E486:$V486,$E$1:$V$1)*W$1+INTERCEPT($E486:$V486,$E$1:$V$1))&gt;(AVERAGE($E486:$V486)+_xlfn.STDEV.P($E486:$V486)),(SLOPE($E486:$V486,$E$1:$V$1)*W$1+INTERCEPT($E486:$V486,$E$1:$V$1))&lt;(AVERAGE($E486:$V486)-_xlfn.STDEV.P($E486:$V486))),V486,(SLOPE($E486:$V486,$E$1:$V$1)*W$1+INTERCEPT($E486:$V486,$E$1:$V$1)))</f>
        <v>11379.484341036057</v>
      </c>
      <c r="X486" s="5">
        <f t="shared" si="491"/>
        <v>11458.556621558488</v>
      </c>
      <c r="Y486" s="5">
        <f t="shared" si="491"/>
        <v>11537.628902080918</v>
      </c>
      <c r="Z486" s="5">
        <f t="shared" si="491"/>
        <v>11616.701182603349</v>
      </c>
      <c r="AA486" s="5">
        <f t="shared" si="491"/>
        <v>11695.773463125779</v>
      </c>
      <c r="AB486" s="5">
        <f t="shared" si="491"/>
        <v>11774.845743648209</v>
      </c>
      <c r="AC486" s="5">
        <f t="shared" si="491"/>
        <v>11853.918024170638</v>
      </c>
      <c r="AD486" s="5">
        <f t="shared" si="491"/>
        <v>11932.990304693069</v>
      </c>
      <c r="AE486" s="5">
        <f t="shared" si="491"/>
        <v>12012.062585215499</v>
      </c>
      <c r="AF486" s="5">
        <f t="shared" si="491"/>
        <v>12091.134865737929</v>
      </c>
      <c r="AG486" s="5">
        <f t="shared" si="491"/>
        <v>12170.20714626036</v>
      </c>
      <c r="AH486" s="5">
        <f t="shared" si="491"/>
        <v>12249.27942678279</v>
      </c>
    </row>
    <row r="487" spans="1:34" x14ac:dyDescent="0.35">
      <c r="A487" t="s">
        <v>507</v>
      </c>
      <c r="B487" s="3" t="s">
        <v>1266</v>
      </c>
      <c r="C487" s="4" t="s">
        <v>1266</v>
      </c>
      <c r="D487" s="2">
        <f t="shared" si="456"/>
        <v>190638.03686054097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190638.03686054097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f t="shared" ref="W487:AH487" si="492">IF(OR((SLOPE($E487:$V487,$E$1:$V$1)*W$1+INTERCEPT($E487:$V487,$E$1:$V$1))&gt;(AVERAGE($E487:$V487)+_xlfn.STDEV.P($E487:$V487)),(SLOPE($E487:$V487,$E$1:$V$1)*W$1+INTERCEPT($E487:$V487,$E$1:$V$1))&lt;(AVERAGE($E487:$V487)-_xlfn.STDEV.P($E487:$V487))),V487,(SLOPE($E487:$V487,$E$1:$V$1)*W$1+INTERCEPT($E487:$V487,$E$1:$V$1)))</f>
        <v>12460.002409185685</v>
      </c>
      <c r="X487" s="5">
        <f t="shared" si="492"/>
        <v>12656.739289330722</v>
      </c>
      <c r="Y487" s="5">
        <f t="shared" si="492"/>
        <v>12853.476169475758</v>
      </c>
      <c r="Z487" s="5">
        <f t="shared" si="492"/>
        <v>13050.213049620796</v>
      </c>
      <c r="AA487" s="5">
        <f t="shared" si="492"/>
        <v>13246.949929765833</v>
      </c>
      <c r="AB487" s="5">
        <f t="shared" si="492"/>
        <v>13443.686809910871</v>
      </c>
      <c r="AC487" s="5">
        <f t="shared" si="492"/>
        <v>13640.423690055908</v>
      </c>
      <c r="AD487" s="5">
        <f t="shared" si="492"/>
        <v>13837.160570200944</v>
      </c>
      <c r="AE487" s="5">
        <f t="shared" si="492"/>
        <v>14033.897450345983</v>
      </c>
      <c r="AF487" s="5">
        <f t="shared" si="492"/>
        <v>14230.634330491019</v>
      </c>
      <c r="AG487" s="5">
        <f t="shared" si="492"/>
        <v>14427.371210636056</v>
      </c>
      <c r="AH487" s="5">
        <f t="shared" si="492"/>
        <v>14624.108090781094</v>
      </c>
    </row>
    <row r="488" spans="1:34" x14ac:dyDescent="0.35">
      <c r="A488" t="s">
        <v>508</v>
      </c>
      <c r="B488" s="3" t="s">
        <v>1266</v>
      </c>
      <c r="C488" s="4" t="s">
        <v>1263</v>
      </c>
      <c r="D488" s="2">
        <f t="shared" si="456"/>
        <v>188179.48925999997</v>
      </c>
      <c r="E488" s="5">
        <v>54866.594579999997</v>
      </c>
      <c r="F488" s="5">
        <v>16524.120059999997</v>
      </c>
      <c r="G488" s="5">
        <v>13031.961600000001</v>
      </c>
      <c r="H488" s="5">
        <v>2178.7810800000002</v>
      </c>
      <c r="I488" s="5">
        <v>4164.1189800000002</v>
      </c>
      <c r="J488" s="5">
        <v>7310.115960000001</v>
      </c>
      <c r="K488" s="5">
        <v>2229.6871799999999</v>
      </c>
      <c r="L488" s="5">
        <v>48605.144279999986</v>
      </c>
      <c r="M488" s="5">
        <v>39268.965539999997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f t="shared" ref="W488:AH488" si="493">IF(OR((SLOPE($E488:$V488,$E$1:$V$1)*W$1+INTERCEPT($E488:$V488,$E$1:$V$1))&gt;(AVERAGE($E488:$V488)+_xlfn.STDEV.P($E488:$V488)),(SLOPE($E488:$V488,$E$1:$V$1)*W$1+INTERCEPT($E488:$V488,$E$1:$V$1))&lt;(AVERAGE($E488:$V488)-_xlfn.STDEV.P($E488:$V488))),V488,(SLOPE($E488:$V488,$E$1:$V$1)*W$1+INTERCEPT($E488:$V488,$E$1:$V$1)))</f>
        <v>-5808.8850894117641</v>
      </c>
      <c r="X488" s="5">
        <f t="shared" si="493"/>
        <v>-5808.8850894117641</v>
      </c>
      <c r="Y488" s="5">
        <f t="shared" si="493"/>
        <v>-5808.8850894117641</v>
      </c>
      <c r="Z488" s="5">
        <f t="shared" si="493"/>
        <v>-5808.8850894117641</v>
      </c>
      <c r="AA488" s="5">
        <f t="shared" si="493"/>
        <v>-5808.8850894117641</v>
      </c>
      <c r="AB488" s="5">
        <f t="shared" si="493"/>
        <v>-5808.8850894117641</v>
      </c>
      <c r="AC488" s="5">
        <f t="shared" si="493"/>
        <v>-5808.8850894117641</v>
      </c>
      <c r="AD488" s="5">
        <f t="shared" si="493"/>
        <v>-5808.8850894117641</v>
      </c>
      <c r="AE488" s="5">
        <f t="shared" si="493"/>
        <v>-5808.8850894117641</v>
      </c>
      <c r="AF488" s="5">
        <f t="shared" si="493"/>
        <v>-5808.8850894117641</v>
      </c>
      <c r="AG488" s="5">
        <f t="shared" si="493"/>
        <v>-5808.8850894117641</v>
      </c>
      <c r="AH488" s="5">
        <f t="shared" si="493"/>
        <v>-5808.8850894117641</v>
      </c>
    </row>
    <row r="489" spans="1:34" x14ac:dyDescent="0.35">
      <c r="A489" t="s">
        <v>509</v>
      </c>
      <c r="B489" s="3" t="s">
        <v>1264</v>
      </c>
      <c r="C489" s="4" t="s">
        <v>1263</v>
      </c>
      <c r="D489" s="2">
        <f t="shared" si="456"/>
        <v>183254.77643867323</v>
      </c>
      <c r="E489" s="5">
        <v>6756.4154671093374</v>
      </c>
      <c r="F489" s="5">
        <v>8575.4504005618492</v>
      </c>
      <c r="G489" s="5">
        <v>9796.8024273085393</v>
      </c>
      <c r="H489" s="5">
        <v>12655.285894162489</v>
      </c>
      <c r="I489" s="5">
        <v>11433.933867415803</v>
      </c>
      <c r="J489" s="5">
        <v>11511.892507420909</v>
      </c>
      <c r="K489" s="5">
        <v>7484.0294404903443</v>
      </c>
      <c r="L489" s="5">
        <v>9277.0781606078217</v>
      </c>
      <c r="M489" s="5">
        <v>6548.5257604290509</v>
      </c>
      <c r="N489" s="5">
        <v>12785.21696083767</v>
      </c>
      <c r="O489" s="5">
        <v>12239.506480801914</v>
      </c>
      <c r="P489" s="5">
        <v>14682.210534295291</v>
      </c>
      <c r="Q489" s="5">
        <v>10264.554267339185</v>
      </c>
      <c r="R489" s="5">
        <v>10524.416400689546</v>
      </c>
      <c r="S489" s="5">
        <v>11329.989014075656</v>
      </c>
      <c r="T489" s="5">
        <v>4989.3529603268953</v>
      </c>
      <c r="U489" s="5">
        <v>12135.56162746177</v>
      </c>
      <c r="V489" s="5">
        <v>10264.554267339188</v>
      </c>
      <c r="W489" s="5">
        <f t="shared" ref="W489:AH489" si="494">IF(OR((SLOPE($E489:$V489,$E$1:$V$1)*W$1+INTERCEPT($E489:$V489,$E$1:$V$1))&gt;(AVERAGE($E489:$V489)+_xlfn.STDEV.P($E489:$V489)),(SLOPE($E489:$V489,$E$1:$V$1)*W$1+INTERCEPT($E489:$V489,$E$1:$V$1))&lt;(AVERAGE($E489:$V489)-_xlfn.STDEV.P($E489:$V489))),V489,(SLOPE($E489:$V489,$E$1:$V$1)*W$1+INTERCEPT($E489:$V489,$E$1:$V$1)))</f>
        <v>10868.691266245869</v>
      </c>
      <c r="X489" s="5">
        <f t="shared" si="494"/>
        <v>10941.098671823369</v>
      </c>
      <c r="Y489" s="5">
        <f t="shared" si="494"/>
        <v>11013.506077400867</v>
      </c>
      <c r="Z489" s="5">
        <f t="shared" si="494"/>
        <v>11085.913482978367</v>
      </c>
      <c r="AA489" s="5">
        <f t="shared" si="494"/>
        <v>11158.320888555867</v>
      </c>
      <c r="AB489" s="5">
        <f t="shared" si="494"/>
        <v>11230.728294133367</v>
      </c>
      <c r="AC489" s="5">
        <f t="shared" si="494"/>
        <v>11303.135699710865</v>
      </c>
      <c r="AD489" s="5">
        <f t="shared" si="494"/>
        <v>11375.543105288365</v>
      </c>
      <c r="AE489" s="5">
        <f t="shared" si="494"/>
        <v>11447.950510865865</v>
      </c>
      <c r="AF489" s="5">
        <f t="shared" si="494"/>
        <v>11520.357916443365</v>
      </c>
      <c r="AG489" s="5">
        <f t="shared" si="494"/>
        <v>11592.765322020863</v>
      </c>
      <c r="AH489" s="5">
        <f t="shared" si="494"/>
        <v>11665.172727598363</v>
      </c>
    </row>
    <row r="490" spans="1:34" x14ac:dyDescent="0.35">
      <c r="A490" t="s">
        <v>510</v>
      </c>
      <c r="B490" s="3" t="s">
        <v>1266</v>
      </c>
      <c r="C490" s="4" t="s">
        <v>1263</v>
      </c>
      <c r="D490" s="2">
        <f t="shared" si="456"/>
        <v>184832.11905564845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22109.578227914168</v>
      </c>
      <c r="N490" s="5">
        <v>68275.77700446696</v>
      </c>
      <c r="O490" s="5">
        <v>0</v>
      </c>
      <c r="P490" s="5">
        <v>94446.76382326732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f t="shared" ref="W490:AH490" si="495">IF(OR((SLOPE($E490:$V490,$E$1:$V$1)*W$1+INTERCEPT($E490:$V490,$E$1:$V$1))&gt;(AVERAGE($E490:$V490)+_xlfn.STDEV.P($E490:$V490)),(SLOPE($E490:$V490,$E$1:$V$1)*W$1+INTERCEPT($E490:$V490,$E$1:$V$1))&lt;(AVERAGE($E490:$V490)-_xlfn.STDEV.P($E490:$V490))),V490,(SLOPE($E490:$V490,$E$1:$V$1)*W$1+INTERCEPT($E490:$V490,$E$1:$V$1)))</f>
        <v>15350.804175244091</v>
      </c>
      <c r="X490" s="5">
        <f t="shared" si="495"/>
        <v>15885.788713833244</v>
      </c>
      <c r="Y490" s="5">
        <f t="shared" si="495"/>
        <v>16420.773252422397</v>
      </c>
      <c r="Z490" s="5">
        <f t="shared" si="495"/>
        <v>16955.757791011551</v>
      </c>
      <c r="AA490" s="5">
        <f t="shared" si="495"/>
        <v>17490.742329600704</v>
      </c>
      <c r="AB490" s="5">
        <f t="shared" si="495"/>
        <v>18025.726868189853</v>
      </c>
      <c r="AC490" s="5">
        <f t="shared" si="495"/>
        <v>18560.711406779006</v>
      </c>
      <c r="AD490" s="5">
        <f t="shared" si="495"/>
        <v>19095.695945368159</v>
      </c>
      <c r="AE490" s="5">
        <f t="shared" si="495"/>
        <v>19630.680483957312</v>
      </c>
      <c r="AF490" s="5">
        <f t="shared" si="495"/>
        <v>20165.665022546465</v>
      </c>
      <c r="AG490" s="5">
        <f t="shared" si="495"/>
        <v>20700.649561135619</v>
      </c>
      <c r="AH490" s="5">
        <f t="shared" si="495"/>
        <v>21235.634099724772</v>
      </c>
    </row>
    <row r="491" spans="1:34" x14ac:dyDescent="0.35">
      <c r="A491" t="s">
        <v>511</v>
      </c>
      <c r="B491" s="3" t="s">
        <v>1265</v>
      </c>
      <c r="C491" s="4" t="s">
        <v>1263</v>
      </c>
      <c r="D491" s="2">
        <f t="shared" si="456"/>
        <v>184462.19698752739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52874.488496324324</v>
      </c>
      <c r="L491" s="5">
        <v>0</v>
      </c>
      <c r="M491" s="5">
        <v>0</v>
      </c>
      <c r="N491" s="5">
        <v>0</v>
      </c>
      <c r="O491" s="5">
        <v>0</v>
      </c>
      <c r="P491" s="5">
        <v>105265.73087589629</v>
      </c>
      <c r="Q491" s="5">
        <v>0</v>
      </c>
      <c r="R491" s="5">
        <v>0</v>
      </c>
      <c r="S491" s="5">
        <v>0</v>
      </c>
      <c r="T491" s="5">
        <v>26321.977615306765</v>
      </c>
      <c r="U491" s="5">
        <v>0</v>
      </c>
      <c r="V491" s="5">
        <v>0</v>
      </c>
      <c r="W491" s="5">
        <f t="shared" ref="W491:AH491" si="496">IF(OR((SLOPE($E491:$V491,$E$1:$V$1)*W$1+INTERCEPT($E491:$V491,$E$1:$V$1))&gt;(AVERAGE($E491:$V491)+_xlfn.STDEV.P($E491:$V491)),(SLOPE($E491:$V491,$E$1:$V$1)*W$1+INTERCEPT($E491:$V491,$E$1:$V$1))&lt;(AVERAGE($E491:$V491)-_xlfn.STDEV.P($E491:$V491))),V491,(SLOPE($E491:$V491,$E$1:$V$1)*W$1+INTERCEPT($E491:$V491,$E$1:$V$1)))</f>
        <v>16170.859841433037</v>
      </c>
      <c r="X491" s="5">
        <f t="shared" si="496"/>
        <v>16794.329316042786</v>
      </c>
      <c r="Y491" s="5">
        <f t="shared" si="496"/>
        <v>17417.798790652538</v>
      </c>
      <c r="Z491" s="5">
        <f t="shared" si="496"/>
        <v>18041.26826526229</v>
      </c>
      <c r="AA491" s="5">
        <f t="shared" si="496"/>
        <v>18664.737739872038</v>
      </c>
      <c r="AB491" s="5">
        <f t="shared" si="496"/>
        <v>19288.207214481787</v>
      </c>
      <c r="AC491" s="5">
        <f t="shared" si="496"/>
        <v>19911.676689091539</v>
      </c>
      <c r="AD491" s="5">
        <f t="shared" si="496"/>
        <v>20535.146163701287</v>
      </c>
      <c r="AE491" s="5">
        <f t="shared" si="496"/>
        <v>21158.615638311039</v>
      </c>
      <c r="AF491" s="5">
        <f t="shared" si="496"/>
        <v>21782.085112920788</v>
      </c>
      <c r="AG491" s="5">
        <f t="shared" si="496"/>
        <v>22405.55458753054</v>
      </c>
      <c r="AH491" s="5">
        <f t="shared" si="496"/>
        <v>23029.024062140288</v>
      </c>
    </row>
    <row r="492" spans="1:34" x14ac:dyDescent="0.35">
      <c r="A492" t="s">
        <v>512</v>
      </c>
      <c r="B492" s="3" t="s">
        <v>1266</v>
      </c>
      <c r="C492" s="4" t="s">
        <v>1266</v>
      </c>
      <c r="D492" s="2">
        <f t="shared" si="456"/>
        <v>182886.19795195453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182886.19795195453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f t="shared" ref="W492:AH492" si="497">IF(OR((SLOPE($E492:$V492,$E$1:$V$1)*W$1+INTERCEPT($E492:$V492,$E$1:$V$1))&gt;(AVERAGE($E492:$V492)+_xlfn.STDEV.P($E492:$V492)),(SLOPE($E492:$V492,$E$1:$V$1)*W$1+INTERCEPT($E492:$V492,$E$1:$V$1))&lt;(AVERAGE($E492:$V492)-_xlfn.STDEV.P($E492:$V492))),V492,(SLOPE($E492:$V492,$E$1:$V$1)*W$1+INTERCEPT($E492:$V492,$E$1:$V$1)))</f>
        <v>19125.354034191325</v>
      </c>
      <c r="X492" s="5">
        <f t="shared" si="497"/>
        <v>20069.039266141561</v>
      </c>
      <c r="Y492" s="5">
        <f t="shared" si="497"/>
        <v>21012.724498091789</v>
      </c>
      <c r="Z492" s="5">
        <f t="shared" si="497"/>
        <v>21956.409730042018</v>
      </c>
      <c r="AA492" s="5">
        <f t="shared" si="497"/>
        <v>22900.094961992247</v>
      </c>
      <c r="AB492" s="5">
        <f t="shared" si="497"/>
        <v>23843.780193942475</v>
      </c>
      <c r="AC492" s="5">
        <f t="shared" si="497"/>
        <v>24787.465425892711</v>
      </c>
      <c r="AD492" s="5">
        <f t="shared" si="497"/>
        <v>25731.15065784294</v>
      </c>
      <c r="AE492" s="5">
        <f t="shared" si="497"/>
        <v>26674.835889793168</v>
      </c>
      <c r="AF492" s="5">
        <f t="shared" si="497"/>
        <v>27618.521121743397</v>
      </c>
      <c r="AG492" s="5">
        <f t="shared" si="497"/>
        <v>28562.206353693633</v>
      </c>
      <c r="AH492" s="5">
        <f t="shared" si="497"/>
        <v>29505.891585643862</v>
      </c>
    </row>
    <row r="493" spans="1:34" x14ac:dyDescent="0.35">
      <c r="A493" t="s">
        <v>513</v>
      </c>
      <c r="B493" s="3" t="s">
        <v>1265</v>
      </c>
      <c r="C493" s="4" t="s">
        <v>1263</v>
      </c>
      <c r="D493" s="2">
        <f t="shared" si="456"/>
        <v>181373.06438570906</v>
      </c>
      <c r="E493" s="5">
        <v>8148.0851356727617</v>
      </c>
      <c r="F493" s="5">
        <v>8736.6601341863716</v>
      </c>
      <c r="G493" s="5">
        <v>11559.980830181339</v>
      </c>
      <c r="H493" s="5">
        <v>4506.2773323698111</v>
      </c>
      <c r="I493" s="5">
        <v>10667.921848059152</v>
      </c>
      <c r="J493" s="5">
        <v>8773.4460715934729</v>
      </c>
      <c r="K493" s="5">
        <v>16792.780426341375</v>
      </c>
      <c r="L493" s="5">
        <v>8056.1202921550121</v>
      </c>
      <c r="M493" s="5">
        <v>8010.1378703961373</v>
      </c>
      <c r="N493" s="5">
        <v>8387.1937288189165</v>
      </c>
      <c r="O493" s="5">
        <v>9251.6632578857752</v>
      </c>
      <c r="P493" s="5">
        <v>13436.063637943462</v>
      </c>
      <c r="Q493" s="5">
        <v>9831.0417720476107</v>
      </c>
      <c r="R493" s="5">
        <v>9978.1855216760123</v>
      </c>
      <c r="S493" s="5">
        <v>13803.923012014473</v>
      </c>
      <c r="T493" s="5">
        <v>11090.960128240806</v>
      </c>
      <c r="U493" s="5">
        <v>9564.3437258461327</v>
      </c>
      <c r="V493" s="5">
        <v>10778.27966028045</v>
      </c>
      <c r="W493" s="5">
        <f t="shared" ref="W493:AH493" si="498">IF(OR((SLOPE($E493:$V493,$E$1:$V$1)*W$1+INTERCEPT($E493:$V493,$E$1:$V$1))&gt;(AVERAGE($E493:$V493)+_xlfn.STDEV.P($E493:$V493)),(SLOPE($E493:$V493,$E$1:$V$1)*W$1+INTERCEPT($E493:$V493,$E$1:$V$1))&lt;(AVERAGE($E493:$V493)-_xlfn.STDEV.P($E493:$V493))),V493,(SLOPE($E493:$V493,$E$1:$V$1)*W$1+INTERCEPT($E493:$V493,$E$1:$V$1)))</f>
        <v>11465.311138324827</v>
      </c>
      <c r="X493" s="5">
        <f t="shared" si="498"/>
        <v>11611.524799752533</v>
      </c>
      <c r="Y493" s="5">
        <f t="shared" si="498"/>
        <v>11757.738461180241</v>
      </c>
      <c r="Z493" s="5">
        <f t="shared" si="498"/>
        <v>11903.952122607947</v>
      </c>
      <c r="AA493" s="5">
        <f t="shared" si="498"/>
        <v>12050.165784035653</v>
      </c>
      <c r="AB493" s="5">
        <f t="shared" si="498"/>
        <v>12196.379445463361</v>
      </c>
      <c r="AC493" s="5">
        <f t="shared" si="498"/>
        <v>12342.593106891067</v>
      </c>
      <c r="AD493" s="5">
        <f t="shared" si="498"/>
        <v>12488.806768318773</v>
      </c>
      <c r="AE493" s="5">
        <f t="shared" si="498"/>
        <v>12635.020429746479</v>
      </c>
      <c r="AF493" s="5">
        <f t="shared" si="498"/>
        <v>12635.020429746479</v>
      </c>
      <c r="AG493" s="5">
        <f t="shared" si="498"/>
        <v>12635.020429746479</v>
      </c>
      <c r="AH493" s="5">
        <f t="shared" si="498"/>
        <v>12635.020429746479</v>
      </c>
    </row>
    <row r="494" spans="1:34" x14ac:dyDescent="0.35">
      <c r="A494" t="s">
        <v>514</v>
      </c>
      <c r="B494" s="3" t="s">
        <v>1264</v>
      </c>
      <c r="C494" s="4" t="s">
        <v>1263</v>
      </c>
      <c r="D494" s="2">
        <f t="shared" si="456"/>
        <v>170403.69360000003</v>
      </c>
      <c r="E494" s="5">
        <v>6007.5959999999995</v>
      </c>
      <c r="F494" s="5">
        <v>6007.5959999999995</v>
      </c>
      <c r="G494" s="5">
        <v>12015.191999999999</v>
      </c>
      <c r="H494" s="5">
        <v>12015.191999999999</v>
      </c>
      <c r="I494" s="5">
        <v>6007.5959999999995</v>
      </c>
      <c r="J494" s="5">
        <v>6785.0495999999994</v>
      </c>
      <c r="K494" s="5">
        <v>6007.5959999999995</v>
      </c>
      <c r="L494" s="5">
        <v>12721.967999999999</v>
      </c>
      <c r="M494" s="5">
        <v>13676.115599999999</v>
      </c>
      <c r="N494" s="5">
        <v>6007.5959999999995</v>
      </c>
      <c r="O494" s="5">
        <v>11732.481599999999</v>
      </c>
      <c r="P494" s="5">
        <v>6502.3391999999994</v>
      </c>
      <c r="Q494" s="5">
        <v>0</v>
      </c>
      <c r="R494" s="5">
        <v>18022.788</v>
      </c>
      <c r="S494" s="5">
        <v>6502.3391999999994</v>
      </c>
      <c r="T494" s="5">
        <v>18022.788</v>
      </c>
      <c r="U494" s="5">
        <v>812.79239999999993</v>
      </c>
      <c r="V494" s="5">
        <v>21556.668000000001</v>
      </c>
      <c r="W494" s="5">
        <f t="shared" ref="W494:AH494" si="499">IF(OR((SLOPE($E494:$V494,$E$1:$V$1)*W$1+INTERCEPT($E494:$V494,$E$1:$V$1))&gt;(AVERAGE($E494:$V494)+_xlfn.STDEV.P($E494:$V494)),(SLOPE($E494:$V494,$E$1:$V$1)*W$1+INTERCEPT($E494:$V494,$E$1:$V$1))&lt;(AVERAGE($E494:$V494)-_xlfn.STDEV.P($E494:$V494))),V494,(SLOPE($E494:$V494,$E$1:$V$1)*W$1+INTERCEPT($E494:$V494,$E$1:$V$1)))</f>
        <v>11980.084172549021</v>
      </c>
      <c r="X494" s="5">
        <f t="shared" si="499"/>
        <v>12244.632836326113</v>
      </c>
      <c r="Y494" s="5">
        <f t="shared" si="499"/>
        <v>12509.181500103201</v>
      </c>
      <c r="Z494" s="5">
        <f t="shared" si="499"/>
        <v>12773.730163880293</v>
      </c>
      <c r="AA494" s="5">
        <f t="shared" si="499"/>
        <v>13038.278827657381</v>
      </c>
      <c r="AB494" s="5">
        <f t="shared" si="499"/>
        <v>13302.827491434473</v>
      </c>
      <c r="AC494" s="5">
        <f t="shared" si="499"/>
        <v>13567.376155211561</v>
      </c>
      <c r="AD494" s="5">
        <f t="shared" si="499"/>
        <v>13831.924818988651</v>
      </c>
      <c r="AE494" s="5">
        <f t="shared" si="499"/>
        <v>14096.473482765741</v>
      </c>
      <c r="AF494" s="5">
        <f t="shared" si="499"/>
        <v>14361.022146542831</v>
      </c>
      <c r="AG494" s="5">
        <f t="shared" si="499"/>
        <v>14625.570810319921</v>
      </c>
      <c r="AH494" s="5">
        <f t="shared" si="499"/>
        <v>14890.11947409701</v>
      </c>
    </row>
    <row r="495" spans="1:34" x14ac:dyDescent="0.35">
      <c r="A495" t="s">
        <v>515</v>
      </c>
      <c r="B495" s="3" t="s">
        <v>1264</v>
      </c>
      <c r="C495" s="4" t="s">
        <v>1263</v>
      </c>
      <c r="D495" s="2">
        <f t="shared" si="456"/>
        <v>181916.65519999998</v>
      </c>
      <c r="E495" s="5">
        <v>0</v>
      </c>
      <c r="F495" s="5">
        <v>0</v>
      </c>
      <c r="G495" s="5">
        <v>5541.311999999999</v>
      </c>
      <c r="H495" s="5">
        <v>7042.0839999999989</v>
      </c>
      <c r="I495" s="5">
        <v>16623.935999999998</v>
      </c>
      <c r="J495" s="5">
        <v>8311.9679999999989</v>
      </c>
      <c r="K495" s="5">
        <v>0</v>
      </c>
      <c r="L495" s="5">
        <v>5541.311999999999</v>
      </c>
      <c r="M495" s="5">
        <v>8311.9679999999989</v>
      </c>
      <c r="N495" s="5">
        <v>8311.9679999999989</v>
      </c>
      <c r="O495" s="5">
        <v>11082.623999999998</v>
      </c>
      <c r="P495" s="5">
        <v>11082.623999999998</v>
      </c>
      <c r="Q495" s="5">
        <v>16623.935999999998</v>
      </c>
      <c r="R495" s="5">
        <v>11082.623999999998</v>
      </c>
      <c r="S495" s="5">
        <v>8311.9679999999989</v>
      </c>
      <c r="T495" s="5">
        <v>25259.147199999996</v>
      </c>
      <c r="U495" s="5">
        <v>19394.591999999997</v>
      </c>
      <c r="V495" s="5">
        <v>19394.591999999997</v>
      </c>
      <c r="W495" s="5">
        <f t="shared" ref="W495:AH495" si="500">IF(OR((SLOPE($E495:$V495,$E$1:$V$1)*W$1+INTERCEPT($E495:$V495,$E$1:$V$1))&gt;(AVERAGE($E495:$V495)+_xlfn.STDEV.P($E495:$V495)),(SLOPE($E495:$V495,$E$1:$V$1)*W$1+INTERCEPT($E495:$V495,$E$1:$V$1))&lt;(AVERAGE($E495:$V495)-_xlfn.STDEV.P($E495:$V495))),V495,(SLOPE($E495:$V495,$E$1:$V$1)*W$1+INTERCEPT($E495:$V495,$E$1:$V$1)))</f>
        <v>19394.591999999997</v>
      </c>
      <c r="X495" s="5">
        <f t="shared" si="500"/>
        <v>19394.591999999997</v>
      </c>
      <c r="Y495" s="5">
        <f t="shared" si="500"/>
        <v>19394.591999999997</v>
      </c>
      <c r="Z495" s="5">
        <f t="shared" si="500"/>
        <v>19394.591999999997</v>
      </c>
      <c r="AA495" s="5">
        <f t="shared" si="500"/>
        <v>19394.591999999997</v>
      </c>
      <c r="AB495" s="5">
        <f t="shared" si="500"/>
        <v>19394.591999999997</v>
      </c>
      <c r="AC495" s="5">
        <f t="shared" si="500"/>
        <v>19394.591999999997</v>
      </c>
      <c r="AD495" s="5">
        <f t="shared" si="500"/>
        <v>19394.591999999997</v>
      </c>
      <c r="AE495" s="5">
        <f t="shared" si="500"/>
        <v>19394.591999999997</v>
      </c>
      <c r="AF495" s="5">
        <f t="shared" si="500"/>
        <v>19394.591999999997</v>
      </c>
      <c r="AG495" s="5">
        <f t="shared" si="500"/>
        <v>19394.591999999997</v>
      </c>
      <c r="AH495" s="5">
        <f t="shared" si="500"/>
        <v>19394.591999999997</v>
      </c>
    </row>
    <row r="496" spans="1:34" x14ac:dyDescent="0.35">
      <c r="A496" t="s">
        <v>516</v>
      </c>
      <c r="B496" s="3" t="s">
        <v>1266</v>
      </c>
      <c r="C496" s="4" t="s">
        <v>1267</v>
      </c>
      <c r="D496" s="2">
        <f t="shared" si="456"/>
        <v>180946.36396355208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180946.36396355208</v>
      </c>
      <c r="W496" s="5">
        <f t="shared" ref="W496:AH496" si="501">IF(OR((SLOPE($E496:$V496,$E$1:$V$1)*W$1+INTERCEPT($E496:$V496,$E$1:$V$1))&gt;(AVERAGE($E496:$V496)+_xlfn.STDEV.P($E496:$V496)),(SLOPE($E496:$V496,$E$1:$V$1)*W$1+INTERCEPT($E496:$V496,$E$1:$V$1))&lt;(AVERAGE($E496:$V496)-_xlfn.STDEV.P($E496:$V496))),V496,(SLOPE($E496:$V496,$E$1:$V$1)*W$1+INTERCEPT($E496:$V496,$E$1:$V$1)))</f>
        <v>40210.303103011567</v>
      </c>
      <c r="X496" s="5">
        <f t="shared" si="501"/>
        <v>43384.800716407219</v>
      </c>
      <c r="Y496" s="5">
        <f t="shared" si="501"/>
        <v>46559.29832980287</v>
      </c>
      <c r="Z496" s="5">
        <f t="shared" si="501"/>
        <v>49733.795943198522</v>
      </c>
      <c r="AA496" s="5">
        <f t="shared" si="501"/>
        <v>49733.795943198522</v>
      </c>
      <c r="AB496" s="5">
        <f t="shared" si="501"/>
        <v>49733.795943198522</v>
      </c>
      <c r="AC496" s="5">
        <f t="shared" si="501"/>
        <v>49733.795943198522</v>
      </c>
      <c r="AD496" s="5">
        <f t="shared" si="501"/>
        <v>49733.795943198522</v>
      </c>
      <c r="AE496" s="5">
        <f t="shared" si="501"/>
        <v>49733.795943198522</v>
      </c>
      <c r="AF496" s="5">
        <f t="shared" si="501"/>
        <v>49733.795943198522</v>
      </c>
      <c r="AG496" s="5">
        <f t="shared" si="501"/>
        <v>49733.795943198522</v>
      </c>
      <c r="AH496" s="5">
        <f t="shared" si="501"/>
        <v>49733.795943198522</v>
      </c>
    </row>
    <row r="497" spans="1:34" x14ac:dyDescent="0.35">
      <c r="A497" t="s">
        <v>517</v>
      </c>
      <c r="B497" s="3" t="s">
        <v>1262</v>
      </c>
      <c r="C497" s="4" t="s">
        <v>1263</v>
      </c>
      <c r="D497" s="2">
        <f t="shared" si="456"/>
        <v>180119.13919999998</v>
      </c>
      <c r="E497" s="5">
        <v>1847.2999999999997</v>
      </c>
      <c r="F497" s="5">
        <v>14408.939999999999</v>
      </c>
      <c r="G497" s="5">
        <v>5468.0079999999998</v>
      </c>
      <c r="H497" s="5">
        <v>4950.7639999999992</v>
      </c>
      <c r="I497" s="5">
        <v>443.35199999999998</v>
      </c>
      <c r="J497" s="5">
        <v>41579.028399999996</v>
      </c>
      <c r="K497" s="5">
        <v>221.67599999999999</v>
      </c>
      <c r="L497" s="5">
        <v>886.70399999999995</v>
      </c>
      <c r="M497" s="5">
        <v>47660.339999999982</v>
      </c>
      <c r="N497" s="5">
        <v>36982.945999999982</v>
      </c>
      <c r="O497" s="5">
        <v>13182.332799999996</v>
      </c>
      <c r="P497" s="5">
        <v>9938.4739999999983</v>
      </c>
      <c r="Q497" s="5">
        <v>1403.9480000000001</v>
      </c>
      <c r="R497" s="5">
        <v>369.46</v>
      </c>
      <c r="S497" s="5">
        <v>73.891999999999996</v>
      </c>
      <c r="T497" s="5">
        <v>0</v>
      </c>
      <c r="U497" s="5">
        <v>184.73</v>
      </c>
      <c r="V497" s="5">
        <v>517.24399999999991</v>
      </c>
      <c r="W497" s="5">
        <f t="shared" ref="W497:AH497" si="502">IF(OR((SLOPE($E497:$V497,$E$1:$V$1)*W$1+INTERCEPT($E497:$V497,$E$1:$V$1))&gt;(AVERAGE($E497:$V497)+_xlfn.STDEV.P($E497:$V497)),(SLOPE($E497:$V497,$E$1:$V$1)*W$1+INTERCEPT($E497:$V497,$E$1:$V$1))&lt;(AVERAGE($E497:$V497)-_xlfn.STDEV.P($E497:$V497))),V497,(SLOPE($E497:$V497,$E$1:$V$1)*W$1+INTERCEPT($E497:$V497,$E$1:$V$1)))</f>
        <v>4439.9432915032667</v>
      </c>
      <c r="X497" s="5">
        <f t="shared" si="502"/>
        <v>3853.977443825248</v>
      </c>
      <c r="Y497" s="5">
        <f t="shared" si="502"/>
        <v>3268.0115961472293</v>
      </c>
      <c r="Z497" s="5">
        <f t="shared" si="502"/>
        <v>2682.0457484692106</v>
      </c>
      <c r="AA497" s="5">
        <f t="shared" si="502"/>
        <v>2096.0799007911919</v>
      </c>
      <c r="AB497" s="5">
        <f t="shared" si="502"/>
        <v>1510.114053113175</v>
      </c>
      <c r="AC497" s="5">
        <f t="shared" si="502"/>
        <v>924.14820543515634</v>
      </c>
      <c r="AD497" s="5">
        <f t="shared" si="502"/>
        <v>338.18235775713765</v>
      </c>
      <c r="AE497" s="5">
        <f t="shared" si="502"/>
        <v>-247.78348992088104</v>
      </c>
      <c r="AF497" s="5">
        <f t="shared" si="502"/>
        <v>-833.74933759889973</v>
      </c>
      <c r="AG497" s="5">
        <f t="shared" si="502"/>
        <v>-1419.7151852769202</v>
      </c>
      <c r="AH497" s="5">
        <f t="shared" si="502"/>
        <v>-2005.6810329549371</v>
      </c>
    </row>
    <row r="498" spans="1:34" x14ac:dyDescent="0.35">
      <c r="A498" t="s">
        <v>518</v>
      </c>
      <c r="B498" s="3" t="s">
        <v>1266</v>
      </c>
      <c r="C498" s="4" t="s">
        <v>1267</v>
      </c>
      <c r="D498" s="2">
        <f t="shared" si="456"/>
        <v>178676.31703325995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178676.31703325995</v>
      </c>
      <c r="W498" s="5">
        <f t="shared" ref="W498:AH498" si="503">IF(OR((SLOPE($E498:$V498,$E$1:$V$1)*W$1+INTERCEPT($E498:$V498,$E$1:$V$1))&gt;(AVERAGE($E498:$V498)+_xlfn.STDEV.P($E498:$V498)),(SLOPE($E498:$V498,$E$1:$V$1)*W$1+INTERCEPT($E498:$V498,$E$1:$V$1))&lt;(AVERAGE($E498:$V498)-_xlfn.STDEV.P($E498:$V498))),V498,(SLOPE($E498:$V498,$E$1:$V$1)*W$1+INTERCEPT($E498:$V498,$E$1:$V$1)))</f>
        <v>39705.84822961333</v>
      </c>
      <c r="X498" s="5">
        <f t="shared" si="503"/>
        <v>42840.520458267012</v>
      </c>
      <c r="Y498" s="5">
        <f t="shared" si="503"/>
        <v>45975.192686920702</v>
      </c>
      <c r="Z498" s="5">
        <f t="shared" si="503"/>
        <v>49109.864915574384</v>
      </c>
      <c r="AA498" s="5">
        <f t="shared" si="503"/>
        <v>49109.864915574384</v>
      </c>
      <c r="AB498" s="5">
        <f t="shared" si="503"/>
        <v>49109.864915574384</v>
      </c>
      <c r="AC498" s="5">
        <f t="shared" si="503"/>
        <v>49109.864915574384</v>
      </c>
      <c r="AD498" s="5">
        <f t="shared" si="503"/>
        <v>49109.864915574384</v>
      </c>
      <c r="AE498" s="5">
        <f t="shared" si="503"/>
        <v>49109.864915574384</v>
      </c>
      <c r="AF498" s="5">
        <f t="shared" si="503"/>
        <v>49109.864915574384</v>
      </c>
      <c r="AG498" s="5">
        <f t="shared" si="503"/>
        <v>49109.864915574384</v>
      </c>
      <c r="AH498" s="5">
        <f t="shared" si="503"/>
        <v>49109.864915574384</v>
      </c>
    </row>
    <row r="499" spans="1:34" x14ac:dyDescent="0.35">
      <c r="A499" t="s">
        <v>519</v>
      </c>
      <c r="B499" s="3" t="s">
        <v>1265</v>
      </c>
      <c r="C499" s="4" t="s">
        <v>1263</v>
      </c>
      <c r="D499" s="2">
        <f t="shared" si="456"/>
        <v>175137.50786501262</v>
      </c>
      <c r="E499" s="5">
        <v>6048.7181044665822</v>
      </c>
      <c r="F499" s="5">
        <v>9203.8528098460574</v>
      </c>
      <c r="G499" s="5">
        <v>12703.133970873379</v>
      </c>
      <c r="H499" s="5">
        <v>10145.437512498571</v>
      </c>
      <c r="I499" s="5">
        <v>12240.601134482671</v>
      </c>
      <c r="J499" s="5">
        <v>12895.855986036177</v>
      </c>
      <c r="K499" s="5">
        <v>6725.9983291815488</v>
      </c>
      <c r="L499" s="5">
        <v>7144.480419249332</v>
      </c>
      <c r="M499" s="5">
        <v>9547.9992654939033</v>
      </c>
      <c r="N499" s="5">
        <v>9426.859713105865</v>
      </c>
      <c r="O499" s="5">
        <v>12901.362329326541</v>
      </c>
      <c r="P499" s="5">
        <v>15973.901885350529</v>
      </c>
      <c r="Q499" s="5">
        <v>7425.3039270579757</v>
      </c>
      <c r="R499" s="5">
        <v>10841.989938729816</v>
      </c>
      <c r="S499" s="5">
        <v>6915.9671726991601</v>
      </c>
      <c r="T499" s="5">
        <v>8028.2485173530049</v>
      </c>
      <c r="U499" s="5">
        <v>8906.5102721663134</v>
      </c>
      <c r="V499" s="5">
        <v>8061.2865770951985</v>
      </c>
      <c r="W499" s="5">
        <f t="shared" ref="W499:AH499" si="504">IF(OR((SLOPE($E499:$V499,$E$1:$V$1)*W$1+INTERCEPT($E499:$V499,$E$1:$V$1))&gt;(AVERAGE($E499:$V499)+_xlfn.STDEV.P($E499:$V499)),(SLOPE($E499:$V499,$E$1:$V$1)*W$1+INTERCEPT($E499:$V499,$E$1:$V$1))&lt;(AVERAGE($E499:$V499)-_xlfn.STDEV.P($E499:$V499))),V499,(SLOPE($E499:$V499,$E$1:$V$1)*W$1+INTERCEPT($E499:$V499,$E$1:$V$1)))</f>
        <v>9200.0919413895626</v>
      </c>
      <c r="X499" s="5">
        <f t="shared" si="504"/>
        <v>9144.3267196351735</v>
      </c>
      <c r="Y499" s="5">
        <f t="shared" si="504"/>
        <v>9088.5614978807862</v>
      </c>
      <c r="Z499" s="5">
        <f t="shared" si="504"/>
        <v>9032.7962761263971</v>
      </c>
      <c r="AA499" s="5">
        <f t="shared" si="504"/>
        <v>8977.0310543720079</v>
      </c>
      <c r="AB499" s="5">
        <f t="shared" si="504"/>
        <v>8921.2658326176206</v>
      </c>
      <c r="AC499" s="5">
        <f t="shared" si="504"/>
        <v>8865.5006108632315</v>
      </c>
      <c r="AD499" s="5">
        <f t="shared" si="504"/>
        <v>8809.7353891088424</v>
      </c>
      <c r="AE499" s="5">
        <f t="shared" si="504"/>
        <v>8753.9701673544532</v>
      </c>
      <c r="AF499" s="5">
        <f t="shared" si="504"/>
        <v>8698.2049456000641</v>
      </c>
      <c r="AG499" s="5">
        <f t="shared" si="504"/>
        <v>8642.4397238456768</v>
      </c>
      <c r="AH499" s="5">
        <f t="shared" si="504"/>
        <v>8586.6745020912876</v>
      </c>
    </row>
    <row r="500" spans="1:34" x14ac:dyDescent="0.35">
      <c r="A500" t="s">
        <v>520</v>
      </c>
      <c r="B500" s="3" t="s">
        <v>1266</v>
      </c>
      <c r="C500" s="4" t="s">
        <v>1267</v>
      </c>
      <c r="D500" s="2">
        <f t="shared" si="456"/>
        <v>176041.91308829322</v>
      </c>
      <c r="E500" s="5">
        <v>0</v>
      </c>
      <c r="F500" s="5">
        <v>176041.91308829322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f t="shared" ref="W500:AH500" si="505">IF(OR((SLOPE($E500:$V500,$E$1:$V$1)*W$1+INTERCEPT($E500:$V500,$E$1:$V$1))&gt;(AVERAGE($E500:$V500)+_xlfn.STDEV.P($E500:$V500)),(SLOPE($E500:$V500,$E$1:$V$1)*W$1+INTERCEPT($E500:$V500,$E$1:$V$1))&lt;(AVERAGE($E500:$V500)-_xlfn.STDEV.P($E500:$V500))),V500,(SLOPE($E500:$V500,$E$1:$V$1)*W$1+INTERCEPT($E500:$V500,$E$1:$V$1)))</f>
        <v>-16108.410347948404</v>
      </c>
      <c r="X500" s="5">
        <f t="shared" si="505"/>
        <v>-18833.517361699072</v>
      </c>
      <c r="Y500" s="5">
        <f t="shared" si="505"/>
        <v>-21558.624375449748</v>
      </c>
      <c r="Z500" s="5">
        <f t="shared" si="505"/>
        <v>-24283.731389200417</v>
      </c>
      <c r="AA500" s="5">
        <f t="shared" si="505"/>
        <v>-27008.838402951085</v>
      </c>
      <c r="AB500" s="5">
        <f t="shared" si="505"/>
        <v>-29733.945416701754</v>
      </c>
      <c r="AC500" s="5">
        <f t="shared" si="505"/>
        <v>-29733.945416701754</v>
      </c>
      <c r="AD500" s="5">
        <f t="shared" si="505"/>
        <v>-29733.945416701754</v>
      </c>
      <c r="AE500" s="5">
        <f t="shared" si="505"/>
        <v>-29733.945416701754</v>
      </c>
      <c r="AF500" s="5">
        <f t="shared" si="505"/>
        <v>-29733.945416701754</v>
      </c>
      <c r="AG500" s="5">
        <f t="shared" si="505"/>
        <v>-29733.945416701754</v>
      </c>
      <c r="AH500" s="5">
        <f t="shared" si="505"/>
        <v>-29733.945416701754</v>
      </c>
    </row>
    <row r="501" spans="1:34" x14ac:dyDescent="0.35">
      <c r="A501" t="s">
        <v>521</v>
      </c>
      <c r="B501" s="3" t="s">
        <v>1265</v>
      </c>
      <c r="C501" s="4" t="s">
        <v>1267</v>
      </c>
      <c r="D501" s="2">
        <f t="shared" si="456"/>
        <v>176035.03806922879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121208.48291638239</v>
      </c>
      <c r="U501" s="5">
        <v>54826.555152846398</v>
      </c>
      <c r="V501" s="5">
        <v>0</v>
      </c>
      <c r="W501" s="5">
        <f t="shared" ref="W501:AH501" si="506">IF(OR((SLOPE($E501:$V501,$E$1:$V$1)*W$1+INTERCEPT($E501:$V501,$E$1:$V$1))&gt;(AVERAGE($E501:$V501)+_xlfn.STDEV.P($E501:$V501)),(SLOPE($E501:$V501,$E$1:$V$1)*W$1+INTERCEPT($E501:$V501,$E$1:$V$1))&lt;(AVERAGE($E501:$V501)-_xlfn.STDEV.P($E501:$V501))),V501,(SLOPE($E501:$V501,$E$1:$V$1)*W$1+INTERCEPT($E501:$V501,$E$1:$V$1)))</f>
        <v>33290.593015666309</v>
      </c>
      <c r="X501" s="5">
        <f t="shared" si="506"/>
        <v>35765.421297612302</v>
      </c>
      <c r="Y501" s="5">
        <f t="shared" si="506"/>
        <v>38240.249579558294</v>
      </c>
      <c r="Z501" s="5">
        <f t="shared" si="506"/>
        <v>38240.249579558294</v>
      </c>
      <c r="AA501" s="5">
        <f t="shared" si="506"/>
        <v>38240.249579558294</v>
      </c>
      <c r="AB501" s="5">
        <f t="shared" si="506"/>
        <v>38240.249579558294</v>
      </c>
      <c r="AC501" s="5">
        <f t="shared" si="506"/>
        <v>38240.249579558294</v>
      </c>
      <c r="AD501" s="5">
        <f t="shared" si="506"/>
        <v>38240.249579558294</v>
      </c>
      <c r="AE501" s="5">
        <f t="shared" si="506"/>
        <v>38240.249579558294</v>
      </c>
      <c r="AF501" s="5">
        <f t="shared" si="506"/>
        <v>38240.249579558294</v>
      </c>
      <c r="AG501" s="5">
        <f t="shared" si="506"/>
        <v>38240.249579558294</v>
      </c>
      <c r="AH501" s="5">
        <f t="shared" si="506"/>
        <v>38240.249579558294</v>
      </c>
    </row>
    <row r="502" spans="1:34" x14ac:dyDescent="0.35">
      <c r="A502" t="s">
        <v>522</v>
      </c>
      <c r="B502" s="3" t="s">
        <v>1262</v>
      </c>
      <c r="C502" s="4" t="s">
        <v>1263</v>
      </c>
      <c r="D502" s="2">
        <f t="shared" si="456"/>
        <v>175888.23588718439</v>
      </c>
      <c r="E502" s="5">
        <v>0</v>
      </c>
      <c r="F502" s="5">
        <v>0</v>
      </c>
      <c r="G502" s="5">
        <v>17759.312993455613</v>
      </c>
      <c r="H502" s="5">
        <v>26638.969490183419</v>
      </c>
      <c r="I502" s="5">
        <v>0</v>
      </c>
      <c r="J502" s="5">
        <v>0</v>
      </c>
      <c r="K502" s="5">
        <v>0</v>
      </c>
      <c r="L502" s="5">
        <v>85315.739620560766</v>
      </c>
      <c r="M502" s="5">
        <v>0</v>
      </c>
      <c r="N502" s="5">
        <v>0</v>
      </c>
      <c r="O502" s="5">
        <v>46174.213782984596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f t="shared" ref="W502:AH502" si="507">IF(OR((SLOPE($E502:$V502,$E$1:$V$1)*W$1+INTERCEPT($E502:$V502,$E$1:$V$1))&gt;(AVERAGE($E502:$V502)+_xlfn.STDEV.P($E502:$V502)),(SLOPE($E502:$V502,$E$1:$V$1)*W$1+INTERCEPT($E502:$V502,$E$1:$V$1))&lt;(AVERAGE($E502:$V502)-_xlfn.STDEV.P($E502:$V502))),V502,(SLOPE($E502:$V502,$E$1:$V$1)*W$1+INTERCEPT($E502:$V502,$E$1:$V$1)))</f>
        <v>3484.0754170690434</v>
      </c>
      <c r="X502" s="5">
        <f t="shared" si="507"/>
        <v>2822.2340230342961</v>
      </c>
      <c r="Y502" s="5">
        <f t="shared" si="507"/>
        <v>2160.3926289995507</v>
      </c>
      <c r="Z502" s="5">
        <f t="shared" si="507"/>
        <v>1498.5512349648052</v>
      </c>
      <c r="AA502" s="5">
        <f t="shared" si="507"/>
        <v>836.70984093005791</v>
      </c>
      <c r="AB502" s="5">
        <f t="shared" si="507"/>
        <v>174.86844689531245</v>
      </c>
      <c r="AC502" s="5">
        <f t="shared" si="507"/>
        <v>-486.97294713943484</v>
      </c>
      <c r="AD502" s="5">
        <f t="shared" si="507"/>
        <v>-1148.8143411741803</v>
      </c>
      <c r="AE502" s="5">
        <f t="shared" si="507"/>
        <v>-1810.6557352089258</v>
      </c>
      <c r="AF502" s="5">
        <f t="shared" si="507"/>
        <v>-2472.4971292436712</v>
      </c>
      <c r="AG502" s="5">
        <f t="shared" si="507"/>
        <v>-3134.3385232784167</v>
      </c>
      <c r="AH502" s="5">
        <f t="shared" si="507"/>
        <v>-3796.1799173131658</v>
      </c>
    </row>
    <row r="503" spans="1:34" x14ac:dyDescent="0.35">
      <c r="A503" t="s">
        <v>523</v>
      </c>
      <c r="B503" s="3" t="s">
        <v>1262</v>
      </c>
      <c r="C503" s="4" t="s">
        <v>1263</v>
      </c>
      <c r="D503" s="2">
        <f t="shared" si="456"/>
        <v>174439.37279999998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158864.42879999999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15574.944</v>
      </c>
      <c r="W503" s="5">
        <f t="shared" ref="W503:AH503" si="508">IF(OR((SLOPE($E503:$V503,$E$1:$V$1)*W$1+INTERCEPT($E503:$V503,$E$1:$V$1))&gt;(AVERAGE($E503:$V503)+_xlfn.STDEV.P($E503:$V503)),(SLOPE($E503:$V503,$E$1:$V$1)*W$1+INTERCEPT($E503:$V503,$E$1:$V$1))&lt;(AVERAGE($E503:$V503)-_xlfn.STDEV.P($E503:$V503))),V503,(SLOPE($E503:$V503,$E$1:$V$1)*W$1+INTERCEPT($E503:$V503,$E$1:$V$1)))</f>
        <v>13844.394666666665</v>
      </c>
      <c r="X503" s="5">
        <f t="shared" si="508"/>
        <v>14281.58607719298</v>
      </c>
      <c r="Y503" s="5">
        <f t="shared" si="508"/>
        <v>14718.777487719297</v>
      </c>
      <c r="Z503" s="5">
        <f t="shared" si="508"/>
        <v>15155.968898245612</v>
      </c>
      <c r="AA503" s="5">
        <f t="shared" si="508"/>
        <v>15593.160308771929</v>
      </c>
      <c r="AB503" s="5">
        <f t="shared" si="508"/>
        <v>16030.351719298244</v>
      </c>
      <c r="AC503" s="5">
        <f t="shared" si="508"/>
        <v>16467.54312982456</v>
      </c>
      <c r="AD503" s="5">
        <f t="shared" si="508"/>
        <v>16904.734540350873</v>
      </c>
      <c r="AE503" s="5">
        <f t="shared" si="508"/>
        <v>17341.925950877194</v>
      </c>
      <c r="AF503" s="5">
        <f t="shared" si="508"/>
        <v>17779.117361403507</v>
      </c>
      <c r="AG503" s="5">
        <f t="shared" si="508"/>
        <v>18216.308771929824</v>
      </c>
      <c r="AH503" s="5">
        <f t="shared" si="508"/>
        <v>18653.50018245614</v>
      </c>
    </row>
    <row r="504" spans="1:34" x14ac:dyDescent="0.35">
      <c r="A504" t="s">
        <v>524</v>
      </c>
      <c r="B504" s="3" t="s">
        <v>1264</v>
      </c>
      <c r="C504" s="4" t="s">
        <v>1263</v>
      </c>
      <c r="D504" s="2">
        <f t="shared" si="456"/>
        <v>173462.94000000003</v>
      </c>
      <c r="E504" s="5">
        <v>6763.1759999999995</v>
      </c>
      <c r="F504" s="5">
        <v>11772.935999999998</v>
      </c>
      <c r="G504" s="5">
        <v>15697.248</v>
      </c>
      <c r="H504" s="5">
        <v>11772.935999999998</v>
      </c>
      <c r="I504" s="5">
        <v>11772.935999999998</v>
      </c>
      <c r="J504" s="5">
        <v>264.404</v>
      </c>
      <c r="K504" s="5">
        <v>17395</v>
      </c>
      <c r="L504" s="5">
        <v>11772.935999999998</v>
      </c>
      <c r="M504" s="5">
        <v>15697.248</v>
      </c>
      <c r="N504" s="5">
        <v>7765.1279999999997</v>
      </c>
      <c r="O504" s="5">
        <v>11772.936</v>
      </c>
      <c r="P504" s="5">
        <v>19621.559999999998</v>
      </c>
      <c r="Q504" s="5">
        <v>0</v>
      </c>
      <c r="R504" s="5">
        <v>11772.936</v>
      </c>
      <c r="S504" s="5">
        <v>0</v>
      </c>
      <c r="T504" s="5">
        <v>3924.3119999999994</v>
      </c>
      <c r="U504" s="5">
        <v>7848.6239999999989</v>
      </c>
      <c r="V504" s="5">
        <v>7848.6239999999998</v>
      </c>
      <c r="W504" s="5">
        <f t="shared" ref="W504:AH504" si="509">IF(OR((SLOPE($E504:$V504,$E$1:$V$1)*W$1+INTERCEPT($E504:$V504,$E$1:$V$1))&gt;(AVERAGE($E504:$V504)+_xlfn.STDEV.P($E504:$V504)),(SLOPE($E504:$V504,$E$1:$V$1)*W$1+INTERCEPT($E504:$V504,$E$1:$V$1))&lt;(AVERAGE($E504:$V504)-_xlfn.STDEV.P($E504:$V504))),V504,(SLOPE($E504:$V504,$E$1:$V$1)*W$1+INTERCEPT($E504:$V504,$E$1:$V$1)))</f>
        <v>6483.7645490196101</v>
      </c>
      <c r="X504" s="5">
        <f t="shared" si="509"/>
        <v>6151.8629226006215</v>
      </c>
      <c r="Y504" s="5">
        <f t="shared" si="509"/>
        <v>5819.9612961816329</v>
      </c>
      <c r="Z504" s="5">
        <f t="shared" si="509"/>
        <v>5488.0596697626443</v>
      </c>
      <c r="AA504" s="5">
        <f t="shared" si="509"/>
        <v>5156.1580433436557</v>
      </c>
      <c r="AB504" s="5">
        <f t="shared" si="509"/>
        <v>4824.2564169246671</v>
      </c>
      <c r="AC504" s="5">
        <f t="shared" si="509"/>
        <v>4492.3547905056785</v>
      </c>
      <c r="AD504" s="5">
        <f t="shared" si="509"/>
        <v>4160.4531640866899</v>
      </c>
      <c r="AE504" s="5">
        <f t="shared" si="509"/>
        <v>4160.4531640866899</v>
      </c>
      <c r="AF504" s="5">
        <f t="shared" si="509"/>
        <v>4160.4531640866899</v>
      </c>
      <c r="AG504" s="5">
        <f t="shared" si="509"/>
        <v>4160.4531640866899</v>
      </c>
      <c r="AH504" s="5">
        <f t="shared" si="509"/>
        <v>4160.4531640866899</v>
      </c>
    </row>
    <row r="505" spans="1:34" x14ac:dyDescent="0.35">
      <c r="A505" t="s">
        <v>525</v>
      </c>
      <c r="B505" s="3" t="s">
        <v>1266</v>
      </c>
      <c r="C505" s="4" t="s">
        <v>1267</v>
      </c>
      <c r="D505" s="2">
        <f t="shared" si="456"/>
        <v>173160.0416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10049.312</v>
      </c>
      <c r="L505" s="5">
        <v>163110.72959999999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f t="shared" ref="W505:AH505" si="510">IF(OR((SLOPE($E505:$V505,$E$1:$V$1)*W$1+INTERCEPT($E505:$V505,$E$1:$V$1))&gt;(AVERAGE($E505:$V505)+_xlfn.STDEV.P($E505:$V505)),(SLOPE($E505:$V505,$E$1:$V$1)*W$1+INTERCEPT($E505:$V505,$E$1:$V$1))&lt;(AVERAGE($E505:$V505)-_xlfn.STDEV.P($E505:$V505))),V505,(SLOPE($E505:$V505,$E$1:$V$1)*W$1+INTERCEPT($E505:$V505,$E$1:$V$1)))</f>
        <v>4330.0145777777798</v>
      </c>
      <c r="X505" s="5">
        <f t="shared" si="510"/>
        <v>3773.1737637426922</v>
      </c>
      <c r="Y505" s="5">
        <f t="shared" si="510"/>
        <v>3216.3329497076047</v>
      </c>
      <c r="Z505" s="5">
        <f t="shared" si="510"/>
        <v>2659.4921356725172</v>
      </c>
      <c r="AA505" s="5">
        <f t="shared" si="510"/>
        <v>2102.6513216374296</v>
      </c>
      <c r="AB505" s="5">
        <f t="shared" si="510"/>
        <v>1545.8105076023421</v>
      </c>
      <c r="AC505" s="5">
        <f t="shared" si="510"/>
        <v>988.96969356725458</v>
      </c>
      <c r="AD505" s="5">
        <f t="shared" si="510"/>
        <v>432.12887953216705</v>
      </c>
      <c r="AE505" s="5">
        <f t="shared" si="510"/>
        <v>-124.71193450292049</v>
      </c>
      <c r="AF505" s="5">
        <f t="shared" si="510"/>
        <v>-681.55274853800802</v>
      </c>
      <c r="AG505" s="5">
        <f t="shared" si="510"/>
        <v>-1238.3935625730956</v>
      </c>
      <c r="AH505" s="5">
        <f t="shared" si="510"/>
        <v>-1795.2343766081831</v>
      </c>
    </row>
    <row r="506" spans="1:34" x14ac:dyDescent="0.35">
      <c r="A506" t="s">
        <v>526</v>
      </c>
      <c r="B506" s="3" t="s">
        <v>1264</v>
      </c>
      <c r="C506" s="4" t="s">
        <v>1268</v>
      </c>
      <c r="D506" s="2">
        <f t="shared" si="456"/>
        <v>172904.232205193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57739.999275410133</v>
      </c>
      <c r="S506" s="5">
        <v>57739.999275410133</v>
      </c>
      <c r="T506" s="5">
        <v>0</v>
      </c>
      <c r="U506" s="5">
        <v>57424.233654372736</v>
      </c>
      <c r="V506" s="5">
        <v>0</v>
      </c>
      <c r="W506" s="5">
        <f t="shared" ref="W506:AH506" si="511">IF(OR((SLOPE($E506:$V506,$E$1:$V$1)*W$1+INTERCEPT($E506:$V506,$E$1:$V$1))&gt;(AVERAGE($E506:$V506)+_xlfn.STDEV.P($E506:$V506)),(SLOPE($E506:$V506,$E$1:$V$1)*W$1+INTERCEPT($E506:$V506,$E$1:$V$1))&lt;(AVERAGE($E506:$V506)-_xlfn.STDEV.P($E506:$V506))),V506,(SLOPE($E506:$V506,$E$1:$V$1)*W$1+INTERCEPT($E506:$V506,$E$1:$V$1)))</f>
        <v>29372.099406730922</v>
      </c>
      <c r="X506" s="5">
        <f t="shared" si="511"/>
        <v>29372.099406730922</v>
      </c>
      <c r="Y506" s="5">
        <f t="shared" si="511"/>
        <v>29372.099406730922</v>
      </c>
      <c r="Z506" s="5">
        <f t="shared" si="511"/>
        <v>29372.099406730922</v>
      </c>
      <c r="AA506" s="5">
        <f t="shared" si="511"/>
        <v>29372.099406730922</v>
      </c>
      <c r="AB506" s="5">
        <f t="shared" si="511"/>
        <v>29372.099406730922</v>
      </c>
      <c r="AC506" s="5">
        <f t="shared" si="511"/>
        <v>29372.099406730922</v>
      </c>
      <c r="AD506" s="5">
        <f t="shared" si="511"/>
        <v>29372.099406730922</v>
      </c>
      <c r="AE506" s="5">
        <f t="shared" si="511"/>
        <v>29372.099406730922</v>
      </c>
      <c r="AF506" s="5">
        <f t="shared" si="511"/>
        <v>29372.099406730922</v>
      </c>
      <c r="AG506" s="5">
        <f t="shared" si="511"/>
        <v>29372.099406730922</v>
      </c>
      <c r="AH506" s="5">
        <f t="shared" si="511"/>
        <v>29372.099406730922</v>
      </c>
    </row>
    <row r="507" spans="1:34" x14ac:dyDescent="0.35">
      <c r="A507" t="s">
        <v>527</v>
      </c>
      <c r="B507" s="3" t="s">
        <v>1266</v>
      </c>
      <c r="C507" s="4" t="s">
        <v>1263</v>
      </c>
      <c r="D507" s="2">
        <f t="shared" si="456"/>
        <v>172092.16012355138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62949.809594989376</v>
      </c>
      <c r="K507" s="5">
        <v>0</v>
      </c>
      <c r="L507" s="5">
        <v>0</v>
      </c>
      <c r="M507" s="5">
        <v>0</v>
      </c>
      <c r="N507" s="5">
        <v>109142.350528562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f t="shared" ref="W507:AH507" si="512">IF(OR((SLOPE($E507:$V507,$E$1:$V$1)*W$1+INTERCEPT($E507:$V507,$E$1:$V$1))&gt;(AVERAGE($E507:$V507)+_xlfn.STDEV.P($E507:$V507)),(SLOPE($E507:$V507,$E$1:$V$1)*W$1+INTERCEPT($E507:$V507,$E$1:$V$1))&lt;(AVERAGE($E507:$V507)-_xlfn.STDEV.P($E507:$V507))),V507,(SLOPE($E507:$V507,$E$1:$V$1)*W$1+INTERCEPT($E507:$V507,$E$1:$V$1)))</f>
        <v>6310.6136346120338</v>
      </c>
      <c r="X507" s="5">
        <f t="shared" si="512"/>
        <v>5968.5018527375614</v>
      </c>
      <c r="Y507" s="5">
        <f t="shared" si="512"/>
        <v>5626.390070863089</v>
      </c>
      <c r="Z507" s="5">
        <f t="shared" si="512"/>
        <v>5284.2782889886166</v>
      </c>
      <c r="AA507" s="5">
        <f t="shared" si="512"/>
        <v>4942.1665071141442</v>
      </c>
      <c r="AB507" s="5">
        <f t="shared" si="512"/>
        <v>4600.0547252396718</v>
      </c>
      <c r="AC507" s="5">
        <f t="shared" si="512"/>
        <v>4257.9429433652003</v>
      </c>
      <c r="AD507" s="5">
        <f t="shared" si="512"/>
        <v>3915.831161490727</v>
      </c>
      <c r="AE507" s="5">
        <f t="shared" si="512"/>
        <v>3573.7193796162537</v>
      </c>
      <c r="AF507" s="5">
        <f t="shared" si="512"/>
        <v>3231.6075977417822</v>
      </c>
      <c r="AG507" s="5">
        <f t="shared" si="512"/>
        <v>2889.4958158673107</v>
      </c>
      <c r="AH507" s="5">
        <f t="shared" si="512"/>
        <v>2547.3840339928374</v>
      </c>
    </row>
    <row r="508" spans="1:34" x14ac:dyDescent="0.35">
      <c r="A508" t="s">
        <v>528</v>
      </c>
      <c r="B508" s="3" t="s">
        <v>1265</v>
      </c>
      <c r="C508" s="4" t="s">
        <v>1267</v>
      </c>
      <c r="D508" s="2">
        <f t="shared" si="456"/>
        <v>170270.09999999998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170270.09999999998</v>
      </c>
      <c r="W508" s="5">
        <f t="shared" ref="W508:AH508" si="513">IF(OR((SLOPE($E508:$V508,$E$1:$V$1)*W$1+INTERCEPT($E508:$V508,$E$1:$V$1))&gt;(AVERAGE($E508:$V508)+_xlfn.STDEV.P($E508:$V508)),(SLOPE($E508:$V508,$E$1:$V$1)*W$1+INTERCEPT($E508:$V508,$E$1:$V$1))&lt;(AVERAGE($E508:$V508)-_xlfn.STDEV.P($E508:$V508))),V508,(SLOPE($E508:$V508,$E$1:$V$1)*W$1+INTERCEPT($E508:$V508,$E$1:$V$1)))</f>
        <v>37837.799999999996</v>
      </c>
      <c r="X508" s="5">
        <f t="shared" si="513"/>
        <v>40824.994736842098</v>
      </c>
      <c r="Y508" s="5">
        <f t="shared" si="513"/>
        <v>43812.189473684208</v>
      </c>
      <c r="Z508" s="5">
        <f t="shared" si="513"/>
        <v>46799.384210526303</v>
      </c>
      <c r="AA508" s="5">
        <f t="shared" si="513"/>
        <v>46799.384210526303</v>
      </c>
      <c r="AB508" s="5">
        <f t="shared" si="513"/>
        <v>46799.384210526303</v>
      </c>
      <c r="AC508" s="5">
        <f t="shared" si="513"/>
        <v>46799.384210526303</v>
      </c>
      <c r="AD508" s="5">
        <f t="shared" si="513"/>
        <v>46799.384210526303</v>
      </c>
      <c r="AE508" s="5">
        <f t="shared" si="513"/>
        <v>46799.384210526303</v>
      </c>
      <c r="AF508" s="5">
        <f t="shared" si="513"/>
        <v>46799.384210526303</v>
      </c>
      <c r="AG508" s="5">
        <f t="shared" si="513"/>
        <v>46799.384210526303</v>
      </c>
      <c r="AH508" s="5">
        <f t="shared" si="513"/>
        <v>46799.384210526303</v>
      </c>
    </row>
    <row r="509" spans="1:34" x14ac:dyDescent="0.35">
      <c r="A509" t="s">
        <v>529</v>
      </c>
      <c r="B509" s="3" t="s">
        <v>1266</v>
      </c>
      <c r="C509" s="4" t="s">
        <v>1267</v>
      </c>
      <c r="D509" s="2">
        <f t="shared" si="456"/>
        <v>171475.76003544204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171475.76003544204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f t="shared" ref="W509:AH509" si="514">IF(OR((SLOPE($E509:$V509,$E$1:$V$1)*W$1+INTERCEPT($E509:$V509,$E$1:$V$1))&gt;(AVERAGE($E509:$V509)+_xlfn.STDEV.P($E509:$V509)),(SLOPE($E509:$V509,$E$1:$V$1)*W$1+INTERCEPT($E509:$V509,$E$1:$V$1))&lt;(AVERAGE($E509:$V509)-_xlfn.STDEV.P($E509:$V509))),V509,(SLOPE($E509:$V509,$E$1:$V$1)*W$1+INTERCEPT($E509:$V509,$E$1:$V$1)))</f>
        <v>14569.835820004881</v>
      </c>
      <c r="X509" s="5">
        <f t="shared" si="514"/>
        <v>15100.720525996961</v>
      </c>
      <c r="Y509" s="5">
        <f t="shared" si="514"/>
        <v>15631.60523198904</v>
      </c>
      <c r="Z509" s="5">
        <f t="shared" si="514"/>
        <v>16162.489937981121</v>
      </c>
      <c r="AA509" s="5">
        <f t="shared" si="514"/>
        <v>16693.374643973202</v>
      </c>
      <c r="AB509" s="5">
        <f t="shared" si="514"/>
        <v>17224.259349965283</v>
      </c>
      <c r="AC509" s="5">
        <f t="shared" si="514"/>
        <v>17755.144055957364</v>
      </c>
      <c r="AD509" s="5">
        <f t="shared" si="514"/>
        <v>18286.028761949445</v>
      </c>
      <c r="AE509" s="5">
        <f t="shared" si="514"/>
        <v>18816.913467941526</v>
      </c>
      <c r="AF509" s="5">
        <f t="shared" si="514"/>
        <v>19347.798173933603</v>
      </c>
      <c r="AG509" s="5">
        <f t="shared" si="514"/>
        <v>19878.682879925684</v>
      </c>
      <c r="AH509" s="5">
        <f t="shared" si="514"/>
        <v>20409.567585917765</v>
      </c>
    </row>
    <row r="510" spans="1:34" x14ac:dyDescent="0.35">
      <c r="A510" t="s">
        <v>530</v>
      </c>
      <c r="B510" s="3" t="s">
        <v>1265</v>
      </c>
      <c r="C510" s="4" t="s">
        <v>1263</v>
      </c>
      <c r="D510" s="2">
        <f t="shared" si="456"/>
        <v>170513.53199999995</v>
      </c>
      <c r="E510" s="5">
        <v>10397.016000000001</v>
      </c>
      <c r="F510" s="5">
        <v>12841.919999999998</v>
      </c>
      <c r="G510" s="5">
        <v>13101.228000000001</v>
      </c>
      <c r="H510" s="5">
        <v>10322.928000000002</v>
      </c>
      <c r="I510" s="5">
        <v>12261.564</v>
      </c>
      <c r="J510" s="5">
        <v>10248.839999999998</v>
      </c>
      <c r="K510" s="5">
        <v>9606.743999999997</v>
      </c>
      <c r="L510" s="5">
        <v>16484.580000000002</v>
      </c>
      <c r="M510" s="5">
        <v>9075.7799999999988</v>
      </c>
      <c r="N510" s="5">
        <v>8458.3799999999974</v>
      </c>
      <c r="O510" s="5">
        <v>5988.7800000000007</v>
      </c>
      <c r="P510" s="5">
        <v>0</v>
      </c>
      <c r="Q510" s="5">
        <v>7186.5360000000001</v>
      </c>
      <c r="R510" s="5">
        <v>7470.54</v>
      </c>
      <c r="S510" s="5">
        <v>9470.9159999999993</v>
      </c>
      <c r="T510" s="5">
        <v>8890.5599999999959</v>
      </c>
      <c r="U510" s="5">
        <v>11458.943999999998</v>
      </c>
      <c r="V510" s="5">
        <v>7248.275999999998</v>
      </c>
      <c r="W510" s="5">
        <f t="shared" ref="W510:AH510" si="515">IF(OR((SLOPE($E510:$V510,$E$1:$V$1)*W$1+INTERCEPT($E510:$V510,$E$1:$V$1))&gt;(AVERAGE($E510:$V510)+_xlfn.STDEV.P($E510:$V510)),(SLOPE($E510:$V510,$E$1:$V$1)*W$1+INTERCEPT($E510:$V510,$E$1:$V$1))&lt;(AVERAGE($E510:$V510)-_xlfn.STDEV.P($E510:$V510))),V510,(SLOPE($E510:$V510,$E$1:$V$1)*W$1+INTERCEPT($E510:$V510,$E$1:$V$1)))</f>
        <v>6697.7004705882309</v>
      </c>
      <c r="X510" s="5">
        <f t="shared" si="515"/>
        <v>6405.5664148606766</v>
      </c>
      <c r="Y510" s="5">
        <f t="shared" si="515"/>
        <v>6113.4323591331222</v>
      </c>
      <c r="Z510" s="5">
        <f t="shared" si="515"/>
        <v>6113.4323591331222</v>
      </c>
      <c r="AA510" s="5">
        <f t="shared" si="515"/>
        <v>6113.4323591331222</v>
      </c>
      <c r="AB510" s="5">
        <f t="shared" si="515"/>
        <v>6113.4323591331222</v>
      </c>
      <c r="AC510" s="5">
        <f t="shared" si="515"/>
        <v>6113.4323591331222</v>
      </c>
      <c r="AD510" s="5">
        <f t="shared" si="515"/>
        <v>6113.4323591331222</v>
      </c>
      <c r="AE510" s="5">
        <f t="shared" si="515"/>
        <v>6113.4323591331222</v>
      </c>
      <c r="AF510" s="5">
        <f t="shared" si="515"/>
        <v>6113.4323591331222</v>
      </c>
      <c r="AG510" s="5">
        <f t="shared" si="515"/>
        <v>6113.4323591331222</v>
      </c>
      <c r="AH510" s="5">
        <f t="shared" si="515"/>
        <v>6113.4323591331222</v>
      </c>
    </row>
    <row r="511" spans="1:34" x14ac:dyDescent="0.35">
      <c r="A511" t="s">
        <v>531</v>
      </c>
      <c r="B511" s="3" t="s">
        <v>1266</v>
      </c>
      <c r="C511" s="4" t="s">
        <v>1263</v>
      </c>
      <c r="D511" s="2">
        <f t="shared" si="456"/>
        <v>170439.3185880036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170439.3185880036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f t="shared" ref="W511:AH511" si="516">IF(OR((SLOPE($E511:$V511,$E$1:$V$1)*W$1+INTERCEPT($E511:$V511,$E$1:$V$1))&gt;(AVERAGE($E511:$V511)+_xlfn.STDEV.P($E511:$V511)),(SLOPE($E511:$V511,$E$1:$V$1)*W$1+INTERCEPT($E511:$V511,$E$1:$V$1))&lt;(AVERAGE($E511:$V511)-_xlfn.STDEV.P($E511:$V511))),V511,(SLOPE($E511:$V511,$E$1:$V$1)*W$1+INTERCEPT($E511:$V511,$E$1:$V$1)))</f>
        <v>4455.9298977255839</v>
      </c>
      <c r="X511" s="5">
        <f t="shared" si="516"/>
        <v>3928.2539887843959</v>
      </c>
      <c r="Y511" s="5">
        <f t="shared" si="516"/>
        <v>3400.5780798432097</v>
      </c>
      <c r="Z511" s="5">
        <f t="shared" si="516"/>
        <v>2872.9021709020217</v>
      </c>
      <c r="AA511" s="5">
        <f t="shared" si="516"/>
        <v>2345.2262619608337</v>
      </c>
      <c r="AB511" s="5">
        <f t="shared" si="516"/>
        <v>1817.5503530196456</v>
      </c>
      <c r="AC511" s="5">
        <f t="shared" si="516"/>
        <v>1289.8744440784576</v>
      </c>
      <c r="AD511" s="5">
        <f t="shared" si="516"/>
        <v>762.19853513726957</v>
      </c>
      <c r="AE511" s="5">
        <f t="shared" si="516"/>
        <v>234.52262619608155</v>
      </c>
      <c r="AF511" s="5">
        <f t="shared" si="516"/>
        <v>-293.15328274510466</v>
      </c>
      <c r="AG511" s="5">
        <f t="shared" si="516"/>
        <v>-820.82919168629269</v>
      </c>
      <c r="AH511" s="5">
        <f t="shared" si="516"/>
        <v>-1348.5051006274807</v>
      </c>
    </row>
    <row r="512" spans="1:34" x14ac:dyDescent="0.35">
      <c r="A512" t="s">
        <v>532</v>
      </c>
      <c r="B512" s="3" t="s">
        <v>1265</v>
      </c>
      <c r="C512" s="4" t="s">
        <v>1263</v>
      </c>
      <c r="D512" s="2">
        <f t="shared" si="456"/>
        <v>168400.63430988515</v>
      </c>
      <c r="E512" s="5">
        <v>0</v>
      </c>
      <c r="F512" s="5">
        <v>1198.3641809532292</v>
      </c>
      <c r="G512" s="5">
        <v>8307.304237455437</v>
      </c>
      <c r="H512" s="5">
        <v>12887.49275957329</v>
      </c>
      <c r="I512" s="5">
        <v>9150.2214155835572</v>
      </c>
      <c r="J512" s="5">
        <v>4539.5660075092665</v>
      </c>
      <c r="K512" s="5">
        <v>17274.724337300362</v>
      </c>
      <c r="L512" s="5">
        <v>0</v>
      </c>
      <c r="M512" s="5">
        <v>13009.360303399042</v>
      </c>
      <c r="N512" s="5">
        <v>9058.8207577142421</v>
      </c>
      <c r="O512" s="5">
        <v>8723.685012193424</v>
      </c>
      <c r="P512" s="5">
        <v>5758.2414457667865</v>
      </c>
      <c r="Q512" s="5">
        <v>7200.3407143715212</v>
      </c>
      <c r="R512" s="5">
        <v>9353.3339886264748</v>
      </c>
      <c r="S512" s="5">
        <v>12928.115274181873</v>
      </c>
      <c r="T512" s="5">
        <v>9627.5359622344185</v>
      </c>
      <c r="U512" s="5">
        <v>19539.429526728931</v>
      </c>
      <c r="V512" s="5">
        <v>19844.098386293314</v>
      </c>
      <c r="W512" s="5">
        <f t="shared" ref="W512:AH512" si="517">IF(OR((SLOPE($E512:$V512,$E$1:$V$1)*W$1+INTERCEPT($E512:$V512,$E$1:$V$1))&gt;(AVERAGE($E512:$V512)+_xlfn.STDEV.P($E512:$V512)),(SLOPE($E512:$V512,$E$1:$V$1)*W$1+INTERCEPT($E512:$V512,$E$1:$V$1))&lt;(AVERAGE($E512:$V512)-_xlfn.STDEV.P($E512:$V512))),V512,(SLOPE($E512:$V512,$E$1:$V$1)*W$1+INTERCEPT($E512:$V512,$E$1:$V$1)))</f>
        <v>19844.098386293314</v>
      </c>
      <c r="X512" s="5">
        <f t="shared" si="517"/>
        <v>19844.098386293314</v>
      </c>
      <c r="Y512" s="5">
        <f t="shared" si="517"/>
        <v>19844.098386293314</v>
      </c>
      <c r="Z512" s="5">
        <f t="shared" si="517"/>
        <v>19844.098386293314</v>
      </c>
      <c r="AA512" s="5">
        <f t="shared" si="517"/>
        <v>19844.098386293314</v>
      </c>
      <c r="AB512" s="5">
        <f t="shared" si="517"/>
        <v>19844.098386293314</v>
      </c>
      <c r="AC512" s="5">
        <f t="shared" si="517"/>
        <v>19844.098386293314</v>
      </c>
      <c r="AD512" s="5">
        <f t="shared" si="517"/>
        <v>19844.098386293314</v>
      </c>
      <c r="AE512" s="5">
        <f t="shared" si="517"/>
        <v>19844.098386293314</v>
      </c>
      <c r="AF512" s="5">
        <f t="shared" si="517"/>
        <v>19844.098386293314</v>
      </c>
      <c r="AG512" s="5">
        <f t="shared" si="517"/>
        <v>19844.098386293314</v>
      </c>
      <c r="AH512" s="5">
        <f t="shared" si="517"/>
        <v>19844.098386293314</v>
      </c>
    </row>
    <row r="513" spans="1:34" x14ac:dyDescent="0.35">
      <c r="A513" t="s">
        <v>533</v>
      </c>
      <c r="B513" s="3" t="s">
        <v>1262</v>
      </c>
      <c r="C513" s="4" t="s">
        <v>1263</v>
      </c>
      <c r="D513" s="2">
        <f t="shared" si="456"/>
        <v>153965.448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102047.40000000001</v>
      </c>
      <c r="U513" s="5">
        <v>41277.600000000006</v>
      </c>
      <c r="V513" s="5">
        <v>10640.447999999999</v>
      </c>
      <c r="W513" s="5">
        <f t="shared" ref="W513:AH513" si="518">IF(OR((SLOPE($E513:$V513,$E$1:$V$1)*W$1+INTERCEPT($E513:$V513,$E$1:$V$1))&gt;(AVERAGE($E513:$V513)+_xlfn.STDEV.P($E513:$V513)),(SLOPE($E513:$V513,$E$1:$V$1)*W$1+INTERCEPT($E513:$V513,$E$1:$V$1))&lt;(AVERAGE($E513:$V513)-_xlfn.STDEV.P($E513:$V513))),V513,(SLOPE($E513:$V513,$E$1:$V$1)*W$1+INTERCEPT($E513:$V513,$E$1:$V$1)))</f>
        <v>29403.320470588238</v>
      </c>
      <c r="X513" s="5">
        <f t="shared" si="518"/>
        <v>31598.024099071212</v>
      </c>
      <c r="Y513" s="5">
        <f t="shared" si="518"/>
        <v>31598.024099071212</v>
      </c>
      <c r="Z513" s="5">
        <f t="shared" si="518"/>
        <v>31598.024099071212</v>
      </c>
      <c r="AA513" s="5">
        <f t="shared" si="518"/>
        <v>31598.024099071212</v>
      </c>
      <c r="AB513" s="5">
        <f t="shared" si="518"/>
        <v>31598.024099071212</v>
      </c>
      <c r="AC513" s="5">
        <f t="shared" si="518"/>
        <v>31598.024099071212</v>
      </c>
      <c r="AD513" s="5">
        <f t="shared" si="518"/>
        <v>31598.024099071212</v>
      </c>
      <c r="AE513" s="5">
        <f t="shared" si="518"/>
        <v>31598.024099071212</v>
      </c>
      <c r="AF513" s="5">
        <f t="shared" si="518"/>
        <v>31598.024099071212</v>
      </c>
      <c r="AG513" s="5">
        <f t="shared" si="518"/>
        <v>31598.024099071212</v>
      </c>
      <c r="AH513" s="5">
        <f t="shared" si="518"/>
        <v>31598.024099071212</v>
      </c>
    </row>
    <row r="514" spans="1:34" x14ac:dyDescent="0.35">
      <c r="A514" t="s">
        <v>534</v>
      </c>
      <c r="B514" s="3" t="s">
        <v>1265</v>
      </c>
      <c r="C514" s="4" t="s">
        <v>1263</v>
      </c>
      <c r="D514" s="2">
        <f t="shared" si="456"/>
        <v>167290.704</v>
      </c>
      <c r="E514" s="5">
        <v>0</v>
      </c>
      <c r="F514" s="5">
        <v>0</v>
      </c>
      <c r="G514" s="5">
        <v>0</v>
      </c>
      <c r="H514" s="5">
        <v>12051.647999999997</v>
      </c>
      <c r="I514" s="5">
        <v>44337.551999999996</v>
      </c>
      <c r="J514" s="5">
        <v>1481.7599999999995</v>
      </c>
      <c r="K514" s="5">
        <v>4148.9279999999999</v>
      </c>
      <c r="L514" s="5">
        <v>12841.919999999998</v>
      </c>
      <c r="M514" s="5">
        <v>10899.168</v>
      </c>
      <c r="N514" s="5">
        <v>3852.5760000000005</v>
      </c>
      <c r="O514" s="5">
        <v>14142.575999999995</v>
      </c>
      <c r="P514" s="5">
        <v>49062.719999999994</v>
      </c>
      <c r="Q514" s="5">
        <v>2996.4479999999999</v>
      </c>
      <c r="R514" s="5">
        <v>296.35199999999998</v>
      </c>
      <c r="S514" s="5">
        <v>4116</v>
      </c>
      <c r="T514" s="5">
        <v>2568.384</v>
      </c>
      <c r="U514" s="5">
        <v>2304.96</v>
      </c>
      <c r="V514" s="5">
        <v>2189.712</v>
      </c>
      <c r="W514" s="5">
        <f t="shared" ref="W514:AH514" si="519">IF(OR((SLOPE($E514:$V514,$E$1:$V$1)*W$1+INTERCEPT($E514:$V514,$E$1:$V$1))&gt;(AVERAGE($E514:$V514)+_xlfn.STDEV.P($E514:$V514)),(SLOPE($E514:$V514,$E$1:$V$1)*W$1+INTERCEPT($E514:$V514,$E$1:$V$1))&lt;(AVERAGE($E514:$V514)-_xlfn.STDEV.P($E514:$V514))),V514,(SLOPE($E514:$V514,$E$1:$V$1)*W$1+INTERCEPT($E514:$V514,$E$1:$V$1)))</f>
        <v>7858.1703529411761</v>
      </c>
      <c r="X514" s="5">
        <f t="shared" si="519"/>
        <v>7707.0379690402478</v>
      </c>
      <c r="Y514" s="5">
        <f t="shared" si="519"/>
        <v>7555.9055851393186</v>
      </c>
      <c r="Z514" s="5">
        <f t="shared" si="519"/>
        <v>7404.7732012383894</v>
      </c>
      <c r="AA514" s="5">
        <f t="shared" si="519"/>
        <v>7253.6408173374612</v>
      </c>
      <c r="AB514" s="5">
        <f t="shared" si="519"/>
        <v>7102.508433436532</v>
      </c>
      <c r="AC514" s="5">
        <f t="shared" si="519"/>
        <v>6951.3760495356037</v>
      </c>
      <c r="AD514" s="5">
        <f t="shared" si="519"/>
        <v>6800.2436656346745</v>
      </c>
      <c r="AE514" s="5">
        <f t="shared" si="519"/>
        <v>6649.1112817337453</v>
      </c>
      <c r="AF514" s="5">
        <f t="shared" si="519"/>
        <v>6497.978897832817</v>
      </c>
      <c r="AG514" s="5">
        <f t="shared" si="519"/>
        <v>6346.8465139318887</v>
      </c>
      <c r="AH514" s="5">
        <f t="shared" si="519"/>
        <v>6195.7141300309595</v>
      </c>
    </row>
    <row r="515" spans="1:34" x14ac:dyDescent="0.35">
      <c r="A515" t="s">
        <v>535</v>
      </c>
      <c r="B515" s="3" t="s">
        <v>1264</v>
      </c>
      <c r="C515" s="4" t="s">
        <v>1263</v>
      </c>
      <c r="D515" s="2">
        <f t="shared" si="456"/>
        <v>167258.87359999999</v>
      </c>
      <c r="E515" s="5">
        <v>31020.371199999998</v>
      </c>
      <c r="F515" s="5">
        <v>20204.620799999997</v>
      </c>
      <c r="G515" s="5">
        <v>20061.932799999995</v>
      </c>
      <c r="H515" s="5">
        <v>1170.0416</v>
      </c>
      <c r="I515" s="5">
        <v>6906.0992000000006</v>
      </c>
      <c r="J515" s="5">
        <v>28951.395199999999</v>
      </c>
      <c r="K515" s="5">
        <v>3410.2432000000003</v>
      </c>
      <c r="L515" s="5">
        <v>2810.9535999999998</v>
      </c>
      <c r="M515" s="5">
        <v>3980.9952000000003</v>
      </c>
      <c r="N515" s="5">
        <v>1940.5567999999998</v>
      </c>
      <c r="O515" s="5">
        <v>10587.4496</v>
      </c>
      <c r="P515" s="5">
        <v>6264.0031999999992</v>
      </c>
      <c r="Q515" s="5">
        <v>4394.7903999999999</v>
      </c>
      <c r="R515" s="5">
        <v>4266.3711999999996</v>
      </c>
      <c r="S515" s="5">
        <v>19305.686400000002</v>
      </c>
      <c r="T515" s="5">
        <v>1983.3631999999998</v>
      </c>
      <c r="U515" s="5">
        <v>0</v>
      </c>
      <c r="V515" s="5">
        <v>0</v>
      </c>
      <c r="W515" s="5">
        <f t="shared" ref="W515:AH515" si="520">IF(OR((SLOPE($E515:$V515,$E$1:$V$1)*W$1+INTERCEPT($E515:$V515,$E$1:$V$1))&gt;(AVERAGE($E515:$V515)+_xlfn.STDEV.P($E515:$V515)),(SLOPE($E515:$V515,$E$1:$V$1)*W$1+INTERCEPT($E515:$V515,$E$1:$V$1))&lt;(AVERAGE($E515:$V515)-_xlfn.STDEV.P($E515:$V515))),V515,(SLOPE($E515:$V515,$E$1:$V$1)*W$1+INTERCEPT($E515:$V515,$E$1:$V$1)))</f>
        <v>0</v>
      </c>
      <c r="X515" s="5">
        <f t="shared" si="520"/>
        <v>0</v>
      </c>
      <c r="Y515" s="5">
        <f t="shared" si="520"/>
        <v>0</v>
      </c>
      <c r="Z515" s="5">
        <f t="shared" si="520"/>
        <v>0</v>
      </c>
      <c r="AA515" s="5">
        <f t="shared" si="520"/>
        <v>0</v>
      </c>
      <c r="AB515" s="5">
        <f t="shared" si="520"/>
        <v>0</v>
      </c>
      <c r="AC515" s="5">
        <f t="shared" si="520"/>
        <v>0</v>
      </c>
      <c r="AD515" s="5">
        <f t="shared" si="520"/>
        <v>0</v>
      </c>
      <c r="AE515" s="5">
        <f t="shared" si="520"/>
        <v>0</v>
      </c>
      <c r="AF515" s="5">
        <f t="shared" si="520"/>
        <v>0</v>
      </c>
      <c r="AG515" s="5">
        <f t="shared" si="520"/>
        <v>0</v>
      </c>
      <c r="AH515" s="5">
        <f t="shared" si="520"/>
        <v>0</v>
      </c>
    </row>
    <row r="516" spans="1:34" x14ac:dyDescent="0.35">
      <c r="A516" t="s">
        <v>536</v>
      </c>
      <c r="B516" s="3" t="s">
        <v>1266</v>
      </c>
      <c r="C516" s="4" t="s">
        <v>1267</v>
      </c>
      <c r="D516" s="2">
        <f t="shared" ref="D516:D579" si="521">SUM(E516:V516)</f>
        <v>166142.02871384379</v>
      </c>
      <c r="E516" s="5">
        <v>0</v>
      </c>
      <c r="F516" s="5">
        <v>0</v>
      </c>
      <c r="G516" s="5">
        <v>166142.02871384379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f t="shared" ref="W516:AH516" si="522">IF(OR((SLOPE($E516:$V516,$E$1:$V$1)*W$1+INTERCEPT($E516:$V516,$E$1:$V$1))&gt;(AVERAGE($E516:$V516)+_xlfn.STDEV.P($E516:$V516)),(SLOPE($E516:$V516,$E$1:$V$1)*W$1+INTERCEPT($E516:$V516,$E$1:$V$1))&lt;(AVERAGE($E516:$V516)-_xlfn.STDEV.P($E516:$V516))),V516,(SLOPE($E516:$V516,$E$1:$V$1)*W$1+INTERCEPT($E516:$V516,$E$1:$V$1)))</f>
        <v>-11944.851737596611</v>
      </c>
      <c r="X516" s="5">
        <f t="shared" si="522"/>
        <v>-14173.795363272533</v>
      </c>
      <c r="Y516" s="5">
        <f t="shared" si="522"/>
        <v>-16402.738988948462</v>
      </c>
      <c r="Z516" s="5">
        <f t="shared" si="522"/>
        <v>-18631.682614624384</v>
      </c>
      <c r="AA516" s="5">
        <f t="shared" si="522"/>
        <v>-20860.626240300306</v>
      </c>
      <c r="AB516" s="5">
        <f t="shared" si="522"/>
        <v>-23089.569865976227</v>
      </c>
      <c r="AC516" s="5">
        <f t="shared" si="522"/>
        <v>-25318.513491652149</v>
      </c>
      <c r="AD516" s="5">
        <f t="shared" si="522"/>
        <v>-27547.457117328071</v>
      </c>
      <c r="AE516" s="5">
        <f t="shared" si="522"/>
        <v>-27547.457117328071</v>
      </c>
      <c r="AF516" s="5">
        <f t="shared" si="522"/>
        <v>-27547.457117328071</v>
      </c>
      <c r="AG516" s="5">
        <f t="shared" si="522"/>
        <v>-27547.457117328071</v>
      </c>
      <c r="AH516" s="5">
        <f t="shared" si="522"/>
        <v>-27547.457117328071</v>
      </c>
    </row>
    <row r="517" spans="1:34" x14ac:dyDescent="0.35">
      <c r="A517" t="s">
        <v>537</v>
      </c>
      <c r="B517" s="3" t="s">
        <v>1264</v>
      </c>
      <c r="C517" s="4" t="s">
        <v>1263</v>
      </c>
      <c r="D517" s="2">
        <f t="shared" si="521"/>
        <v>165936.82708984838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56030.168225438116</v>
      </c>
      <c r="O517" s="5">
        <v>0</v>
      </c>
      <c r="P517" s="5">
        <v>53554.014850624306</v>
      </c>
      <c r="Q517" s="5">
        <v>0</v>
      </c>
      <c r="R517" s="5">
        <v>0</v>
      </c>
      <c r="S517" s="5">
        <v>56352.644013785961</v>
      </c>
      <c r="T517" s="5">
        <v>0</v>
      </c>
      <c r="U517" s="5">
        <v>0</v>
      </c>
      <c r="V517" s="5">
        <v>0</v>
      </c>
      <c r="W517" s="5">
        <f t="shared" ref="W517:AH517" si="523">IF(OR((SLOPE($E517:$V517,$E$1:$V$1)*W$1+INTERCEPT($E517:$V517,$E$1:$V$1))&gt;(AVERAGE($E517:$V517)+_xlfn.STDEV.P($E517:$V517)),(SLOPE($E517:$V517,$E$1:$V$1)*W$1+INTERCEPT($E517:$V517,$E$1:$V$1))&lt;(AVERAGE($E517:$V517)-_xlfn.STDEV.P($E517:$V517))),V517,(SLOPE($E517:$V517,$E$1:$V$1)*W$1+INTERCEPT($E517:$V517,$E$1:$V$1)))</f>
        <v>18470.470720320387</v>
      </c>
      <c r="X517" s="5">
        <f t="shared" si="523"/>
        <v>19444.339994448565</v>
      </c>
      <c r="Y517" s="5">
        <f t="shared" si="523"/>
        <v>20418.209268576742</v>
      </c>
      <c r="Z517" s="5">
        <f t="shared" si="523"/>
        <v>21392.078542704923</v>
      </c>
      <c r="AA517" s="5">
        <f t="shared" si="523"/>
        <v>22365.947816833101</v>
      </c>
      <c r="AB517" s="5">
        <f t="shared" si="523"/>
        <v>23339.817090961278</v>
      </c>
      <c r="AC517" s="5">
        <f t="shared" si="523"/>
        <v>24313.686365089459</v>
      </c>
      <c r="AD517" s="5">
        <f t="shared" si="523"/>
        <v>25287.555639217637</v>
      </c>
      <c r="AE517" s="5">
        <f t="shared" si="523"/>
        <v>26261.424913345814</v>
      </c>
      <c r="AF517" s="5">
        <f t="shared" si="523"/>
        <v>27235.294187473995</v>
      </c>
      <c r="AG517" s="5">
        <f t="shared" si="523"/>
        <v>28209.163461602173</v>
      </c>
      <c r="AH517" s="5">
        <f t="shared" si="523"/>
        <v>29183.03273573035</v>
      </c>
    </row>
    <row r="518" spans="1:34" x14ac:dyDescent="0.35">
      <c r="A518" t="s">
        <v>538</v>
      </c>
      <c r="B518" s="3" t="s">
        <v>1266</v>
      </c>
      <c r="C518" s="4" t="s">
        <v>1266</v>
      </c>
      <c r="D518" s="2">
        <f t="shared" si="521"/>
        <v>165505.58221046743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165505.58221046743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f t="shared" ref="W518:AH518" si="524">IF(OR((SLOPE($E518:$V518,$E$1:$V$1)*W$1+INTERCEPT($E518:$V518,$E$1:$V$1))&gt;(AVERAGE($E518:$V518)+_xlfn.STDEV.P($E518:$V518)),(SLOPE($E518:$V518,$E$1:$V$1)*W$1+INTERCEPT($E518:$V518,$E$1:$V$1))&lt;(AVERAGE($E518:$V518)-_xlfn.STDEV.P($E518:$V518))),V518,(SLOPE($E518:$V518,$E$1:$V$1)*W$1+INTERCEPT($E518:$V518,$E$1:$V$1)))</f>
        <v>17307.773303055415</v>
      </c>
      <c r="X518" s="5">
        <f t="shared" si="524"/>
        <v>18161.775275245651</v>
      </c>
      <c r="Y518" s="5">
        <f t="shared" si="524"/>
        <v>19015.777247435886</v>
      </c>
      <c r="Z518" s="5">
        <f t="shared" si="524"/>
        <v>19869.779219626122</v>
      </c>
      <c r="AA518" s="5">
        <f t="shared" si="524"/>
        <v>20723.781191816357</v>
      </c>
      <c r="AB518" s="5">
        <f t="shared" si="524"/>
        <v>21577.783164006592</v>
      </c>
      <c r="AC518" s="5">
        <f t="shared" si="524"/>
        <v>22431.785136196828</v>
      </c>
      <c r="AD518" s="5">
        <f t="shared" si="524"/>
        <v>23285.787108387063</v>
      </c>
      <c r="AE518" s="5">
        <f t="shared" si="524"/>
        <v>24139.789080577291</v>
      </c>
      <c r="AF518" s="5">
        <f t="shared" si="524"/>
        <v>24993.791052767527</v>
      </c>
      <c r="AG518" s="5">
        <f t="shared" si="524"/>
        <v>25847.793024957762</v>
      </c>
      <c r="AH518" s="5">
        <f t="shared" si="524"/>
        <v>26701.794997147997</v>
      </c>
    </row>
    <row r="519" spans="1:34" x14ac:dyDescent="0.35">
      <c r="A519" t="s">
        <v>539</v>
      </c>
      <c r="B519" s="3" t="s">
        <v>1265</v>
      </c>
      <c r="C519" s="4" t="s">
        <v>1263</v>
      </c>
      <c r="D519" s="2">
        <f t="shared" si="521"/>
        <v>162358.55999999997</v>
      </c>
      <c r="E519" s="5">
        <v>6099.9119999999994</v>
      </c>
      <c r="F519" s="5">
        <v>13667.471999999998</v>
      </c>
      <c r="G519" s="5">
        <v>12429.143999999997</v>
      </c>
      <c r="H519" s="5">
        <v>6478.2899999999981</v>
      </c>
      <c r="I519" s="5">
        <v>9585.5759999999973</v>
      </c>
      <c r="J519" s="5">
        <v>7338.24</v>
      </c>
      <c r="K519" s="5">
        <v>11362.805999999997</v>
      </c>
      <c r="L519" s="5">
        <v>4930.3799999999992</v>
      </c>
      <c r="M519" s="5">
        <v>10628.981999999996</v>
      </c>
      <c r="N519" s="5">
        <v>7223.58</v>
      </c>
      <c r="O519" s="5">
        <v>7338.239999999998</v>
      </c>
      <c r="P519" s="5">
        <v>12899.249999999995</v>
      </c>
      <c r="Q519" s="5">
        <v>7280.9099999999989</v>
      </c>
      <c r="R519" s="5">
        <v>7143.3179999999975</v>
      </c>
      <c r="S519" s="5">
        <v>10090.079999999998</v>
      </c>
      <c r="T519" s="5">
        <v>11580.659999999996</v>
      </c>
      <c r="U519" s="5">
        <v>8026.2</v>
      </c>
      <c r="V519" s="5">
        <v>8255.5199999999986</v>
      </c>
      <c r="W519" s="5">
        <f t="shared" ref="W519:AH519" si="525">IF(OR((SLOPE($E519:$V519,$E$1:$V$1)*W$1+INTERCEPT($E519:$V519,$E$1:$V$1))&gt;(AVERAGE($E519:$V519)+_xlfn.STDEV.P($E519:$V519)),(SLOPE($E519:$V519,$E$1:$V$1)*W$1+INTERCEPT($E519:$V519,$E$1:$V$1))&lt;(AVERAGE($E519:$V519)-_xlfn.STDEV.P($E519:$V519))),V519,(SLOPE($E519:$V519,$E$1:$V$1)*W$1+INTERCEPT($E519:$V519,$E$1:$V$1)))</f>
        <v>8724.2770588235271</v>
      </c>
      <c r="X519" s="5">
        <f t="shared" si="525"/>
        <v>8693.1567492260037</v>
      </c>
      <c r="Y519" s="5">
        <f t="shared" si="525"/>
        <v>8662.0364396284822</v>
      </c>
      <c r="Z519" s="5">
        <f t="shared" si="525"/>
        <v>8630.9161300309588</v>
      </c>
      <c r="AA519" s="5">
        <f t="shared" si="525"/>
        <v>8599.7958204334354</v>
      </c>
      <c r="AB519" s="5">
        <f t="shared" si="525"/>
        <v>8568.6755108359121</v>
      </c>
      <c r="AC519" s="5">
        <f t="shared" si="525"/>
        <v>8537.5552012383887</v>
      </c>
      <c r="AD519" s="5">
        <f t="shared" si="525"/>
        <v>8506.4348916408653</v>
      </c>
      <c r="AE519" s="5">
        <f t="shared" si="525"/>
        <v>8475.3145820433419</v>
      </c>
      <c r="AF519" s="5">
        <f t="shared" si="525"/>
        <v>8444.1942724458186</v>
      </c>
      <c r="AG519" s="5">
        <f t="shared" si="525"/>
        <v>8413.0739628482952</v>
      </c>
      <c r="AH519" s="5">
        <f t="shared" si="525"/>
        <v>8381.9536532507718</v>
      </c>
    </row>
    <row r="520" spans="1:34" x14ac:dyDescent="0.35">
      <c r="A520" t="s">
        <v>540</v>
      </c>
      <c r="B520" s="3" t="s">
        <v>1266</v>
      </c>
      <c r="C520" s="4" t="s">
        <v>1263</v>
      </c>
      <c r="D520" s="2">
        <f t="shared" si="521"/>
        <v>164395.28863942408</v>
      </c>
      <c r="E520" s="5">
        <v>0</v>
      </c>
      <c r="F520" s="5">
        <v>0</v>
      </c>
      <c r="G520" s="5">
        <v>52105.783533500879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59731.521478640454</v>
      </c>
      <c r="N520" s="5">
        <v>0</v>
      </c>
      <c r="O520" s="5">
        <v>0</v>
      </c>
      <c r="P520" s="5">
        <v>0</v>
      </c>
      <c r="Q520" s="5">
        <v>52557.983627282738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f t="shared" ref="W520:AH520" si="526">IF(OR((SLOPE($E520:$V520,$E$1:$V$1)*W$1+INTERCEPT($E520:$V520,$E$1:$V$1))&gt;(AVERAGE($E520:$V520)+_xlfn.STDEV.P($E520:$V520)),(SLOPE($E520:$V520,$E$1:$V$1)*W$1+INTERCEPT($E520:$V520,$E$1:$V$1))&lt;(AVERAGE($E520:$V520)-_xlfn.STDEV.P($E520:$V520))),V520,(SLOPE($E520:$V520,$E$1:$V$1)*W$1+INTERCEPT($E520:$V520,$E$1:$V$1)))</f>
        <v>5513.4556888911475</v>
      </c>
      <c r="X520" s="5">
        <f t="shared" si="526"/>
        <v>5132.4434886608351</v>
      </c>
      <c r="Y520" s="5">
        <f t="shared" si="526"/>
        <v>4751.4312884305227</v>
      </c>
      <c r="Z520" s="5">
        <f t="shared" si="526"/>
        <v>4370.4190882002094</v>
      </c>
      <c r="AA520" s="5">
        <f t="shared" si="526"/>
        <v>3989.4068879698971</v>
      </c>
      <c r="AB520" s="5">
        <f t="shared" si="526"/>
        <v>3608.3946877395847</v>
      </c>
      <c r="AC520" s="5">
        <f t="shared" si="526"/>
        <v>3227.3824875092723</v>
      </c>
      <c r="AD520" s="5">
        <f t="shared" si="526"/>
        <v>2846.3702872789599</v>
      </c>
      <c r="AE520" s="5">
        <f t="shared" si="526"/>
        <v>2465.3580870486476</v>
      </c>
      <c r="AF520" s="5">
        <f t="shared" si="526"/>
        <v>2084.3458868183352</v>
      </c>
      <c r="AG520" s="5">
        <f t="shared" si="526"/>
        <v>1703.3336865880228</v>
      </c>
      <c r="AH520" s="5">
        <f t="shared" si="526"/>
        <v>1322.3214863577105</v>
      </c>
    </row>
    <row r="521" spans="1:34" x14ac:dyDescent="0.35">
      <c r="A521" t="s">
        <v>541</v>
      </c>
      <c r="B521" s="3" t="s">
        <v>1262</v>
      </c>
      <c r="C521" s="4" t="s">
        <v>1263</v>
      </c>
      <c r="D521" s="2">
        <f t="shared" si="521"/>
        <v>160647.08799999996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70320.095999999976</v>
      </c>
      <c r="S521" s="5">
        <v>26458.82399999999</v>
      </c>
      <c r="T521" s="5">
        <v>50786.735999999983</v>
      </c>
      <c r="U521" s="5">
        <v>5149.7039999999979</v>
      </c>
      <c r="V521" s="5">
        <v>7931.7279999999982</v>
      </c>
      <c r="W521" s="5">
        <f t="shared" ref="W521:AH521" si="527">IF(OR((SLOPE($E521:$V521,$E$1:$V$1)*W$1+INTERCEPT($E521:$V521,$E$1:$V$1))&gt;(AVERAGE($E521:$V521)+_xlfn.STDEV.P($E521:$V521)),(SLOPE($E521:$V521,$E$1:$V$1)*W$1+INTERCEPT($E521:$V521,$E$1:$V$1))&lt;(AVERAGE($E521:$V521)-_xlfn.STDEV.P($E521:$V521))),V521,(SLOPE($E521:$V521,$E$1:$V$1)*W$1+INTERCEPT($E521:$V521,$E$1:$V$1)))</f>
        <v>26535.038535947704</v>
      </c>
      <c r="X521" s="5">
        <f t="shared" si="527"/>
        <v>28388.743832129334</v>
      </c>
      <c r="Y521" s="5">
        <f t="shared" si="527"/>
        <v>28388.743832129334</v>
      </c>
      <c r="Z521" s="5">
        <f t="shared" si="527"/>
        <v>28388.743832129334</v>
      </c>
      <c r="AA521" s="5">
        <f t="shared" si="527"/>
        <v>28388.743832129334</v>
      </c>
      <c r="AB521" s="5">
        <f t="shared" si="527"/>
        <v>28388.743832129334</v>
      </c>
      <c r="AC521" s="5">
        <f t="shared" si="527"/>
        <v>28388.743832129334</v>
      </c>
      <c r="AD521" s="5">
        <f t="shared" si="527"/>
        <v>28388.743832129334</v>
      </c>
      <c r="AE521" s="5">
        <f t="shared" si="527"/>
        <v>28388.743832129334</v>
      </c>
      <c r="AF521" s="5">
        <f t="shared" si="527"/>
        <v>28388.743832129334</v>
      </c>
      <c r="AG521" s="5">
        <f t="shared" si="527"/>
        <v>28388.743832129334</v>
      </c>
      <c r="AH521" s="5">
        <f t="shared" si="527"/>
        <v>28388.743832129334</v>
      </c>
    </row>
    <row r="522" spans="1:34" x14ac:dyDescent="0.35">
      <c r="A522" t="s">
        <v>542</v>
      </c>
      <c r="B522" s="3" t="s">
        <v>1266</v>
      </c>
      <c r="C522" s="4" t="s">
        <v>1263</v>
      </c>
      <c r="D522" s="2">
        <f t="shared" si="521"/>
        <v>163990.25897945196</v>
      </c>
      <c r="E522" s="5">
        <v>0</v>
      </c>
      <c r="F522" s="5">
        <v>0</v>
      </c>
      <c r="G522" s="5">
        <v>56281.079427802048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107709.17955164991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f t="shared" ref="W522:AH522" si="528">IF(OR((SLOPE($E522:$V522,$E$1:$V$1)*W$1+INTERCEPT($E522:$V522,$E$1:$V$1))&gt;(AVERAGE($E522:$V522)+_xlfn.STDEV.P($E522:$V522)),(SLOPE($E522:$V522,$E$1:$V$1)*W$1+INTERCEPT($E522:$V522,$E$1:$V$1))&lt;(AVERAGE($E522:$V522)-_xlfn.STDEV.P($E522:$V522))),V522,(SLOPE($E522:$V522,$E$1:$V$1)*W$1+INTERCEPT($E522:$V522,$E$1:$V$1)))</f>
        <v>881.51884415507448</v>
      </c>
      <c r="X522" s="5">
        <f t="shared" si="528"/>
        <v>15.302938981621992</v>
      </c>
      <c r="Y522" s="5">
        <f t="shared" si="528"/>
        <v>-850.91296619183413</v>
      </c>
      <c r="Z522" s="5">
        <f t="shared" si="528"/>
        <v>-1717.1288713652866</v>
      </c>
      <c r="AA522" s="5">
        <f t="shared" si="528"/>
        <v>-2583.3447765387391</v>
      </c>
      <c r="AB522" s="5">
        <f t="shared" si="528"/>
        <v>-3449.5606817121952</v>
      </c>
      <c r="AC522" s="5">
        <f t="shared" si="528"/>
        <v>-4315.7765868856477</v>
      </c>
      <c r="AD522" s="5">
        <f t="shared" si="528"/>
        <v>-5181.9924920591002</v>
      </c>
      <c r="AE522" s="5">
        <f t="shared" si="528"/>
        <v>-6048.2083972325527</v>
      </c>
      <c r="AF522" s="5">
        <f t="shared" si="528"/>
        <v>-6914.4243024060088</v>
      </c>
      <c r="AG522" s="5">
        <f t="shared" si="528"/>
        <v>-7780.6402075794613</v>
      </c>
      <c r="AH522" s="5">
        <f t="shared" si="528"/>
        <v>-8646.8561127529138</v>
      </c>
    </row>
    <row r="523" spans="1:34" x14ac:dyDescent="0.35">
      <c r="A523" t="s">
        <v>543</v>
      </c>
      <c r="B523" s="3" t="s">
        <v>1264</v>
      </c>
      <c r="C523" s="4" t="s">
        <v>1263</v>
      </c>
      <c r="D523" s="2">
        <f t="shared" si="521"/>
        <v>163758.69789550611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31719.544962519827</v>
      </c>
      <c r="K523" s="5">
        <v>0</v>
      </c>
      <c r="L523" s="5">
        <v>0</v>
      </c>
      <c r="M523" s="5">
        <v>0</v>
      </c>
      <c r="N523" s="5">
        <v>23582.070076847198</v>
      </c>
      <c r="O523" s="5">
        <v>0</v>
      </c>
      <c r="P523" s="5">
        <v>45318.198048545746</v>
      </c>
      <c r="Q523" s="5">
        <v>0</v>
      </c>
      <c r="R523" s="5">
        <v>31464.051245544233</v>
      </c>
      <c r="S523" s="5">
        <v>0</v>
      </c>
      <c r="T523" s="5">
        <v>0</v>
      </c>
      <c r="U523" s="5">
        <v>0</v>
      </c>
      <c r="V523" s="5">
        <v>31674.833562049098</v>
      </c>
      <c r="W523" s="5">
        <f t="shared" ref="W523:AH523" si="529">IF(OR((SLOPE($E523:$V523,$E$1:$V$1)*W$1+INTERCEPT($E523:$V523,$E$1:$V$1))&gt;(AVERAGE($E523:$V523)+_xlfn.STDEV.P($E523:$V523)),(SLOPE($E523:$V523,$E$1:$V$1)*W$1+INTERCEPT($E523:$V523,$E$1:$V$1))&lt;(AVERAGE($E523:$V523)-_xlfn.STDEV.P($E523:$V523))),V523,(SLOPE($E523:$V523,$E$1:$V$1)*W$1+INTERCEPT($E523:$V523,$E$1:$V$1)))</f>
        <v>17428.929726351678</v>
      </c>
      <c r="X523" s="5">
        <f t="shared" si="529"/>
        <v>18305.900704005624</v>
      </c>
      <c r="Y523" s="5">
        <f t="shared" si="529"/>
        <v>19182.871681659562</v>
      </c>
      <c r="Z523" s="5">
        <f t="shared" si="529"/>
        <v>20059.842659313508</v>
      </c>
      <c r="AA523" s="5">
        <f t="shared" si="529"/>
        <v>20936.813636967447</v>
      </c>
      <c r="AB523" s="5">
        <f t="shared" si="529"/>
        <v>21813.784614621392</v>
      </c>
      <c r="AC523" s="5">
        <f t="shared" si="529"/>
        <v>22690.755592275331</v>
      </c>
      <c r="AD523" s="5">
        <f t="shared" si="529"/>
        <v>23567.726569929277</v>
      </c>
      <c r="AE523" s="5">
        <f t="shared" si="529"/>
        <v>23567.726569929277</v>
      </c>
      <c r="AF523" s="5">
        <f t="shared" si="529"/>
        <v>23567.726569929277</v>
      </c>
      <c r="AG523" s="5">
        <f t="shared" si="529"/>
        <v>23567.726569929277</v>
      </c>
      <c r="AH523" s="5">
        <f t="shared" si="529"/>
        <v>23567.726569929277</v>
      </c>
    </row>
    <row r="524" spans="1:34" x14ac:dyDescent="0.35">
      <c r="A524" t="s">
        <v>544</v>
      </c>
      <c r="B524" s="3" t="s">
        <v>1266</v>
      </c>
      <c r="C524" s="4" t="s">
        <v>1267</v>
      </c>
      <c r="D524" s="2">
        <f t="shared" si="521"/>
        <v>163109.12187232877</v>
      </c>
      <c r="E524" s="5">
        <v>0</v>
      </c>
      <c r="F524" s="5">
        <v>0</v>
      </c>
      <c r="G524" s="5">
        <v>0</v>
      </c>
      <c r="H524" s="5">
        <v>80967.373435492191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82141.748436836584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f t="shared" ref="W524:AH524" si="530">IF(OR((SLOPE($E524:$V524,$E$1:$V$1)*W$1+INTERCEPT($E524:$V524,$E$1:$V$1))&gt;(AVERAGE($E524:$V524)+_xlfn.STDEV.P($E524:$V524)),(SLOPE($E524:$V524,$E$1:$V$1)*W$1+INTERCEPT($E524:$V524,$E$1:$V$1))&lt;(AVERAGE($E524:$V524)-_xlfn.STDEV.P($E524:$V524))),V524,(SLOPE($E524:$V524,$E$1:$V$1)*W$1+INTERCEPT($E524:$V524,$E$1:$V$1)))</f>
        <v>4356.3986111467184</v>
      </c>
      <c r="X524" s="5">
        <f t="shared" si="530"/>
        <v>3861.1123721309996</v>
      </c>
      <c r="Y524" s="5">
        <f t="shared" si="530"/>
        <v>3365.8261331152826</v>
      </c>
      <c r="Z524" s="5">
        <f t="shared" si="530"/>
        <v>2870.5398940995638</v>
      </c>
      <c r="AA524" s="5">
        <f t="shared" si="530"/>
        <v>2375.2536550838449</v>
      </c>
      <c r="AB524" s="5">
        <f t="shared" si="530"/>
        <v>1879.9674160681261</v>
      </c>
      <c r="AC524" s="5">
        <f t="shared" si="530"/>
        <v>1384.6811770524073</v>
      </c>
      <c r="AD524" s="5">
        <f t="shared" si="530"/>
        <v>889.39493803669029</v>
      </c>
      <c r="AE524" s="5">
        <f t="shared" si="530"/>
        <v>394.10869902097147</v>
      </c>
      <c r="AF524" s="5">
        <f t="shared" si="530"/>
        <v>-101.17753999474735</v>
      </c>
      <c r="AG524" s="5">
        <f t="shared" si="530"/>
        <v>-596.46377901046617</v>
      </c>
      <c r="AH524" s="5">
        <f t="shared" si="530"/>
        <v>-1091.7500180261832</v>
      </c>
    </row>
    <row r="525" spans="1:34" x14ac:dyDescent="0.35">
      <c r="A525" t="s">
        <v>545</v>
      </c>
      <c r="B525" s="3" t="s">
        <v>1262</v>
      </c>
      <c r="C525" s="4" t="s">
        <v>1263</v>
      </c>
      <c r="D525" s="2">
        <f t="shared" si="521"/>
        <v>162330.6354243544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162330.6354243544</v>
      </c>
      <c r="U525" s="5">
        <v>0</v>
      </c>
      <c r="V525" s="5">
        <v>0</v>
      </c>
      <c r="W525" s="5">
        <f t="shared" ref="W525:AH525" si="531">IF(OR((SLOPE($E525:$V525,$E$1:$V$1)*W$1+INTERCEPT($E525:$V525,$E$1:$V$1))&gt;(AVERAGE($E525:$V525)+_xlfn.STDEV.P($E525:$V525)),(SLOPE($E525:$V525,$E$1:$V$1)*W$1+INTERCEPT($E525:$V525,$E$1:$V$1))&lt;(AVERAGE($E525:$V525)-_xlfn.STDEV.P($E525:$V525))),V525,(SLOPE($E525:$V525,$E$1:$V$1)*W$1+INTERCEPT($E525:$V525,$E$1:$V$1)))</f>
        <v>29707.567267202117</v>
      </c>
      <c r="X525" s="5">
        <f t="shared" si="531"/>
        <v>31885.377649572198</v>
      </c>
      <c r="Y525" s="5">
        <f t="shared" si="531"/>
        <v>34063.188031942278</v>
      </c>
      <c r="Z525" s="5">
        <f t="shared" si="531"/>
        <v>36240.998414312358</v>
      </c>
      <c r="AA525" s="5">
        <f t="shared" si="531"/>
        <v>38418.808796682439</v>
      </c>
      <c r="AB525" s="5">
        <f t="shared" si="531"/>
        <v>40596.619179052512</v>
      </c>
      <c r="AC525" s="5">
        <f t="shared" si="531"/>
        <v>42774.429561422592</v>
      </c>
      <c r="AD525" s="5">
        <f t="shared" si="531"/>
        <v>44952.239943792672</v>
      </c>
      <c r="AE525" s="5">
        <f t="shared" si="531"/>
        <v>44952.239943792672</v>
      </c>
      <c r="AF525" s="5">
        <f t="shared" si="531"/>
        <v>44952.239943792672</v>
      </c>
      <c r="AG525" s="5">
        <f t="shared" si="531"/>
        <v>44952.239943792672</v>
      </c>
      <c r="AH525" s="5">
        <f t="shared" si="531"/>
        <v>44952.239943792672</v>
      </c>
    </row>
    <row r="526" spans="1:34" x14ac:dyDescent="0.35">
      <c r="A526" t="s">
        <v>546</v>
      </c>
      <c r="B526" s="3" t="s">
        <v>1265</v>
      </c>
      <c r="C526" s="4" t="s">
        <v>1263</v>
      </c>
      <c r="D526" s="2">
        <f t="shared" si="521"/>
        <v>159513.22799999997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32154.191999999995</v>
      </c>
      <c r="R526" s="5">
        <v>31683.909599999999</v>
      </c>
      <c r="S526" s="5">
        <v>29748.096000000001</v>
      </c>
      <c r="T526" s="5">
        <v>28873.151999999995</v>
      </c>
      <c r="U526" s="5">
        <v>23459.435999999998</v>
      </c>
      <c r="V526" s="5">
        <v>13594.4424</v>
      </c>
      <c r="W526" s="5">
        <f t="shared" ref="W526:AH526" si="532">IF(OR((SLOPE($E526:$V526,$E$1:$V$1)*W$1+INTERCEPT($E526:$V526,$E$1:$V$1))&gt;(AVERAGE($E526:$V526)+_xlfn.STDEV.P($E526:$V526)),(SLOPE($E526:$V526,$E$1:$V$1)*W$1+INTERCEPT($E526:$V526,$E$1:$V$1))&lt;(AVERAGE($E526:$V526)-_xlfn.STDEV.P($E526:$V526))),V526,(SLOPE($E526:$V526,$E$1:$V$1)*W$1+INTERCEPT($E526:$V526,$E$1:$V$1)))</f>
        <v>13594.4424</v>
      </c>
      <c r="X526" s="5">
        <f t="shared" si="532"/>
        <v>13594.4424</v>
      </c>
      <c r="Y526" s="5">
        <f t="shared" si="532"/>
        <v>13594.4424</v>
      </c>
      <c r="Z526" s="5">
        <f t="shared" si="532"/>
        <v>13594.4424</v>
      </c>
      <c r="AA526" s="5">
        <f t="shared" si="532"/>
        <v>13594.4424</v>
      </c>
      <c r="AB526" s="5">
        <f t="shared" si="532"/>
        <v>13594.4424</v>
      </c>
      <c r="AC526" s="5">
        <f t="shared" si="532"/>
        <v>13594.4424</v>
      </c>
      <c r="AD526" s="5">
        <f t="shared" si="532"/>
        <v>13594.4424</v>
      </c>
      <c r="AE526" s="5">
        <f t="shared" si="532"/>
        <v>13594.4424</v>
      </c>
      <c r="AF526" s="5">
        <f t="shared" si="532"/>
        <v>13594.4424</v>
      </c>
      <c r="AG526" s="5">
        <f t="shared" si="532"/>
        <v>13594.4424</v>
      </c>
      <c r="AH526" s="5">
        <f t="shared" si="532"/>
        <v>13594.4424</v>
      </c>
    </row>
    <row r="527" spans="1:34" x14ac:dyDescent="0.35">
      <c r="A527" t="s">
        <v>547</v>
      </c>
      <c r="B527" s="3" t="s">
        <v>1266</v>
      </c>
      <c r="C527" s="4" t="s">
        <v>1263</v>
      </c>
      <c r="D527" s="2">
        <f t="shared" si="521"/>
        <v>160316.62027496297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34545.039707585544</v>
      </c>
      <c r="K527" s="5">
        <v>0</v>
      </c>
      <c r="L527" s="5">
        <v>0</v>
      </c>
      <c r="M527" s="5">
        <v>0</v>
      </c>
      <c r="N527" s="5">
        <v>125771.58056737744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f t="shared" ref="W527:AH527" si="533">IF(OR((SLOPE($E527:$V527,$E$1:$V$1)*W$1+INTERCEPT($E527:$V527,$E$1:$V$1))&gt;(AVERAGE($E527:$V527)+_xlfn.STDEV.P($E527:$V527)),(SLOPE($E527:$V527,$E$1:$V$1)*W$1+INTERCEPT($E527:$V527,$E$1:$V$1))&lt;(AVERAGE($E527:$V527)-_xlfn.STDEV.P($E527:$V527))),V527,(SLOPE($E527:$V527,$E$1:$V$1)*W$1+INTERCEPT($E527:$V527,$E$1:$V$1)))</f>
        <v>7768.7955964614575</v>
      </c>
      <c r="X527" s="5">
        <f t="shared" si="533"/>
        <v>7649.0394588084946</v>
      </c>
      <c r="Y527" s="5">
        <f t="shared" si="533"/>
        <v>7529.2833211555308</v>
      </c>
      <c r="Z527" s="5">
        <f t="shared" si="533"/>
        <v>7409.5271835025669</v>
      </c>
      <c r="AA527" s="5">
        <f t="shared" si="533"/>
        <v>7289.771045849604</v>
      </c>
      <c r="AB527" s="5">
        <f t="shared" si="533"/>
        <v>7170.014908196641</v>
      </c>
      <c r="AC527" s="5">
        <f t="shared" si="533"/>
        <v>7050.2587705436781</v>
      </c>
      <c r="AD527" s="5">
        <f t="shared" si="533"/>
        <v>6930.5026328907143</v>
      </c>
      <c r="AE527" s="5">
        <f t="shared" si="533"/>
        <v>6810.7464952377504</v>
      </c>
      <c r="AF527" s="5">
        <f t="shared" si="533"/>
        <v>6690.9903575847875</v>
      </c>
      <c r="AG527" s="5">
        <f t="shared" si="533"/>
        <v>6571.2342199318246</v>
      </c>
      <c r="AH527" s="5">
        <f t="shared" si="533"/>
        <v>6451.4780822788616</v>
      </c>
    </row>
    <row r="528" spans="1:34" x14ac:dyDescent="0.35">
      <c r="A528" t="s">
        <v>548</v>
      </c>
      <c r="B528" s="3" t="s">
        <v>1262</v>
      </c>
      <c r="C528" s="4" t="s">
        <v>1263</v>
      </c>
      <c r="D528" s="2">
        <f t="shared" si="521"/>
        <v>160185.71225682634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89515.545084697078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70670.167172129281</v>
      </c>
      <c r="W528" s="5">
        <f t="shared" ref="W528:AH528" si="534">IF(OR((SLOPE($E528:$V528,$E$1:$V$1)*W$1+INTERCEPT($E528:$V528,$E$1:$V$1))&gt;(AVERAGE($E528:$V528)+_xlfn.STDEV.P($E528:$V528)),(SLOPE($E528:$V528,$E$1:$V$1)*W$1+INTERCEPT($E528:$V528,$E$1:$V$1))&lt;(AVERAGE($E528:$V528)-_xlfn.STDEV.P($E528:$V528))),V528,(SLOPE($E528:$V528,$E$1:$V$1)*W$1+INTERCEPT($E528:$V528,$E$1:$V$1)))</f>
        <v>21555.170815028538</v>
      </c>
      <c r="X528" s="5">
        <f t="shared" si="534"/>
        <v>22887.3776127694</v>
      </c>
      <c r="Y528" s="5">
        <f t="shared" si="534"/>
        <v>24219.584410510262</v>
      </c>
      <c r="Z528" s="5">
        <f t="shared" si="534"/>
        <v>25551.791208251125</v>
      </c>
      <c r="AA528" s="5">
        <f t="shared" si="534"/>
        <v>26883.998005991987</v>
      </c>
      <c r="AB528" s="5">
        <f t="shared" si="534"/>
        <v>28216.20480373285</v>
      </c>
      <c r="AC528" s="5">
        <f t="shared" si="534"/>
        <v>29548.411601473708</v>
      </c>
      <c r="AD528" s="5">
        <f t="shared" si="534"/>
        <v>30880.618399214574</v>
      </c>
      <c r="AE528" s="5">
        <f t="shared" si="534"/>
        <v>32212.825196955433</v>
      </c>
      <c r="AF528" s="5">
        <f t="shared" si="534"/>
        <v>33545.031994696292</v>
      </c>
      <c r="AG528" s="5">
        <f t="shared" si="534"/>
        <v>33545.031994696292</v>
      </c>
      <c r="AH528" s="5">
        <f t="shared" si="534"/>
        <v>33545.031994696292</v>
      </c>
    </row>
    <row r="529" spans="1:34" x14ac:dyDescent="0.35">
      <c r="A529" t="s">
        <v>549</v>
      </c>
      <c r="B529" s="3" t="s">
        <v>1265</v>
      </c>
      <c r="C529" s="4" t="s">
        <v>1263</v>
      </c>
      <c r="D529" s="2">
        <f t="shared" si="521"/>
        <v>152669.74295529601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12949.933828943998</v>
      </c>
      <c r="P529" s="5">
        <v>12499.472332704001</v>
      </c>
      <c r="Q529" s="5">
        <v>647.32985385599989</v>
      </c>
      <c r="R529" s="5">
        <v>18242.022221807998</v>
      </c>
      <c r="S529" s="5">
        <v>33767.928458879993</v>
      </c>
      <c r="T529" s="5">
        <v>13527.191894495998</v>
      </c>
      <c r="U529" s="5">
        <v>33537.692583024007</v>
      </c>
      <c r="V529" s="5">
        <v>27498.171781584006</v>
      </c>
      <c r="W529" s="5">
        <f t="shared" ref="W529:AH529" si="535">IF(OR((SLOPE($E529:$V529,$E$1:$V$1)*W$1+INTERCEPT($E529:$V529,$E$1:$V$1))&gt;(AVERAGE($E529:$V529)+_xlfn.STDEV.P($E529:$V529)),(SLOPE($E529:$V529,$E$1:$V$1)*W$1+INTERCEPT($E529:$V529,$E$1:$V$1))&lt;(AVERAGE($E529:$V529)-_xlfn.STDEV.P($E529:$V529))),V529,(SLOPE($E529:$V529,$E$1:$V$1)*W$1+INTERCEPT($E529:$V529,$E$1:$V$1)))</f>
        <v>27498.171781584006</v>
      </c>
      <c r="X529" s="5">
        <f t="shared" si="535"/>
        <v>27498.171781584006</v>
      </c>
      <c r="Y529" s="5">
        <f t="shared" si="535"/>
        <v>27498.171781584006</v>
      </c>
      <c r="Z529" s="5">
        <f t="shared" si="535"/>
        <v>27498.171781584006</v>
      </c>
      <c r="AA529" s="5">
        <f t="shared" si="535"/>
        <v>27498.171781584006</v>
      </c>
      <c r="AB529" s="5">
        <f t="shared" si="535"/>
        <v>27498.171781584006</v>
      </c>
      <c r="AC529" s="5">
        <f t="shared" si="535"/>
        <v>27498.171781584006</v>
      </c>
      <c r="AD529" s="5">
        <f t="shared" si="535"/>
        <v>27498.171781584006</v>
      </c>
      <c r="AE529" s="5">
        <f t="shared" si="535"/>
        <v>27498.171781584006</v>
      </c>
      <c r="AF529" s="5">
        <f t="shared" si="535"/>
        <v>27498.171781584006</v>
      </c>
      <c r="AG529" s="5">
        <f t="shared" si="535"/>
        <v>27498.171781584006</v>
      </c>
      <c r="AH529" s="5">
        <f t="shared" si="535"/>
        <v>27498.171781584006</v>
      </c>
    </row>
    <row r="530" spans="1:34" x14ac:dyDescent="0.35">
      <c r="A530" t="s">
        <v>550</v>
      </c>
      <c r="B530" s="3" t="s">
        <v>1265</v>
      </c>
      <c r="C530" s="4" t="s">
        <v>1263</v>
      </c>
      <c r="D530" s="2">
        <f t="shared" si="521"/>
        <v>153827.41704709269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117187.28617426426</v>
      </c>
      <c r="M530" s="5">
        <v>956.42968101839563</v>
      </c>
      <c r="N530" s="5">
        <v>1577.6159686901372</v>
      </c>
      <c r="O530" s="5">
        <v>19.720199608626714</v>
      </c>
      <c r="P530" s="5">
        <v>98.600998043133572</v>
      </c>
      <c r="Q530" s="5">
        <v>49.300499021566786</v>
      </c>
      <c r="R530" s="5">
        <v>394.40399217253429</v>
      </c>
      <c r="S530" s="5">
        <v>916.98928180114228</v>
      </c>
      <c r="T530" s="5">
        <v>493.00499021566787</v>
      </c>
      <c r="U530" s="5">
        <v>7158.432457931498</v>
      </c>
      <c r="V530" s="5">
        <v>24975.632804325731</v>
      </c>
      <c r="W530" s="5">
        <f t="shared" ref="W530:AH530" si="536">IF(OR((SLOPE($E530:$V530,$E$1:$V$1)*W$1+INTERCEPT($E530:$V530,$E$1:$V$1))&gt;(AVERAGE($E530:$V530)+_xlfn.STDEV.P($E530:$V530)),(SLOPE($E530:$V530,$E$1:$V$1)*W$1+INTERCEPT($E530:$V530,$E$1:$V$1))&lt;(AVERAGE($E530:$V530)-_xlfn.STDEV.P($E530:$V530))),V530,(SLOPE($E530:$V530,$E$1:$V$1)*W$1+INTERCEPT($E530:$V530,$E$1:$V$1)))</f>
        <v>10526.010989136688</v>
      </c>
      <c r="X530" s="5">
        <f t="shared" si="536"/>
        <v>10734.436607600828</v>
      </c>
      <c r="Y530" s="5">
        <f t="shared" si="536"/>
        <v>10942.862226064966</v>
      </c>
      <c r="Z530" s="5">
        <f t="shared" si="536"/>
        <v>11151.287844529106</v>
      </c>
      <c r="AA530" s="5">
        <f t="shared" si="536"/>
        <v>11359.713462993244</v>
      </c>
      <c r="AB530" s="5">
        <f t="shared" si="536"/>
        <v>11568.139081457382</v>
      </c>
      <c r="AC530" s="5">
        <f t="shared" si="536"/>
        <v>11776.564699921521</v>
      </c>
      <c r="AD530" s="5">
        <f t="shared" si="536"/>
        <v>11984.99031838566</v>
      </c>
      <c r="AE530" s="5">
        <f t="shared" si="536"/>
        <v>12193.4159368498</v>
      </c>
      <c r="AF530" s="5">
        <f t="shared" si="536"/>
        <v>12401.841555313938</v>
      </c>
      <c r="AG530" s="5">
        <f t="shared" si="536"/>
        <v>12610.267173778077</v>
      </c>
      <c r="AH530" s="5">
        <f t="shared" si="536"/>
        <v>12818.692792242215</v>
      </c>
    </row>
    <row r="531" spans="1:34" x14ac:dyDescent="0.35">
      <c r="A531" t="s">
        <v>551</v>
      </c>
      <c r="B531" s="3" t="s">
        <v>1266</v>
      </c>
      <c r="C531" s="4" t="s">
        <v>1263</v>
      </c>
      <c r="D531" s="2">
        <f t="shared" si="521"/>
        <v>156450.58119172024</v>
      </c>
      <c r="E531" s="5">
        <v>0</v>
      </c>
      <c r="F531" s="5">
        <v>0</v>
      </c>
      <c r="G531" s="5">
        <v>0</v>
      </c>
      <c r="H531" s="5">
        <v>0</v>
      </c>
      <c r="I531" s="5">
        <v>77948.525075290541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78502.056116429696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f t="shared" ref="W531:AH531" si="537">IF(OR((SLOPE($E531:$V531,$E$1:$V$1)*W$1+INTERCEPT($E531:$V531,$E$1:$V$1))&gt;(AVERAGE($E531:$V531)+_xlfn.STDEV.P($E531:$V531)),(SLOPE($E531:$V531,$E$1:$V$1)*W$1+INTERCEPT($E531:$V531,$E$1:$V$1))&lt;(AVERAGE($E531:$V531)-_xlfn.STDEV.P($E531:$V531))),V531,(SLOPE($E531:$V531,$E$1:$V$1)*W$1+INTERCEPT($E531:$V531,$E$1:$V$1)))</f>
        <v>5662.0279247478593</v>
      </c>
      <c r="X531" s="5">
        <f t="shared" si="537"/>
        <v>5343.1151847112587</v>
      </c>
      <c r="Y531" s="5">
        <f t="shared" si="537"/>
        <v>5024.2024446746573</v>
      </c>
      <c r="Z531" s="5">
        <f t="shared" si="537"/>
        <v>4705.2897046380567</v>
      </c>
      <c r="AA531" s="5">
        <f t="shared" si="537"/>
        <v>4386.3769646014553</v>
      </c>
      <c r="AB531" s="5">
        <f t="shared" si="537"/>
        <v>4067.4642245648538</v>
      </c>
      <c r="AC531" s="5">
        <f t="shared" si="537"/>
        <v>3748.5514845282532</v>
      </c>
      <c r="AD531" s="5">
        <f t="shared" si="537"/>
        <v>3429.6387444916527</v>
      </c>
      <c r="AE531" s="5">
        <f t="shared" si="537"/>
        <v>3110.7260044550512</v>
      </c>
      <c r="AF531" s="5">
        <f t="shared" si="537"/>
        <v>2791.8132644184498</v>
      </c>
      <c r="AG531" s="5">
        <f t="shared" si="537"/>
        <v>2472.9005243818483</v>
      </c>
      <c r="AH531" s="5">
        <f t="shared" si="537"/>
        <v>2153.9877843452487</v>
      </c>
    </row>
    <row r="532" spans="1:34" x14ac:dyDescent="0.35">
      <c r="A532" t="s">
        <v>552</v>
      </c>
      <c r="B532" s="3" t="s">
        <v>1266</v>
      </c>
      <c r="C532" s="4" t="s">
        <v>1263</v>
      </c>
      <c r="D532" s="2">
        <f t="shared" si="521"/>
        <v>155474.36777868439</v>
      </c>
      <c r="E532" s="5">
        <v>0</v>
      </c>
      <c r="F532" s="5">
        <v>0</v>
      </c>
      <c r="G532" s="5">
        <v>0</v>
      </c>
      <c r="H532" s="5">
        <v>155474.36777868439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f t="shared" ref="W532:AH532" si="538">IF(OR((SLOPE($E532:$V532,$E$1:$V$1)*W$1+INTERCEPT($E532:$V532,$E$1:$V$1))&gt;(AVERAGE($E532:$V532)+_xlfn.STDEV.P($E532:$V532)),(SLOPE($E532:$V532,$E$1:$V$1)*W$1+INTERCEPT($E532:$V532,$E$1:$V$1))&lt;(AVERAGE($E532:$V532)-_xlfn.STDEV.P($E532:$V532))),V532,(SLOPE($E532:$V532,$E$1:$V$1)*W$1+INTERCEPT($E532:$V532,$E$1:$V$1)))</f>
        <v>-8129.3787073821877</v>
      </c>
      <c r="X532" s="5">
        <f t="shared" si="538"/>
        <v>-9894.3096109585822</v>
      </c>
      <c r="Y532" s="5">
        <f t="shared" si="538"/>
        <v>-11659.240514534977</v>
      </c>
      <c r="Z532" s="5">
        <f t="shared" si="538"/>
        <v>-13424.171418111378</v>
      </c>
      <c r="AA532" s="5">
        <f t="shared" si="538"/>
        <v>-15189.102321687773</v>
      </c>
      <c r="AB532" s="5">
        <f t="shared" si="538"/>
        <v>-16954.033225264167</v>
      </c>
      <c r="AC532" s="5">
        <f t="shared" si="538"/>
        <v>-18718.964128840562</v>
      </c>
      <c r="AD532" s="5">
        <f t="shared" si="538"/>
        <v>-20483.895032416956</v>
      </c>
      <c r="AE532" s="5">
        <f t="shared" si="538"/>
        <v>-22248.825935993358</v>
      </c>
      <c r="AF532" s="5">
        <f t="shared" si="538"/>
        <v>-24013.756839569753</v>
      </c>
      <c r="AG532" s="5">
        <f t="shared" si="538"/>
        <v>-25778.687743146147</v>
      </c>
      <c r="AH532" s="5">
        <f t="shared" si="538"/>
        <v>-25778.687743146147</v>
      </c>
    </row>
    <row r="533" spans="1:34" x14ac:dyDescent="0.35">
      <c r="A533" t="s">
        <v>553</v>
      </c>
      <c r="B533" s="3" t="s">
        <v>1266</v>
      </c>
      <c r="C533" s="4" t="s">
        <v>1263</v>
      </c>
      <c r="D533" s="2">
        <f t="shared" si="521"/>
        <v>155364.69887028995</v>
      </c>
      <c r="E533" s="5">
        <v>0</v>
      </c>
      <c r="F533" s="5">
        <v>22889.571242999995</v>
      </c>
      <c r="G533" s="5">
        <v>0</v>
      </c>
      <c r="H533" s="5">
        <v>22882.635009289992</v>
      </c>
      <c r="I533" s="5">
        <v>0</v>
      </c>
      <c r="J533" s="5">
        <v>0</v>
      </c>
      <c r="K533" s="5">
        <v>0</v>
      </c>
      <c r="L533" s="5">
        <v>0</v>
      </c>
      <c r="M533" s="5">
        <v>14226.215339209997</v>
      </c>
      <c r="N533" s="5">
        <v>6936.2337099999977</v>
      </c>
      <c r="O533" s="5">
        <v>16036.572337519996</v>
      </c>
      <c r="P533" s="5">
        <v>0</v>
      </c>
      <c r="Q533" s="5">
        <v>0</v>
      </c>
      <c r="R533" s="5">
        <v>49281.940509549982</v>
      </c>
      <c r="S533" s="5">
        <v>0</v>
      </c>
      <c r="T533" s="5">
        <v>0</v>
      </c>
      <c r="U533" s="5">
        <v>0</v>
      </c>
      <c r="V533" s="5">
        <v>23111.530721719988</v>
      </c>
      <c r="W533" s="5">
        <f t="shared" ref="W533:AH533" si="539">IF(OR((SLOPE($E533:$V533,$E$1:$V$1)*W$1+INTERCEPT($E533:$V533,$E$1:$V$1))&gt;(AVERAGE($E533:$V533)+_xlfn.STDEV.P($E533:$V533)),(SLOPE($E533:$V533,$E$1:$V$1)*W$1+INTERCEPT($E533:$V533,$E$1:$V$1))&lt;(AVERAGE($E533:$V533)-_xlfn.STDEV.P($E533:$V533))),V533,(SLOPE($E533:$V533,$E$1:$V$1)*W$1+INTERCEPT($E533:$V533,$E$1:$V$1)))</f>
        <v>11398.045379963982</v>
      </c>
      <c r="X533" s="5">
        <f t="shared" si="539"/>
        <v>11689.274140016974</v>
      </c>
      <c r="Y533" s="5">
        <f t="shared" si="539"/>
        <v>11980.502900069967</v>
      </c>
      <c r="Z533" s="5">
        <f t="shared" si="539"/>
        <v>12271.73166012296</v>
      </c>
      <c r="AA533" s="5">
        <f t="shared" si="539"/>
        <v>12562.960420175952</v>
      </c>
      <c r="AB533" s="5">
        <f t="shared" si="539"/>
        <v>12854.189180228945</v>
      </c>
      <c r="AC533" s="5">
        <f t="shared" si="539"/>
        <v>13145.417940281937</v>
      </c>
      <c r="AD533" s="5">
        <f t="shared" si="539"/>
        <v>13436.64670033493</v>
      </c>
      <c r="AE533" s="5">
        <f t="shared" si="539"/>
        <v>13727.875460387922</v>
      </c>
      <c r="AF533" s="5">
        <f t="shared" si="539"/>
        <v>14019.104220440915</v>
      </c>
      <c r="AG533" s="5">
        <f t="shared" si="539"/>
        <v>14310.332980493908</v>
      </c>
      <c r="AH533" s="5">
        <f t="shared" si="539"/>
        <v>14601.5617405469</v>
      </c>
    </row>
    <row r="534" spans="1:34" x14ac:dyDescent="0.35">
      <c r="A534" t="s">
        <v>554</v>
      </c>
      <c r="B534" s="3" t="s">
        <v>1266</v>
      </c>
      <c r="C534" s="4" t="s">
        <v>1267</v>
      </c>
      <c r="D534" s="2">
        <f t="shared" si="521"/>
        <v>155237.27500361559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155237.27500361559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f t="shared" ref="W534:AH534" si="540">IF(OR((SLOPE($E534:$V534,$E$1:$V$1)*W$1+INTERCEPT($E534:$V534,$E$1:$V$1))&gt;(AVERAGE($E534:$V534)+_xlfn.STDEV.P($E534:$V534)),(SLOPE($E534:$V534,$E$1:$V$1)*W$1+INTERCEPT($E534:$V534,$E$1:$V$1))&lt;(AVERAGE($E534:$V534)-_xlfn.STDEV.P($E534:$V534))),V534,(SLOPE($E534:$V534,$E$1:$V$1)*W$1+INTERCEPT($E534:$V534,$E$1:$V$1)))</f>
        <v>13190.095261745113</v>
      </c>
      <c r="X534" s="5">
        <f t="shared" si="540"/>
        <v>13670.706020270238</v>
      </c>
      <c r="Y534" s="5">
        <f t="shared" si="540"/>
        <v>14151.316778795363</v>
      </c>
      <c r="Z534" s="5">
        <f t="shared" si="540"/>
        <v>14631.927537320489</v>
      </c>
      <c r="AA534" s="5">
        <f t="shared" si="540"/>
        <v>15112.538295845614</v>
      </c>
      <c r="AB534" s="5">
        <f t="shared" si="540"/>
        <v>15593.149054370739</v>
      </c>
      <c r="AC534" s="5">
        <f t="shared" si="540"/>
        <v>16073.759812895865</v>
      </c>
      <c r="AD534" s="5">
        <f t="shared" si="540"/>
        <v>16554.37057142099</v>
      </c>
      <c r="AE534" s="5">
        <f t="shared" si="540"/>
        <v>17034.981329946117</v>
      </c>
      <c r="AF534" s="5">
        <f t="shared" si="540"/>
        <v>17515.59208847124</v>
      </c>
      <c r="AG534" s="5">
        <f t="shared" si="540"/>
        <v>17996.202846996366</v>
      </c>
      <c r="AH534" s="5">
        <f t="shared" si="540"/>
        <v>18476.813605521493</v>
      </c>
    </row>
    <row r="535" spans="1:34" x14ac:dyDescent="0.35">
      <c r="A535" t="s">
        <v>555</v>
      </c>
      <c r="B535" s="3" t="s">
        <v>1264</v>
      </c>
      <c r="C535" s="4" t="s">
        <v>1263</v>
      </c>
      <c r="D535" s="2">
        <f t="shared" si="521"/>
        <v>154913.4412</v>
      </c>
      <c r="E535" s="5">
        <v>8782.7991999999995</v>
      </c>
      <c r="F535" s="5">
        <v>11704.531999999999</v>
      </c>
      <c r="G535" s="5">
        <v>11739.7336</v>
      </c>
      <c r="H535" s="5">
        <v>18824.0556</v>
      </c>
      <c r="I535" s="5">
        <v>10974.098800000003</v>
      </c>
      <c r="J535" s="5">
        <v>8307.5776000000023</v>
      </c>
      <c r="K535" s="5">
        <v>7506.7412000000004</v>
      </c>
      <c r="L535" s="5">
        <v>10912.496000000001</v>
      </c>
      <c r="M535" s="5">
        <v>12320.559999999996</v>
      </c>
      <c r="N535" s="5">
        <v>11220.51</v>
      </c>
      <c r="O535" s="5">
        <v>13227.001200000002</v>
      </c>
      <c r="P535" s="5">
        <v>16474.348800000003</v>
      </c>
      <c r="Q535" s="5">
        <v>12197.3544</v>
      </c>
      <c r="R535" s="5">
        <v>721.63279999999997</v>
      </c>
      <c r="S535" s="5">
        <v>0</v>
      </c>
      <c r="T535" s="5">
        <v>0</v>
      </c>
      <c r="U535" s="5">
        <v>0</v>
      </c>
      <c r="V535" s="5">
        <v>0</v>
      </c>
      <c r="W535" s="5">
        <f t="shared" ref="W535:AH535" si="541">IF(OR((SLOPE($E535:$V535,$E$1:$V$1)*W$1+INTERCEPT($E535:$V535,$E$1:$V$1))&gt;(AVERAGE($E535:$V535)+_xlfn.STDEV.P($E535:$V535)),(SLOPE($E535:$V535,$E$1:$V$1)*W$1+INTERCEPT($E535:$V535,$E$1:$V$1))&lt;(AVERAGE($E535:$V535)-_xlfn.STDEV.P($E535:$V535))),V535,(SLOPE($E535:$V535,$E$1:$V$1)*W$1+INTERCEPT($E535:$V535,$E$1:$V$1)))</f>
        <v>0</v>
      </c>
      <c r="X535" s="5">
        <f t="shared" si="541"/>
        <v>0</v>
      </c>
      <c r="Y535" s="5">
        <f t="shared" si="541"/>
        <v>0</v>
      </c>
      <c r="Z535" s="5">
        <f t="shared" si="541"/>
        <v>0</v>
      </c>
      <c r="AA535" s="5">
        <f t="shared" si="541"/>
        <v>0</v>
      </c>
      <c r="AB535" s="5">
        <f t="shared" si="541"/>
        <v>0</v>
      </c>
      <c r="AC535" s="5">
        <f t="shared" si="541"/>
        <v>0</v>
      </c>
      <c r="AD535" s="5">
        <f t="shared" si="541"/>
        <v>0</v>
      </c>
      <c r="AE535" s="5">
        <f t="shared" si="541"/>
        <v>0</v>
      </c>
      <c r="AF535" s="5">
        <f t="shared" si="541"/>
        <v>0</v>
      </c>
      <c r="AG535" s="5">
        <f t="shared" si="541"/>
        <v>0</v>
      </c>
      <c r="AH535" s="5">
        <f t="shared" si="541"/>
        <v>0</v>
      </c>
    </row>
    <row r="536" spans="1:34" x14ac:dyDescent="0.35">
      <c r="A536" t="s">
        <v>556</v>
      </c>
      <c r="B536" s="3" t="s">
        <v>1265</v>
      </c>
      <c r="C536" s="4" t="s">
        <v>1263</v>
      </c>
      <c r="D536" s="2">
        <f t="shared" si="521"/>
        <v>150754.96799999999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88160.8</v>
      </c>
      <c r="S536" s="5">
        <v>11020.1</v>
      </c>
      <c r="T536" s="5">
        <v>2644.8240000000001</v>
      </c>
      <c r="U536" s="5">
        <v>16750.552</v>
      </c>
      <c r="V536" s="5">
        <v>32178.692000000003</v>
      </c>
      <c r="W536" s="5">
        <f t="shared" ref="W536:AH536" si="542">IF(OR((SLOPE($E536:$V536,$E$1:$V$1)*W$1+INTERCEPT($E536:$V536,$E$1:$V$1))&gt;(AVERAGE($E536:$V536)+_xlfn.STDEV.P($E536:$V536)),(SLOPE($E536:$V536,$E$1:$V$1)*W$1+INTERCEPT($E536:$V536,$E$1:$V$1))&lt;(AVERAGE($E536:$V536)-_xlfn.STDEV.P($E536:$V536))),V536,(SLOPE($E536:$V536,$E$1:$V$1)*W$1+INTERCEPT($E536:$V536,$E$1:$V$1)))</f>
        <v>25506.129490196079</v>
      </c>
      <c r="X536" s="5">
        <f t="shared" si="542"/>
        <v>27309.377226006189</v>
      </c>
      <c r="Y536" s="5">
        <f t="shared" si="542"/>
        <v>29112.624961816306</v>
      </c>
      <c r="Z536" s="5">
        <f t="shared" si="542"/>
        <v>29112.624961816306</v>
      </c>
      <c r="AA536" s="5">
        <f t="shared" si="542"/>
        <v>29112.624961816306</v>
      </c>
      <c r="AB536" s="5">
        <f t="shared" si="542"/>
        <v>29112.624961816306</v>
      </c>
      <c r="AC536" s="5">
        <f t="shared" si="542"/>
        <v>29112.624961816306</v>
      </c>
      <c r="AD536" s="5">
        <f t="shared" si="542"/>
        <v>29112.624961816306</v>
      </c>
      <c r="AE536" s="5">
        <f t="shared" si="542"/>
        <v>29112.624961816306</v>
      </c>
      <c r="AF536" s="5">
        <f t="shared" si="542"/>
        <v>29112.624961816306</v>
      </c>
      <c r="AG536" s="5">
        <f t="shared" si="542"/>
        <v>29112.624961816306</v>
      </c>
      <c r="AH536" s="5">
        <f t="shared" si="542"/>
        <v>29112.624961816306</v>
      </c>
    </row>
    <row r="537" spans="1:34" x14ac:dyDescent="0.35">
      <c r="A537" t="s">
        <v>557</v>
      </c>
      <c r="B537" s="3" t="s">
        <v>1266</v>
      </c>
      <c r="C537" s="4" t="s">
        <v>1267</v>
      </c>
      <c r="D537" s="2">
        <f t="shared" si="521"/>
        <v>153431.97234845528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153431.97234845528</v>
      </c>
      <c r="S537" s="5">
        <v>0</v>
      </c>
      <c r="T537" s="5">
        <v>0</v>
      </c>
      <c r="U537" s="5">
        <v>0</v>
      </c>
      <c r="V537" s="5">
        <v>0</v>
      </c>
      <c r="W537" s="5">
        <f t="shared" ref="W537:AH537" si="543">IF(OR((SLOPE($E537:$V537,$E$1:$V$1)*W$1+INTERCEPT($E537:$V537,$E$1:$V$1))&gt;(AVERAGE($E537:$V537)+_xlfn.STDEV.P($E537:$V537)),(SLOPE($E537:$V537,$E$1:$V$1)*W$1+INTERCEPT($E537:$V537,$E$1:$V$1))&lt;(AVERAGE($E537:$V537)-_xlfn.STDEV.P($E537:$V537))),V537,(SLOPE($E537:$V537,$E$1:$V$1)*W$1+INTERCEPT($E537:$V537,$E$1:$V$1)))</f>
        <v>22062.113671019713</v>
      </c>
      <c r="X537" s="5">
        <f t="shared" si="543"/>
        <v>23487.178429674099</v>
      </c>
      <c r="Y537" s="5">
        <f t="shared" si="543"/>
        <v>24912.243188328481</v>
      </c>
      <c r="Z537" s="5">
        <f t="shared" si="543"/>
        <v>26337.307946982866</v>
      </c>
      <c r="AA537" s="5">
        <f t="shared" si="543"/>
        <v>27762.372705637252</v>
      </c>
      <c r="AB537" s="5">
        <f t="shared" si="543"/>
        <v>29187.43746429163</v>
      </c>
      <c r="AC537" s="5">
        <f t="shared" si="543"/>
        <v>30612.502222946016</v>
      </c>
      <c r="AD537" s="5">
        <f t="shared" si="543"/>
        <v>32037.566981600401</v>
      </c>
      <c r="AE537" s="5">
        <f t="shared" si="543"/>
        <v>33462.631740254779</v>
      </c>
      <c r="AF537" s="5">
        <f t="shared" si="543"/>
        <v>34887.696498909165</v>
      </c>
      <c r="AG537" s="5">
        <f t="shared" si="543"/>
        <v>36312.76125756355</v>
      </c>
      <c r="AH537" s="5">
        <f t="shared" si="543"/>
        <v>37737.826016217936</v>
      </c>
    </row>
    <row r="538" spans="1:34" x14ac:dyDescent="0.35">
      <c r="A538" t="s">
        <v>558</v>
      </c>
      <c r="B538" s="3" t="s">
        <v>1266</v>
      </c>
      <c r="C538" s="4" t="s">
        <v>1267</v>
      </c>
      <c r="D538" s="2">
        <f t="shared" si="521"/>
        <v>152333.94343790575</v>
      </c>
      <c r="E538" s="5">
        <v>0</v>
      </c>
      <c r="F538" s="5">
        <v>52745.185486758455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47820.762625850301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51767.995325296994</v>
      </c>
      <c r="V538" s="5">
        <v>0</v>
      </c>
      <c r="W538" s="5">
        <f t="shared" ref="W538:AH538" si="544">IF(OR((SLOPE($E538:$V538,$E$1:$V$1)*W$1+INTERCEPT($E538:$V538,$E$1:$V$1))&gt;(AVERAGE($E538:$V538)+_xlfn.STDEV.P($E538:$V538)),(SLOPE($E538:$V538,$E$1:$V$1)*W$1+INTERCEPT($E538:$V538,$E$1:$V$1))&lt;(AVERAGE($E538:$V538)-_xlfn.STDEV.P($E538:$V538))),V538,(SLOPE($E538:$V538,$E$1:$V$1)*W$1+INTERCEPT($E538:$V538,$E$1:$V$1)))</f>
        <v>7850.4614160166047</v>
      </c>
      <c r="X538" s="5">
        <f t="shared" si="544"/>
        <v>7785.9840011066226</v>
      </c>
      <c r="Y538" s="5">
        <f t="shared" si="544"/>
        <v>7721.5065861966414</v>
      </c>
      <c r="Z538" s="5">
        <f t="shared" si="544"/>
        <v>7657.0291712866601</v>
      </c>
      <c r="AA538" s="5">
        <f t="shared" si="544"/>
        <v>7592.5517563766789</v>
      </c>
      <c r="AB538" s="5">
        <f t="shared" si="544"/>
        <v>7528.0743414666968</v>
      </c>
      <c r="AC538" s="5">
        <f t="shared" si="544"/>
        <v>7463.5969265567146</v>
      </c>
      <c r="AD538" s="5">
        <f t="shared" si="544"/>
        <v>7399.1195116467334</v>
      </c>
      <c r="AE538" s="5">
        <f t="shared" si="544"/>
        <v>7334.6420967367521</v>
      </c>
      <c r="AF538" s="5">
        <f t="shared" si="544"/>
        <v>7270.1646818267709</v>
      </c>
      <c r="AG538" s="5">
        <f t="shared" si="544"/>
        <v>7205.6872669167888</v>
      </c>
      <c r="AH538" s="5">
        <f t="shared" si="544"/>
        <v>7141.2098520068075</v>
      </c>
    </row>
    <row r="539" spans="1:34" x14ac:dyDescent="0.35">
      <c r="A539" t="s">
        <v>559</v>
      </c>
      <c r="B539" s="3" t="s">
        <v>1266</v>
      </c>
      <c r="C539" s="4" t="s">
        <v>1263</v>
      </c>
      <c r="D539" s="2">
        <f t="shared" si="521"/>
        <v>151955.84039999999</v>
      </c>
      <c r="E539" s="5">
        <v>97054.339199999988</v>
      </c>
      <c r="F539" s="5">
        <v>54901.501200000006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f t="shared" ref="W539:AH539" si="545">IF(OR((SLOPE($E539:$V539,$E$1:$V$1)*W$1+INTERCEPT($E539:$V539,$E$1:$V$1))&gt;(AVERAGE($E539:$V539)+_xlfn.STDEV.P($E539:$V539)),(SLOPE($E539:$V539,$E$1:$V$1)*W$1+INTERCEPT($E539:$V539,$E$1:$V$1))&lt;(AVERAGE($E539:$V539)-_xlfn.STDEV.P($E539:$V539))),V539,(SLOPE($E539:$V539,$E$1:$V$1)*W$1+INTERCEPT($E539:$V539,$E$1:$V$1)))</f>
        <v>-15807.482243137252</v>
      </c>
      <c r="X539" s="5">
        <f t="shared" si="545"/>
        <v>-15807.482243137252</v>
      </c>
      <c r="Y539" s="5">
        <f t="shared" si="545"/>
        <v>-15807.482243137252</v>
      </c>
      <c r="Z539" s="5">
        <f t="shared" si="545"/>
        <v>-15807.482243137252</v>
      </c>
      <c r="AA539" s="5">
        <f t="shared" si="545"/>
        <v>-15807.482243137252</v>
      </c>
      <c r="AB539" s="5">
        <f t="shared" si="545"/>
        <v>-15807.482243137252</v>
      </c>
      <c r="AC539" s="5">
        <f t="shared" si="545"/>
        <v>-15807.482243137252</v>
      </c>
      <c r="AD539" s="5">
        <f t="shared" si="545"/>
        <v>-15807.482243137252</v>
      </c>
      <c r="AE539" s="5">
        <f t="shared" si="545"/>
        <v>-15807.482243137252</v>
      </c>
      <c r="AF539" s="5">
        <f t="shared" si="545"/>
        <v>-15807.482243137252</v>
      </c>
      <c r="AG539" s="5">
        <f t="shared" si="545"/>
        <v>-15807.482243137252</v>
      </c>
      <c r="AH539" s="5">
        <f t="shared" si="545"/>
        <v>-15807.482243137252</v>
      </c>
    </row>
    <row r="540" spans="1:34" x14ac:dyDescent="0.35">
      <c r="A540" t="s">
        <v>560</v>
      </c>
      <c r="B540" s="3" t="s">
        <v>1266</v>
      </c>
      <c r="C540" s="4" t="s">
        <v>1263</v>
      </c>
      <c r="D540" s="2">
        <f t="shared" si="521"/>
        <v>151695.6717108727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75732.827764677539</v>
      </c>
      <c r="Q540" s="5">
        <v>0</v>
      </c>
      <c r="R540" s="5">
        <v>0</v>
      </c>
      <c r="S540" s="5">
        <v>0</v>
      </c>
      <c r="T540" s="5">
        <v>0</v>
      </c>
      <c r="U540" s="5">
        <v>75962.843946195164</v>
      </c>
      <c r="V540" s="5">
        <v>0</v>
      </c>
      <c r="W540" s="5">
        <f t="shared" ref="W540:AH540" si="546">IF(OR((SLOPE($E540:$V540,$E$1:$V$1)*W$1+INTERCEPT($E540:$V540,$E$1:$V$1))&gt;(AVERAGE($E540:$V540)+_xlfn.STDEV.P($E540:$V540)),(SLOPE($E540:$V540,$E$1:$V$1)*W$1+INTERCEPT($E540:$V540,$E$1:$V$1))&lt;(AVERAGE($E540:$V540)-_xlfn.STDEV.P($E540:$V540))),V540,(SLOPE($E540:$V540,$E$1:$V$1)*W$1+INTERCEPT($E540:$V540,$E$1:$V$1)))</f>
        <v>23310.937297822813</v>
      </c>
      <c r="X540" s="5">
        <f t="shared" si="546"/>
        <v>24877.610979986195</v>
      </c>
      <c r="Y540" s="5">
        <f t="shared" si="546"/>
        <v>26444.28466214957</v>
      </c>
      <c r="Z540" s="5">
        <f t="shared" si="546"/>
        <v>28010.958344312952</v>
      </c>
      <c r="AA540" s="5">
        <f t="shared" si="546"/>
        <v>29577.632026476334</v>
      </c>
      <c r="AB540" s="5">
        <f t="shared" si="546"/>
        <v>31144.305708639709</v>
      </c>
      <c r="AC540" s="5">
        <f t="shared" si="546"/>
        <v>31144.305708639709</v>
      </c>
      <c r="AD540" s="5">
        <f t="shared" si="546"/>
        <v>31144.305708639709</v>
      </c>
      <c r="AE540" s="5">
        <f t="shared" si="546"/>
        <v>31144.305708639709</v>
      </c>
      <c r="AF540" s="5">
        <f t="shared" si="546"/>
        <v>31144.305708639709</v>
      </c>
      <c r="AG540" s="5">
        <f t="shared" si="546"/>
        <v>31144.305708639709</v>
      </c>
      <c r="AH540" s="5">
        <f t="shared" si="546"/>
        <v>31144.305708639709</v>
      </c>
    </row>
    <row r="541" spans="1:34" x14ac:dyDescent="0.35">
      <c r="A541" t="s">
        <v>561</v>
      </c>
      <c r="B541" s="3" t="s">
        <v>1265</v>
      </c>
      <c r="C541" s="4" t="s">
        <v>1263</v>
      </c>
      <c r="D541" s="2">
        <f t="shared" si="521"/>
        <v>149306.8279400171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44044.522556626362</v>
      </c>
      <c r="N541" s="5">
        <v>0</v>
      </c>
      <c r="O541" s="5">
        <v>7933.4854294544384</v>
      </c>
      <c r="P541" s="5">
        <v>2968.2178244682987</v>
      </c>
      <c r="Q541" s="5">
        <v>18575.298643446775</v>
      </c>
      <c r="R541" s="5">
        <v>14670.108832913595</v>
      </c>
      <c r="S541" s="5">
        <v>13131.28622806252</v>
      </c>
      <c r="T541" s="5">
        <v>13787.850539465646</v>
      </c>
      <c r="U541" s="5">
        <v>15470.296587436156</v>
      </c>
      <c r="V541" s="5">
        <v>18725.761298143327</v>
      </c>
      <c r="W541" s="5">
        <f t="shared" ref="W541:AH541" si="547">IF(OR((SLOPE($E541:$V541,$E$1:$V$1)*W$1+INTERCEPT($E541:$V541,$E$1:$V$1))&gt;(AVERAGE($E541:$V541)+_xlfn.STDEV.P($E541:$V541)),(SLOPE($E541:$V541,$E$1:$V$1)*W$1+INTERCEPT($E541:$V541,$E$1:$V$1))&lt;(AVERAGE($E541:$V541)-_xlfn.STDEV.P($E541:$V541))),V541,(SLOPE($E541:$V541,$E$1:$V$1)*W$1+INTERCEPT($E541:$V541,$E$1:$V$1)))</f>
        <v>19380.448178917432</v>
      </c>
      <c r="X541" s="5">
        <f t="shared" si="547"/>
        <v>19380.448178917432</v>
      </c>
      <c r="Y541" s="5">
        <f t="shared" si="547"/>
        <v>19380.448178917432</v>
      </c>
      <c r="Z541" s="5">
        <f t="shared" si="547"/>
        <v>19380.448178917432</v>
      </c>
      <c r="AA541" s="5">
        <f t="shared" si="547"/>
        <v>19380.448178917432</v>
      </c>
      <c r="AB541" s="5">
        <f t="shared" si="547"/>
        <v>19380.448178917432</v>
      </c>
      <c r="AC541" s="5">
        <f t="shared" si="547"/>
        <v>19380.448178917432</v>
      </c>
      <c r="AD541" s="5">
        <f t="shared" si="547"/>
        <v>19380.448178917432</v>
      </c>
      <c r="AE541" s="5">
        <f t="shared" si="547"/>
        <v>19380.448178917432</v>
      </c>
      <c r="AF541" s="5">
        <f t="shared" si="547"/>
        <v>19380.448178917432</v>
      </c>
      <c r="AG541" s="5">
        <f t="shared" si="547"/>
        <v>19380.448178917432</v>
      </c>
      <c r="AH541" s="5">
        <f t="shared" si="547"/>
        <v>19380.448178917432</v>
      </c>
    </row>
    <row r="542" spans="1:34" x14ac:dyDescent="0.35">
      <c r="A542" t="s">
        <v>562</v>
      </c>
      <c r="B542" s="3" t="s">
        <v>1265</v>
      </c>
      <c r="C542" s="4" t="s">
        <v>1263</v>
      </c>
      <c r="D542" s="2">
        <f t="shared" si="521"/>
        <v>148092.55104304536</v>
      </c>
      <c r="E542" s="5">
        <v>7072.8325133964117</v>
      </c>
      <c r="F542" s="5">
        <v>6827.0584106142969</v>
      </c>
      <c r="G542" s="5">
        <v>5079.3314574970373</v>
      </c>
      <c r="H542" s="5">
        <v>3304.2962707373194</v>
      </c>
      <c r="I542" s="5">
        <v>11141.759326122534</v>
      </c>
      <c r="J542" s="5">
        <v>7837.463055385213</v>
      </c>
      <c r="K542" s="5">
        <v>2703.5151306032617</v>
      </c>
      <c r="L542" s="5">
        <v>6007.8114013405821</v>
      </c>
      <c r="M542" s="5">
        <v>8055.9289245248701</v>
      </c>
      <c r="N542" s="5">
        <v>7291.2983825360707</v>
      </c>
      <c r="O542" s="5">
        <v>6144.3525695528688</v>
      </c>
      <c r="P542" s="5">
        <v>17313.420129317863</v>
      </c>
      <c r="Q542" s="5">
        <v>10158.662914994075</v>
      </c>
      <c r="R542" s="5">
        <v>9421.340606647731</v>
      </c>
      <c r="S542" s="5">
        <v>9011.7171020108763</v>
      </c>
      <c r="T542" s="5">
        <v>9967.5052794968742</v>
      </c>
      <c r="U542" s="5">
        <v>16111.857849049746</v>
      </c>
      <c r="V542" s="5">
        <v>4642.399719217723</v>
      </c>
      <c r="W542" s="5">
        <f t="shared" ref="W542:AH542" si="548">IF(OR((SLOPE($E542:$V542,$E$1:$V$1)*W$1+INTERCEPT($E542:$V542,$E$1:$V$1))&gt;(AVERAGE($E542:$V542)+_xlfn.STDEV.P($E542:$V542)),(SLOPE($E542:$V542,$E$1:$V$1)*W$1+INTERCEPT($E542:$V542,$E$1:$V$1))&lt;(AVERAGE($E542:$V542)-_xlfn.STDEV.P($E542:$V542))),V542,(SLOPE($E542:$V542,$E$1:$V$1)*W$1+INTERCEPT($E542:$V542,$E$1:$V$1)))</f>
        <v>11146.399940989881</v>
      </c>
      <c r="X542" s="5">
        <f t="shared" si="548"/>
        <v>11453.666887742937</v>
      </c>
      <c r="Y542" s="5">
        <f t="shared" si="548"/>
        <v>11760.933834495991</v>
      </c>
      <c r="Z542" s="5">
        <f t="shared" si="548"/>
        <v>11760.933834495991</v>
      </c>
      <c r="AA542" s="5">
        <f t="shared" si="548"/>
        <v>11760.933834495991</v>
      </c>
      <c r="AB542" s="5">
        <f t="shared" si="548"/>
        <v>11760.933834495991</v>
      </c>
      <c r="AC542" s="5">
        <f t="shared" si="548"/>
        <v>11760.933834495991</v>
      </c>
      <c r="AD542" s="5">
        <f t="shared" si="548"/>
        <v>11760.933834495991</v>
      </c>
      <c r="AE542" s="5">
        <f t="shared" si="548"/>
        <v>11760.933834495991</v>
      </c>
      <c r="AF542" s="5">
        <f t="shared" si="548"/>
        <v>11760.933834495991</v>
      </c>
      <c r="AG542" s="5">
        <f t="shared" si="548"/>
        <v>11760.933834495991</v>
      </c>
      <c r="AH542" s="5">
        <f t="shared" si="548"/>
        <v>11760.933834495991</v>
      </c>
    </row>
    <row r="543" spans="1:34" x14ac:dyDescent="0.35">
      <c r="A543" t="s">
        <v>563</v>
      </c>
      <c r="B543" s="3" t="s">
        <v>1266</v>
      </c>
      <c r="C543" s="4" t="s">
        <v>1267</v>
      </c>
      <c r="D543" s="2">
        <f t="shared" si="521"/>
        <v>151274.41262559145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75569.062248955015</v>
      </c>
      <c r="N543" s="5">
        <v>0</v>
      </c>
      <c r="O543" s="5">
        <v>0</v>
      </c>
      <c r="P543" s="5">
        <v>0</v>
      </c>
      <c r="Q543" s="5">
        <v>0</v>
      </c>
      <c r="R543" s="5">
        <v>75705.350376636445</v>
      </c>
      <c r="S543" s="5">
        <v>0</v>
      </c>
      <c r="T543" s="5">
        <v>0</v>
      </c>
      <c r="U543" s="5">
        <v>0</v>
      </c>
      <c r="V543" s="5">
        <v>0</v>
      </c>
      <c r="W543" s="5">
        <f t="shared" ref="W543:AH543" si="549">IF(OR((SLOPE($E543:$V543,$E$1:$V$1)*W$1+INTERCEPT($E543:$V543,$E$1:$V$1))&gt;(AVERAGE($E543:$V543)+_xlfn.STDEV.P($E543:$V543)),(SLOPE($E543:$V543,$E$1:$V$1)*W$1+INTERCEPT($E543:$V543,$E$1:$V$1))&lt;(AVERAGE($E543:$V543)-_xlfn.STDEV.P($E543:$V543))),V543,(SLOPE($E543:$V543,$E$1:$V$1)*W$1+INTERCEPT($E543:$V543,$E$1:$V$1)))</f>
        <v>14343.144732213637</v>
      </c>
      <c r="X543" s="5">
        <f t="shared" si="549"/>
        <v>14968.303752998749</v>
      </c>
      <c r="Y543" s="5">
        <f t="shared" si="549"/>
        <v>15593.46277378386</v>
      </c>
      <c r="Z543" s="5">
        <f t="shared" si="549"/>
        <v>16218.621794568971</v>
      </c>
      <c r="AA543" s="5">
        <f t="shared" si="549"/>
        <v>16843.780815354083</v>
      </c>
      <c r="AB543" s="5">
        <f t="shared" si="549"/>
        <v>17468.939836139194</v>
      </c>
      <c r="AC543" s="5">
        <f t="shared" si="549"/>
        <v>18094.098856924305</v>
      </c>
      <c r="AD543" s="5">
        <f t="shared" si="549"/>
        <v>18719.257877709417</v>
      </c>
      <c r="AE543" s="5">
        <f t="shared" si="549"/>
        <v>19344.416898494528</v>
      </c>
      <c r="AF543" s="5">
        <f t="shared" si="549"/>
        <v>19969.575919279639</v>
      </c>
      <c r="AG543" s="5">
        <f t="shared" si="549"/>
        <v>20594.734940064751</v>
      </c>
      <c r="AH543" s="5">
        <f t="shared" si="549"/>
        <v>21219.893960849862</v>
      </c>
    </row>
    <row r="544" spans="1:34" x14ac:dyDescent="0.35">
      <c r="A544" t="s">
        <v>564</v>
      </c>
      <c r="B544" s="3" t="s">
        <v>1266</v>
      </c>
      <c r="C544" s="4" t="s">
        <v>1267</v>
      </c>
      <c r="D544" s="2">
        <f t="shared" si="521"/>
        <v>150894.51489801685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75289.465156763705</v>
      </c>
      <c r="Q544" s="5">
        <v>0</v>
      </c>
      <c r="R544" s="5">
        <v>0</v>
      </c>
      <c r="S544" s="5">
        <v>0</v>
      </c>
      <c r="T544" s="5">
        <v>0</v>
      </c>
      <c r="U544" s="5">
        <v>75605.04974125314</v>
      </c>
      <c r="V544" s="5">
        <v>0</v>
      </c>
      <c r="W544" s="5">
        <f t="shared" ref="W544:AH544" si="550">IF(OR((SLOPE($E544:$V544,$E$1:$V$1)*W$1+INTERCEPT($E544:$V544,$E$1:$V$1))&gt;(AVERAGE($E544:$V544)+_xlfn.STDEV.P($E544:$V544)),(SLOPE($E544:$V544,$E$1:$V$1)*W$1+INTERCEPT($E544:$V544,$E$1:$V$1))&lt;(AVERAGE($E544:$V544)-_xlfn.STDEV.P($E544:$V544))),V544,(SLOPE($E544:$V544,$E$1:$V$1)*W$1+INTERCEPT($E544:$V544,$E$1:$V$1)))</f>
        <v>23192.078329980828</v>
      </c>
      <c r="X544" s="5">
        <f t="shared" si="550"/>
        <v>24750.925669405613</v>
      </c>
      <c r="Y544" s="5">
        <f t="shared" si="550"/>
        <v>26309.773008830398</v>
      </c>
      <c r="Z544" s="5">
        <f t="shared" si="550"/>
        <v>27868.620348255179</v>
      </c>
      <c r="AA544" s="5">
        <f t="shared" si="550"/>
        <v>29427.467687679964</v>
      </c>
      <c r="AB544" s="5">
        <f t="shared" si="550"/>
        <v>30986.315027104749</v>
      </c>
      <c r="AC544" s="5">
        <f t="shared" si="550"/>
        <v>30986.315027104749</v>
      </c>
      <c r="AD544" s="5">
        <f t="shared" si="550"/>
        <v>30986.315027104749</v>
      </c>
      <c r="AE544" s="5">
        <f t="shared" si="550"/>
        <v>30986.315027104749</v>
      </c>
      <c r="AF544" s="5">
        <f t="shared" si="550"/>
        <v>30986.315027104749</v>
      </c>
      <c r="AG544" s="5">
        <f t="shared" si="550"/>
        <v>30986.315027104749</v>
      </c>
      <c r="AH544" s="5">
        <f t="shared" si="550"/>
        <v>30986.315027104749</v>
      </c>
    </row>
    <row r="545" spans="1:34" x14ac:dyDescent="0.35">
      <c r="A545" t="s">
        <v>565</v>
      </c>
      <c r="B545" s="3" t="s">
        <v>1266</v>
      </c>
      <c r="C545" s="4" t="s">
        <v>1263</v>
      </c>
      <c r="D545" s="2">
        <f t="shared" si="521"/>
        <v>150529.19097030387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37571.75930449798</v>
      </c>
      <c r="Q545" s="5">
        <v>0</v>
      </c>
      <c r="R545" s="5">
        <v>0</v>
      </c>
      <c r="S545" s="5">
        <v>0</v>
      </c>
      <c r="T545" s="5">
        <v>75703.681505910354</v>
      </c>
      <c r="U545" s="5">
        <v>0</v>
      </c>
      <c r="V545" s="5">
        <v>37253.750159895535</v>
      </c>
      <c r="W545" s="5">
        <f t="shared" ref="W545:AH545" si="551">IF(OR((SLOPE($E545:$V545,$E$1:$V$1)*W$1+INTERCEPT($E545:$V545,$E$1:$V$1))&gt;(AVERAGE($E545:$V545)+_xlfn.STDEV.P($E545:$V545)),(SLOPE($E545:$V545,$E$1:$V$1)*W$1+INTERCEPT($E545:$V545,$E$1:$V$1))&lt;(AVERAGE($E545:$V545)-_xlfn.STDEV.P($E545:$V545))),V545,(SLOPE($E545:$V545,$E$1:$V$1)*W$1+INTERCEPT($E545:$V545,$E$1:$V$1)))</f>
        <v>26061.95252597324</v>
      </c>
      <c r="X545" s="5">
        <f t="shared" si="551"/>
        <v>27925.028283266896</v>
      </c>
      <c r="Y545" s="5">
        <f t="shared" si="551"/>
        <v>27925.028283266896</v>
      </c>
      <c r="Z545" s="5">
        <f t="shared" si="551"/>
        <v>27925.028283266896</v>
      </c>
      <c r="AA545" s="5">
        <f t="shared" si="551"/>
        <v>27925.028283266896</v>
      </c>
      <c r="AB545" s="5">
        <f t="shared" si="551"/>
        <v>27925.028283266896</v>
      </c>
      <c r="AC545" s="5">
        <f t="shared" si="551"/>
        <v>27925.028283266896</v>
      </c>
      <c r="AD545" s="5">
        <f t="shared" si="551"/>
        <v>27925.028283266896</v>
      </c>
      <c r="AE545" s="5">
        <f t="shared" si="551"/>
        <v>27925.028283266896</v>
      </c>
      <c r="AF545" s="5">
        <f t="shared" si="551"/>
        <v>27925.028283266896</v>
      </c>
      <c r="AG545" s="5">
        <f t="shared" si="551"/>
        <v>27925.028283266896</v>
      </c>
      <c r="AH545" s="5">
        <f t="shared" si="551"/>
        <v>27925.028283266896</v>
      </c>
    </row>
    <row r="546" spans="1:34" x14ac:dyDescent="0.35">
      <c r="A546" t="s">
        <v>566</v>
      </c>
      <c r="B546" s="3" t="s">
        <v>1266</v>
      </c>
      <c r="C546" s="4" t="s">
        <v>1267</v>
      </c>
      <c r="D546" s="2">
        <f t="shared" si="521"/>
        <v>150123.66703027394</v>
      </c>
      <c r="E546" s="5">
        <v>0</v>
      </c>
      <c r="F546" s="5">
        <v>51994.753219212093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46975.720464601654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51153.19334646019</v>
      </c>
      <c r="V546" s="5">
        <v>0</v>
      </c>
      <c r="W546" s="5">
        <f t="shared" ref="W546:AH546" si="552">IF(OR((SLOPE($E546:$V546,$E$1:$V$1)*W$1+INTERCEPT($E546:$V546,$E$1:$V$1))&gt;(AVERAGE($E546:$V546)+_xlfn.STDEV.P($E546:$V546)),(SLOPE($E546:$V546,$E$1:$V$1)*W$1+INTERCEPT($E546:$V546,$E$1:$V$1))&lt;(AVERAGE($E546:$V546)-_xlfn.STDEV.P($E546:$V546))),V546,(SLOPE($E546:$V546,$E$1:$V$1)*W$1+INTERCEPT($E546:$V546,$E$1:$V$1)))</f>
        <v>9598.083756281816</v>
      </c>
      <c r="X546" s="5">
        <f t="shared" si="552"/>
        <v>9730.492180742629</v>
      </c>
      <c r="Y546" s="5">
        <f t="shared" si="552"/>
        <v>9862.9006052034401</v>
      </c>
      <c r="Z546" s="5">
        <f t="shared" si="552"/>
        <v>9995.3090296642513</v>
      </c>
      <c r="AA546" s="5">
        <f t="shared" si="552"/>
        <v>10127.717454125064</v>
      </c>
      <c r="AB546" s="5">
        <f t="shared" si="552"/>
        <v>10260.125878585874</v>
      </c>
      <c r="AC546" s="5">
        <f t="shared" si="552"/>
        <v>10392.534303046687</v>
      </c>
      <c r="AD546" s="5">
        <f t="shared" si="552"/>
        <v>10524.942727507498</v>
      </c>
      <c r="AE546" s="5">
        <f t="shared" si="552"/>
        <v>10657.351151968309</v>
      </c>
      <c r="AF546" s="5">
        <f t="shared" si="552"/>
        <v>10789.759576429122</v>
      </c>
      <c r="AG546" s="5">
        <f t="shared" si="552"/>
        <v>10922.168000889933</v>
      </c>
      <c r="AH546" s="5">
        <f t="shared" si="552"/>
        <v>11054.576425350744</v>
      </c>
    </row>
    <row r="547" spans="1:34" x14ac:dyDescent="0.35">
      <c r="A547" t="s">
        <v>567</v>
      </c>
      <c r="B547" s="3" t="s">
        <v>1264</v>
      </c>
      <c r="C547" s="4" t="s">
        <v>1263</v>
      </c>
      <c r="D547" s="2">
        <f t="shared" si="521"/>
        <v>148547.20439999996</v>
      </c>
      <c r="E547" s="5">
        <v>17376.928800000002</v>
      </c>
      <c r="F547" s="5">
        <v>7661.0519999999988</v>
      </c>
      <c r="G547" s="5">
        <v>13391.993999999997</v>
      </c>
      <c r="H547" s="5">
        <v>4733.2235999999994</v>
      </c>
      <c r="I547" s="5">
        <v>6906.8243999999977</v>
      </c>
      <c r="J547" s="5">
        <v>4442.2223999999997</v>
      </c>
      <c r="K547" s="5">
        <v>4756.9787999999999</v>
      </c>
      <c r="L547" s="5">
        <v>4929.2040000000006</v>
      </c>
      <c r="M547" s="5">
        <v>7999.5635999999995</v>
      </c>
      <c r="N547" s="5">
        <v>8106.4619999999995</v>
      </c>
      <c r="O547" s="5">
        <v>17412.561599999997</v>
      </c>
      <c r="P547" s="5">
        <v>10535.431200000001</v>
      </c>
      <c r="Q547" s="5">
        <v>7334.4179999999997</v>
      </c>
      <c r="R547" s="5">
        <v>9080.4251999999979</v>
      </c>
      <c r="S547" s="5">
        <v>7720.4399999999987</v>
      </c>
      <c r="T547" s="5">
        <v>6960.2735999999977</v>
      </c>
      <c r="U547" s="5">
        <v>5344.9199999999983</v>
      </c>
      <c r="V547" s="5">
        <v>3854.281199999999</v>
      </c>
      <c r="W547" s="5">
        <f t="shared" ref="W547:AH547" si="553">IF(OR((SLOPE($E547:$V547,$E$1:$V$1)*W$1+INTERCEPT($E547:$V547,$E$1:$V$1))&gt;(AVERAGE($E547:$V547)+_xlfn.STDEV.P($E547:$V547)),(SLOPE($E547:$V547,$E$1:$V$1)*W$1+INTERCEPT($E547:$V547,$E$1:$V$1))&lt;(AVERAGE($E547:$V547)-_xlfn.STDEV.P($E547:$V547))),V547,(SLOPE($E547:$V547,$E$1:$V$1)*W$1+INTERCEPT($E547:$V547,$E$1:$V$1)))</f>
        <v>6202.397325490193</v>
      </c>
      <c r="X547" s="5">
        <f t="shared" si="553"/>
        <v>5986.5841527347748</v>
      </c>
      <c r="Y547" s="5">
        <f t="shared" si="553"/>
        <v>5770.7709799793565</v>
      </c>
      <c r="Z547" s="5">
        <f t="shared" si="553"/>
        <v>5554.9578072239383</v>
      </c>
      <c r="AA547" s="5">
        <f t="shared" si="553"/>
        <v>5339.1446344685201</v>
      </c>
      <c r="AB547" s="5">
        <f t="shared" si="553"/>
        <v>5123.3314617131018</v>
      </c>
      <c r="AC547" s="5">
        <f t="shared" si="553"/>
        <v>4907.5182889576845</v>
      </c>
      <c r="AD547" s="5">
        <f t="shared" si="553"/>
        <v>4691.7051162022663</v>
      </c>
      <c r="AE547" s="5">
        <f t="shared" si="553"/>
        <v>4475.891943446848</v>
      </c>
      <c r="AF547" s="5">
        <f t="shared" si="553"/>
        <v>4475.891943446848</v>
      </c>
      <c r="AG547" s="5">
        <f t="shared" si="553"/>
        <v>4475.891943446848</v>
      </c>
      <c r="AH547" s="5">
        <f t="shared" si="553"/>
        <v>4475.891943446848</v>
      </c>
    </row>
    <row r="548" spans="1:34" x14ac:dyDescent="0.35">
      <c r="A548" t="s">
        <v>568</v>
      </c>
      <c r="B548" s="3" t="s">
        <v>1264</v>
      </c>
      <c r="C548" s="4" t="s">
        <v>1263</v>
      </c>
      <c r="D548" s="2">
        <f t="shared" si="521"/>
        <v>148981.01120000001</v>
      </c>
      <c r="E548" s="5">
        <v>42892.953599999993</v>
      </c>
      <c r="F548" s="5">
        <v>3085.8239999999996</v>
      </c>
      <c r="G548" s="5">
        <v>4011.5711999999994</v>
      </c>
      <c r="H548" s="5">
        <v>2995.8207999999995</v>
      </c>
      <c r="I548" s="5">
        <v>16046.284799999999</v>
      </c>
      <c r="J548" s="5">
        <v>4011.5711999999994</v>
      </c>
      <c r="K548" s="5">
        <v>0</v>
      </c>
      <c r="L548" s="5">
        <v>4011.5711999999994</v>
      </c>
      <c r="M548" s="5">
        <v>4011.5711999999994</v>
      </c>
      <c r="N548" s="5">
        <v>0</v>
      </c>
      <c r="O548" s="5">
        <v>8023.1423999999988</v>
      </c>
      <c r="P548" s="5">
        <v>4011.5711999999994</v>
      </c>
      <c r="Q548" s="5">
        <v>7740.2751999999991</v>
      </c>
      <c r="R548" s="5">
        <v>8023.1423999999997</v>
      </c>
      <c r="S548" s="5">
        <v>4011.5711999999994</v>
      </c>
      <c r="T548" s="5">
        <v>12034.713599999999</v>
      </c>
      <c r="U548" s="5">
        <v>8023.1423999999997</v>
      </c>
      <c r="V548" s="5">
        <v>16046.284799999999</v>
      </c>
      <c r="W548" s="5">
        <f t="shared" ref="W548:AH548" si="554">IF(OR((SLOPE($E548:$V548,$E$1:$V$1)*W$1+INTERCEPT($E548:$V548,$E$1:$V$1))&gt;(AVERAGE($E548:$V548)+_xlfn.STDEV.P($E548:$V548)),(SLOPE($E548:$V548,$E$1:$V$1)*W$1+INTERCEPT($E548:$V548,$E$1:$V$1))&lt;(AVERAGE($E548:$V548)-_xlfn.STDEV.P($E548:$V548))),V548,(SLOPE($E548:$V548,$E$1:$V$1)*W$1+INTERCEPT($E548:$V548,$E$1:$V$1)))</f>
        <v>5483.7243816993478</v>
      </c>
      <c r="X548" s="5">
        <f t="shared" si="554"/>
        <v>5189.7245435156528</v>
      </c>
      <c r="Y548" s="5">
        <f t="shared" si="554"/>
        <v>4895.7247053319588</v>
      </c>
      <c r="Z548" s="5">
        <f t="shared" si="554"/>
        <v>4601.7248671482648</v>
      </c>
      <c r="AA548" s="5">
        <f t="shared" si="554"/>
        <v>4307.7250289645699</v>
      </c>
      <c r="AB548" s="5">
        <f t="shared" si="554"/>
        <v>4013.7251907808759</v>
      </c>
      <c r="AC548" s="5">
        <f t="shared" si="554"/>
        <v>3719.7253525971819</v>
      </c>
      <c r="AD548" s="5">
        <f t="shared" si="554"/>
        <v>3425.725514413487</v>
      </c>
      <c r="AE548" s="5">
        <f t="shared" si="554"/>
        <v>3131.725676229793</v>
      </c>
      <c r="AF548" s="5">
        <f t="shared" si="554"/>
        <v>2837.7258380460989</v>
      </c>
      <c r="AG548" s="5">
        <f t="shared" si="554"/>
        <v>2543.7259998624049</v>
      </c>
      <c r="AH548" s="5">
        <f t="shared" si="554"/>
        <v>2249.7261616787091</v>
      </c>
    </row>
    <row r="549" spans="1:34" x14ac:dyDescent="0.35">
      <c r="A549" t="s">
        <v>569</v>
      </c>
      <c r="B549" s="3" t="s">
        <v>1265</v>
      </c>
      <c r="C549" s="4" t="s">
        <v>1263</v>
      </c>
      <c r="D549" s="2">
        <f t="shared" si="521"/>
        <v>147353.535</v>
      </c>
      <c r="E549" s="5">
        <v>16343.46</v>
      </c>
      <c r="F549" s="5">
        <v>2833.866</v>
      </c>
      <c r="G549" s="5">
        <v>27176.625</v>
      </c>
      <c r="H549" s="5">
        <v>2264.0940000000001</v>
      </c>
      <c r="I549" s="5">
        <v>3216.2130000000002</v>
      </c>
      <c r="J549" s="5">
        <v>2181.6270000000004</v>
      </c>
      <c r="K549" s="5">
        <v>5112.9539999999988</v>
      </c>
      <c r="L549" s="5">
        <v>3246.201</v>
      </c>
      <c r="M549" s="5">
        <v>7114.6530000000002</v>
      </c>
      <c r="N549" s="5">
        <v>6072.5700000000006</v>
      </c>
      <c r="O549" s="5">
        <v>13157.234999999999</v>
      </c>
      <c r="P549" s="5">
        <v>6417.4319999999998</v>
      </c>
      <c r="Q549" s="5">
        <v>6297.4799999999987</v>
      </c>
      <c r="R549" s="5">
        <v>6934.7250000000013</v>
      </c>
      <c r="S549" s="5">
        <v>10045.979999999998</v>
      </c>
      <c r="T549" s="5">
        <v>7646.94</v>
      </c>
      <c r="U549" s="5">
        <v>12332.565000000001</v>
      </c>
      <c r="V549" s="5">
        <v>8958.9150000000009</v>
      </c>
      <c r="W549" s="5">
        <f t="shared" ref="W549:AH549" si="555">IF(OR((SLOPE($E549:$V549,$E$1:$V$1)*W$1+INTERCEPT($E549:$V549,$E$1:$V$1))&gt;(AVERAGE($E549:$V549)+_xlfn.STDEV.P($E549:$V549)),(SLOPE($E549:$V549,$E$1:$V$1)*W$1+INTERCEPT($E549:$V549,$E$1:$V$1))&lt;(AVERAGE($E549:$V549)-_xlfn.STDEV.P($E549:$V549))),V549,(SLOPE($E549:$V549,$E$1:$V$1)*W$1+INTERCEPT($E549:$V549,$E$1:$V$1)))</f>
        <v>7658.3569999999991</v>
      </c>
      <c r="X549" s="5">
        <f t="shared" si="555"/>
        <v>7602.783263157894</v>
      </c>
      <c r="Y549" s="5">
        <f t="shared" si="555"/>
        <v>7547.2095263157889</v>
      </c>
      <c r="Z549" s="5">
        <f t="shared" si="555"/>
        <v>7491.635789473683</v>
      </c>
      <c r="AA549" s="5">
        <f t="shared" si="555"/>
        <v>7436.0620526315779</v>
      </c>
      <c r="AB549" s="5">
        <f t="shared" si="555"/>
        <v>7380.4883157894728</v>
      </c>
      <c r="AC549" s="5">
        <f t="shared" si="555"/>
        <v>7324.9145789473678</v>
      </c>
      <c r="AD549" s="5">
        <f t="shared" si="555"/>
        <v>7269.3408421052627</v>
      </c>
      <c r="AE549" s="5">
        <f t="shared" si="555"/>
        <v>7213.7671052631567</v>
      </c>
      <c r="AF549" s="5">
        <f t="shared" si="555"/>
        <v>7158.1933684210517</v>
      </c>
      <c r="AG549" s="5">
        <f t="shared" si="555"/>
        <v>7102.6196315789466</v>
      </c>
      <c r="AH549" s="5">
        <f t="shared" si="555"/>
        <v>7047.0458947368406</v>
      </c>
    </row>
    <row r="550" spans="1:34" x14ac:dyDescent="0.35">
      <c r="A550" t="s">
        <v>570</v>
      </c>
      <c r="B550" s="3" t="s">
        <v>1266</v>
      </c>
      <c r="C550" s="4" t="s">
        <v>1267</v>
      </c>
      <c r="D550" s="2">
        <f t="shared" si="521"/>
        <v>148825.20334253364</v>
      </c>
      <c r="E550" s="5">
        <v>0</v>
      </c>
      <c r="F550" s="5">
        <v>0</v>
      </c>
      <c r="G550" s="5">
        <v>0</v>
      </c>
      <c r="H550" s="5">
        <v>0</v>
      </c>
      <c r="I550" s="5">
        <v>49309.555324333436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99515.648018200212</v>
      </c>
      <c r="T550" s="5">
        <v>0</v>
      </c>
      <c r="U550" s="5">
        <v>0</v>
      </c>
      <c r="V550" s="5">
        <v>0</v>
      </c>
      <c r="W550" s="5">
        <f t="shared" ref="W550:AH550" si="556">IF(OR((SLOPE($E550:$V550,$E$1:$V$1)*W$1+INTERCEPT($E550:$V550,$E$1:$V$1))&gt;(AVERAGE($E550:$V550)+_xlfn.STDEV.P($E550:$V550)),(SLOPE($E550:$V550,$E$1:$V$1)*W$1+INTERCEPT($E550:$V550,$E$1:$V$1))&lt;(AVERAGE($E550:$V550)-_xlfn.STDEV.P($E550:$V550))),V550,(SLOPE($E550:$V550,$E$1:$V$1)*W$1+INTERCEPT($E550:$V550,$E$1:$V$1)))</f>
        <v>14649.303423747308</v>
      </c>
      <c r="X550" s="5">
        <f t="shared" si="556"/>
        <v>15321.012536524606</v>
      </c>
      <c r="Y550" s="5">
        <f t="shared" si="556"/>
        <v>15992.721649301904</v>
      </c>
      <c r="Z550" s="5">
        <f t="shared" si="556"/>
        <v>16664.430762079202</v>
      </c>
      <c r="AA550" s="5">
        <f t="shared" si="556"/>
        <v>17336.139874856501</v>
      </c>
      <c r="AB550" s="5">
        <f t="shared" si="556"/>
        <v>18007.848987633799</v>
      </c>
      <c r="AC550" s="5">
        <f t="shared" si="556"/>
        <v>18679.558100411097</v>
      </c>
      <c r="AD550" s="5">
        <f t="shared" si="556"/>
        <v>19351.267213188396</v>
      </c>
      <c r="AE550" s="5">
        <f t="shared" si="556"/>
        <v>20022.976325965694</v>
      </c>
      <c r="AF550" s="5">
        <f t="shared" si="556"/>
        <v>20694.685438742988</v>
      </c>
      <c r="AG550" s="5">
        <f t="shared" si="556"/>
        <v>21366.394551520287</v>
      </c>
      <c r="AH550" s="5">
        <f t="shared" si="556"/>
        <v>22038.103664297585</v>
      </c>
    </row>
    <row r="551" spans="1:34" x14ac:dyDescent="0.35">
      <c r="A551" t="s">
        <v>571</v>
      </c>
      <c r="B551" s="3" t="s">
        <v>1265</v>
      </c>
      <c r="C551" s="4" t="s">
        <v>1263</v>
      </c>
      <c r="D551" s="2">
        <f t="shared" si="521"/>
        <v>147846.71999999997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48074.879999999997</v>
      </c>
      <c r="N551" s="5">
        <v>20678.784</v>
      </c>
      <c r="O551" s="5">
        <v>263.42399999999998</v>
      </c>
      <c r="P551" s="5">
        <v>16200.576000000001</v>
      </c>
      <c r="Q551" s="5">
        <v>184.39680000000001</v>
      </c>
      <c r="R551" s="5">
        <v>15015.168</v>
      </c>
      <c r="S551" s="5">
        <v>22193.471999999998</v>
      </c>
      <c r="T551" s="5">
        <v>263.42399999999998</v>
      </c>
      <c r="U551" s="5">
        <v>11063.807999999999</v>
      </c>
      <c r="V551" s="5">
        <v>13908.787199999999</v>
      </c>
      <c r="W551" s="5">
        <f t="shared" ref="W551:AH551" si="557">IF(OR((SLOPE($E551:$V551,$E$1:$V$1)*W$1+INTERCEPT($E551:$V551,$E$1:$V$1))&gt;(AVERAGE($E551:$V551)+_xlfn.STDEV.P($E551:$V551)),(SLOPE($E551:$V551,$E$1:$V$1)*W$1+INTERCEPT($E551:$V551,$E$1:$V$1))&lt;(AVERAGE($E551:$V551)-_xlfn.STDEV.P($E551:$V551))),V551,(SLOPE($E551:$V551,$E$1:$V$1)*W$1+INTERCEPT($E551:$V551,$E$1:$V$1)))</f>
        <v>16456.682666666668</v>
      </c>
      <c r="X551" s="5">
        <f t="shared" si="557"/>
        <v>17324.364350877193</v>
      </c>
      <c r="Y551" s="5">
        <f t="shared" si="557"/>
        <v>18192.046035087718</v>
      </c>
      <c r="Z551" s="5">
        <f t="shared" si="557"/>
        <v>19059.727719298244</v>
      </c>
      <c r="AA551" s="5">
        <f t="shared" si="557"/>
        <v>19927.409403508769</v>
      </c>
      <c r="AB551" s="5">
        <f t="shared" si="557"/>
        <v>19927.409403508769</v>
      </c>
      <c r="AC551" s="5">
        <f t="shared" si="557"/>
        <v>19927.409403508769</v>
      </c>
      <c r="AD551" s="5">
        <f t="shared" si="557"/>
        <v>19927.409403508769</v>
      </c>
      <c r="AE551" s="5">
        <f t="shared" si="557"/>
        <v>19927.409403508769</v>
      </c>
      <c r="AF551" s="5">
        <f t="shared" si="557"/>
        <v>19927.409403508769</v>
      </c>
      <c r="AG551" s="5">
        <f t="shared" si="557"/>
        <v>19927.409403508769</v>
      </c>
      <c r="AH551" s="5">
        <f t="shared" si="557"/>
        <v>19927.409403508769</v>
      </c>
    </row>
    <row r="552" spans="1:34" x14ac:dyDescent="0.35">
      <c r="A552" t="s">
        <v>572</v>
      </c>
      <c r="B552" s="3" t="s">
        <v>1264</v>
      </c>
      <c r="C552" s="4" t="s">
        <v>1263</v>
      </c>
      <c r="D552" s="2">
        <f t="shared" si="521"/>
        <v>145925.42727811952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10317.228175208151</v>
      </c>
      <c r="K552" s="5">
        <v>12959.886620086028</v>
      </c>
      <c r="L552" s="5">
        <v>19005.420322751856</v>
      </c>
      <c r="M552" s="5">
        <v>0</v>
      </c>
      <c r="N552" s="5">
        <v>0</v>
      </c>
      <c r="O552" s="5">
        <v>0</v>
      </c>
      <c r="P552" s="5">
        <v>39024.463062717143</v>
      </c>
      <c r="Q552" s="5">
        <v>18462.408313530377</v>
      </c>
      <c r="R552" s="5">
        <v>9231.2041567651886</v>
      </c>
      <c r="S552" s="5">
        <v>3258.0720553288888</v>
      </c>
      <c r="T552" s="5">
        <v>7059.1561198792606</v>
      </c>
      <c r="U552" s="5">
        <v>23892.52840574519</v>
      </c>
      <c r="V552" s="5">
        <v>2715.0600461074082</v>
      </c>
      <c r="W552" s="5">
        <f t="shared" ref="W552:AH552" si="558">IF(OR((SLOPE($E552:$V552,$E$1:$V$1)*W$1+INTERCEPT($E552:$V552,$E$1:$V$1))&gt;(AVERAGE($E552:$V552)+_xlfn.STDEV.P($E552:$V552)),(SLOPE($E552:$V552,$E$1:$V$1)*W$1+INTERCEPT($E552:$V552,$E$1:$V$1))&lt;(AVERAGE($E552:$V552)-_xlfn.STDEV.P($E552:$V552))),V552,(SLOPE($E552:$V552,$E$1:$V$1)*W$1+INTERCEPT($E552:$V552,$E$1:$V$1)))</f>
        <v>15416.335718010832</v>
      </c>
      <c r="X552" s="5">
        <f t="shared" si="558"/>
        <v>16185.74282705221</v>
      </c>
      <c r="Y552" s="5">
        <f t="shared" si="558"/>
        <v>16955.149936093585</v>
      </c>
      <c r="Z552" s="5">
        <f t="shared" si="558"/>
        <v>17724.557045134963</v>
      </c>
      <c r="AA552" s="5">
        <f t="shared" si="558"/>
        <v>18493.964154176341</v>
      </c>
      <c r="AB552" s="5">
        <f t="shared" si="558"/>
        <v>18493.964154176341</v>
      </c>
      <c r="AC552" s="5">
        <f t="shared" si="558"/>
        <v>18493.964154176341</v>
      </c>
      <c r="AD552" s="5">
        <f t="shared" si="558"/>
        <v>18493.964154176341</v>
      </c>
      <c r="AE552" s="5">
        <f t="shared" si="558"/>
        <v>18493.964154176341</v>
      </c>
      <c r="AF552" s="5">
        <f t="shared" si="558"/>
        <v>18493.964154176341</v>
      </c>
      <c r="AG552" s="5">
        <f t="shared" si="558"/>
        <v>18493.964154176341</v>
      </c>
      <c r="AH552" s="5">
        <f t="shared" si="558"/>
        <v>18493.964154176341</v>
      </c>
    </row>
    <row r="553" spans="1:34" x14ac:dyDescent="0.35">
      <c r="A553" t="s">
        <v>573</v>
      </c>
      <c r="B553" s="3" t="s">
        <v>1265</v>
      </c>
      <c r="C553" s="4" t="s">
        <v>1263</v>
      </c>
      <c r="D553" s="2">
        <f t="shared" si="521"/>
        <v>140787.66239999997</v>
      </c>
      <c r="E553" s="5">
        <v>0</v>
      </c>
      <c r="F553" s="5">
        <v>981.8424</v>
      </c>
      <c r="G553" s="5">
        <v>1366.0415999999998</v>
      </c>
      <c r="H553" s="5">
        <v>12849.328799999999</v>
      </c>
      <c r="I553" s="5">
        <v>640.33200000000011</v>
      </c>
      <c r="J553" s="5">
        <v>1878.3072</v>
      </c>
      <c r="K553" s="5">
        <v>3201.6600000000003</v>
      </c>
      <c r="L553" s="5">
        <v>5762.9879999999994</v>
      </c>
      <c r="M553" s="5">
        <v>11910.175200000001</v>
      </c>
      <c r="N553" s="5">
        <v>6189.8760000000002</v>
      </c>
      <c r="O553" s="5">
        <v>3372.4152000000004</v>
      </c>
      <c r="P553" s="5">
        <v>11355.220799999999</v>
      </c>
      <c r="Q553" s="5">
        <v>8238.9383999999991</v>
      </c>
      <c r="R553" s="5">
        <v>10800.2664</v>
      </c>
      <c r="S553" s="5">
        <v>12763.951199999998</v>
      </c>
      <c r="T553" s="5">
        <v>11227.154399999999</v>
      </c>
      <c r="U553" s="5">
        <v>3543.1703999999991</v>
      </c>
      <c r="V553" s="5">
        <v>34705.994399999996</v>
      </c>
      <c r="W553" s="5">
        <f t="shared" ref="W553:AH553" si="559">IF(OR((SLOPE($E553:$V553,$E$1:$V$1)*W$1+INTERCEPT($E553:$V553,$E$1:$V$1))&gt;(AVERAGE($E553:$V553)+_xlfn.STDEV.P($E553:$V553)),(SLOPE($E553:$V553,$E$1:$V$1)*W$1+INTERCEPT($E553:$V553,$E$1:$V$1))&lt;(AVERAGE($E553:$V553)-_xlfn.STDEV.P($E553:$V553))),V553,(SLOPE($E553:$V553,$E$1:$V$1)*W$1+INTERCEPT($E553:$V553,$E$1:$V$1)))</f>
        <v>34705.994399999996</v>
      </c>
      <c r="X553" s="5">
        <f t="shared" si="559"/>
        <v>34705.994399999996</v>
      </c>
      <c r="Y553" s="5">
        <f t="shared" si="559"/>
        <v>34705.994399999996</v>
      </c>
      <c r="Z553" s="5">
        <f t="shared" si="559"/>
        <v>34705.994399999996</v>
      </c>
      <c r="AA553" s="5">
        <f t="shared" si="559"/>
        <v>34705.994399999996</v>
      </c>
      <c r="AB553" s="5">
        <f t="shared" si="559"/>
        <v>34705.994399999996</v>
      </c>
      <c r="AC553" s="5">
        <f t="shared" si="559"/>
        <v>34705.994399999996</v>
      </c>
      <c r="AD553" s="5">
        <f t="shared" si="559"/>
        <v>34705.994399999996</v>
      </c>
      <c r="AE553" s="5">
        <f t="shared" si="559"/>
        <v>34705.994399999996</v>
      </c>
      <c r="AF553" s="5">
        <f t="shared" si="559"/>
        <v>34705.994399999996</v>
      </c>
      <c r="AG553" s="5">
        <f t="shared" si="559"/>
        <v>34705.994399999996</v>
      </c>
      <c r="AH553" s="5">
        <f t="shared" si="559"/>
        <v>34705.994399999996</v>
      </c>
    </row>
    <row r="554" spans="1:34" x14ac:dyDescent="0.35">
      <c r="A554" t="s">
        <v>574</v>
      </c>
      <c r="B554" s="3" t="s">
        <v>1265</v>
      </c>
      <c r="C554" s="4" t="s">
        <v>1263</v>
      </c>
      <c r="D554" s="2">
        <f t="shared" si="521"/>
        <v>142119.23047392385</v>
      </c>
      <c r="E554" s="5">
        <v>7462.1855645130954</v>
      </c>
      <c r="F554" s="5">
        <v>8083.1265530930159</v>
      </c>
      <c r="G554" s="5">
        <v>9194.2841116044583</v>
      </c>
      <c r="H554" s="5">
        <v>10795.658240047411</v>
      </c>
      <c r="I554" s="5">
        <v>8235.6383748494882</v>
      </c>
      <c r="J554" s="5">
        <v>7200.7367272162865</v>
      </c>
      <c r="K554" s="5">
        <v>0</v>
      </c>
      <c r="L554" s="5">
        <v>9423.0518442391622</v>
      </c>
      <c r="M554" s="5">
        <v>12876.35523686785</v>
      </c>
      <c r="N554" s="5">
        <v>8159.3824639712529</v>
      </c>
      <c r="O554" s="5">
        <v>8769.4297509971402</v>
      </c>
      <c r="P554" s="5">
        <v>12800.099325989613</v>
      </c>
      <c r="Q554" s="5">
        <v>6808.5634712710726</v>
      </c>
      <c r="R554" s="5">
        <v>4847.6971915450031</v>
      </c>
      <c r="S554" s="5">
        <v>6645.1579479605662</v>
      </c>
      <c r="T554" s="5">
        <v>6873.9256805952737</v>
      </c>
      <c r="U554" s="5">
        <v>9423.051844239164</v>
      </c>
      <c r="V554" s="5">
        <v>4520.8861449239912</v>
      </c>
      <c r="W554" s="5">
        <f t="shared" ref="W554:AH554" si="560">IF(OR((SLOPE($E554:$V554,$E$1:$V$1)*W$1+INTERCEPT($E554:$V554,$E$1:$V$1))&gt;(AVERAGE($E554:$V554)+_xlfn.STDEV.P($E554:$V554)),(SLOPE($E554:$V554,$E$1:$V$1)*W$1+INTERCEPT($E554:$V554,$E$1:$V$1))&lt;(AVERAGE($E554:$V554)-_xlfn.STDEV.P($E554:$V554))),V554,(SLOPE($E554:$V554,$E$1:$V$1)*W$1+INTERCEPT($E554:$V554,$E$1:$V$1)))</f>
        <v>7095.1461428722851</v>
      </c>
      <c r="X554" s="5">
        <f t="shared" si="560"/>
        <v>7010.897020637065</v>
      </c>
      <c r="Y554" s="5">
        <f t="shared" si="560"/>
        <v>6926.647898401844</v>
      </c>
      <c r="Z554" s="5">
        <f t="shared" si="560"/>
        <v>6842.398776166624</v>
      </c>
      <c r="AA554" s="5">
        <f t="shared" si="560"/>
        <v>6758.149653931403</v>
      </c>
      <c r="AB554" s="5">
        <f t="shared" si="560"/>
        <v>6673.900531696183</v>
      </c>
      <c r="AC554" s="5">
        <f t="shared" si="560"/>
        <v>6589.651409460962</v>
      </c>
      <c r="AD554" s="5">
        <f t="shared" si="560"/>
        <v>6505.402287225741</v>
      </c>
      <c r="AE554" s="5">
        <f t="shared" si="560"/>
        <v>6421.153164990521</v>
      </c>
      <c r="AF554" s="5">
        <f t="shared" si="560"/>
        <v>6336.9040427553009</v>
      </c>
      <c r="AG554" s="5">
        <f t="shared" si="560"/>
        <v>6252.6549205200799</v>
      </c>
      <c r="AH554" s="5">
        <f t="shared" si="560"/>
        <v>6168.405798284859</v>
      </c>
    </row>
    <row r="555" spans="1:34" x14ac:dyDescent="0.35">
      <c r="A555" t="s">
        <v>575</v>
      </c>
      <c r="B555" s="3" t="s">
        <v>1266</v>
      </c>
      <c r="C555" s="4" t="s">
        <v>1267</v>
      </c>
      <c r="D555" s="2">
        <f t="shared" si="521"/>
        <v>142248.35870274939</v>
      </c>
      <c r="E555" s="5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142248.35870274939</v>
      </c>
      <c r="W555" s="5">
        <f t="shared" ref="W555:AH555" si="561">IF(OR((SLOPE($E555:$V555,$E$1:$V$1)*W$1+INTERCEPT($E555:$V555,$E$1:$V$1))&gt;(AVERAGE($E555:$V555)+_xlfn.STDEV.P($E555:$V555)),(SLOPE($E555:$V555,$E$1:$V$1)*W$1+INTERCEPT($E555:$V555,$E$1:$V$1))&lt;(AVERAGE($E555:$V555)-_xlfn.STDEV.P($E555:$V555))),V555,(SLOPE($E555:$V555,$E$1:$V$1)*W$1+INTERCEPT($E555:$V555,$E$1:$V$1)))</f>
        <v>31610.746378388751</v>
      </c>
      <c r="X555" s="5">
        <f t="shared" si="561"/>
        <v>34106.331618787866</v>
      </c>
      <c r="Y555" s="5">
        <f t="shared" si="561"/>
        <v>36601.916859186982</v>
      </c>
      <c r="Z555" s="5">
        <f t="shared" si="561"/>
        <v>39097.50209958609</v>
      </c>
      <c r="AA555" s="5">
        <f t="shared" si="561"/>
        <v>39097.50209958609</v>
      </c>
      <c r="AB555" s="5">
        <f t="shared" si="561"/>
        <v>39097.50209958609</v>
      </c>
      <c r="AC555" s="5">
        <f t="shared" si="561"/>
        <v>39097.50209958609</v>
      </c>
      <c r="AD555" s="5">
        <f t="shared" si="561"/>
        <v>39097.50209958609</v>
      </c>
      <c r="AE555" s="5">
        <f t="shared" si="561"/>
        <v>39097.50209958609</v>
      </c>
      <c r="AF555" s="5">
        <f t="shared" si="561"/>
        <v>39097.50209958609</v>
      </c>
      <c r="AG555" s="5">
        <f t="shared" si="561"/>
        <v>39097.50209958609</v>
      </c>
      <c r="AH555" s="5">
        <f t="shared" si="561"/>
        <v>39097.50209958609</v>
      </c>
    </row>
    <row r="556" spans="1:34" x14ac:dyDescent="0.35">
      <c r="A556" t="s">
        <v>576</v>
      </c>
      <c r="B556" s="3" t="s">
        <v>1265</v>
      </c>
      <c r="C556" s="4" t="s">
        <v>1263</v>
      </c>
      <c r="D556" s="2">
        <f t="shared" si="521"/>
        <v>139161.69420733559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100108.69207085912</v>
      </c>
      <c r="M556" s="5">
        <v>2082.0182298432087</v>
      </c>
      <c r="N556" s="5">
        <v>1485.7120378007362</v>
      </c>
      <c r="O556" s="5">
        <v>7883.3699964937023</v>
      </c>
      <c r="P556" s="5">
        <v>50.534423054446805</v>
      </c>
      <c r="Q556" s="5">
        <v>20.213769221778719</v>
      </c>
      <c r="R556" s="5">
        <v>353.74096138112759</v>
      </c>
      <c r="S556" s="5">
        <v>2142.6595375085449</v>
      </c>
      <c r="T556" s="5">
        <v>394.16849982468506</v>
      </c>
      <c r="U556" s="5">
        <v>2243.7283836174379</v>
      </c>
      <c r="V556" s="5">
        <v>22396.856297730825</v>
      </c>
      <c r="W556" s="5">
        <f t="shared" ref="W556:AH556" si="562">IF(OR((SLOPE($E556:$V556,$E$1:$V$1)*W$1+INTERCEPT($E556:$V556,$E$1:$V$1))&gt;(AVERAGE($E556:$V556)+_xlfn.STDEV.P($E556:$V556)),(SLOPE($E556:$V556,$E$1:$V$1)*W$1+INTERCEPT($E556:$V556,$E$1:$V$1))&lt;(AVERAGE($E556:$V556)-_xlfn.STDEV.P($E556:$V556))),V556,(SLOPE($E556:$V556,$E$1:$V$1)*W$1+INTERCEPT($E556:$V556,$E$1:$V$1)))</f>
        <v>9392.0041843596573</v>
      </c>
      <c r="X556" s="5">
        <f t="shared" si="562"/>
        <v>9566.8251265300569</v>
      </c>
      <c r="Y556" s="5">
        <f t="shared" si="562"/>
        <v>9741.6460687004546</v>
      </c>
      <c r="Z556" s="5">
        <f t="shared" si="562"/>
        <v>9916.4670108708542</v>
      </c>
      <c r="AA556" s="5">
        <f t="shared" si="562"/>
        <v>10091.287953041254</v>
      </c>
      <c r="AB556" s="5">
        <f t="shared" si="562"/>
        <v>10266.108895211652</v>
      </c>
      <c r="AC556" s="5">
        <f t="shared" si="562"/>
        <v>10440.929837382051</v>
      </c>
      <c r="AD556" s="5">
        <f t="shared" si="562"/>
        <v>10615.750779552451</v>
      </c>
      <c r="AE556" s="5">
        <f t="shared" si="562"/>
        <v>10790.571721722848</v>
      </c>
      <c r="AF556" s="5">
        <f t="shared" si="562"/>
        <v>10965.392663893248</v>
      </c>
      <c r="AG556" s="5">
        <f t="shared" si="562"/>
        <v>11140.213606063648</v>
      </c>
      <c r="AH556" s="5">
        <f t="shared" si="562"/>
        <v>11315.034548234045</v>
      </c>
    </row>
    <row r="557" spans="1:34" x14ac:dyDescent="0.35">
      <c r="A557" t="s">
        <v>577</v>
      </c>
      <c r="B557" s="3" t="s">
        <v>1266</v>
      </c>
      <c r="C557" s="4" t="s">
        <v>1263</v>
      </c>
      <c r="D557" s="2">
        <f t="shared" si="521"/>
        <v>139901.54640000005</v>
      </c>
      <c r="E557" s="5">
        <v>0</v>
      </c>
      <c r="F557" s="5">
        <v>0</v>
      </c>
      <c r="G557" s="5">
        <v>42905.184000000008</v>
      </c>
      <c r="H557" s="5">
        <v>30799.792800000003</v>
      </c>
      <c r="I557" s="5">
        <v>9704.7440000000006</v>
      </c>
      <c r="J557" s="5">
        <v>1481.2504000000001</v>
      </c>
      <c r="K557" s="5">
        <v>8223.4935999999998</v>
      </c>
      <c r="L557" s="5">
        <v>7917.0280000000002</v>
      </c>
      <c r="M557" s="5">
        <v>0</v>
      </c>
      <c r="N557" s="5">
        <v>1225.8623999999998</v>
      </c>
      <c r="O557" s="5">
        <v>35703.242400000003</v>
      </c>
      <c r="P557" s="5">
        <v>1940.9488000000001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f t="shared" ref="W557:AH557" si="563">IF(OR((SLOPE($E557:$V557,$E$1:$V$1)*W$1+INTERCEPT($E557:$V557,$E$1:$V$1))&gt;(AVERAGE($E557:$V557)+_xlfn.STDEV.P($E557:$V557)),(SLOPE($E557:$V557,$E$1:$V$1)*W$1+INTERCEPT($E557:$V557,$E$1:$V$1))&lt;(AVERAGE($E557:$V557)-_xlfn.STDEV.P($E557:$V557))),V557,(SLOPE($E557:$V557,$E$1:$V$1)*W$1+INTERCEPT($E557:$V557,$E$1:$V$1)))</f>
        <v>-1454.2093176470589</v>
      </c>
      <c r="X557" s="5">
        <f t="shared" si="563"/>
        <v>-2425.4216809081554</v>
      </c>
      <c r="Y557" s="5">
        <f t="shared" si="563"/>
        <v>-3396.6340441692482</v>
      </c>
      <c r="Z557" s="5">
        <f t="shared" si="563"/>
        <v>-4367.8464074303411</v>
      </c>
      <c r="AA557" s="5">
        <f t="shared" si="563"/>
        <v>-5339.0587706914375</v>
      </c>
      <c r="AB557" s="5">
        <f t="shared" si="563"/>
        <v>-5339.0587706914375</v>
      </c>
      <c r="AC557" s="5">
        <f t="shared" si="563"/>
        <v>-5339.0587706914375</v>
      </c>
      <c r="AD557" s="5">
        <f t="shared" si="563"/>
        <v>-5339.0587706914375</v>
      </c>
      <c r="AE557" s="5">
        <f t="shared" si="563"/>
        <v>-5339.0587706914375</v>
      </c>
      <c r="AF557" s="5">
        <f t="shared" si="563"/>
        <v>-5339.0587706914375</v>
      </c>
      <c r="AG557" s="5">
        <f t="shared" si="563"/>
        <v>-5339.0587706914375</v>
      </c>
      <c r="AH557" s="5">
        <f t="shared" si="563"/>
        <v>-5339.0587706914375</v>
      </c>
    </row>
    <row r="558" spans="1:34" x14ac:dyDescent="0.35">
      <c r="A558" t="s">
        <v>578</v>
      </c>
      <c r="B558" s="3" t="s">
        <v>1262</v>
      </c>
      <c r="C558" s="4" t="s">
        <v>1263</v>
      </c>
      <c r="D558" s="2">
        <f t="shared" si="521"/>
        <v>139334.9105201893</v>
      </c>
      <c r="E558" s="5">
        <v>0</v>
      </c>
      <c r="F558" s="5">
        <v>0</v>
      </c>
      <c r="G558" s="5">
        <v>0</v>
      </c>
      <c r="H558" s="5">
        <v>0</v>
      </c>
      <c r="I558" s="5">
        <v>25700.921876055854</v>
      </c>
      <c r="J558" s="5">
        <v>37485.187365077116</v>
      </c>
      <c r="K558" s="5">
        <v>13561.257904032382</v>
      </c>
      <c r="L558" s="5">
        <v>10587.133756803212</v>
      </c>
      <c r="M558" s="5">
        <v>1739.5820483793268</v>
      </c>
      <c r="N558" s="5">
        <v>3441.7537301268403</v>
      </c>
      <c r="O558" s="5">
        <v>953.96434911124356</v>
      </c>
      <c r="P558" s="5">
        <v>1346.7731987452853</v>
      </c>
      <c r="Q558" s="5">
        <v>1496.4146652725392</v>
      </c>
      <c r="R558" s="5">
        <v>505.03994952948199</v>
      </c>
      <c r="S558" s="5">
        <v>41076.582561731186</v>
      </c>
      <c r="T558" s="5">
        <v>280.57774973860109</v>
      </c>
      <c r="U558" s="5">
        <v>598.56586610901559</v>
      </c>
      <c r="V558" s="5">
        <v>561.15549947720217</v>
      </c>
      <c r="W558" s="5">
        <f t="shared" ref="W558:AH558" si="564">IF(OR((SLOPE($E558:$V558,$E$1:$V$1)*W$1+INTERCEPT($E558:$V558,$E$1:$V$1))&gt;(AVERAGE($E558:$V558)+_xlfn.STDEV.P($E558:$V558)),(SLOPE($E558:$V558,$E$1:$V$1)*W$1+INTERCEPT($E558:$V558,$E$1:$V$1))&lt;(AVERAGE($E558:$V558)-_xlfn.STDEV.P($E558:$V558))),V558,(SLOPE($E558:$V558,$E$1:$V$1)*W$1+INTERCEPT($E558:$V558,$E$1:$V$1)))</f>
        <v>6829.5925201078308</v>
      </c>
      <c r="X558" s="5">
        <f t="shared" si="564"/>
        <v>6733.6729577788938</v>
      </c>
      <c r="Y558" s="5">
        <f t="shared" si="564"/>
        <v>6637.7533954499559</v>
      </c>
      <c r="Z558" s="5">
        <f t="shared" si="564"/>
        <v>6541.833833121018</v>
      </c>
      <c r="AA558" s="5">
        <f t="shared" si="564"/>
        <v>6445.9142707920801</v>
      </c>
      <c r="AB558" s="5">
        <f t="shared" si="564"/>
        <v>6349.9947084631422</v>
      </c>
      <c r="AC558" s="5">
        <f t="shared" si="564"/>
        <v>6254.0751461342043</v>
      </c>
      <c r="AD558" s="5">
        <f t="shared" si="564"/>
        <v>6158.1555838052664</v>
      </c>
      <c r="AE558" s="5">
        <f t="shared" si="564"/>
        <v>6062.2360214763285</v>
      </c>
      <c r="AF558" s="5">
        <f t="shared" si="564"/>
        <v>5966.3164591473915</v>
      </c>
      <c r="AG558" s="5">
        <f t="shared" si="564"/>
        <v>5870.3968968184536</v>
      </c>
      <c r="AH558" s="5">
        <f t="shared" si="564"/>
        <v>5774.4773344895157</v>
      </c>
    </row>
    <row r="559" spans="1:34" x14ac:dyDescent="0.35">
      <c r="A559" t="s">
        <v>579</v>
      </c>
      <c r="B559" s="3" t="s">
        <v>1262</v>
      </c>
      <c r="C559" s="4" t="s">
        <v>1263</v>
      </c>
      <c r="D559" s="2">
        <f t="shared" si="521"/>
        <v>135413.65599999999</v>
      </c>
      <c r="E559" s="5">
        <v>6276.9</v>
      </c>
      <c r="F559" s="5">
        <v>22429.455999999998</v>
      </c>
      <c r="G559" s="5">
        <v>5657.5792000000001</v>
      </c>
      <c r="H559" s="5">
        <v>19600.666399999998</v>
      </c>
      <c r="I559" s="5">
        <v>2761.8359999999998</v>
      </c>
      <c r="J559" s="5">
        <v>50968.428</v>
      </c>
      <c r="K559" s="5">
        <v>502.15199999999999</v>
      </c>
      <c r="L559" s="5">
        <v>234.33760000000001</v>
      </c>
      <c r="M559" s="5">
        <v>2443.8063999999999</v>
      </c>
      <c r="N559" s="5">
        <v>117.16879999999998</v>
      </c>
      <c r="O559" s="5">
        <v>14043.517599999997</v>
      </c>
      <c r="P559" s="5">
        <v>1506.4559999999999</v>
      </c>
      <c r="Q559" s="5">
        <v>4017.2159999999994</v>
      </c>
      <c r="R559" s="5">
        <v>1590.1479999999999</v>
      </c>
      <c r="S559" s="5">
        <v>753.22799999999995</v>
      </c>
      <c r="T559" s="5">
        <v>753.22799999999984</v>
      </c>
      <c r="U559" s="5">
        <v>0</v>
      </c>
      <c r="V559" s="5">
        <v>1757.5319999999999</v>
      </c>
      <c r="W559" s="5">
        <f t="shared" ref="W559:AH559" si="565">IF(OR((SLOPE($E559:$V559,$E$1:$V$1)*W$1+INTERCEPT($E559:$V559,$E$1:$V$1))&gt;(AVERAGE($E559:$V559)+_xlfn.STDEV.P($E559:$V559)),(SLOPE($E559:$V559,$E$1:$V$1)*W$1+INTERCEPT($E559:$V559,$E$1:$V$1))&lt;(AVERAGE($E559:$V559)-_xlfn.STDEV.P($E559:$V559))),V559,(SLOPE($E559:$V559,$E$1:$V$1)*W$1+INTERCEPT($E559:$V559,$E$1:$V$1)))</f>
        <v>-2079.2812444444462</v>
      </c>
      <c r="X559" s="5">
        <f t="shared" si="565"/>
        <v>-3090.0456795321661</v>
      </c>
      <c r="Y559" s="5">
        <f t="shared" si="565"/>
        <v>-4100.810114619886</v>
      </c>
      <c r="Z559" s="5">
        <f t="shared" si="565"/>
        <v>-4100.810114619886</v>
      </c>
      <c r="AA559" s="5">
        <f t="shared" si="565"/>
        <v>-4100.810114619886</v>
      </c>
      <c r="AB559" s="5">
        <f t="shared" si="565"/>
        <v>-4100.810114619886</v>
      </c>
      <c r="AC559" s="5">
        <f t="shared" si="565"/>
        <v>-4100.810114619886</v>
      </c>
      <c r="AD559" s="5">
        <f t="shared" si="565"/>
        <v>-4100.810114619886</v>
      </c>
      <c r="AE559" s="5">
        <f t="shared" si="565"/>
        <v>-4100.810114619886</v>
      </c>
      <c r="AF559" s="5">
        <f t="shared" si="565"/>
        <v>-4100.810114619886</v>
      </c>
      <c r="AG559" s="5">
        <f t="shared" si="565"/>
        <v>-4100.810114619886</v>
      </c>
      <c r="AH559" s="5">
        <f t="shared" si="565"/>
        <v>-4100.810114619886</v>
      </c>
    </row>
    <row r="560" spans="1:34" x14ac:dyDescent="0.35">
      <c r="A560" t="s">
        <v>580</v>
      </c>
      <c r="B560" s="3" t="s">
        <v>1266</v>
      </c>
      <c r="C560" s="4" t="s">
        <v>1263</v>
      </c>
      <c r="D560" s="2">
        <f t="shared" si="521"/>
        <v>135228.54913087908</v>
      </c>
      <c r="E560" s="5">
        <v>0</v>
      </c>
      <c r="F560" s="5">
        <v>0</v>
      </c>
      <c r="G560" s="5">
        <v>28950.277535076839</v>
      </c>
      <c r="H560" s="5">
        <v>0</v>
      </c>
      <c r="I560" s="5">
        <v>0</v>
      </c>
      <c r="J560" s="5">
        <v>10180.317374972075</v>
      </c>
      <c r="K560" s="5">
        <v>0</v>
      </c>
      <c r="L560" s="5">
        <v>0</v>
      </c>
      <c r="M560" s="5">
        <v>24496.388683526551</v>
      </c>
      <c r="N560" s="5">
        <v>0</v>
      </c>
      <c r="O560" s="5">
        <v>0</v>
      </c>
      <c r="P560" s="5">
        <v>38914.263165830758</v>
      </c>
      <c r="Q560" s="5">
        <v>0</v>
      </c>
      <c r="R560" s="5">
        <v>0</v>
      </c>
      <c r="S560" s="5">
        <v>32687.302371472837</v>
      </c>
      <c r="T560" s="5">
        <v>0</v>
      </c>
      <c r="U560" s="5">
        <v>0</v>
      </c>
      <c r="V560" s="5">
        <v>0</v>
      </c>
      <c r="W560" s="5">
        <f t="shared" ref="W560:AH560" si="566">IF(OR((SLOPE($E560:$V560,$E$1:$V$1)*W$1+INTERCEPT($E560:$V560,$E$1:$V$1))&gt;(AVERAGE($E560:$V560)+_xlfn.STDEV.P($E560:$V560)),(SLOPE($E560:$V560,$E$1:$V$1)*W$1+INTERCEPT($E560:$V560,$E$1:$V$1))&lt;(AVERAGE($E560:$V560)-_xlfn.STDEV.P($E560:$V560))),V560,(SLOPE($E560:$V560,$E$1:$V$1)*W$1+INTERCEPT($E560:$V560,$E$1:$V$1)))</f>
        <v>8316.8091705164043</v>
      </c>
      <c r="X560" s="5">
        <f t="shared" si="566"/>
        <v>8401.4525385773159</v>
      </c>
      <c r="Y560" s="5">
        <f t="shared" si="566"/>
        <v>8486.0959066382311</v>
      </c>
      <c r="Z560" s="5">
        <f t="shared" si="566"/>
        <v>8570.7392746991427</v>
      </c>
      <c r="AA560" s="5">
        <f t="shared" si="566"/>
        <v>8655.3826427600561</v>
      </c>
      <c r="AB560" s="5">
        <f t="shared" si="566"/>
        <v>8740.0260108209695</v>
      </c>
      <c r="AC560" s="5">
        <f t="shared" si="566"/>
        <v>8824.6693788818829</v>
      </c>
      <c r="AD560" s="5">
        <f t="shared" si="566"/>
        <v>8909.3127469427964</v>
      </c>
      <c r="AE560" s="5">
        <f t="shared" si="566"/>
        <v>8993.9561150037098</v>
      </c>
      <c r="AF560" s="5">
        <f t="shared" si="566"/>
        <v>9078.5994830646232</v>
      </c>
      <c r="AG560" s="5">
        <f t="shared" si="566"/>
        <v>9163.2428511255366</v>
      </c>
      <c r="AH560" s="5">
        <f t="shared" si="566"/>
        <v>9247.88621918645</v>
      </c>
    </row>
    <row r="561" spans="1:34" x14ac:dyDescent="0.35">
      <c r="A561" t="s">
        <v>581</v>
      </c>
      <c r="B561" s="3" t="s">
        <v>1266</v>
      </c>
      <c r="C561" s="4" t="s">
        <v>1267</v>
      </c>
      <c r="D561" s="2">
        <f t="shared" si="521"/>
        <v>135192.59117522367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32050.01000802546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31696.949922257732</v>
      </c>
      <c r="Q561" s="5">
        <v>0</v>
      </c>
      <c r="R561" s="5">
        <v>0</v>
      </c>
      <c r="S561" s="5">
        <v>71445.63124494048</v>
      </c>
      <c r="T561" s="5">
        <v>0</v>
      </c>
      <c r="U561" s="5">
        <v>0</v>
      </c>
      <c r="V561" s="5">
        <v>0</v>
      </c>
      <c r="W561" s="5">
        <f t="shared" ref="W561:AH561" si="567">IF(OR((SLOPE($E561:$V561,$E$1:$V$1)*W$1+INTERCEPT($E561:$V561,$E$1:$V$1))&gt;(AVERAGE($E561:$V561)+_xlfn.STDEV.P($E561:$V561)),(SLOPE($E561:$V561,$E$1:$V$1)*W$1+INTERCEPT($E561:$V561,$E$1:$V$1))&lt;(AVERAGE($E561:$V561)-_xlfn.STDEV.P($E561:$V561))),V561,(SLOPE($E561:$V561,$E$1:$V$1)*W$1+INTERCEPT($E561:$V561,$E$1:$V$1)))</f>
        <v>14569.882090611663</v>
      </c>
      <c r="X561" s="5">
        <f t="shared" si="567"/>
        <v>15312.953941230298</v>
      </c>
      <c r="Y561" s="5">
        <f t="shared" si="567"/>
        <v>16056.025791848933</v>
      </c>
      <c r="Z561" s="5">
        <f t="shared" si="567"/>
        <v>16799.097642467565</v>
      </c>
      <c r="AA561" s="5">
        <f t="shared" si="567"/>
        <v>17542.1694930862</v>
      </c>
      <c r="AB561" s="5">
        <f t="shared" si="567"/>
        <v>18285.241343704834</v>
      </c>
      <c r="AC561" s="5">
        <f t="shared" si="567"/>
        <v>19028.313194323466</v>
      </c>
      <c r="AD561" s="5">
        <f t="shared" si="567"/>
        <v>19771.385044942101</v>
      </c>
      <c r="AE561" s="5">
        <f t="shared" si="567"/>
        <v>20514.456895560732</v>
      </c>
      <c r="AF561" s="5">
        <f t="shared" si="567"/>
        <v>21257.528746179367</v>
      </c>
      <c r="AG561" s="5">
        <f t="shared" si="567"/>
        <v>22000.600596797998</v>
      </c>
      <c r="AH561" s="5">
        <f t="shared" si="567"/>
        <v>22743.672447416633</v>
      </c>
    </row>
    <row r="562" spans="1:34" x14ac:dyDescent="0.35">
      <c r="A562" t="s">
        <v>582</v>
      </c>
      <c r="B562" s="3" t="s">
        <v>1266</v>
      </c>
      <c r="C562" s="4" t="s">
        <v>1263</v>
      </c>
      <c r="D562" s="2">
        <f t="shared" si="521"/>
        <v>134852.15356084131</v>
      </c>
      <c r="E562" s="5">
        <v>26784.452890870187</v>
      </c>
      <c r="F562" s="5">
        <v>0</v>
      </c>
      <c r="G562" s="5">
        <v>0</v>
      </c>
      <c r="H562" s="5">
        <v>26747.986651399973</v>
      </c>
      <c r="I562" s="5">
        <v>0</v>
      </c>
      <c r="J562" s="5">
        <v>0</v>
      </c>
      <c r="K562" s="5">
        <v>0</v>
      </c>
      <c r="L562" s="5">
        <v>0</v>
      </c>
      <c r="M562" s="5">
        <v>26109.827460671277</v>
      </c>
      <c r="N562" s="5">
        <v>0</v>
      </c>
      <c r="O562" s="5">
        <v>0</v>
      </c>
      <c r="P562" s="5">
        <v>0</v>
      </c>
      <c r="Q562" s="5">
        <v>27067.06624676432</v>
      </c>
      <c r="R562" s="5">
        <v>0</v>
      </c>
      <c r="S562" s="5">
        <v>0</v>
      </c>
      <c r="T562" s="5">
        <v>0</v>
      </c>
      <c r="U562" s="5">
        <v>28142.820311135554</v>
      </c>
      <c r="V562" s="5">
        <v>0</v>
      </c>
      <c r="W562" s="5">
        <f t="shared" ref="W562:AH562" si="568">IF(OR((SLOPE($E562:$V562,$E$1:$V$1)*W$1+INTERCEPT($E562:$V562,$E$1:$V$1))&gt;(AVERAGE($E562:$V562)+_xlfn.STDEV.P($E562:$V562)),(SLOPE($E562:$V562,$E$1:$V$1)*W$1+INTERCEPT($E562:$V562,$E$1:$V$1))&lt;(AVERAGE($E562:$V562)-_xlfn.STDEV.P($E562:$V562))),V562,(SLOPE($E562:$V562,$E$1:$V$1)*W$1+INTERCEPT($E562:$V562,$E$1:$V$1)))</f>
        <v>5883.339138577976</v>
      </c>
      <c r="X562" s="5">
        <f t="shared" si="568"/>
        <v>5714.0289101192757</v>
      </c>
      <c r="Y562" s="5">
        <f t="shared" si="568"/>
        <v>5544.7186816605754</v>
      </c>
      <c r="Z562" s="5">
        <f t="shared" si="568"/>
        <v>5375.4084532018751</v>
      </c>
      <c r="AA562" s="5">
        <f t="shared" si="568"/>
        <v>5206.0982247431748</v>
      </c>
      <c r="AB562" s="5">
        <f t="shared" si="568"/>
        <v>5036.7879962844736</v>
      </c>
      <c r="AC562" s="5">
        <f t="shared" si="568"/>
        <v>4867.4777678257733</v>
      </c>
      <c r="AD562" s="5">
        <f t="shared" si="568"/>
        <v>4698.167539367073</v>
      </c>
      <c r="AE562" s="5">
        <f t="shared" si="568"/>
        <v>4528.8573109083727</v>
      </c>
      <c r="AF562" s="5">
        <f t="shared" si="568"/>
        <v>4359.5470824496724</v>
      </c>
      <c r="AG562" s="5">
        <f t="shared" si="568"/>
        <v>4190.2368539909721</v>
      </c>
      <c r="AH562" s="5">
        <f t="shared" si="568"/>
        <v>4020.9266255322718</v>
      </c>
    </row>
    <row r="563" spans="1:34" x14ac:dyDescent="0.35">
      <c r="A563" t="s">
        <v>583</v>
      </c>
      <c r="B563" s="3" t="s">
        <v>1264</v>
      </c>
      <c r="C563" s="4" t="s">
        <v>1263</v>
      </c>
      <c r="D563" s="2">
        <f t="shared" si="521"/>
        <v>130953.71519999999</v>
      </c>
      <c r="E563" s="5">
        <v>44799.955199999989</v>
      </c>
      <c r="F563" s="5">
        <v>0</v>
      </c>
      <c r="G563" s="5">
        <v>1723.0752</v>
      </c>
      <c r="H563" s="5">
        <v>1723.0752</v>
      </c>
      <c r="I563" s="5">
        <v>5169.2255999999998</v>
      </c>
      <c r="J563" s="5">
        <v>1723.0752</v>
      </c>
      <c r="K563" s="5">
        <v>3446.1503999999995</v>
      </c>
      <c r="L563" s="5">
        <v>5169.2255999999998</v>
      </c>
      <c r="M563" s="5">
        <v>3446.1504</v>
      </c>
      <c r="N563" s="5">
        <v>3446.1504</v>
      </c>
      <c r="O563" s="5">
        <v>5169.2255999999998</v>
      </c>
      <c r="P563" s="5">
        <v>5169.2255999999998</v>
      </c>
      <c r="Q563" s="5">
        <v>5169.2255999999998</v>
      </c>
      <c r="R563" s="5">
        <v>8615.3760000000002</v>
      </c>
      <c r="S563" s="5">
        <v>5169.2255999999998</v>
      </c>
      <c r="T563" s="5">
        <v>10338.4512</v>
      </c>
      <c r="U563" s="5">
        <v>10338.4512</v>
      </c>
      <c r="V563" s="5">
        <v>10338.4512</v>
      </c>
      <c r="W563" s="5">
        <f t="shared" ref="W563:AH563" si="569">IF(OR((SLOPE($E563:$V563,$E$1:$V$1)*W$1+INTERCEPT($E563:$V563,$E$1:$V$1))&gt;(AVERAGE($E563:$V563)+_xlfn.STDEV.P($E563:$V563)),(SLOPE($E563:$V563,$E$1:$V$1)*W$1+INTERCEPT($E563:$V563,$E$1:$V$1))&lt;(AVERAGE($E563:$V563)-_xlfn.STDEV.P($E563:$V563))),V563,(SLOPE($E563:$V563,$E$1:$V$1)*W$1+INTERCEPT($E563:$V563,$E$1:$V$1)))</f>
        <v>5146.7017411764728</v>
      </c>
      <c r="X563" s="5">
        <f t="shared" si="569"/>
        <v>4922.6486191950489</v>
      </c>
      <c r="Y563" s="5">
        <f t="shared" si="569"/>
        <v>4698.5954972136251</v>
      </c>
      <c r="Z563" s="5">
        <f t="shared" si="569"/>
        <v>4474.5423752322013</v>
      </c>
      <c r="AA563" s="5">
        <f t="shared" si="569"/>
        <v>4250.4892532507774</v>
      </c>
      <c r="AB563" s="5">
        <f t="shared" si="569"/>
        <v>4026.4361312693545</v>
      </c>
      <c r="AC563" s="5">
        <f t="shared" si="569"/>
        <v>3802.3830092879307</v>
      </c>
      <c r="AD563" s="5">
        <f t="shared" si="569"/>
        <v>3578.3298873065069</v>
      </c>
      <c r="AE563" s="5">
        <f t="shared" si="569"/>
        <v>3354.276765325083</v>
      </c>
      <c r="AF563" s="5">
        <f t="shared" si="569"/>
        <v>3130.2236433436592</v>
      </c>
      <c r="AG563" s="5">
        <f t="shared" si="569"/>
        <v>2906.1705213622354</v>
      </c>
      <c r="AH563" s="5">
        <f t="shared" si="569"/>
        <v>2682.1173993808115</v>
      </c>
    </row>
    <row r="564" spans="1:34" x14ac:dyDescent="0.35">
      <c r="A564" t="s">
        <v>584</v>
      </c>
      <c r="B564" s="3" t="s">
        <v>1265</v>
      </c>
      <c r="C564" s="4" t="s">
        <v>1263</v>
      </c>
      <c r="D564" s="2">
        <f t="shared" si="521"/>
        <v>130810.00799999999</v>
      </c>
      <c r="E564" s="5">
        <v>192.864</v>
      </c>
      <c r="F564" s="5">
        <v>1478.624</v>
      </c>
      <c r="G564" s="5">
        <v>19977.495999999999</v>
      </c>
      <c r="H564" s="5">
        <v>12359.367999999999</v>
      </c>
      <c r="I564" s="5">
        <v>3921.5679999999998</v>
      </c>
      <c r="J564" s="5">
        <v>39569.263999999996</v>
      </c>
      <c r="K564" s="5">
        <v>5609.1279999999997</v>
      </c>
      <c r="L564" s="5">
        <v>1623.2719999999999</v>
      </c>
      <c r="M564" s="5">
        <v>9144.9679999999989</v>
      </c>
      <c r="N564" s="5">
        <v>7778.8480000000009</v>
      </c>
      <c r="O564" s="5">
        <v>4885.8880000000008</v>
      </c>
      <c r="P564" s="5">
        <v>14641.592000000001</v>
      </c>
      <c r="Q564" s="5">
        <v>466.08800000000002</v>
      </c>
      <c r="R564" s="5">
        <v>771.45600000000002</v>
      </c>
      <c r="S564" s="5">
        <v>1125.0399999999997</v>
      </c>
      <c r="T564" s="5">
        <v>1832.2080000000001</v>
      </c>
      <c r="U564" s="5">
        <v>1189.328</v>
      </c>
      <c r="V564" s="5">
        <v>4243.0079999999998</v>
      </c>
      <c r="W564" s="5">
        <f t="shared" ref="W564:AH564" si="570">IF(OR((SLOPE($E564:$V564,$E$1:$V$1)*W$1+INTERCEPT($E564:$V564,$E$1:$V$1))&gt;(AVERAGE($E564:$V564)+_xlfn.STDEV.P($E564:$V564)),(SLOPE($E564:$V564,$E$1:$V$1)*W$1+INTERCEPT($E564:$V564,$E$1:$V$1))&lt;(AVERAGE($E564:$V564)-_xlfn.STDEV.P($E564:$V564))),V564,(SLOPE($E564:$V564,$E$1:$V$1)*W$1+INTERCEPT($E564:$V564,$E$1:$V$1)))</f>
        <v>1939.3546666666662</v>
      </c>
      <c r="X564" s="5">
        <f t="shared" si="570"/>
        <v>1378.526456140351</v>
      </c>
      <c r="Y564" s="5">
        <f t="shared" si="570"/>
        <v>817.69824561403402</v>
      </c>
      <c r="Z564" s="5">
        <f t="shared" si="570"/>
        <v>256.87003508771886</v>
      </c>
      <c r="AA564" s="5">
        <f t="shared" si="570"/>
        <v>-303.9581754385963</v>
      </c>
      <c r="AB564" s="5">
        <f t="shared" si="570"/>
        <v>-864.78638596491328</v>
      </c>
      <c r="AC564" s="5">
        <f t="shared" si="570"/>
        <v>-1425.6145964912284</v>
      </c>
      <c r="AD564" s="5">
        <f t="shared" si="570"/>
        <v>-1986.4428070175436</v>
      </c>
      <c r="AE564" s="5">
        <f t="shared" si="570"/>
        <v>-1986.4428070175436</v>
      </c>
      <c r="AF564" s="5">
        <f t="shared" si="570"/>
        <v>-1986.4428070175436</v>
      </c>
      <c r="AG564" s="5">
        <f t="shared" si="570"/>
        <v>-1986.4428070175436</v>
      </c>
      <c r="AH564" s="5">
        <f t="shared" si="570"/>
        <v>-1986.4428070175436</v>
      </c>
    </row>
    <row r="565" spans="1:34" x14ac:dyDescent="0.35">
      <c r="A565" t="s">
        <v>585</v>
      </c>
      <c r="B565" s="3" t="s">
        <v>1265</v>
      </c>
      <c r="C565" s="4" t="s">
        <v>1263</v>
      </c>
      <c r="D565" s="2">
        <f t="shared" si="521"/>
        <v>128558.62372728449</v>
      </c>
      <c r="E565" s="5">
        <v>2752.8613217833936</v>
      </c>
      <c r="F565" s="5">
        <v>5305.5145474370847</v>
      </c>
      <c r="G565" s="5">
        <v>12170.983843884762</v>
      </c>
      <c r="H565" s="5">
        <v>4563.0761909561097</v>
      </c>
      <c r="I565" s="5">
        <v>5539.0906595884044</v>
      </c>
      <c r="J565" s="5">
        <v>5447.3286155289579</v>
      </c>
      <c r="K565" s="5">
        <v>7274.2274927124836</v>
      </c>
      <c r="L565" s="5">
        <v>4421.2621228642383</v>
      </c>
      <c r="M565" s="5">
        <v>11353.467451355153</v>
      </c>
      <c r="N565" s="5">
        <v>7315.9375127395033</v>
      </c>
      <c r="O565" s="5">
        <v>6998.9413605341424</v>
      </c>
      <c r="P565" s="5">
        <v>9259.6244459986901</v>
      </c>
      <c r="Q565" s="5">
        <v>6164.7409599937209</v>
      </c>
      <c r="R565" s="5">
        <v>7349.3055287611214</v>
      </c>
      <c r="S565" s="5">
        <v>9051.0743458635843</v>
      </c>
      <c r="T565" s="5">
        <v>6957.2313405071236</v>
      </c>
      <c r="U565" s="5">
        <v>8583.9221215609487</v>
      </c>
      <c r="V565" s="5">
        <v>8050.0338652150758</v>
      </c>
      <c r="W565" s="5">
        <f t="shared" ref="W565:AH565" si="571">IF(OR((SLOPE($E565:$V565,$E$1:$V$1)*W$1+INTERCEPT($E565:$V565,$E$1:$V$1))&gt;(AVERAGE($E565:$V565)+_xlfn.STDEV.P($E565:$V565)),(SLOPE($E565:$V565,$E$1:$V$1)*W$1+INTERCEPT($E565:$V565,$E$1:$V$1))&lt;(AVERAGE($E565:$V565)-_xlfn.STDEV.P($E565:$V565))),V565,(SLOPE($E565:$V565,$E$1:$V$1)*W$1+INTERCEPT($E565:$V565,$E$1:$V$1)))</f>
        <v>8669.1414173808607</v>
      </c>
      <c r="X565" s="5">
        <f t="shared" si="571"/>
        <v>8829.8778020918035</v>
      </c>
      <c r="Y565" s="5">
        <f t="shared" si="571"/>
        <v>8990.6141868027444</v>
      </c>
      <c r="Z565" s="5">
        <f t="shared" si="571"/>
        <v>9151.3505715136853</v>
      </c>
      <c r="AA565" s="5">
        <f t="shared" si="571"/>
        <v>9312.0869562246262</v>
      </c>
      <c r="AB565" s="5">
        <f t="shared" si="571"/>
        <v>9312.0869562246262</v>
      </c>
      <c r="AC565" s="5">
        <f t="shared" si="571"/>
        <v>9312.0869562246262</v>
      </c>
      <c r="AD565" s="5">
        <f t="shared" si="571"/>
        <v>9312.0869562246262</v>
      </c>
      <c r="AE565" s="5">
        <f t="shared" si="571"/>
        <v>9312.0869562246262</v>
      </c>
      <c r="AF565" s="5">
        <f t="shared" si="571"/>
        <v>9312.0869562246262</v>
      </c>
      <c r="AG565" s="5">
        <f t="shared" si="571"/>
        <v>9312.0869562246262</v>
      </c>
      <c r="AH565" s="5">
        <f t="shared" si="571"/>
        <v>9312.0869562246262</v>
      </c>
    </row>
    <row r="566" spans="1:34" x14ac:dyDescent="0.35">
      <c r="A566" t="s">
        <v>586</v>
      </c>
      <c r="B566" s="3" t="s">
        <v>1265</v>
      </c>
      <c r="C566" s="4" t="s">
        <v>1263</v>
      </c>
      <c r="D566" s="2">
        <f t="shared" si="521"/>
        <v>118475.81508511622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16599.87095330259</v>
      </c>
      <c r="P566" s="5">
        <v>19798.804418261941</v>
      </c>
      <c r="Q566" s="5">
        <v>13400.937488343239</v>
      </c>
      <c r="R566" s="5">
        <v>8271.1162562462559</v>
      </c>
      <c r="S566" s="5">
        <v>36686.867575614924</v>
      </c>
      <c r="T566" s="5">
        <v>16167.582647227002</v>
      </c>
      <c r="U566" s="5">
        <v>3343.0295669845495</v>
      </c>
      <c r="V566" s="5">
        <v>4207.6061791357261</v>
      </c>
      <c r="W566" s="5">
        <f t="shared" ref="W566:AH566" si="572">IF(OR((SLOPE($E566:$V566,$E$1:$V$1)*W$1+INTERCEPT($E566:$V566,$E$1:$V$1))&gt;(AVERAGE($E566:$V566)+_xlfn.STDEV.P($E566:$V566)),(SLOPE($E566:$V566,$E$1:$V$1)*W$1+INTERCEPT($E566:$V566,$E$1:$V$1))&lt;(AVERAGE($E566:$V566)-_xlfn.STDEV.P($E566:$V566))),V566,(SLOPE($E566:$V566,$E$1:$V$1)*W$1+INTERCEPT($E566:$V566,$E$1:$V$1)))</f>
        <v>4207.6061791357261</v>
      </c>
      <c r="X566" s="5">
        <f t="shared" si="572"/>
        <v>4207.6061791357261</v>
      </c>
      <c r="Y566" s="5">
        <f t="shared" si="572"/>
        <v>4207.6061791357261</v>
      </c>
      <c r="Z566" s="5">
        <f t="shared" si="572"/>
        <v>4207.6061791357261</v>
      </c>
      <c r="AA566" s="5">
        <f t="shared" si="572"/>
        <v>4207.6061791357261</v>
      </c>
      <c r="AB566" s="5">
        <f t="shared" si="572"/>
        <v>4207.6061791357261</v>
      </c>
      <c r="AC566" s="5">
        <f t="shared" si="572"/>
        <v>4207.6061791357261</v>
      </c>
      <c r="AD566" s="5">
        <f t="shared" si="572"/>
        <v>4207.6061791357261</v>
      </c>
      <c r="AE566" s="5">
        <f t="shared" si="572"/>
        <v>4207.6061791357261</v>
      </c>
      <c r="AF566" s="5">
        <f t="shared" si="572"/>
        <v>4207.6061791357261</v>
      </c>
      <c r="AG566" s="5">
        <f t="shared" si="572"/>
        <v>4207.6061791357261</v>
      </c>
      <c r="AH566" s="5">
        <f t="shared" si="572"/>
        <v>4207.6061791357261</v>
      </c>
    </row>
    <row r="567" spans="1:34" x14ac:dyDescent="0.35">
      <c r="A567" t="s">
        <v>587</v>
      </c>
      <c r="B567" s="3" t="s">
        <v>1266</v>
      </c>
      <c r="C567" s="4" t="s">
        <v>1267</v>
      </c>
      <c r="D567" s="2">
        <f t="shared" si="521"/>
        <v>129732.79333276355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129732.79333276355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f t="shared" ref="W567:AH567" si="573">IF(OR((SLOPE($E567:$V567,$E$1:$V$1)*W$1+INTERCEPT($E567:$V567,$E$1:$V$1))&gt;(AVERAGE($E567:$V567)+_xlfn.STDEV.P($E567:$V567)),(SLOPE($E567:$V567,$E$1:$V$1)*W$1+INTERCEPT($E567:$V567,$E$1:$V$1))&lt;(AVERAGE($E567:$V567)-_xlfn.STDEV.P($E567:$V567))),V567,(SLOPE($E567:$V567,$E$1:$V$1)*W$1+INTERCEPT($E567:$V567,$E$1:$V$1)))</f>
        <v>847.92675380891342</v>
      </c>
      <c r="X567" s="5">
        <f t="shared" si="573"/>
        <v>178.51089553871861</v>
      </c>
      <c r="Y567" s="5">
        <f t="shared" si="573"/>
        <v>-490.90496273147437</v>
      </c>
      <c r="Z567" s="5">
        <f t="shared" si="573"/>
        <v>-1160.3208210016674</v>
      </c>
      <c r="AA567" s="5">
        <f t="shared" si="573"/>
        <v>-1829.7366792718622</v>
      </c>
      <c r="AB567" s="5">
        <f t="shared" si="573"/>
        <v>-2499.1525375420551</v>
      </c>
      <c r="AC567" s="5">
        <f t="shared" si="573"/>
        <v>-3168.5683958122499</v>
      </c>
      <c r="AD567" s="5">
        <f t="shared" si="573"/>
        <v>-3837.9842540824429</v>
      </c>
      <c r="AE567" s="5">
        <f t="shared" si="573"/>
        <v>-4507.4001123526359</v>
      </c>
      <c r="AF567" s="5">
        <f t="shared" si="573"/>
        <v>-5176.8159706228289</v>
      </c>
      <c r="AG567" s="5">
        <f t="shared" si="573"/>
        <v>-5846.2318288930219</v>
      </c>
      <c r="AH567" s="5">
        <f t="shared" si="573"/>
        <v>-6515.6476871632185</v>
      </c>
    </row>
    <row r="568" spans="1:34" x14ac:dyDescent="0.35">
      <c r="A568" t="s">
        <v>588</v>
      </c>
      <c r="B568" s="3" t="s">
        <v>1266</v>
      </c>
      <c r="C568" s="4" t="s">
        <v>1267</v>
      </c>
      <c r="D568" s="2">
        <f t="shared" si="521"/>
        <v>129368.08412076323</v>
      </c>
      <c r="E568" s="5">
        <v>0</v>
      </c>
      <c r="F568" s="5">
        <v>48209.867745768781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30000.543710445243</v>
      </c>
      <c r="Q568" s="5">
        <v>0</v>
      </c>
      <c r="R568" s="5">
        <v>0</v>
      </c>
      <c r="S568" s="5">
        <v>0</v>
      </c>
      <c r="T568" s="5">
        <v>0</v>
      </c>
      <c r="U568" s="5">
        <v>51157.672664549209</v>
      </c>
      <c r="V568" s="5">
        <v>0</v>
      </c>
      <c r="W568" s="5">
        <f t="shared" ref="W568:AH568" si="574">IF(OR((SLOPE($E568:$V568,$E$1:$V$1)*W$1+INTERCEPT($E568:$V568,$E$1:$V$1))&gt;(AVERAGE($E568:$V568)+_xlfn.STDEV.P($E568:$V568)),(SLOPE($E568:$V568,$E$1:$V$1)*W$1+INTERCEPT($E568:$V568,$E$1:$V$1))&lt;(AVERAGE($E568:$V568)-_xlfn.STDEV.P($E568:$V568))),V568,(SLOPE($E568:$V568,$E$1:$V$1)*W$1+INTERCEPT($E568:$V568,$E$1:$V$1)))</f>
        <v>9091.2313956038342</v>
      </c>
      <c r="X568" s="5">
        <f t="shared" si="574"/>
        <v>9291.6646178266747</v>
      </c>
      <c r="Y568" s="5">
        <f t="shared" si="574"/>
        <v>9492.0978400495151</v>
      </c>
      <c r="Z568" s="5">
        <f t="shared" si="574"/>
        <v>9692.5310622723555</v>
      </c>
      <c r="AA568" s="5">
        <f t="shared" si="574"/>
        <v>9892.9642844951959</v>
      </c>
      <c r="AB568" s="5">
        <f t="shared" si="574"/>
        <v>10093.397506718036</v>
      </c>
      <c r="AC568" s="5">
        <f t="shared" si="574"/>
        <v>10293.830728940877</v>
      </c>
      <c r="AD568" s="5">
        <f t="shared" si="574"/>
        <v>10494.263951163719</v>
      </c>
      <c r="AE568" s="5">
        <f t="shared" si="574"/>
        <v>10694.697173386559</v>
      </c>
      <c r="AF568" s="5">
        <f t="shared" si="574"/>
        <v>10895.1303956094</v>
      </c>
      <c r="AG568" s="5">
        <f t="shared" si="574"/>
        <v>11095.563617832242</v>
      </c>
      <c r="AH568" s="5">
        <f t="shared" si="574"/>
        <v>11295.996840055082</v>
      </c>
    </row>
    <row r="569" spans="1:34" x14ac:dyDescent="0.35">
      <c r="A569" t="s">
        <v>589</v>
      </c>
      <c r="B569" s="3" t="s">
        <v>1266</v>
      </c>
      <c r="C569" s="4" t="s">
        <v>1267</v>
      </c>
      <c r="D569" s="2">
        <f t="shared" si="521"/>
        <v>128506.32372357682</v>
      </c>
      <c r="E569" s="5">
        <v>0</v>
      </c>
      <c r="F569" s="5">
        <v>31242.186722144277</v>
      </c>
      <c r="G569" s="5">
        <v>0</v>
      </c>
      <c r="H569" s="5">
        <v>0</v>
      </c>
      <c r="I569" s="5">
        <v>0</v>
      </c>
      <c r="J569" s="5">
        <v>31549.802099100769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65714.334902331771</v>
      </c>
      <c r="T569" s="5">
        <v>0</v>
      </c>
      <c r="U569" s="5">
        <v>0</v>
      </c>
      <c r="V569" s="5">
        <v>0</v>
      </c>
      <c r="W569" s="5">
        <f t="shared" ref="W569:AH569" si="575">IF(OR((SLOPE($E569:$V569,$E$1:$V$1)*W$1+INTERCEPT($E569:$V569,$E$1:$V$1))&gt;(AVERAGE($E569:$V569)+_xlfn.STDEV.P($E569:$V569)),(SLOPE($E569:$V569,$E$1:$V$1)*W$1+INTERCEPT($E569:$V569,$E$1:$V$1))&lt;(AVERAGE($E569:$V569)-_xlfn.STDEV.P($E569:$V569))),V569,(SLOPE($E569:$V569,$E$1:$V$1)*W$1+INTERCEPT($E569:$V569,$E$1:$V$1)))</f>
        <v>7466.4585245102808</v>
      </c>
      <c r="X569" s="5">
        <f t="shared" si="575"/>
        <v>7500.9025579465861</v>
      </c>
      <c r="Y569" s="5">
        <f t="shared" si="575"/>
        <v>7535.3465913828923</v>
      </c>
      <c r="Z569" s="5">
        <f t="shared" si="575"/>
        <v>7569.7906248191975</v>
      </c>
      <c r="AA569" s="5">
        <f t="shared" si="575"/>
        <v>7604.2346582555028</v>
      </c>
      <c r="AB569" s="5">
        <f t="shared" si="575"/>
        <v>7638.6786916918081</v>
      </c>
      <c r="AC569" s="5">
        <f t="shared" si="575"/>
        <v>7673.1227251281143</v>
      </c>
      <c r="AD569" s="5">
        <f t="shared" si="575"/>
        <v>7707.5667585644196</v>
      </c>
      <c r="AE569" s="5">
        <f t="shared" si="575"/>
        <v>7742.0107920007249</v>
      </c>
      <c r="AF569" s="5">
        <f t="shared" si="575"/>
        <v>7776.4548254370302</v>
      </c>
      <c r="AG569" s="5">
        <f t="shared" si="575"/>
        <v>7810.8988588733355</v>
      </c>
      <c r="AH569" s="5">
        <f t="shared" si="575"/>
        <v>7845.3428923096417</v>
      </c>
    </row>
    <row r="570" spans="1:34" x14ac:dyDescent="0.35">
      <c r="A570" t="s">
        <v>590</v>
      </c>
      <c r="B570" s="3" t="s">
        <v>1264</v>
      </c>
      <c r="C570" s="4" t="s">
        <v>1263</v>
      </c>
      <c r="D570" s="2">
        <f t="shared" si="521"/>
        <v>128004.66000000002</v>
      </c>
      <c r="E570" s="5">
        <v>0</v>
      </c>
      <c r="F570" s="5">
        <v>19515.132000000001</v>
      </c>
      <c r="G570" s="5">
        <v>28846.692000000006</v>
      </c>
      <c r="H570" s="5">
        <v>48889.260000000009</v>
      </c>
      <c r="I570" s="5">
        <v>13064.184000000001</v>
      </c>
      <c r="J570" s="5">
        <v>11360.16</v>
      </c>
      <c r="K570" s="5">
        <v>0</v>
      </c>
      <c r="L570" s="5">
        <v>405.72</v>
      </c>
      <c r="M570" s="5">
        <v>0</v>
      </c>
      <c r="N570" s="5">
        <v>5923.5120000000006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f t="shared" ref="W570:AH570" si="576">IF(OR((SLOPE($E570:$V570,$E$1:$V$1)*W$1+INTERCEPT($E570:$V570,$E$1:$V$1))&gt;(AVERAGE($E570:$V570)+_xlfn.STDEV.P($E570:$V570)),(SLOPE($E570:$V570,$E$1:$V$1)*W$1+INTERCEPT($E570:$V570,$E$1:$V$1))&lt;(AVERAGE($E570:$V570)-_xlfn.STDEV.P($E570:$V570))),V570,(SLOPE($E570:$V570,$E$1:$V$1)*W$1+INTERCEPT($E570:$V570,$E$1:$V$1)))</f>
        <v>0</v>
      </c>
      <c r="X570" s="5">
        <f t="shared" si="576"/>
        <v>0</v>
      </c>
      <c r="Y570" s="5">
        <f t="shared" si="576"/>
        <v>0</v>
      </c>
      <c r="Z570" s="5">
        <f t="shared" si="576"/>
        <v>0</v>
      </c>
      <c r="AA570" s="5">
        <f t="shared" si="576"/>
        <v>0</v>
      </c>
      <c r="AB570" s="5">
        <f t="shared" si="576"/>
        <v>0</v>
      </c>
      <c r="AC570" s="5">
        <f t="shared" si="576"/>
        <v>0</v>
      </c>
      <c r="AD570" s="5">
        <f t="shared" si="576"/>
        <v>0</v>
      </c>
      <c r="AE570" s="5">
        <f t="shared" si="576"/>
        <v>0</v>
      </c>
      <c r="AF570" s="5">
        <f t="shared" si="576"/>
        <v>0</v>
      </c>
      <c r="AG570" s="5">
        <f t="shared" si="576"/>
        <v>0</v>
      </c>
      <c r="AH570" s="5">
        <f t="shared" si="576"/>
        <v>0</v>
      </c>
    </row>
    <row r="571" spans="1:34" x14ac:dyDescent="0.35">
      <c r="A571" t="s">
        <v>591</v>
      </c>
      <c r="B571" s="3" t="s">
        <v>1266</v>
      </c>
      <c r="C571" s="4" t="s">
        <v>1267</v>
      </c>
      <c r="D571" s="2">
        <f t="shared" si="521"/>
        <v>127868.06801571351</v>
      </c>
      <c r="E571" s="5">
        <v>0</v>
      </c>
      <c r="F571" s="5">
        <v>0</v>
      </c>
      <c r="G571" s="5">
        <v>0</v>
      </c>
      <c r="H571" s="5">
        <v>63835.90584902485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64032.162166688657</v>
      </c>
      <c r="U571" s="5">
        <v>0</v>
      </c>
      <c r="V571" s="5">
        <v>0</v>
      </c>
      <c r="W571" s="5">
        <f t="shared" ref="W571:AH571" si="577">IF(OR((SLOPE($E571:$V571,$E$1:$V$1)*W$1+INTERCEPT($E571:$V571,$E$1:$V$1))&gt;(AVERAGE($E571:$V571)+_xlfn.STDEV.P($E571:$V571)),(SLOPE($E571:$V571,$E$1:$V$1)*W$1+INTERCEPT($E571:$V571,$E$1:$V$1))&lt;(AVERAGE($E571:$V571)-_xlfn.STDEV.P($E571:$V571))),V571,(SLOPE($E571:$V571,$E$1:$V$1)*W$1+INTERCEPT($E571:$V571,$E$1:$V$1)))</f>
        <v>8380.4790449351858</v>
      </c>
      <c r="X571" s="5">
        <f t="shared" si="577"/>
        <v>8514.8682542516763</v>
      </c>
      <c r="Y571" s="5">
        <f t="shared" si="577"/>
        <v>8649.2574635681667</v>
      </c>
      <c r="Z571" s="5">
        <f t="shared" si="577"/>
        <v>8783.6466728846572</v>
      </c>
      <c r="AA571" s="5">
        <f t="shared" si="577"/>
        <v>8918.0358822011476</v>
      </c>
      <c r="AB571" s="5">
        <f t="shared" si="577"/>
        <v>9052.4250915176381</v>
      </c>
      <c r="AC571" s="5">
        <f t="shared" si="577"/>
        <v>9186.8143008341285</v>
      </c>
      <c r="AD571" s="5">
        <f t="shared" si="577"/>
        <v>9321.203510150619</v>
      </c>
      <c r="AE571" s="5">
        <f t="shared" si="577"/>
        <v>9455.5927194671094</v>
      </c>
      <c r="AF571" s="5">
        <f t="shared" si="577"/>
        <v>9589.9819287835999</v>
      </c>
      <c r="AG571" s="5">
        <f t="shared" si="577"/>
        <v>9724.3711381000903</v>
      </c>
      <c r="AH571" s="5">
        <f t="shared" si="577"/>
        <v>9858.7603474165808</v>
      </c>
    </row>
    <row r="572" spans="1:34" x14ac:dyDescent="0.35">
      <c r="A572" t="s">
        <v>592</v>
      </c>
      <c r="B572" s="3" t="s">
        <v>1265</v>
      </c>
      <c r="C572" s="4" t="s">
        <v>1263</v>
      </c>
      <c r="D572" s="2">
        <f t="shared" si="521"/>
        <v>127283.24137385521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4546.3406443767226</v>
      </c>
      <c r="O572" s="5">
        <v>58416.188279632974</v>
      </c>
      <c r="P572" s="5">
        <v>22431.473179330431</v>
      </c>
      <c r="Q572" s="5">
        <v>8306.3645106379736</v>
      </c>
      <c r="R572" s="5">
        <v>21216.256340424701</v>
      </c>
      <c r="S572" s="5">
        <v>9750.3280486318381</v>
      </c>
      <c r="T572" s="5">
        <v>972.17347112458208</v>
      </c>
      <c r="U572" s="5">
        <v>200.15336170211984</v>
      </c>
      <c r="V572" s="5">
        <v>1443.9635379938645</v>
      </c>
      <c r="W572" s="5">
        <f t="shared" ref="W572:AH572" si="578">IF(OR((SLOPE($E572:$V572,$E$1:$V$1)*W$1+INTERCEPT($E572:$V572,$E$1:$V$1))&gt;(AVERAGE($E572:$V572)+_xlfn.STDEV.P($E572:$V572)),(SLOPE($E572:$V572,$E$1:$V$1)*W$1+INTERCEPT($E572:$V572,$E$1:$V$1))&lt;(AVERAGE($E572:$V572)-_xlfn.STDEV.P($E572:$V572))),V572,(SLOPE($E572:$V572,$E$1:$V$1)*W$1+INTERCEPT($E572:$V572,$E$1:$V$1)))</f>
        <v>13821.14093497771</v>
      </c>
      <c r="X572" s="5">
        <f t="shared" si="578"/>
        <v>14531.6514347189</v>
      </c>
      <c r="Y572" s="5">
        <f t="shared" si="578"/>
        <v>15242.161934460088</v>
      </c>
      <c r="Z572" s="5">
        <f t="shared" si="578"/>
        <v>15952.672434201279</v>
      </c>
      <c r="AA572" s="5">
        <f t="shared" si="578"/>
        <v>16663.182933942469</v>
      </c>
      <c r="AB572" s="5">
        <f t="shared" si="578"/>
        <v>17373.69343368366</v>
      </c>
      <c r="AC572" s="5">
        <f t="shared" si="578"/>
        <v>18084.203933424851</v>
      </c>
      <c r="AD572" s="5">
        <f t="shared" si="578"/>
        <v>18794.714433166042</v>
      </c>
      <c r="AE572" s="5">
        <f t="shared" si="578"/>
        <v>19505.224932907233</v>
      </c>
      <c r="AF572" s="5">
        <f t="shared" si="578"/>
        <v>20215.735432648424</v>
      </c>
      <c r="AG572" s="5">
        <f t="shared" si="578"/>
        <v>20926.245932389611</v>
      </c>
      <c r="AH572" s="5">
        <f t="shared" si="578"/>
        <v>20926.245932389611</v>
      </c>
    </row>
    <row r="573" spans="1:34" x14ac:dyDescent="0.35">
      <c r="A573" t="s">
        <v>593</v>
      </c>
      <c r="B573" s="3" t="s">
        <v>1264</v>
      </c>
      <c r="C573" s="4" t="s">
        <v>1263</v>
      </c>
      <c r="D573" s="2">
        <f t="shared" si="521"/>
        <v>126764.56800000001</v>
      </c>
      <c r="E573" s="5">
        <v>18204.48</v>
      </c>
      <c r="F573" s="5">
        <v>0</v>
      </c>
      <c r="G573" s="5">
        <v>0</v>
      </c>
      <c r="H573" s="5">
        <v>0</v>
      </c>
      <c r="I573" s="5">
        <v>0</v>
      </c>
      <c r="J573" s="5">
        <v>6477.4080000000004</v>
      </c>
      <c r="K573" s="5">
        <v>20067.263999999999</v>
      </c>
      <c r="L573" s="5">
        <v>0</v>
      </c>
      <c r="M573" s="5">
        <v>0</v>
      </c>
      <c r="N573" s="5">
        <v>28534.464</v>
      </c>
      <c r="O573" s="5">
        <v>0</v>
      </c>
      <c r="P573" s="5">
        <v>0</v>
      </c>
      <c r="Q573" s="5">
        <v>0</v>
      </c>
      <c r="R573" s="5">
        <v>0</v>
      </c>
      <c r="S573" s="5">
        <v>36334.872000000003</v>
      </c>
      <c r="T573" s="5">
        <v>17146.080000000002</v>
      </c>
      <c r="U573" s="5">
        <v>0</v>
      </c>
      <c r="V573" s="5">
        <v>0</v>
      </c>
      <c r="W573" s="5">
        <f t="shared" ref="W573:AH573" si="579">IF(OR((SLOPE($E573:$V573,$E$1:$V$1)*W$1+INTERCEPT($E573:$V573,$E$1:$V$1))&gt;(AVERAGE($E573:$V573)+_xlfn.STDEV.P($E573:$V573)),(SLOPE($E573:$V573,$E$1:$V$1)*W$1+INTERCEPT($E573:$V573,$E$1:$V$1))&lt;(AVERAGE($E573:$V573)-_xlfn.STDEV.P($E573:$V573))),V573,(SLOPE($E573:$V573,$E$1:$V$1)*W$1+INTERCEPT($E573:$V573,$E$1:$V$1)))</f>
        <v>8963.6795294117655</v>
      </c>
      <c r="X573" s="5">
        <f t="shared" si="579"/>
        <v>9165.911479876162</v>
      </c>
      <c r="Y573" s="5">
        <f t="shared" si="579"/>
        <v>9368.1434303405586</v>
      </c>
      <c r="Z573" s="5">
        <f t="shared" si="579"/>
        <v>9570.3753808049551</v>
      </c>
      <c r="AA573" s="5">
        <f t="shared" si="579"/>
        <v>9772.6073312693516</v>
      </c>
      <c r="AB573" s="5">
        <f t="shared" si="579"/>
        <v>9974.8392817337481</v>
      </c>
      <c r="AC573" s="5">
        <f t="shared" si="579"/>
        <v>10177.071232198145</v>
      </c>
      <c r="AD573" s="5">
        <f t="shared" si="579"/>
        <v>10379.303182662541</v>
      </c>
      <c r="AE573" s="5">
        <f t="shared" si="579"/>
        <v>10581.535133126938</v>
      </c>
      <c r="AF573" s="5">
        <f t="shared" si="579"/>
        <v>10783.767083591334</v>
      </c>
      <c r="AG573" s="5">
        <f t="shared" si="579"/>
        <v>10985.999034055731</v>
      </c>
      <c r="AH573" s="5">
        <f t="shared" si="579"/>
        <v>11188.230984520127</v>
      </c>
    </row>
    <row r="574" spans="1:34" x14ac:dyDescent="0.35">
      <c r="A574" t="s">
        <v>594</v>
      </c>
      <c r="B574" s="3" t="s">
        <v>1262</v>
      </c>
      <c r="C574" s="4" t="s">
        <v>1263</v>
      </c>
      <c r="D574" s="2">
        <f t="shared" si="521"/>
        <v>120466.47059999997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40881.140999999989</v>
      </c>
      <c r="S574" s="5">
        <v>20756.987999999998</v>
      </c>
      <c r="T574" s="5">
        <v>21389.822999999993</v>
      </c>
      <c r="U574" s="5">
        <v>19364.750999999997</v>
      </c>
      <c r="V574" s="5">
        <v>18073.767599999999</v>
      </c>
      <c r="W574" s="5">
        <f t="shared" ref="W574:AH574" si="580">IF(OR((SLOPE($E574:$V574,$E$1:$V$1)*W$1+INTERCEPT($E574:$V574,$E$1:$V$1))&gt;(AVERAGE($E574:$V574)+_xlfn.STDEV.P($E574:$V574)),(SLOPE($E574:$V574,$E$1:$V$1)*W$1+INTERCEPT($E574:$V574,$E$1:$V$1))&lt;(AVERAGE($E574:$V574)-_xlfn.STDEV.P($E574:$V574))),V574,(SLOPE($E574:$V574,$E$1:$V$1)*W$1+INTERCEPT($E574:$V574,$E$1:$V$1)))</f>
        <v>18073.767599999999</v>
      </c>
      <c r="X574" s="5">
        <f t="shared" si="580"/>
        <v>18073.767599999999</v>
      </c>
      <c r="Y574" s="5">
        <f t="shared" si="580"/>
        <v>18073.767599999999</v>
      </c>
      <c r="Z574" s="5">
        <f t="shared" si="580"/>
        <v>18073.767599999999</v>
      </c>
      <c r="AA574" s="5">
        <f t="shared" si="580"/>
        <v>18073.767599999999</v>
      </c>
      <c r="AB574" s="5">
        <f t="shared" si="580"/>
        <v>18073.767599999999</v>
      </c>
      <c r="AC574" s="5">
        <f t="shared" si="580"/>
        <v>18073.767599999999</v>
      </c>
      <c r="AD574" s="5">
        <f t="shared" si="580"/>
        <v>18073.767599999999</v>
      </c>
      <c r="AE574" s="5">
        <f t="shared" si="580"/>
        <v>18073.767599999999</v>
      </c>
      <c r="AF574" s="5">
        <f t="shared" si="580"/>
        <v>18073.767599999999</v>
      </c>
      <c r="AG574" s="5">
        <f t="shared" si="580"/>
        <v>18073.767599999999</v>
      </c>
      <c r="AH574" s="5">
        <f t="shared" si="580"/>
        <v>18073.767599999999</v>
      </c>
    </row>
    <row r="575" spans="1:34" x14ac:dyDescent="0.35">
      <c r="A575" t="s">
        <v>595</v>
      </c>
      <c r="B575" s="3" t="s">
        <v>1265</v>
      </c>
      <c r="C575" s="4" t="s">
        <v>1263</v>
      </c>
      <c r="D575" s="2">
        <f t="shared" si="521"/>
        <v>124737.03801461835</v>
      </c>
      <c r="E575" s="5">
        <v>6722.0887723795022</v>
      </c>
      <c r="F575" s="5">
        <v>5253.02301417736</v>
      </c>
      <c r="G575" s="5">
        <v>9615.7031445958437</v>
      </c>
      <c r="H575" s="5">
        <v>5208.5058699894171</v>
      </c>
      <c r="I575" s="5">
        <v>6784.4127742426235</v>
      </c>
      <c r="J575" s="5">
        <v>4692.1069974092688</v>
      </c>
      <c r="K575" s="5">
        <v>7193.9705007717066</v>
      </c>
      <c r="L575" s="5">
        <v>9241.7591334171175</v>
      </c>
      <c r="M575" s="5">
        <v>7274.1013603100055</v>
      </c>
      <c r="N575" s="5">
        <v>6383.7584765511301</v>
      </c>
      <c r="O575" s="5">
        <v>5911.8767481589257</v>
      </c>
      <c r="P575" s="5">
        <v>6276.9173305000659</v>
      </c>
      <c r="Q575" s="5">
        <v>4763.3344281099789</v>
      </c>
      <c r="R575" s="5">
        <v>7995.2790961546934</v>
      </c>
      <c r="S575" s="5">
        <v>7069.3224970454612</v>
      </c>
      <c r="T575" s="5">
        <v>6722.0887723795013</v>
      </c>
      <c r="U575" s="5">
        <v>10639.597460918549</v>
      </c>
      <c r="V575" s="5">
        <v>6989.1916375071651</v>
      </c>
      <c r="W575" s="5">
        <f t="shared" ref="W575:AH575" si="581">IF(OR((SLOPE($E575:$V575,$E$1:$V$1)*W$1+INTERCEPT($E575:$V575,$E$1:$V$1))&gt;(AVERAGE($E575:$V575)+_xlfn.STDEV.P($E575:$V575)),(SLOPE($E575:$V575,$E$1:$V$1)*W$1+INTERCEPT($E575:$V575,$E$1:$V$1))&lt;(AVERAGE($E575:$V575)-_xlfn.STDEV.P($E575:$V575))),V575,(SLOPE($E575:$V575,$E$1:$V$1)*W$1+INTERCEPT($E575:$V575,$E$1:$V$1)))</f>
        <v>7558.4873520047522</v>
      </c>
      <c r="X575" s="5">
        <f t="shared" si="581"/>
        <v>7624.6612369256127</v>
      </c>
      <c r="Y575" s="5">
        <f t="shared" si="581"/>
        <v>7690.8351218464741</v>
      </c>
      <c r="Z575" s="5">
        <f t="shared" si="581"/>
        <v>7757.0090067673345</v>
      </c>
      <c r="AA575" s="5">
        <f t="shared" si="581"/>
        <v>7823.182891688195</v>
      </c>
      <c r="AB575" s="5">
        <f t="shared" si="581"/>
        <v>7889.3567766090564</v>
      </c>
      <c r="AC575" s="5">
        <f t="shared" si="581"/>
        <v>7955.5306615299169</v>
      </c>
      <c r="AD575" s="5">
        <f t="shared" si="581"/>
        <v>8021.7045464507773</v>
      </c>
      <c r="AE575" s="5">
        <f t="shared" si="581"/>
        <v>8087.8784313716387</v>
      </c>
      <c r="AF575" s="5">
        <f t="shared" si="581"/>
        <v>8154.0523162924992</v>
      </c>
      <c r="AG575" s="5">
        <f t="shared" si="581"/>
        <v>8220.2262012133597</v>
      </c>
      <c r="AH575" s="5">
        <f t="shared" si="581"/>
        <v>8286.4000861342211</v>
      </c>
    </row>
    <row r="576" spans="1:34" x14ac:dyDescent="0.35">
      <c r="A576" t="s">
        <v>596</v>
      </c>
      <c r="B576" s="3" t="s">
        <v>1264</v>
      </c>
      <c r="C576" s="4" t="s">
        <v>1263</v>
      </c>
      <c r="D576" s="2">
        <f t="shared" si="521"/>
        <v>121447.088</v>
      </c>
      <c r="E576" s="5">
        <v>11403.436800000003</v>
      </c>
      <c r="F576" s="5">
        <v>3601.8528000000006</v>
      </c>
      <c r="G576" s="5">
        <v>10110.464000000002</v>
      </c>
      <c r="H576" s="5">
        <v>5444.0960000000014</v>
      </c>
      <c r="I576" s="5">
        <v>12594.3328</v>
      </c>
      <c r="J576" s="5">
        <v>4821.9135999999999</v>
      </c>
      <c r="K576" s="5">
        <v>3344.2303999999995</v>
      </c>
      <c r="L576" s="5">
        <v>4199.7312000000002</v>
      </c>
      <c r="M576" s="5">
        <v>7018.9952000000003</v>
      </c>
      <c r="N576" s="5">
        <v>3417.1424000000002</v>
      </c>
      <c r="O576" s="5">
        <v>8734.8575999999994</v>
      </c>
      <c r="P576" s="5">
        <v>4301.8079999999991</v>
      </c>
      <c r="Q576" s="5">
        <v>10859.027200000002</v>
      </c>
      <c r="R576" s="5">
        <v>10509.049599999998</v>
      </c>
      <c r="S576" s="5">
        <v>4744.1407999999992</v>
      </c>
      <c r="T576" s="5">
        <v>5959.3408000000009</v>
      </c>
      <c r="U576" s="5">
        <v>4812.1920000000018</v>
      </c>
      <c r="V576" s="5">
        <v>5570.4768000000013</v>
      </c>
      <c r="W576" s="5">
        <f t="shared" ref="W576:AH576" si="582">IF(OR((SLOPE($E576:$V576,$E$1:$V$1)*W$1+INTERCEPT($E576:$V576,$E$1:$V$1))&gt;(AVERAGE($E576:$V576)+_xlfn.STDEV.P($E576:$V576)),(SLOPE($E576:$V576,$E$1:$V$1)*W$1+INTERCEPT($E576:$V576,$E$1:$V$1))&lt;(AVERAGE($E576:$V576)-_xlfn.STDEV.P($E576:$V576))),V576,(SLOPE($E576:$V576,$E$1:$V$1)*W$1+INTERCEPT($E576:$V576,$E$1:$V$1)))</f>
        <v>5723.6714248366006</v>
      </c>
      <c r="X576" s="5">
        <f t="shared" si="582"/>
        <v>5615.9462648778799</v>
      </c>
      <c r="Y576" s="5">
        <f t="shared" si="582"/>
        <v>5508.2211049191592</v>
      </c>
      <c r="Z576" s="5">
        <f t="shared" si="582"/>
        <v>5400.4959449604394</v>
      </c>
      <c r="AA576" s="5">
        <f t="shared" si="582"/>
        <v>5292.7707850017196</v>
      </c>
      <c r="AB576" s="5">
        <f t="shared" si="582"/>
        <v>5185.0456250429979</v>
      </c>
      <c r="AC576" s="5">
        <f t="shared" si="582"/>
        <v>5077.3204650842781</v>
      </c>
      <c r="AD576" s="5">
        <f t="shared" si="582"/>
        <v>4969.5953051255583</v>
      </c>
      <c r="AE576" s="5">
        <f t="shared" si="582"/>
        <v>4861.8701451668367</v>
      </c>
      <c r="AF576" s="5">
        <f t="shared" si="582"/>
        <v>4754.1449852081169</v>
      </c>
      <c r="AG576" s="5">
        <f t="shared" si="582"/>
        <v>4646.419825249397</v>
      </c>
      <c r="AH576" s="5">
        <f t="shared" si="582"/>
        <v>4538.6946652906763</v>
      </c>
    </row>
    <row r="577" spans="1:34" x14ac:dyDescent="0.35">
      <c r="A577" t="s">
        <v>597</v>
      </c>
      <c r="B577" s="3" t="s">
        <v>1266</v>
      </c>
      <c r="C577" s="4" t="s">
        <v>1263</v>
      </c>
      <c r="D577" s="2">
        <f t="shared" si="521"/>
        <v>124216.09252627625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64147.649951364459</v>
      </c>
      <c r="N577" s="5">
        <v>0</v>
      </c>
      <c r="O577" s="5">
        <v>0</v>
      </c>
      <c r="P577" s="5">
        <v>60068.442574911787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f t="shared" ref="W577:AH577" si="583">IF(OR((SLOPE($E577:$V577,$E$1:$V$1)*W$1+INTERCEPT($E577:$V577,$E$1:$V$1))&gt;(AVERAGE($E577:$V577)+_xlfn.STDEV.P($E577:$V577)),(SLOPE($E577:$V577,$E$1:$V$1)*W$1+INTERCEPT($E577:$V577,$E$1:$V$1))&lt;(AVERAGE($E577:$V577)-_xlfn.STDEV.P($E577:$V577))),V577,(SLOPE($E577:$V577,$E$1:$V$1)*W$1+INTERCEPT($E577:$V577,$E$1:$V$1)))</f>
        <v>9216.5269990728084</v>
      </c>
      <c r="X577" s="5">
        <f t="shared" si="583"/>
        <v>9460.2778380028321</v>
      </c>
      <c r="Y577" s="5">
        <f t="shared" si="583"/>
        <v>9704.0286769328595</v>
      </c>
      <c r="Z577" s="5">
        <f t="shared" si="583"/>
        <v>9947.7795158628833</v>
      </c>
      <c r="AA577" s="5">
        <f t="shared" si="583"/>
        <v>10191.530354792909</v>
      </c>
      <c r="AB577" s="5">
        <f t="shared" si="583"/>
        <v>10435.281193722934</v>
      </c>
      <c r="AC577" s="5">
        <f t="shared" si="583"/>
        <v>10679.032032652958</v>
      </c>
      <c r="AD577" s="5">
        <f t="shared" si="583"/>
        <v>10922.782871582986</v>
      </c>
      <c r="AE577" s="5">
        <f t="shared" si="583"/>
        <v>11166.533710513009</v>
      </c>
      <c r="AF577" s="5">
        <f t="shared" si="583"/>
        <v>11410.284549443035</v>
      </c>
      <c r="AG577" s="5">
        <f t="shared" si="583"/>
        <v>11654.03538837306</v>
      </c>
      <c r="AH577" s="5">
        <f t="shared" si="583"/>
        <v>11897.786227303084</v>
      </c>
    </row>
    <row r="578" spans="1:34" x14ac:dyDescent="0.35">
      <c r="A578" t="s">
        <v>598</v>
      </c>
      <c r="B578" s="3" t="s">
        <v>1266</v>
      </c>
      <c r="C578" s="4" t="s">
        <v>1263</v>
      </c>
      <c r="D578" s="2">
        <f t="shared" si="521"/>
        <v>123672.45147677475</v>
      </c>
      <c r="E578" s="5">
        <v>0</v>
      </c>
      <c r="F578" s="5">
        <v>0</v>
      </c>
      <c r="G578" s="5">
        <v>0</v>
      </c>
      <c r="H578" s="5">
        <v>0</v>
      </c>
      <c r="I578" s="5">
        <v>43982.611382793686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39661.604608062546</v>
      </c>
      <c r="Q578" s="5">
        <v>0</v>
      </c>
      <c r="R578" s="5">
        <v>40028.235485918514</v>
      </c>
      <c r="S578" s="5">
        <v>0</v>
      </c>
      <c r="T578" s="5">
        <v>0</v>
      </c>
      <c r="U578" s="5">
        <v>0</v>
      </c>
      <c r="V578" s="5">
        <v>0</v>
      </c>
      <c r="W578" s="5">
        <f t="shared" ref="W578:AH578" si="584">IF(OR((SLOPE($E578:$V578,$E$1:$V$1)*W$1+INTERCEPT($E578:$V578,$E$1:$V$1))&gt;(AVERAGE($E578:$V578)+_xlfn.STDEV.P($E578:$V578)),(SLOPE($E578:$V578,$E$1:$V$1)*W$1+INTERCEPT($E578:$V578,$E$1:$V$1))&lt;(AVERAGE($E578:$V578)-_xlfn.STDEV.P($E578:$V578))),V578,(SLOPE($E578:$V578,$E$1:$V$1)*W$1+INTERCEPT($E578:$V578,$E$1:$V$1)))</f>
        <v>8465.972532713984</v>
      </c>
      <c r="X578" s="5">
        <f t="shared" si="584"/>
        <v>8633.8968257670658</v>
      </c>
      <c r="Y578" s="5">
        <f t="shared" si="584"/>
        <v>8801.8211188201476</v>
      </c>
      <c r="Z578" s="5">
        <f t="shared" si="584"/>
        <v>8969.7454118732294</v>
      </c>
      <c r="AA578" s="5">
        <f t="shared" si="584"/>
        <v>9137.6697049263112</v>
      </c>
      <c r="AB578" s="5">
        <f t="shared" si="584"/>
        <v>9305.593997979393</v>
      </c>
      <c r="AC578" s="5">
        <f t="shared" si="584"/>
        <v>9473.5182910324747</v>
      </c>
      <c r="AD578" s="5">
        <f t="shared" si="584"/>
        <v>9641.4425840855565</v>
      </c>
      <c r="AE578" s="5">
        <f t="shared" si="584"/>
        <v>9809.3668771386383</v>
      </c>
      <c r="AF578" s="5">
        <f t="shared" si="584"/>
        <v>9977.2911701917201</v>
      </c>
      <c r="AG578" s="5">
        <f t="shared" si="584"/>
        <v>10145.215463244802</v>
      </c>
      <c r="AH578" s="5">
        <f t="shared" si="584"/>
        <v>10313.139756297884</v>
      </c>
    </row>
    <row r="579" spans="1:34" x14ac:dyDescent="0.35">
      <c r="A579" t="s">
        <v>599</v>
      </c>
      <c r="B579" s="3" t="s">
        <v>1266</v>
      </c>
      <c r="C579" s="4" t="s">
        <v>1267</v>
      </c>
      <c r="D579" s="2">
        <f t="shared" si="521"/>
        <v>123133.91271109592</v>
      </c>
      <c r="E579" s="5">
        <v>0</v>
      </c>
      <c r="F579" s="5">
        <v>123133.91271109592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f t="shared" ref="W579:AH579" si="585">IF(OR((SLOPE($E579:$V579,$E$1:$V$1)*W$1+INTERCEPT($E579:$V579,$E$1:$V$1))&gt;(AVERAGE($E579:$V579)+_xlfn.STDEV.P($E579:$V579)),(SLOPE($E579:$V579,$E$1:$V$1)*W$1+INTERCEPT($E579:$V579,$E$1:$V$1))&lt;(AVERAGE($E579:$V579)-_xlfn.STDEV.P($E579:$V579))),V579,(SLOPE($E579:$V579,$E$1:$V$1)*W$1+INTERCEPT($E579:$V579,$E$1:$V$1)))</f>
        <v>-11267.155411472828</v>
      </c>
      <c r="X579" s="5">
        <f t="shared" si="585"/>
        <v>-13173.253131458834</v>
      </c>
      <c r="Y579" s="5">
        <f t="shared" si="585"/>
        <v>-15079.35085144484</v>
      </c>
      <c r="Z579" s="5">
        <f t="shared" si="585"/>
        <v>-16985.448571430847</v>
      </c>
      <c r="AA579" s="5">
        <f t="shared" si="585"/>
        <v>-18891.546291416853</v>
      </c>
      <c r="AB579" s="5">
        <f t="shared" si="585"/>
        <v>-20797.644011402859</v>
      </c>
      <c r="AC579" s="5">
        <f t="shared" si="585"/>
        <v>-20797.644011402859</v>
      </c>
      <c r="AD579" s="5">
        <f t="shared" si="585"/>
        <v>-20797.644011402859</v>
      </c>
      <c r="AE579" s="5">
        <f t="shared" si="585"/>
        <v>-20797.644011402859</v>
      </c>
      <c r="AF579" s="5">
        <f t="shared" si="585"/>
        <v>-20797.644011402859</v>
      </c>
      <c r="AG579" s="5">
        <f t="shared" si="585"/>
        <v>-20797.644011402859</v>
      </c>
      <c r="AH579" s="5">
        <f t="shared" si="585"/>
        <v>-20797.644011402859</v>
      </c>
    </row>
    <row r="580" spans="1:34" x14ac:dyDescent="0.35">
      <c r="A580" t="s">
        <v>600</v>
      </c>
      <c r="B580" s="3" t="s">
        <v>1264</v>
      </c>
      <c r="C580" s="4" t="s">
        <v>1263</v>
      </c>
      <c r="D580" s="2">
        <f t="shared" ref="D580:D643" si="586">SUM(E580:V580)</f>
        <v>123123.96599999997</v>
      </c>
      <c r="E580" s="5">
        <v>2302.0199999999995</v>
      </c>
      <c r="F580" s="5">
        <v>9932.7900000000009</v>
      </c>
      <c r="G580" s="5">
        <v>7136.2619999999988</v>
      </c>
      <c r="H580" s="5">
        <v>27112.679999999997</v>
      </c>
      <c r="I580" s="5">
        <v>2643.0599999999995</v>
      </c>
      <c r="J580" s="5">
        <v>57405.55799999999</v>
      </c>
      <c r="K580" s="5">
        <v>383.6699999999999</v>
      </c>
      <c r="L580" s="5">
        <v>1466.4719999999998</v>
      </c>
      <c r="M580" s="5">
        <v>2012.1359999999993</v>
      </c>
      <c r="N580" s="5">
        <v>2191.1819999999998</v>
      </c>
      <c r="O580" s="5">
        <v>10529.609999999997</v>
      </c>
      <c r="P580" s="5">
        <v>8.525999999999998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f t="shared" ref="W580:AH580" si="587">IF(OR((SLOPE($E580:$V580,$E$1:$V$1)*W$1+INTERCEPT($E580:$V580,$E$1:$V$1))&gt;(AVERAGE($E580:$V580)+_xlfn.STDEV.P($E580:$V580)),(SLOPE($E580:$V580,$E$1:$V$1)*W$1+INTERCEPT($E580:$V580,$E$1:$V$1))&lt;(AVERAGE($E580:$V580)-_xlfn.STDEV.P($E580:$V580))),V580,(SLOPE($E580:$V580,$E$1:$V$1)*W$1+INTERCEPT($E580:$V580,$E$1:$V$1)))</f>
        <v>-2760.4736078431379</v>
      </c>
      <c r="X580" s="5">
        <f t="shared" si="587"/>
        <v>-3771.0729700722404</v>
      </c>
      <c r="Y580" s="5">
        <f t="shared" si="587"/>
        <v>-4781.6723323013393</v>
      </c>
      <c r="Z580" s="5">
        <f t="shared" si="587"/>
        <v>-5792.2716945304419</v>
      </c>
      <c r="AA580" s="5">
        <f t="shared" si="587"/>
        <v>-6802.8710567595444</v>
      </c>
      <c r="AB580" s="5">
        <f t="shared" si="587"/>
        <v>-6802.8710567595444</v>
      </c>
      <c r="AC580" s="5">
        <f t="shared" si="587"/>
        <v>-6802.8710567595444</v>
      </c>
      <c r="AD580" s="5">
        <f t="shared" si="587"/>
        <v>-6802.8710567595444</v>
      </c>
      <c r="AE580" s="5">
        <f t="shared" si="587"/>
        <v>-6802.8710567595444</v>
      </c>
      <c r="AF580" s="5">
        <f t="shared" si="587"/>
        <v>-6802.8710567595444</v>
      </c>
      <c r="AG580" s="5">
        <f t="shared" si="587"/>
        <v>-6802.8710567595444</v>
      </c>
      <c r="AH580" s="5">
        <f t="shared" si="587"/>
        <v>-6802.8710567595444</v>
      </c>
    </row>
    <row r="581" spans="1:34" x14ac:dyDescent="0.35">
      <c r="A581" t="s">
        <v>601</v>
      </c>
      <c r="B581" s="3" t="s">
        <v>1266</v>
      </c>
      <c r="C581" s="4" t="s">
        <v>1266</v>
      </c>
      <c r="D581" s="2">
        <f t="shared" si="586"/>
        <v>123119.85280655875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123119.85280655875</v>
      </c>
      <c r="S581" s="5">
        <v>0</v>
      </c>
      <c r="T581" s="5">
        <v>0</v>
      </c>
      <c r="U581" s="5">
        <v>0</v>
      </c>
      <c r="V581" s="5">
        <v>0</v>
      </c>
      <c r="W581" s="5">
        <f t="shared" ref="W581:AH581" si="588">IF(OR((SLOPE($E581:$V581,$E$1:$V$1)*W$1+INTERCEPT($E581:$V581,$E$1:$V$1))&gt;(AVERAGE($E581:$V581)+_xlfn.STDEV.P($E581:$V581)),(SLOPE($E581:$V581,$E$1:$V$1)*W$1+INTERCEPT($E581:$V581,$E$1:$V$1))&lt;(AVERAGE($E581:$V581)-_xlfn.STDEV.P($E581:$V581))),V581,(SLOPE($E581:$V581,$E$1:$V$1)*W$1+INTERCEPT($E581:$V581,$E$1:$V$1)))</f>
        <v>17703.508246694721</v>
      </c>
      <c r="X581" s="5">
        <f t="shared" si="588"/>
        <v>18847.036291337681</v>
      </c>
      <c r="Y581" s="5">
        <f t="shared" si="588"/>
        <v>19990.564335980642</v>
      </c>
      <c r="Z581" s="5">
        <f t="shared" si="588"/>
        <v>21134.092380623602</v>
      </c>
      <c r="AA581" s="5">
        <f t="shared" si="588"/>
        <v>22277.620425266563</v>
      </c>
      <c r="AB581" s="5">
        <f t="shared" si="588"/>
        <v>23421.14846990952</v>
      </c>
      <c r="AC581" s="5">
        <f t="shared" si="588"/>
        <v>24564.676514552481</v>
      </c>
      <c r="AD581" s="5">
        <f t="shared" si="588"/>
        <v>25708.204559195441</v>
      </c>
      <c r="AE581" s="5">
        <f t="shared" si="588"/>
        <v>26851.732603838402</v>
      </c>
      <c r="AF581" s="5">
        <f t="shared" si="588"/>
        <v>27995.260648481362</v>
      </c>
      <c r="AG581" s="5">
        <f t="shared" si="588"/>
        <v>29138.788693124323</v>
      </c>
      <c r="AH581" s="5">
        <f t="shared" si="588"/>
        <v>30282.316737767283</v>
      </c>
    </row>
    <row r="582" spans="1:34" x14ac:dyDescent="0.35">
      <c r="A582" t="s">
        <v>602</v>
      </c>
      <c r="B582" s="3" t="s">
        <v>1264</v>
      </c>
      <c r="C582" s="4" t="s">
        <v>1263</v>
      </c>
      <c r="D582" s="2">
        <f t="shared" si="586"/>
        <v>122318.84038499992</v>
      </c>
      <c r="E582" s="5">
        <v>0</v>
      </c>
      <c r="F582" s="5">
        <v>0</v>
      </c>
      <c r="G582" s="5">
        <v>14608.994063999993</v>
      </c>
      <c r="H582" s="5">
        <v>35105.66461499998</v>
      </c>
      <c r="I582" s="5">
        <v>25376.830205999981</v>
      </c>
      <c r="J582" s="5">
        <v>29217.988127999979</v>
      </c>
      <c r="K582" s="5">
        <v>5415.402971999998</v>
      </c>
      <c r="L582" s="5">
        <v>1574.2450499999993</v>
      </c>
      <c r="M582" s="5">
        <v>2991.0655949999987</v>
      </c>
      <c r="N582" s="5">
        <v>0</v>
      </c>
      <c r="O582" s="5">
        <v>125.93960399999995</v>
      </c>
      <c r="P582" s="5">
        <v>850.09232699999961</v>
      </c>
      <c r="Q582" s="5">
        <v>1700.1846539999992</v>
      </c>
      <c r="R582" s="5">
        <v>1574.2450499999993</v>
      </c>
      <c r="S582" s="5">
        <v>944.54702999999949</v>
      </c>
      <c r="T582" s="5">
        <v>0</v>
      </c>
      <c r="U582" s="5">
        <v>1574.2450499999993</v>
      </c>
      <c r="V582" s="5">
        <v>1259.3960399999994</v>
      </c>
      <c r="W582" s="5">
        <f t="shared" ref="W582:AH582" si="589">IF(OR((SLOPE($E582:$V582,$E$1:$V$1)*W$1+INTERCEPT($E582:$V582,$E$1:$V$1))&gt;(AVERAGE($E582:$V582)+_xlfn.STDEV.P($E582:$V582)),(SLOPE($E582:$V582,$E$1:$V$1)*W$1+INTERCEPT($E582:$V582,$E$1:$V$1))&lt;(AVERAGE($E582:$V582)-_xlfn.STDEV.P($E582:$V582))),V582,(SLOPE($E582:$V582,$E$1:$V$1)*W$1+INTERCEPT($E582:$V582,$E$1:$V$1)))</f>
        <v>-2593.4915509999992</v>
      </c>
      <c r="X582" s="5">
        <f t="shared" si="589"/>
        <v>-3581.8055176842099</v>
      </c>
      <c r="Y582" s="5">
        <f t="shared" si="589"/>
        <v>-3581.8055176842099</v>
      </c>
      <c r="Z582" s="5">
        <f t="shared" si="589"/>
        <v>-3581.8055176842099</v>
      </c>
      <c r="AA582" s="5">
        <f t="shared" si="589"/>
        <v>-3581.8055176842099</v>
      </c>
      <c r="AB582" s="5">
        <f t="shared" si="589"/>
        <v>-3581.8055176842099</v>
      </c>
      <c r="AC582" s="5">
        <f t="shared" si="589"/>
        <v>-3581.8055176842099</v>
      </c>
      <c r="AD582" s="5">
        <f t="shared" si="589"/>
        <v>-3581.8055176842099</v>
      </c>
      <c r="AE582" s="5">
        <f t="shared" si="589"/>
        <v>-3581.8055176842099</v>
      </c>
      <c r="AF582" s="5">
        <f t="shared" si="589"/>
        <v>-3581.8055176842099</v>
      </c>
      <c r="AG582" s="5">
        <f t="shared" si="589"/>
        <v>-3581.8055176842099</v>
      </c>
      <c r="AH582" s="5">
        <f t="shared" si="589"/>
        <v>-3581.8055176842099</v>
      </c>
    </row>
    <row r="583" spans="1:34" x14ac:dyDescent="0.35">
      <c r="A583" t="s">
        <v>603</v>
      </c>
      <c r="B583" s="3" t="s">
        <v>1265</v>
      </c>
      <c r="C583" s="4" t="s">
        <v>1263</v>
      </c>
      <c r="D583" s="2">
        <f t="shared" si="586"/>
        <v>121855.23839999999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121855.23839999999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f t="shared" ref="W583:AH583" si="590">IF(OR((SLOPE($E583:$V583,$E$1:$V$1)*W$1+INTERCEPT($E583:$V583,$E$1:$V$1))&gt;(AVERAGE($E583:$V583)+_xlfn.STDEV.P($E583:$V583)),(SLOPE($E583:$V583,$E$1:$V$1)*W$1+INTERCEPT($E583:$V583,$E$1:$V$1))&lt;(AVERAGE($E583:$V583)-_xlfn.STDEV.P($E583:$V583))),V583,(SLOPE($E583:$V583,$E$1:$V$1)*W$1+INTERCEPT($E583:$V583,$E$1:$V$1)))</f>
        <v>12743.031466666667</v>
      </c>
      <c r="X583" s="5">
        <f t="shared" si="590"/>
        <v>13371.799466666667</v>
      </c>
      <c r="Y583" s="5">
        <f t="shared" si="590"/>
        <v>14000.567466666667</v>
      </c>
      <c r="Z583" s="5">
        <f t="shared" si="590"/>
        <v>14629.335466666667</v>
      </c>
      <c r="AA583" s="5">
        <f t="shared" si="590"/>
        <v>15258.103466666667</v>
      </c>
      <c r="AB583" s="5">
        <f t="shared" si="590"/>
        <v>15886.871466666669</v>
      </c>
      <c r="AC583" s="5">
        <f t="shared" si="590"/>
        <v>16515.639466666667</v>
      </c>
      <c r="AD583" s="5">
        <f t="shared" si="590"/>
        <v>17144.407466666671</v>
      </c>
      <c r="AE583" s="5">
        <f t="shared" si="590"/>
        <v>17773.175466666667</v>
      </c>
      <c r="AF583" s="5">
        <f t="shared" si="590"/>
        <v>18401.943466666671</v>
      </c>
      <c r="AG583" s="5">
        <f t="shared" si="590"/>
        <v>19030.711466666668</v>
      </c>
      <c r="AH583" s="5">
        <f t="shared" si="590"/>
        <v>19659.479466666671</v>
      </c>
    </row>
    <row r="584" spans="1:34" x14ac:dyDescent="0.35">
      <c r="A584" t="s">
        <v>604</v>
      </c>
      <c r="B584" s="3" t="s">
        <v>1266</v>
      </c>
      <c r="C584" s="4" t="s">
        <v>1267</v>
      </c>
      <c r="D584" s="2">
        <f t="shared" si="586"/>
        <v>121141.14646756982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38441.235392713083</v>
      </c>
      <c r="L584" s="5">
        <v>0</v>
      </c>
      <c r="M584" s="5">
        <v>0</v>
      </c>
      <c r="N584" s="5">
        <v>0</v>
      </c>
      <c r="O584" s="5">
        <v>41029.611909155763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41670.299165700984</v>
      </c>
      <c r="W584" s="5">
        <f t="shared" ref="W584:AH584" si="591">IF(OR((SLOPE($E584:$V584,$E$1:$V$1)*W$1+INTERCEPT($E584:$V584,$E$1:$V$1))&gt;(AVERAGE($E584:$V584)+_xlfn.STDEV.P($E584:$V584)),(SLOPE($E584:$V584,$E$1:$V$1)*W$1+INTERCEPT($E584:$V584,$E$1:$V$1))&lt;(AVERAGE($E584:$V584)-_xlfn.STDEV.P($E584:$V584))),V584,(SLOPE($E584:$V584,$E$1:$V$1)*W$1+INTERCEPT($E584:$V584,$E$1:$V$1)))</f>
        <v>12997.492561082163</v>
      </c>
      <c r="X584" s="5">
        <f t="shared" si="591"/>
        <v>13657.221915654733</v>
      </c>
      <c r="Y584" s="5">
        <f t="shared" si="591"/>
        <v>14316.951270227299</v>
      </c>
      <c r="Z584" s="5">
        <f t="shared" si="591"/>
        <v>14976.680624799868</v>
      </c>
      <c r="AA584" s="5">
        <f t="shared" si="591"/>
        <v>15636.409979372434</v>
      </c>
      <c r="AB584" s="5">
        <f t="shared" si="591"/>
        <v>16296.139333945004</v>
      </c>
      <c r="AC584" s="5">
        <f t="shared" si="591"/>
        <v>16955.86868851757</v>
      </c>
      <c r="AD584" s="5">
        <f t="shared" si="591"/>
        <v>17615.59804309014</v>
      </c>
      <c r="AE584" s="5">
        <f t="shared" si="591"/>
        <v>18275.327397662706</v>
      </c>
      <c r="AF584" s="5">
        <f t="shared" si="591"/>
        <v>18935.056752235276</v>
      </c>
      <c r="AG584" s="5">
        <f t="shared" si="591"/>
        <v>19594.786106807842</v>
      </c>
      <c r="AH584" s="5">
        <f t="shared" si="591"/>
        <v>20254.515461380412</v>
      </c>
    </row>
    <row r="585" spans="1:34" x14ac:dyDescent="0.35">
      <c r="A585" t="s">
        <v>605</v>
      </c>
      <c r="B585" s="3" t="s">
        <v>1265</v>
      </c>
      <c r="C585" s="4" t="s">
        <v>1263</v>
      </c>
      <c r="D585" s="2">
        <f t="shared" si="586"/>
        <v>121111.13671629148</v>
      </c>
      <c r="E585" s="5">
        <v>2333.3873447025121</v>
      </c>
      <c r="F585" s="5">
        <v>3111.1831262700161</v>
      </c>
      <c r="G585" s="5">
        <v>17222.620877566162</v>
      </c>
      <c r="H585" s="5">
        <v>0</v>
      </c>
      <c r="I585" s="5">
        <v>3888.9789078375202</v>
      </c>
      <c r="J585" s="5">
        <v>0</v>
      </c>
      <c r="K585" s="5">
        <v>0</v>
      </c>
      <c r="L585" s="5">
        <v>4719.5536888685328</v>
      </c>
      <c r="M585" s="5">
        <v>0</v>
      </c>
      <c r="N585" s="5">
        <v>34611.912279753931</v>
      </c>
      <c r="O585" s="5">
        <v>0</v>
      </c>
      <c r="P585" s="5">
        <v>38889.789078375201</v>
      </c>
      <c r="Q585" s="5">
        <v>4666.7746894050242</v>
      </c>
      <c r="R585" s="5">
        <v>0</v>
      </c>
      <c r="S585" s="5">
        <v>5833.4683617562796</v>
      </c>
      <c r="T585" s="5">
        <v>0</v>
      </c>
      <c r="U585" s="5">
        <v>5833.4683617562796</v>
      </c>
      <c r="V585" s="5">
        <v>0</v>
      </c>
      <c r="W585" s="5">
        <f t="shared" ref="W585:AH585" si="592">IF(OR((SLOPE($E585:$V585,$E$1:$V$1)*W$1+INTERCEPT($E585:$V585,$E$1:$V$1))&gt;(AVERAGE($E585:$V585)+_xlfn.STDEV.P($E585:$V585)),(SLOPE($E585:$V585,$E$1:$V$1)*W$1+INTERCEPT($E585:$V585,$E$1:$V$1))&lt;(AVERAGE($E585:$V585)-_xlfn.STDEV.P($E585:$V585))),V585,(SLOPE($E585:$V585,$E$1:$V$1)*W$1+INTERCEPT($E585:$V585,$E$1:$V$1)))</f>
        <v>7257.9022048622601</v>
      </c>
      <c r="X585" s="5">
        <f t="shared" si="592"/>
        <v>7313.6396491384539</v>
      </c>
      <c r="Y585" s="5">
        <f t="shared" si="592"/>
        <v>7369.3770934146487</v>
      </c>
      <c r="Z585" s="5">
        <f t="shared" si="592"/>
        <v>7425.1145376908426</v>
      </c>
      <c r="AA585" s="5">
        <f t="shared" si="592"/>
        <v>7480.8519819670364</v>
      </c>
      <c r="AB585" s="5">
        <f t="shared" si="592"/>
        <v>7536.5894262432303</v>
      </c>
      <c r="AC585" s="5">
        <f t="shared" si="592"/>
        <v>7592.326870519425</v>
      </c>
      <c r="AD585" s="5">
        <f t="shared" si="592"/>
        <v>7648.0643147956189</v>
      </c>
      <c r="AE585" s="5">
        <f t="shared" si="592"/>
        <v>7703.8017590718127</v>
      </c>
      <c r="AF585" s="5">
        <f t="shared" si="592"/>
        <v>7759.5392033480075</v>
      </c>
      <c r="AG585" s="5">
        <f t="shared" si="592"/>
        <v>7815.2766476242014</v>
      </c>
      <c r="AH585" s="5">
        <f t="shared" si="592"/>
        <v>7871.0140919003952</v>
      </c>
    </row>
    <row r="586" spans="1:34" x14ac:dyDescent="0.35">
      <c r="A586" t="s">
        <v>606</v>
      </c>
      <c r="B586" s="3" t="s">
        <v>1265</v>
      </c>
      <c r="C586" s="4" t="s">
        <v>1263</v>
      </c>
      <c r="D586" s="2">
        <f t="shared" si="586"/>
        <v>119877.3243481786</v>
      </c>
      <c r="E586" s="5">
        <v>0</v>
      </c>
      <c r="F586" s="5">
        <v>0</v>
      </c>
      <c r="G586" s="5">
        <v>0</v>
      </c>
      <c r="H586" s="5">
        <v>66647.976613735373</v>
      </c>
      <c r="I586" s="5">
        <v>0</v>
      </c>
      <c r="J586" s="5">
        <v>18887.833067060499</v>
      </c>
      <c r="K586" s="5">
        <v>34341.514667382733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f t="shared" ref="W586:AH586" si="593">IF(OR((SLOPE($E586:$V586,$E$1:$V$1)*W$1+INTERCEPT($E586:$V586,$E$1:$V$1))&gt;(AVERAGE($E586:$V586)+_xlfn.STDEV.P($E586:$V586)),(SLOPE($E586:$V586,$E$1:$V$1)*W$1+INTERCEPT($E586:$V586,$E$1:$V$1))&lt;(AVERAGE($E586:$V586)-_xlfn.STDEV.P($E586:$V586))),V586,(SLOPE($E586:$V586,$E$1:$V$1)*W$1+INTERCEPT($E586:$V586,$E$1:$V$1)))</f>
        <v>-3507.306956709941</v>
      </c>
      <c r="X586" s="5">
        <f t="shared" si="593"/>
        <v>-4577.534147171682</v>
      </c>
      <c r="Y586" s="5">
        <f t="shared" si="593"/>
        <v>-5647.761337633423</v>
      </c>
      <c r="Z586" s="5">
        <f t="shared" si="593"/>
        <v>-6717.9885280951639</v>
      </c>
      <c r="AA586" s="5">
        <f t="shared" si="593"/>
        <v>-7788.2157185569049</v>
      </c>
      <c r="AB586" s="5">
        <f t="shared" si="593"/>
        <v>-8858.4429090186459</v>
      </c>
      <c r="AC586" s="5">
        <f t="shared" si="593"/>
        <v>-9928.6700994803832</v>
      </c>
      <c r="AD586" s="5">
        <f t="shared" si="593"/>
        <v>-9928.6700994803832</v>
      </c>
      <c r="AE586" s="5">
        <f t="shared" si="593"/>
        <v>-9928.6700994803832</v>
      </c>
      <c r="AF586" s="5">
        <f t="shared" si="593"/>
        <v>-9928.6700994803832</v>
      </c>
      <c r="AG586" s="5">
        <f t="shared" si="593"/>
        <v>-9928.6700994803832</v>
      </c>
      <c r="AH586" s="5">
        <f t="shared" si="593"/>
        <v>-9928.6700994803832</v>
      </c>
    </row>
    <row r="587" spans="1:34" x14ac:dyDescent="0.35">
      <c r="A587" t="s">
        <v>607</v>
      </c>
      <c r="B587" s="3" t="s">
        <v>1266</v>
      </c>
      <c r="C587" s="4" t="s">
        <v>1266</v>
      </c>
      <c r="D587" s="2">
        <f t="shared" si="586"/>
        <v>118707.35396230053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118707.35396230053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f t="shared" ref="W587:AH587" si="594">IF(OR((SLOPE($E587:$V587,$E$1:$V$1)*W$1+INTERCEPT($E587:$V587,$E$1:$V$1))&gt;(AVERAGE($E587:$V587)+_xlfn.STDEV.P($E587:$V587)),(SLOPE($E587:$V587,$E$1:$V$1)*W$1+INTERCEPT($E587:$V587,$E$1:$V$1))&lt;(AVERAGE($E587:$V587)-_xlfn.STDEV.P($E587:$V587))),V587,(SLOPE($E587:$V587,$E$1:$V$1)*W$1+INTERCEPT($E587:$V587,$E$1:$V$1)))</f>
        <v>12413.840937234041</v>
      </c>
      <c r="X587" s="5">
        <f t="shared" si="594"/>
        <v>13026.365983479142</v>
      </c>
      <c r="Y587" s="5">
        <f t="shared" si="594"/>
        <v>13638.891029724244</v>
      </c>
      <c r="Z587" s="5">
        <f t="shared" si="594"/>
        <v>14251.416075969344</v>
      </c>
      <c r="AA587" s="5">
        <f t="shared" si="594"/>
        <v>14863.941122214444</v>
      </c>
      <c r="AB587" s="5">
        <f t="shared" si="594"/>
        <v>15476.466168459545</v>
      </c>
      <c r="AC587" s="5">
        <f t="shared" si="594"/>
        <v>16088.991214704645</v>
      </c>
      <c r="AD587" s="5">
        <f t="shared" si="594"/>
        <v>16701.516260949746</v>
      </c>
      <c r="AE587" s="5">
        <f t="shared" si="594"/>
        <v>17314.04130719485</v>
      </c>
      <c r="AF587" s="5">
        <f t="shared" si="594"/>
        <v>17926.56635343995</v>
      </c>
      <c r="AG587" s="5">
        <f t="shared" si="594"/>
        <v>18539.09139968505</v>
      </c>
      <c r="AH587" s="5">
        <f t="shared" si="594"/>
        <v>19151.616445930151</v>
      </c>
    </row>
    <row r="588" spans="1:34" x14ac:dyDescent="0.35">
      <c r="A588" t="s">
        <v>608</v>
      </c>
      <c r="B588" s="3" t="s">
        <v>1266</v>
      </c>
      <c r="C588" s="4" t="s">
        <v>1263</v>
      </c>
      <c r="D588" s="2">
        <f t="shared" si="586"/>
        <v>118083.23326924683</v>
      </c>
      <c r="E588" s="5">
        <v>0</v>
      </c>
      <c r="F588" s="5">
        <v>0</v>
      </c>
      <c r="G588" s="5">
        <v>0</v>
      </c>
      <c r="H588" s="5">
        <v>0</v>
      </c>
      <c r="I588" s="5">
        <v>20500.561331466462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72377.771269198449</v>
      </c>
      <c r="Q588" s="5">
        <v>0</v>
      </c>
      <c r="R588" s="5">
        <v>0</v>
      </c>
      <c r="S588" s="5">
        <v>0</v>
      </c>
      <c r="T588" s="5">
        <v>25204.900668581922</v>
      </c>
      <c r="U588" s="5">
        <v>0</v>
      </c>
      <c r="V588" s="5">
        <v>0</v>
      </c>
      <c r="W588" s="5">
        <f t="shared" ref="W588:AH588" si="595">IF(OR((SLOPE($E588:$V588,$E$1:$V$1)*W$1+INTERCEPT($E588:$V588,$E$1:$V$1))&gt;(AVERAGE($E588:$V588)+_xlfn.STDEV.P($E588:$V588)),(SLOPE($E588:$V588,$E$1:$V$1)*W$1+INTERCEPT($E588:$V588,$E$1:$V$1))&lt;(AVERAGE($E588:$V588)-_xlfn.STDEV.P($E588:$V588))),V588,(SLOPE($E588:$V588,$E$1:$V$1)*W$1+INTERCEPT($E588:$V588,$E$1:$V$1)))</f>
        <v>11511.625832484555</v>
      </c>
      <c r="X588" s="5">
        <f t="shared" si="595"/>
        <v>12032.830696317742</v>
      </c>
      <c r="Y588" s="5">
        <f t="shared" si="595"/>
        <v>12554.035560150929</v>
      </c>
      <c r="Z588" s="5">
        <f t="shared" si="595"/>
        <v>13075.240423984118</v>
      </c>
      <c r="AA588" s="5">
        <f t="shared" si="595"/>
        <v>13596.445287817307</v>
      </c>
      <c r="AB588" s="5">
        <f t="shared" si="595"/>
        <v>14117.650151650494</v>
      </c>
      <c r="AC588" s="5">
        <f t="shared" si="595"/>
        <v>14638.855015483681</v>
      </c>
      <c r="AD588" s="5">
        <f t="shared" si="595"/>
        <v>15160.05987931687</v>
      </c>
      <c r="AE588" s="5">
        <f t="shared" si="595"/>
        <v>15681.264743150059</v>
      </c>
      <c r="AF588" s="5">
        <f t="shared" si="595"/>
        <v>16202.469606983246</v>
      </c>
      <c r="AG588" s="5">
        <f t="shared" si="595"/>
        <v>16723.674470816433</v>
      </c>
      <c r="AH588" s="5">
        <f t="shared" si="595"/>
        <v>17244.879334649624</v>
      </c>
    </row>
    <row r="589" spans="1:34" x14ac:dyDescent="0.35">
      <c r="A589" t="s">
        <v>609</v>
      </c>
      <c r="B589" s="3" t="s">
        <v>1264</v>
      </c>
      <c r="C589" s="4" t="s">
        <v>1263</v>
      </c>
      <c r="D589" s="2">
        <f t="shared" si="586"/>
        <v>117605.39860135724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117605.39860135724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f t="shared" ref="W589:AH589" si="596">IF(OR((SLOPE($E589:$V589,$E$1:$V$1)*W$1+INTERCEPT($E589:$V589,$E$1:$V$1))&gt;(AVERAGE($E589:$V589)+_xlfn.STDEV.P($E589:$V589)),(SLOPE($E589:$V589,$E$1:$V$1)*W$1+INTERCEPT($E589:$V589,$E$1:$V$1))&lt;(AVERAGE($E589:$V589)-_xlfn.STDEV.P($E589:$V589))),V589,(SLOPE($E589:$V589,$E$1:$V$1)*W$1+INTERCEPT($E589:$V589,$E$1:$V$1)))</f>
        <v>768.66273595658276</v>
      </c>
      <c r="X589" s="5">
        <f t="shared" si="596"/>
        <v>161.82373388559608</v>
      </c>
      <c r="Y589" s="5">
        <f t="shared" si="596"/>
        <v>-445.0152681853906</v>
      </c>
      <c r="Z589" s="5">
        <f t="shared" si="596"/>
        <v>-1051.8542702563773</v>
      </c>
      <c r="AA589" s="5">
        <f t="shared" si="596"/>
        <v>-1658.693272327364</v>
      </c>
      <c r="AB589" s="5">
        <f t="shared" si="596"/>
        <v>-2265.5322743983525</v>
      </c>
      <c r="AC589" s="5">
        <f t="shared" si="596"/>
        <v>-2872.3712764693391</v>
      </c>
      <c r="AD589" s="5">
        <f t="shared" si="596"/>
        <v>-3479.2102785403258</v>
      </c>
      <c r="AE589" s="5">
        <f t="shared" si="596"/>
        <v>-4086.0492806113107</v>
      </c>
      <c r="AF589" s="5">
        <f t="shared" si="596"/>
        <v>-4692.8882826822992</v>
      </c>
      <c r="AG589" s="5">
        <f t="shared" si="596"/>
        <v>-5299.727284753284</v>
      </c>
      <c r="AH589" s="5">
        <f t="shared" si="596"/>
        <v>-5906.5662868242725</v>
      </c>
    </row>
    <row r="590" spans="1:34" x14ac:dyDescent="0.35">
      <c r="A590" t="s">
        <v>610</v>
      </c>
      <c r="B590" s="3" t="s">
        <v>1264</v>
      </c>
      <c r="C590" s="4" t="s">
        <v>1263</v>
      </c>
      <c r="D590" s="2">
        <f t="shared" si="586"/>
        <v>117113.78346133066</v>
      </c>
      <c r="E590" s="5">
        <v>0</v>
      </c>
      <c r="F590" s="5">
        <v>0</v>
      </c>
      <c r="G590" s="5">
        <v>0</v>
      </c>
      <c r="H590" s="5">
        <v>45355.087338005455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45417.2459775733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26341.450145751911</v>
      </c>
      <c r="V590" s="5">
        <v>0</v>
      </c>
      <c r="W590" s="5">
        <f t="shared" ref="W590:AH590" si="597">IF(OR((SLOPE($E590:$V590,$E$1:$V$1)*W$1+INTERCEPT($E590:$V590,$E$1:$V$1))&gt;(AVERAGE($E590:$V590)+_xlfn.STDEV.P($E590:$V590)),(SLOPE($E590:$V590,$E$1:$V$1)*W$1+INTERCEPT($E590:$V590,$E$1:$V$1))&lt;(AVERAGE($E590:$V590)-_xlfn.STDEV.P($E590:$V590))),V590,(SLOPE($E590:$V590,$E$1:$V$1)*W$1+INTERCEPT($E590:$V590,$E$1:$V$1)))</f>
        <v>6824.6304151811673</v>
      </c>
      <c r="X590" s="5">
        <f t="shared" si="597"/>
        <v>6858.136637473157</v>
      </c>
      <c r="Y590" s="5">
        <f t="shared" si="597"/>
        <v>6891.6428597651475</v>
      </c>
      <c r="Z590" s="5">
        <f t="shared" si="597"/>
        <v>6925.149082057138</v>
      </c>
      <c r="AA590" s="5">
        <f t="shared" si="597"/>
        <v>6958.6553043491285</v>
      </c>
      <c r="AB590" s="5">
        <f t="shared" si="597"/>
        <v>6992.1615266411181</v>
      </c>
      <c r="AC590" s="5">
        <f t="shared" si="597"/>
        <v>7025.6677489331087</v>
      </c>
      <c r="AD590" s="5">
        <f t="shared" si="597"/>
        <v>7059.1739712250992</v>
      </c>
      <c r="AE590" s="5">
        <f t="shared" si="597"/>
        <v>7092.6801935170897</v>
      </c>
      <c r="AF590" s="5">
        <f t="shared" si="597"/>
        <v>7126.1864158090793</v>
      </c>
      <c r="AG590" s="5">
        <f t="shared" si="597"/>
        <v>7159.6926381010699</v>
      </c>
      <c r="AH590" s="5">
        <f t="shared" si="597"/>
        <v>7193.1988603930604</v>
      </c>
    </row>
    <row r="591" spans="1:34" x14ac:dyDescent="0.35">
      <c r="A591" t="s">
        <v>611</v>
      </c>
      <c r="B591" s="3" t="s">
        <v>1265</v>
      </c>
      <c r="C591" s="4" t="s">
        <v>1263</v>
      </c>
      <c r="D591" s="2">
        <f t="shared" si="586"/>
        <v>116898.59439999999</v>
      </c>
      <c r="E591" s="5">
        <v>0</v>
      </c>
      <c r="F591" s="5">
        <v>0</v>
      </c>
      <c r="G591" s="5">
        <v>3878.9183999999991</v>
      </c>
      <c r="H591" s="5">
        <v>47597.561199999996</v>
      </c>
      <c r="I591" s="5">
        <v>4756.2927999999993</v>
      </c>
      <c r="J591" s="5">
        <v>1350.6947999999998</v>
      </c>
      <c r="K591" s="5">
        <v>1339.1503999999998</v>
      </c>
      <c r="L591" s="5">
        <v>3832.7407999999991</v>
      </c>
      <c r="M591" s="5">
        <v>2112.6251999999999</v>
      </c>
      <c r="N591" s="5">
        <v>2308.8799999999992</v>
      </c>
      <c r="O591" s="5">
        <v>2447.4127999999992</v>
      </c>
      <c r="P591" s="5">
        <v>24889.7264</v>
      </c>
      <c r="Q591" s="5">
        <v>184.71039999999996</v>
      </c>
      <c r="R591" s="5">
        <v>184.71039999999996</v>
      </c>
      <c r="S591" s="5">
        <v>19025.171199999997</v>
      </c>
      <c r="T591" s="5">
        <v>184.71039999999996</v>
      </c>
      <c r="U591" s="5">
        <v>2574.4011999999998</v>
      </c>
      <c r="V591" s="5">
        <v>230.88799999999995</v>
      </c>
      <c r="W591" s="5">
        <f t="shared" ref="W591:AH591" si="598">IF(OR((SLOPE($E591:$V591,$E$1:$V$1)*W$1+INTERCEPT($E591:$V591,$E$1:$V$1))&gt;(AVERAGE($E591:$V591)+_xlfn.STDEV.P($E591:$V591)),(SLOPE($E591:$V591,$E$1:$V$1)*W$1+INTERCEPT($E591:$V591,$E$1:$V$1))&lt;(AVERAGE($E591:$V591)-_xlfn.STDEV.P($E591:$V591))),V591,(SLOPE($E591:$V591,$E$1:$V$1)*W$1+INTERCEPT($E591:$V591,$E$1:$V$1)))</f>
        <v>3991.4951633986921</v>
      </c>
      <c r="X591" s="5">
        <f t="shared" si="598"/>
        <v>3728.0350379084957</v>
      </c>
      <c r="Y591" s="5">
        <f t="shared" si="598"/>
        <v>3464.5749124183003</v>
      </c>
      <c r="Z591" s="5">
        <f t="shared" si="598"/>
        <v>3201.114786928104</v>
      </c>
      <c r="AA591" s="5">
        <f t="shared" si="598"/>
        <v>2937.6546614379076</v>
      </c>
      <c r="AB591" s="5">
        <f t="shared" si="598"/>
        <v>2674.1945359477122</v>
      </c>
      <c r="AC591" s="5">
        <f t="shared" si="598"/>
        <v>2410.7344104575159</v>
      </c>
      <c r="AD591" s="5">
        <f t="shared" si="598"/>
        <v>2147.2742849673195</v>
      </c>
      <c r="AE591" s="5">
        <f t="shared" si="598"/>
        <v>1883.8141594771232</v>
      </c>
      <c r="AF591" s="5">
        <f t="shared" si="598"/>
        <v>1620.3540339869278</v>
      </c>
      <c r="AG591" s="5">
        <f t="shared" si="598"/>
        <v>1356.8939084967315</v>
      </c>
      <c r="AH591" s="5">
        <f t="shared" si="598"/>
        <v>1093.4337830065351</v>
      </c>
    </row>
    <row r="592" spans="1:34" x14ac:dyDescent="0.35">
      <c r="A592" t="s">
        <v>612</v>
      </c>
      <c r="B592" s="3" t="s">
        <v>1265</v>
      </c>
      <c r="C592" s="4" t="s">
        <v>1263</v>
      </c>
      <c r="D592" s="2">
        <f t="shared" si="586"/>
        <v>116492.26679999998</v>
      </c>
      <c r="E592" s="5">
        <v>0</v>
      </c>
      <c r="F592" s="5">
        <v>6463.1195999999982</v>
      </c>
      <c r="G592" s="5">
        <v>9241.9488000000001</v>
      </c>
      <c r="H592" s="5">
        <v>6588.0107999999982</v>
      </c>
      <c r="I592" s="5">
        <v>3590.6220000000003</v>
      </c>
      <c r="J592" s="5">
        <v>2685.1608000000001</v>
      </c>
      <c r="K592" s="5">
        <v>4777.0883999999996</v>
      </c>
      <c r="L592" s="5">
        <v>5838.663599999998</v>
      </c>
      <c r="M592" s="5">
        <v>8742.3839999999982</v>
      </c>
      <c r="N592" s="5">
        <v>2747.6064000000001</v>
      </c>
      <c r="O592" s="5">
        <v>1405.0260000000001</v>
      </c>
      <c r="P592" s="5">
        <v>3902.8500000000004</v>
      </c>
      <c r="Q592" s="5">
        <v>0</v>
      </c>
      <c r="R592" s="5">
        <v>0</v>
      </c>
      <c r="S592" s="5">
        <v>0</v>
      </c>
      <c r="T592" s="5">
        <v>7306.1352000000006</v>
      </c>
      <c r="U592" s="5">
        <v>24509.897999999997</v>
      </c>
      <c r="V592" s="5">
        <v>28693.753199999996</v>
      </c>
      <c r="W592" s="5">
        <f t="shared" ref="W592:AH592" si="599">IF(OR((SLOPE($E592:$V592,$E$1:$V$1)*W$1+INTERCEPT($E592:$V592,$E$1:$V$1))&gt;(AVERAGE($E592:$V592)+_xlfn.STDEV.P($E592:$V592)),(SLOPE($E592:$V592,$E$1:$V$1)*W$1+INTERCEPT($E592:$V592,$E$1:$V$1))&lt;(AVERAGE($E592:$V592)-_xlfn.STDEV.P($E592:$V592))),V592,(SLOPE($E592:$V592,$E$1:$V$1)*W$1+INTERCEPT($E592:$V592,$E$1:$V$1)))</f>
        <v>12217.706117647058</v>
      </c>
      <c r="X592" s="5">
        <f t="shared" si="599"/>
        <v>12822.539119504643</v>
      </c>
      <c r="Y592" s="5">
        <f t="shared" si="599"/>
        <v>13427.372121362228</v>
      </c>
      <c r="Z592" s="5">
        <f t="shared" si="599"/>
        <v>14032.205123219814</v>
      </c>
      <c r="AA592" s="5">
        <f t="shared" si="599"/>
        <v>14032.205123219814</v>
      </c>
      <c r="AB592" s="5">
        <f t="shared" si="599"/>
        <v>14032.205123219814</v>
      </c>
      <c r="AC592" s="5">
        <f t="shared" si="599"/>
        <v>14032.205123219814</v>
      </c>
      <c r="AD592" s="5">
        <f t="shared" si="599"/>
        <v>14032.205123219814</v>
      </c>
      <c r="AE592" s="5">
        <f t="shared" si="599"/>
        <v>14032.205123219814</v>
      </c>
      <c r="AF592" s="5">
        <f t="shared" si="599"/>
        <v>14032.205123219814</v>
      </c>
      <c r="AG592" s="5">
        <f t="shared" si="599"/>
        <v>14032.205123219814</v>
      </c>
      <c r="AH592" s="5">
        <f t="shared" si="599"/>
        <v>14032.205123219814</v>
      </c>
    </row>
    <row r="593" spans="1:34" x14ac:dyDescent="0.35">
      <c r="A593" t="s">
        <v>613</v>
      </c>
      <c r="B593" s="3" t="s">
        <v>1265</v>
      </c>
      <c r="C593" s="4" t="s">
        <v>1263</v>
      </c>
      <c r="D593" s="2">
        <f t="shared" si="586"/>
        <v>114310.53200000001</v>
      </c>
      <c r="E593" s="5">
        <v>3767.904</v>
      </c>
      <c r="F593" s="5">
        <v>6576.3880000000026</v>
      </c>
      <c r="G593" s="5">
        <v>5023.8720000000012</v>
      </c>
      <c r="H593" s="5">
        <v>28451.164000000004</v>
      </c>
      <c r="I593" s="5">
        <v>13065.555999999997</v>
      </c>
      <c r="J593" s="5">
        <v>5948.4040000000005</v>
      </c>
      <c r="K593" s="5">
        <v>3767.904</v>
      </c>
      <c r="L593" s="5">
        <v>1360.6319999999998</v>
      </c>
      <c r="M593" s="5">
        <v>3767.904</v>
      </c>
      <c r="N593" s="5">
        <v>3105.0320000000002</v>
      </c>
      <c r="O593" s="5">
        <v>8722</v>
      </c>
      <c r="P593" s="5">
        <v>26165.999999999996</v>
      </c>
      <c r="Q593" s="5">
        <v>2093.2800000000002</v>
      </c>
      <c r="R593" s="5">
        <v>505.87600000000009</v>
      </c>
      <c r="S593" s="5">
        <v>418.65599999999989</v>
      </c>
      <c r="T593" s="5">
        <v>941.97600000000011</v>
      </c>
      <c r="U593" s="5">
        <v>209.32800000000003</v>
      </c>
      <c r="V593" s="5">
        <v>418.65600000000006</v>
      </c>
      <c r="W593" s="5">
        <f t="shared" ref="W593:AH593" si="600">IF(OR((SLOPE($E593:$V593,$E$1:$V$1)*W$1+INTERCEPT($E593:$V593,$E$1:$V$1))&gt;(AVERAGE($E593:$V593)+_xlfn.STDEV.P($E593:$V593)),(SLOPE($E593:$V593,$E$1:$V$1)*W$1+INTERCEPT($E593:$V593,$E$1:$V$1))&lt;(AVERAGE($E593:$V593)-_xlfn.STDEV.P($E593:$V593))),V593,(SLOPE($E593:$V593,$E$1:$V$1)*W$1+INTERCEPT($E593:$V593,$E$1:$V$1)))</f>
        <v>1247.8730718954248</v>
      </c>
      <c r="X593" s="5">
        <f t="shared" si="600"/>
        <v>710.74548882008821</v>
      </c>
      <c r="Y593" s="5">
        <f t="shared" si="600"/>
        <v>173.61790574475344</v>
      </c>
      <c r="Z593" s="5">
        <f t="shared" si="600"/>
        <v>-363.50967733058133</v>
      </c>
      <c r="AA593" s="5">
        <f t="shared" si="600"/>
        <v>-900.63726040591791</v>
      </c>
      <c r="AB593" s="5">
        <f t="shared" si="600"/>
        <v>-1437.7648434812527</v>
      </c>
      <c r="AC593" s="5">
        <f t="shared" si="600"/>
        <v>-1437.7648434812527</v>
      </c>
      <c r="AD593" s="5">
        <f t="shared" si="600"/>
        <v>-1437.7648434812527</v>
      </c>
      <c r="AE593" s="5">
        <f t="shared" si="600"/>
        <v>-1437.7648434812527</v>
      </c>
      <c r="AF593" s="5">
        <f t="shared" si="600"/>
        <v>-1437.7648434812527</v>
      </c>
      <c r="AG593" s="5">
        <f t="shared" si="600"/>
        <v>-1437.7648434812527</v>
      </c>
      <c r="AH593" s="5">
        <f t="shared" si="600"/>
        <v>-1437.7648434812527</v>
      </c>
    </row>
    <row r="594" spans="1:34" x14ac:dyDescent="0.35">
      <c r="A594" t="s">
        <v>614</v>
      </c>
      <c r="B594" s="3" t="s">
        <v>1266</v>
      </c>
      <c r="C594" s="4" t="s">
        <v>1263</v>
      </c>
      <c r="D594" s="2">
        <f t="shared" si="586"/>
        <v>113990.99048718032</v>
      </c>
      <c r="E594" s="5">
        <v>0</v>
      </c>
      <c r="F594" s="5">
        <v>0</v>
      </c>
      <c r="G594" s="5">
        <v>0</v>
      </c>
      <c r="H594" s="5">
        <v>28575.398160274082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28471.864108968748</v>
      </c>
      <c r="O594" s="5">
        <v>0</v>
      </c>
      <c r="P594" s="5">
        <v>0</v>
      </c>
      <c r="Q594" s="5">
        <v>28471.864108968748</v>
      </c>
      <c r="R594" s="5">
        <v>28471.864108968748</v>
      </c>
      <c r="S594" s="5">
        <v>0</v>
      </c>
      <c r="T594" s="5">
        <v>0</v>
      </c>
      <c r="U594" s="5">
        <v>0</v>
      </c>
      <c r="V594" s="5">
        <v>0</v>
      </c>
      <c r="W594" s="5">
        <f t="shared" ref="W594:AH594" si="601">IF(OR((SLOPE($E594:$V594,$E$1:$V$1)*W$1+INTERCEPT($E594:$V594,$E$1:$V$1))&gt;(AVERAGE($E594:$V594)+_xlfn.STDEV.P($E594:$V594)),(SLOPE($E594:$V594,$E$1:$V$1)*W$1+INTERCEPT($E594:$V594,$E$1:$V$1))&lt;(AVERAGE($E594:$V594)-_xlfn.STDEV.P($E594:$V594))),V594,(SLOPE($E594:$V594,$E$1:$V$1)*W$1+INTERCEPT($E594:$V594,$E$1:$V$1)))</f>
        <v>7996.4829037595646</v>
      </c>
      <c r="X594" s="5">
        <f t="shared" si="601"/>
        <v>8171.6039668033773</v>
      </c>
      <c r="Y594" s="5">
        <f t="shared" si="601"/>
        <v>8346.7250298471881</v>
      </c>
      <c r="Z594" s="5">
        <f t="shared" si="601"/>
        <v>8521.8460928910008</v>
      </c>
      <c r="AA594" s="5">
        <f t="shared" si="601"/>
        <v>8696.9671559348135</v>
      </c>
      <c r="AB594" s="5">
        <f t="shared" si="601"/>
        <v>8872.0882189786244</v>
      </c>
      <c r="AC594" s="5">
        <f t="shared" si="601"/>
        <v>9047.209282022437</v>
      </c>
      <c r="AD594" s="5">
        <f t="shared" si="601"/>
        <v>9222.3303450662497</v>
      </c>
      <c r="AE594" s="5">
        <f t="shared" si="601"/>
        <v>9397.4514081100606</v>
      </c>
      <c r="AF594" s="5">
        <f t="shared" si="601"/>
        <v>9572.5724711538733</v>
      </c>
      <c r="AG594" s="5">
        <f t="shared" si="601"/>
        <v>9747.6935341976859</v>
      </c>
      <c r="AH594" s="5">
        <f t="shared" si="601"/>
        <v>9922.8145972414968</v>
      </c>
    </row>
    <row r="595" spans="1:34" x14ac:dyDescent="0.35">
      <c r="A595" t="s">
        <v>615</v>
      </c>
      <c r="B595" s="3" t="s">
        <v>1266</v>
      </c>
      <c r="C595" s="4" t="s">
        <v>1267</v>
      </c>
      <c r="D595" s="2">
        <f t="shared" si="586"/>
        <v>113034.61987677006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113034.61987677006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f t="shared" ref="W595:AH595" si="602">IF(OR((SLOPE($E595:$V595,$E$1:$V$1)*W$1+INTERCEPT($E595:$V595,$E$1:$V$1))&gt;(AVERAGE($E595:$V595)+_xlfn.STDEV.P($E595:$V595)),(SLOPE($E595:$V595,$E$1:$V$1)*W$1+INTERCEPT($E595:$V595,$E$1:$V$1))&lt;(AVERAGE($E595:$V595)-_xlfn.STDEV.P($E595:$V595))),V595,(SLOPE($E595:$V595,$E$1:$V$1)*W$1+INTERCEPT($E595:$V595,$E$1:$V$1)))</f>
        <v>9604.2487476994174</v>
      </c>
      <c r="X595" s="5">
        <f t="shared" si="602"/>
        <v>9954.2011312188297</v>
      </c>
      <c r="Y595" s="5">
        <f t="shared" si="602"/>
        <v>10304.15351473824</v>
      </c>
      <c r="Z595" s="5">
        <f t="shared" si="602"/>
        <v>10654.105898257652</v>
      </c>
      <c r="AA595" s="5">
        <f t="shared" si="602"/>
        <v>11004.058281777065</v>
      </c>
      <c r="AB595" s="5">
        <f t="shared" si="602"/>
        <v>11354.010665296475</v>
      </c>
      <c r="AC595" s="5">
        <f t="shared" si="602"/>
        <v>11703.963048815887</v>
      </c>
      <c r="AD595" s="5">
        <f t="shared" si="602"/>
        <v>12053.9154323353</v>
      </c>
      <c r="AE595" s="5">
        <f t="shared" si="602"/>
        <v>12403.867815854712</v>
      </c>
      <c r="AF595" s="5">
        <f t="shared" si="602"/>
        <v>12753.820199374124</v>
      </c>
      <c r="AG595" s="5">
        <f t="shared" si="602"/>
        <v>13103.772582893536</v>
      </c>
      <c r="AH595" s="5">
        <f t="shared" si="602"/>
        <v>13453.724966412949</v>
      </c>
    </row>
    <row r="596" spans="1:34" x14ac:dyDescent="0.35">
      <c r="A596" t="s">
        <v>616</v>
      </c>
      <c r="B596" s="3" t="s">
        <v>1264</v>
      </c>
      <c r="C596" s="4" t="s">
        <v>1263</v>
      </c>
      <c r="D596" s="2">
        <f t="shared" si="586"/>
        <v>111379.60281754765</v>
      </c>
      <c r="E596" s="5">
        <v>6776.308311950198</v>
      </c>
      <c r="F596" s="5">
        <v>8708.987795288107</v>
      </c>
      <c r="G596" s="5">
        <v>3340.4336749050281</v>
      </c>
      <c r="H596" s="5">
        <v>8708.9877952881088</v>
      </c>
      <c r="I596" s="5">
        <v>2863.228864204309</v>
      </c>
      <c r="J596" s="5">
        <v>6561.5661471348758</v>
      </c>
      <c r="K596" s="5">
        <v>7253.5131226509166</v>
      </c>
      <c r="L596" s="5">
        <v>5273.1131582429352</v>
      </c>
      <c r="M596" s="5">
        <v>12144.862432333281</v>
      </c>
      <c r="N596" s="5">
        <v>8112.4817819122081</v>
      </c>
      <c r="O596" s="5">
        <v>3340.4336749050271</v>
      </c>
      <c r="P596" s="5">
        <v>6203.6625391093376</v>
      </c>
      <c r="Q596" s="5">
        <v>2338.3035724335191</v>
      </c>
      <c r="R596" s="5">
        <v>13648.057586040541</v>
      </c>
      <c r="S596" s="5">
        <v>4772.0481070071819</v>
      </c>
      <c r="T596" s="5">
        <v>3889.2192072108542</v>
      </c>
      <c r="U596" s="5">
        <v>4795.9083475422176</v>
      </c>
      <c r="V596" s="5">
        <v>2648.4866993889864</v>
      </c>
      <c r="W596" s="5">
        <f t="shared" ref="W596:AH596" si="603">IF(OR((SLOPE($E596:$V596,$E$1:$V$1)*W$1+INTERCEPT($E596:$V596,$E$1:$V$1))&gt;(AVERAGE($E596:$V596)+_xlfn.STDEV.P($E596:$V596)),(SLOPE($E596:$V596,$E$1:$V$1)*W$1+INTERCEPT($E596:$V596,$E$1:$V$1))&lt;(AVERAGE($E596:$V596)-_xlfn.STDEV.P($E596:$V596))),V596,(SLOPE($E596:$V596,$E$1:$V$1)*W$1+INTERCEPT($E596:$V596,$E$1:$V$1)))</f>
        <v>5083.6347775235345</v>
      </c>
      <c r="X596" s="5">
        <f t="shared" si="603"/>
        <v>4967.4115212538036</v>
      </c>
      <c r="Y596" s="5">
        <f t="shared" si="603"/>
        <v>4851.1882649840718</v>
      </c>
      <c r="Z596" s="5">
        <f t="shared" si="603"/>
        <v>4734.9650087143409</v>
      </c>
      <c r="AA596" s="5">
        <f t="shared" si="603"/>
        <v>4618.74175244461</v>
      </c>
      <c r="AB596" s="5">
        <f t="shared" si="603"/>
        <v>4502.5184961748782</v>
      </c>
      <c r="AC596" s="5">
        <f t="shared" si="603"/>
        <v>4386.2952399051474</v>
      </c>
      <c r="AD596" s="5">
        <f t="shared" si="603"/>
        <v>4270.0719836354165</v>
      </c>
      <c r="AE596" s="5">
        <f t="shared" si="603"/>
        <v>4153.8487273656847</v>
      </c>
      <c r="AF596" s="5">
        <f t="shared" si="603"/>
        <v>4037.6254710959538</v>
      </c>
      <c r="AG596" s="5">
        <f t="shared" si="603"/>
        <v>3921.4022148262225</v>
      </c>
      <c r="AH596" s="5">
        <f t="shared" si="603"/>
        <v>3805.1789585564911</v>
      </c>
    </row>
    <row r="597" spans="1:34" x14ac:dyDescent="0.35">
      <c r="A597" t="s">
        <v>617</v>
      </c>
      <c r="B597" s="3" t="s">
        <v>1266</v>
      </c>
      <c r="C597" s="4" t="s">
        <v>1267</v>
      </c>
      <c r="D597" s="2">
        <f t="shared" si="586"/>
        <v>112518.65345097346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112518.65345097346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f t="shared" ref="W597:AH597" si="604">IF(OR((SLOPE($E597:$V597,$E$1:$V$1)*W$1+INTERCEPT($E597:$V597,$E$1:$V$1))&gt;(AVERAGE($E597:$V597)+_xlfn.STDEV.P($E597:$V597)),(SLOPE($E597:$V597,$E$1:$V$1)*W$1+INTERCEPT($E597:$V597,$E$1:$V$1))&lt;(AVERAGE($E597:$V597)-_xlfn.STDEV.P($E597:$V597))),V597,(SLOPE($E597:$V597,$E$1:$V$1)*W$1+INTERCEPT($E597:$V597,$E$1:$V$1)))</f>
        <v>7354.160356272776</v>
      </c>
      <c r="X597" s="5">
        <f t="shared" si="604"/>
        <v>7470.2786776876092</v>
      </c>
      <c r="Y597" s="5">
        <f t="shared" si="604"/>
        <v>7586.3969991024424</v>
      </c>
      <c r="Z597" s="5">
        <f t="shared" si="604"/>
        <v>7702.5153205172755</v>
      </c>
      <c r="AA597" s="5">
        <f t="shared" si="604"/>
        <v>7818.6336419321087</v>
      </c>
      <c r="AB597" s="5">
        <f t="shared" si="604"/>
        <v>7934.7519633469419</v>
      </c>
      <c r="AC597" s="5">
        <f t="shared" si="604"/>
        <v>8050.8702847617751</v>
      </c>
      <c r="AD597" s="5">
        <f t="shared" si="604"/>
        <v>8166.9886061766092</v>
      </c>
      <c r="AE597" s="5">
        <f t="shared" si="604"/>
        <v>8283.1069275914415</v>
      </c>
      <c r="AF597" s="5">
        <f t="shared" si="604"/>
        <v>8399.2252490062747</v>
      </c>
      <c r="AG597" s="5">
        <f t="shared" si="604"/>
        <v>8515.3435704211097</v>
      </c>
      <c r="AH597" s="5">
        <f t="shared" si="604"/>
        <v>8631.4618918359429</v>
      </c>
    </row>
    <row r="598" spans="1:34" x14ac:dyDescent="0.35">
      <c r="A598" t="s">
        <v>618</v>
      </c>
      <c r="B598" s="3" t="s">
        <v>1264</v>
      </c>
      <c r="C598" s="4" t="s">
        <v>1263</v>
      </c>
      <c r="D598" s="2">
        <f t="shared" si="586"/>
        <v>111723.99173600001</v>
      </c>
      <c r="E598" s="5">
        <v>9071.5565920000008</v>
      </c>
      <c r="F598" s="5">
        <v>20161.592528000001</v>
      </c>
      <c r="G598" s="5">
        <v>6815.2679000000007</v>
      </c>
      <c r="H598" s="5">
        <v>3984.7566359999996</v>
      </c>
      <c r="I598" s="5">
        <v>7946.3123600000008</v>
      </c>
      <c r="J598" s="5">
        <v>3306.1299599999998</v>
      </c>
      <c r="K598" s="5">
        <v>2859.5124039999992</v>
      </c>
      <c r="L598" s="5">
        <v>5881.4311920000018</v>
      </c>
      <c r="M598" s="5">
        <v>7418.4916119999998</v>
      </c>
      <c r="N598" s="5">
        <v>4292.1687199999997</v>
      </c>
      <c r="O598" s="5">
        <v>13079.514139999999</v>
      </c>
      <c r="P598" s="5">
        <v>3433.7349759999984</v>
      </c>
      <c r="Q598" s="5">
        <v>2900.114</v>
      </c>
      <c r="R598" s="5">
        <v>4060.1596000000004</v>
      </c>
      <c r="S598" s="5">
        <v>5336.2097600000006</v>
      </c>
      <c r="T598" s="5">
        <v>5260.8067959999998</v>
      </c>
      <c r="U598" s="5">
        <v>3074.1208399999996</v>
      </c>
      <c r="V598" s="5">
        <v>2842.111719999999</v>
      </c>
      <c r="W598" s="5">
        <f t="shared" ref="W598:AH598" si="605">IF(OR((SLOPE($E598:$V598,$E$1:$V$1)*W$1+INTERCEPT($E598:$V598,$E$1:$V$1))&gt;(AVERAGE($E598:$V598)+_xlfn.STDEV.P($E598:$V598)),(SLOPE($E598:$V598,$E$1:$V$1)*W$1+INTERCEPT($E598:$V598,$E$1:$V$1))&lt;(AVERAGE($E598:$V598)-_xlfn.STDEV.P($E598:$V598))),V598,(SLOPE($E598:$V598,$E$1:$V$1)*W$1+INTERCEPT($E598:$V598,$E$1:$V$1)))</f>
        <v>2441.8580780130724</v>
      </c>
      <c r="X598" s="5">
        <f t="shared" si="605"/>
        <v>2045.5390936167878</v>
      </c>
      <c r="Y598" s="5">
        <f t="shared" si="605"/>
        <v>2045.5390936167878</v>
      </c>
      <c r="Z598" s="5">
        <f t="shared" si="605"/>
        <v>2045.5390936167878</v>
      </c>
      <c r="AA598" s="5">
        <f t="shared" si="605"/>
        <v>2045.5390936167878</v>
      </c>
      <c r="AB598" s="5">
        <f t="shared" si="605"/>
        <v>2045.5390936167878</v>
      </c>
      <c r="AC598" s="5">
        <f t="shared" si="605"/>
        <v>2045.5390936167878</v>
      </c>
      <c r="AD598" s="5">
        <f t="shared" si="605"/>
        <v>2045.5390936167878</v>
      </c>
      <c r="AE598" s="5">
        <f t="shared" si="605"/>
        <v>2045.5390936167878</v>
      </c>
      <c r="AF598" s="5">
        <f t="shared" si="605"/>
        <v>2045.5390936167878</v>
      </c>
      <c r="AG598" s="5">
        <f t="shared" si="605"/>
        <v>2045.5390936167878</v>
      </c>
      <c r="AH598" s="5">
        <f t="shared" si="605"/>
        <v>2045.5390936167878</v>
      </c>
    </row>
    <row r="599" spans="1:34" x14ac:dyDescent="0.35">
      <c r="A599" t="s">
        <v>619</v>
      </c>
      <c r="B599" s="3" t="s">
        <v>1266</v>
      </c>
      <c r="C599" s="4" t="s">
        <v>1263</v>
      </c>
      <c r="D599" s="2">
        <f t="shared" si="586"/>
        <v>111805.69067557661</v>
      </c>
      <c r="E599" s="5">
        <v>0</v>
      </c>
      <c r="F599" s="5">
        <v>27951.422668894153</v>
      </c>
      <c r="G599" s="5">
        <v>0</v>
      </c>
      <c r="H599" s="5">
        <v>0</v>
      </c>
      <c r="I599" s="5">
        <v>0</v>
      </c>
      <c r="J599" s="5">
        <v>27951.422668894153</v>
      </c>
      <c r="K599" s="5">
        <v>0</v>
      </c>
      <c r="L599" s="5">
        <v>0</v>
      </c>
      <c r="M599" s="5">
        <v>0</v>
      </c>
      <c r="N599" s="5">
        <v>27951.422668894153</v>
      </c>
      <c r="O599" s="5">
        <v>0</v>
      </c>
      <c r="P599" s="5">
        <v>27951.422668894153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f t="shared" ref="W599:AH599" si="606">IF(OR((SLOPE($E599:$V599,$E$1:$V$1)*W$1+INTERCEPT($E599:$V599,$E$1:$V$1))&gt;(AVERAGE($E599:$V599)+_xlfn.STDEV.P($E599:$V599)),(SLOPE($E599:$V599,$E$1:$V$1)*W$1+INTERCEPT($E599:$V599,$E$1:$V$1))&lt;(AVERAGE($E599:$V599)-_xlfn.STDEV.P($E599:$V599))),V599,(SLOPE($E599:$V599,$E$1:$V$1)*W$1+INTERCEPT($E599:$V599,$E$1:$V$1)))</f>
        <v>1826.8903705159573</v>
      </c>
      <c r="X599" s="5">
        <f t="shared" si="606"/>
        <v>1365.3601716487683</v>
      </c>
      <c r="Y599" s="5">
        <f t="shared" si="606"/>
        <v>903.82997278157927</v>
      </c>
      <c r="Z599" s="5">
        <f t="shared" si="606"/>
        <v>442.29977391439024</v>
      </c>
      <c r="AA599" s="5">
        <f t="shared" si="606"/>
        <v>-19.230424952800604</v>
      </c>
      <c r="AB599" s="5">
        <f t="shared" si="606"/>
        <v>-480.76062381998963</v>
      </c>
      <c r="AC599" s="5">
        <f t="shared" si="606"/>
        <v>-942.29082268717866</v>
      </c>
      <c r="AD599" s="5">
        <f t="shared" si="606"/>
        <v>-1403.8210215543677</v>
      </c>
      <c r="AE599" s="5">
        <f t="shared" si="606"/>
        <v>-1865.3512204215567</v>
      </c>
      <c r="AF599" s="5">
        <f t="shared" si="606"/>
        <v>-2326.8814192887457</v>
      </c>
      <c r="AG599" s="5">
        <f t="shared" si="606"/>
        <v>-2788.4116181559366</v>
      </c>
      <c r="AH599" s="5">
        <f t="shared" si="606"/>
        <v>-3249.9418170231256</v>
      </c>
    </row>
    <row r="600" spans="1:34" x14ac:dyDescent="0.35">
      <c r="A600" t="s">
        <v>620</v>
      </c>
      <c r="B600" s="3" t="s">
        <v>1266</v>
      </c>
      <c r="C600" s="4" t="s">
        <v>1267</v>
      </c>
      <c r="D600" s="2">
        <f t="shared" si="586"/>
        <v>111758.07781375223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63036.283608226877</v>
      </c>
      <c r="N600" s="5">
        <v>0</v>
      </c>
      <c r="O600" s="5">
        <v>0</v>
      </c>
      <c r="P600" s="5">
        <v>48721.794205525359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f t="shared" ref="W600:AH600" si="607">IF(OR((SLOPE($E600:$V600,$E$1:$V$1)*W$1+INTERCEPT($E600:$V600,$E$1:$V$1))&gt;(AVERAGE($E600:$V600)+_xlfn.STDEV.P($E600:$V600)),(SLOPE($E600:$V600,$E$1:$V$1)*W$1+INTERCEPT($E600:$V600,$E$1:$V$1))&lt;(AVERAGE($E600:$V600)-_xlfn.STDEV.P($E600:$V600))),V600,(SLOPE($E600:$V600,$E$1:$V$1)*W$1+INTERCEPT($E600:$V600,$E$1:$V$1)))</f>
        <v>7979.1025656600896</v>
      </c>
      <c r="X600" s="5">
        <f t="shared" si="607"/>
        <v>8165.4520882807292</v>
      </c>
      <c r="Y600" s="5">
        <f t="shared" si="607"/>
        <v>8351.8016109013697</v>
      </c>
      <c r="Z600" s="5">
        <f t="shared" si="607"/>
        <v>8538.1511335220093</v>
      </c>
      <c r="AA600" s="5">
        <f t="shared" si="607"/>
        <v>8724.5006561426489</v>
      </c>
      <c r="AB600" s="5">
        <f t="shared" si="607"/>
        <v>8910.8501787632886</v>
      </c>
      <c r="AC600" s="5">
        <f t="shared" si="607"/>
        <v>9097.1997013839282</v>
      </c>
      <c r="AD600" s="5">
        <f t="shared" si="607"/>
        <v>9283.5492240045678</v>
      </c>
      <c r="AE600" s="5">
        <f t="shared" si="607"/>
        <v>9469.8987466252074</v>
      </c>
      <c r="AF600" s="5">
        <f t="shared" si="607"/>
        <v>9656.248269245847</v>
      </c>
      <c r="AG600" s="5">
        <f t="shared" si="607"/>
        <v>9842.5977918664867</v>
      </c>
      <c r="AH600" s="5">
        <f t="shared" si="607"/>
        <v>10028.947314487126</v>
      </c>
    </row>
    <row r="601" spans="1:34" x14ac:dyDescent="0.35">
      <c r="A601" t="s">
        <v>621</v>
      </c>
      <c r="B601" s="3" t="s">
        <v>1266</v>
      </c>
      <c r="C601" s="4" t="s">
        <v>1267</v>
      </c>
      <c r="D601" s="2">
        <f t="shared" si="586"/>
        <v>110732.76680232168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65738.449948607857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44994.316853713819</v>
      </c>
      <c r="U601" s="5">
        <v>0</v>
      </c>
      <c r="V601" s="5">
        <v>0</v>
      </c>
      <c r="W601" s="5">
        <f t="shared" ref="W601:AH601" si="608">IF(OR((SLOPE($E601:$V601,$E$1:$V$1)*W$1+INTERCEPT($E601:$V601,$E$1:$V$1))&gt;(AVERAGE($E601:$V601)+_xlfn.STDEV.P($E601:$V601)),(SLOPE($E601:$V601,$E$1:$V$1)*W$1+INTERCEPT($E601:$V601,$E$1:$V$1))&lt;(AVERAGE($E601:$V601)-_xlfn.STDEV.P($E601:$V601))),V601,(SLOPE($E601:$V601,$E$1:$V$1)*W$1+INTERCEPT($E601:$V601,$E$1:$V$1)))</f>
        <v>11241.89556564864</v>
      </c>
      <c r="X601" s="5">
        <f t="shared" si="608"/>
        <v>11777.692953831996</v>
      </c>
      <c r="Y601" s="5">
        <f t="shared" si="608"/>
        <v>12313.490342015351</v>
      </c>
      <c r="Z601" s="5">
        <f t="shared" si="608"/>
        <v>12849.287730198708</v>
      </c>
      <c r="AA601" s="5">
        <f t="shared" si="608"/>
        <v>13385.085118382063</v>
      </c>
      <c r="AB601" s="5">
        <f t="shared" si="608"/>
        <v>13920.882506565418</v>
      </c>
      <c r="AC601" s="5">
        <f t="shared" si="608"/>
        <v>14456.679894748775</v>
      </c>
      <c r="AD601" s="5">
        <f t="shared" si="608"/>
        <v>14992.47728293213</v>
      </c>
      <c r="AE601" s="5">
        <f t="shared" si="608"/>
        <v>15528.274671115487</v>
      </c>
      <c r="AF601" s="5">
        <f t="shared" si="608"/>
        <v>16064.072059298842</v>
      </c>
      <c r="AG601" s="5">
        <f t="shared" si="608"/>
        <v>16599.869447482197</v>
      </c>
      <c r="AH601" s="5">
        <f t="shared" si="608"/>
        <v>17135.666835665554</v>
      </c>
    </row>
    <row r="602" spans="1:34" x14ac:dyDescent="0.35">
      <c r="A602" t="s">
        <v>622</v>
      </c>
      <c r="B602" s="3" t="s">
        <v>1264</v>
      </c>
      <c r="C602" s="4" t="s">
        <v>1263</v>
      </c>
      <c r="D602" s="2">
        <f t="shared" si="586"/>
        <v>109892.59399999997</v>
      </c>
      <c r="E602" s="5">
        <v>6839.2239999999983</v>
      </c>
      <c r="F602" s="5">
        <v>6402.829999999999</v>
      </c>
      <c r="G602" s="5">
        <v>6510.1399999999976</v>
      </c>
      <c r="H602" s="5">
        <v>18557.476000000002</v>
      </c>
      <c r="I602" s="5">
        <v>6460.061999999999</v>
      </c>
      <c r="J602" s="5">
        <v>4242.3219999999983</v>
      </c>
      <c r="K602" s="5">
        <v>7118.2299999999987</v>
      </c>
      <c r="L602" s="5">
        <v>6130.9779999999982</v>
      </c>
      <c r="M602" s="5">
        <v>7969.5559999999978</v>
      </c>
      <c r="N602" s="5">
        <v>5687.4299999999994</v>
      </c>
      <c r="O602" s="5">
        <v>6688.9899999999989</v>
      </c>
      <c r="P602" s="5">
        <v>21447.691999999999</v>
      </c>
      <c r="Q602" s="5">
        <v>2339.3579999999993</v>
      </c>
      <c r="R602" s="5">
        <v>2053.1979999999994</v>
      </c>
      <c r="S602" s="5">
        <v>1445.1079999999993</v>
      </c>
      <c r="T602" s="5">
        <v>0</v>
      </c>
      <c r="U602" s="5">
        <v>0</v>
      </c>
      <c r="V602" s="5">
        <v>0</v>
      </c>
      <c r="W602" s="5">
        <f t="shared" ref="W602:AH602" si="609">IF(OR((SLOPE($E602:$V602,$E$1:$V$1)*W$1+INTERCEPT($E602:$V602,$E$1:$V$1))&gt;(AVERAGE($E602:$V602)+_xlfn.STDEV.P($E602:$V602)),(SLOPE($E602:$V602,$E$1:$V$1)*W$1+INTERCEPT($E602:$V602,$E$1:$V$1))&lt;(AVERAGE($E602:$V602)-_xlfn.STDEV.P($E602:$V602))),V602,(SLOPE($E602:$V602,$E$1:$V$1)*W$1+INTERCEPT($E602:$V602,$E$1:$V$1)))</f>
        <v>1525.5320522875791</v>
      </c>
      <c r="X602" s="5">
        <f t="shared" si="609"/>
        <v>1043.4676250429984</v>
      </c>
      <c r="Y602" s="5">
        <f t="shared" si="609"/>
        <v>561.40319779841593</v>
      </c>
      <c r="Z602" s="5">
        <f t="shared" si="609"/>
        <v>561.40319779841593</v>
      </c>
      <c r="AA602" s="5">
        <f t="shared" si="609"/>
        <v>561.40319779841593</v>
      </c>
      <c r="AB602" s="5">
        <f t="shared" si="609"/>
        <v>561.40319779841593</v>
      </c>
      <c r="AC602" s="5">
        <f t="shared" si="609"/>
        <v>561.40319779841593</v>
      </c>
      <c r="AD602" s="5">
        <f t="shared" si="609"/>
        <v>561.40319779841593</v>
      </c>
      <c r="AE602" s="5">
        <f t="shared" si="609"/>
        <v>561.40319779841593</v>
      </c>
      <c r="AF602" s="5">
        <f t="shared" si="609"/>
        <v>561.40319779841593</v>
      </c>
      <c r="AG602" s="5">
        <f t="shared" si="609"/>
        <v>561.40319779841593</v>
      </c>
      <c r="AH602" s="5">
        <f t="shared" si="609"/>
        <v>561.40319779841593</v>
      </c>
    </row>
    <row r="603" spans="1:34" x14ac:dyDescent="0.35">
      <c r="A603" t="s">
        <v>623</v>
      </c>
      <c r="B603" s="3" t="s">
        <v>1265</v>
      </c>
      <c r="C603" s="4" t="s">
        <v>1263</v>
      </c>
      <c r="D603" s="2">
        <f t="shared" si="586"/>
        <v>94707.199999999983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94707.199999999983</v>
      </c>
      <c r="W603" s="5">
        <f t="shared" ref="W603:AH603" si="610">IF(OR((SLOPE($E603:$V603,$E$1:$V$1)*W$1+INTERCEPT($E603:$V603,$E$1:$V$1))&gt;(AVERAGE($E603:$V603)+_xlfn.STDEV.P($E603:$V603)),(SLOPE($E603:$V603,$E$1:$V$1)*W$1+INTERCEPT($E603:$V603,$E$1:$V$1))&lt;(AVERAGE($E603:$V603)-_xlfn.STDEV.P($E603:$V603))),V603,(SLOPE($E603:$V603,$E$1:$V$1)*W$1+INTERCEPT($E603:$V603,$E$1:$V$1)))</f>
        <v>21046.04444444444</v>
      </c>
      <c r="X603" s="5">
        <f t="shared" si="610"/>
        <v>22707.574269005843</v>
      </c>
      <c r="Y603" s="5">
        <f t="shared" si="610"/>
        <v>24369.104093567246</v>
      </c>
      <c r="Z603" s="5">
        <f t="shared" si="610"/>
        <v>26030.633918128649</v>
      </c>
      <c r="AA603" s="5">
        <f t="shared" si="610"/>
        <v>26030.633918128649</v>
      </c>
      <c r="AB603" s="5">
        <f t="shared" si="610"/>
        <v>26030.633918128649</v>
      </c>
      <c r="AC603" s="5">
        <f t="shared" si="610"/>
        <v>26030.633918128649</v>
      </c>
      <c r="AD603" s="5">
        <f t="shared" si="610"/>
        <v>26030.633918128649</v>
      </c>
      <c r="AE603" s="5">
        <f t="shared" si="610"/>
        <v>26030.633918128649</v>
      </c>
      <c r="AF603" s="5">
        <f t="shared" si="610"/>
        <v>26030.633918128649</v>
      </c>
      <c r="AG603" s="5">
        <f t="shared" si="610"/>
        <v>26030.633918128649</v>
      </c>
      <c r="AH603" s="5">
        <f t="shared" si="610"/>
        <v>26030.633918128649</v>
      </c>
    </row>
    <row r="604" spans="1:34" x14ac:dyDescent="0.35">
      <c r="A604" t="s">
        <v>624</v>
      </c>
      <c r="B604" s="3" t="s">
        <v>1264</v>
      </c>
      <c r="C604" s="4" t="s">
        <v>1263</v>
      </c>
      <c r="D604" s="2">
        <f t="shared" si="586"/>
        <v>108360.2856</v>
      </c>
      <c r="E604" s="5">
        <v>1724.5451999999996</v>
      </c>
      <c r="F604" s="5">
        <v>3359.1851999999994</v>
      </c>
      <c r="G604" s="5">
        <v>4585.1651999999976</v>
      </c>
      <c r="H604" s="5">
        <v>4364.4887999999992</v>
      </c>
      <c r="I604" s="5">
        <v>4969.3055999999997</v>
      </c>
      <c r="J604" s="5">
        <v>1765.4111999999998</v>
      </c>
      <c r="K604" s="5">
        <v>1413.9635999999998</v>
      </c>
      <c r="L604" s="5">
        <v>47886.778800000007</v>
      </c>
      <c r="M604" s="5">
        <v>4781.3219999999983</v>
      </c>
      <c r="N604" s="5">
        <v>5794.7987999999987</v>
      </c>
      <c r="O604" s="5">
        <v>3367.3583999999996</v>
      </c>
      <c r="P604" s="5">
        <v>2125.0319999999992</v>
      </c>
      <c r="Q604" s="5">
        <v>3424.5707999999995</v>
      </c>
      <c r="R604" s="5">
        <v>2002.4339999999993</v>
      </c>
      <c r="S604" s="5">
        <v>4903.9199999999992</v>
      </c>
      <c r="T604" s="5">
        <v>3604.3811999999998</v>
      </c>
      <c r="U604" s="5">
        <v>4429.8743999999979</v>
      </c>
      <c r="V604" s="5">
        <v>3857.750399999999</v>
      </c>
      <c r="W604" s="5">
        <f t="shared" ref="W604:AH604" si="611">IF(OR((SLOPE($E604:$V604,$E$1:$V$1)*W$1+INTERCEPT($E604:$V604,$E$1:$V$1))&gt;(AVERAGE($E604:$V604)+_xlfn.STDEV.P($E604:$V604)),(SLOPE($E604:$V604,$E$1:$V$1)*W$1+INTERCEPT($E604:$V604,$E$1:$V$1))&lt;(AVERAGE($E604:$V604)-_xlfn.STDEV.P($E604:$V604))),V604,(SLOPE($E604:$V604,$E$1:$V$1)*W$1+INTERCEPT($E604:$V604,$E$1:$V$1)))</f>
        <v>5053.6551607843139</v>
      </c>
      <c r="X604" s="5">
        <f t="shared" si="611"/>
        <v>4951.9329812177502</v>
      </c>
      <c r="Y604" s="5">
        <f t="shared" si="611"/>
        <v>4850.2108016511866</v>
      </c>
      <c r="Z604" s="5">
        <f t="shared" si="611"/>
        <v>4748.4886220846229</v>
      </c>
      <c r="AA604" s="5">
        <f t="shared" si="611"/>
        <v>4646.7664425180592</v>
      </c>
      <c r="AB604" s="5">
        <f t="shared" si="611"/>
        <v>4545.0442629514964</v>
      </c>
      <c r="AC604" s="5">
        <f t="shared" si="611"/>
        <v>4443.3220833849327</v>
      </c>
      <c r="AD604" s="5">
        <f t="shared" si="611"/>
        <v>4341.5999038183691</v>
      </c>
      <c r="AE604" s="5">
        <f t="shared" si="611"/>
        <v>4239.8777242518063</v>
      </c>
      <c r="AF604" s="5">
        <f t="shared" si="611"/>
        <v>4138.1555446852417</v>
      </c>
      <c r="AG604" s="5">
        <f t="shared" si="611"/>
        <v>4036.4333651186789</v>
      </c>
      <c r="AH604" s="5">
        <f t="shared" si="611"/>
        <v>3934.7111855521152</v>
      </c>
    </row>
    <row r="605" spans="1:34" x14ac:dyDescent="0.35">
      <c r="A605" t="s">
        <v>625</v>
      </c>
      <c r="B605" s="3" t="s">
        <v>1265</v>
      </c>
      <c r="C605" s="4" t="s">
        <v>1263</v>
      </c>
      <c r="D605" s="2">
        <f t="shared" si="586"/>
        <v>108229.16160000001</v>
      </c>
      <c r="E605" s="5">
        <v>0</v>
      </c>
      <c r="F605" s="5">
        <v>0</v>
      </c>
      <c r="G605" s="5">
        <v>0</v>
      </c>
      <c r="H605" s="5">
        <v>63739.199999999997</v>
      </c>
      <c r="I605" s="5">
        <v>0</v>
      </c>
      <c r="J605" s="5">
        <v>2677.0464000000002</v>
      </c>
      <c r="K605" s="5">
        <v>8031.1391999999987</v>
      </c>
      <c r="L605" s="5">
        <v>0</v>
      </c>
      <c r="M605" s="5">
        <v>0</v>
      </c>
      <c r="N605" s="5">
        <v>0</v>
      </c>
      <c r="O605" s="5">
        <v>0</v>
      </c>
      <c r="P605" s="5">
        <v>9858.3296000000009</v>
      </c>
      <c r="Q605" s="5">
        <v>0</v>
      </c>
      <c r="R605" s="5">
        <v>5354.0928000000004</v>
      </c>
      <c r="S605" s="5">
        <v>0</v>
      </c>
      <c r="T605" s="5">
        <v>4249.28</v>
      </c>
      <c r="U605" s="5">
        <v>7478.7327999999998</v>
      </c>
      <c r="V605" s="5">
        <v>6841.3407999999999</v>
      </c>
      <c r="W605" s="5">
        <f t="shared" ref="W605:AH605" si="612">IF(OR((SLOPE($E605:$V605,$E$1:$V$1)*W$1+INTERCEPT($E605:$V605,$E$1:$V$1))&gt;(AVERAGE($E605:$V605)+_xlfn.STDEV.P($E605:$V605)),(SLOPE($E605:$V605,$E$1:$V$1)*W$1+INTERCEPT($E605:$V605,$E$1:$V$1))&lt;(AVERAGE($E605:$V605)-_xlfn.STDEV.P($E605:$V605))),V605,(SLOPE($E605:$V605,$E$1:$V$1)*W$1+INTERCEPT($E605:$V605,$E$1:$V$1)))</f>
        <v>2298.7771607843142</v>
      </c>
      <c r="X605" s="5">
        <f t="shared" si="612"/>
        <v>1907.8346303405579</v>
      </c>
      <c r="Y605" s="5">
        <f t="shared" si="612"/>
        <v>1516.8920998968006</v>
      </c>
      <c r="Z605" s="5">
        <f t="shared" si="612"/>
        <v>1125.9495694530451</v>
      </c>
      <c r="AA605" s="5">
        <f t="shared" si="612"/>
        <v>735.00703900928784</v>
      </c>
      <c r="AB605" s="5">
        <f t="shared" si="612"/>
        <v>344.06450856553056</v>
      </c>
      <c r="AC605" s="5">
        <f t="shared" si="612"/>
        <v>-46.878021878224899</v>
      </c>
      <c r="AD605" s="5">
        <f t="shared" si="612"/>
        <v>-437.82055232198218</v>
      </c>
      <c r="AE605" s="5">
        <f t="shared" si="612"/>
        <v>-828.76308276573764</v>
      </c>
      <c r="AF605" s="5">
        <f t="shared" si="612"/>
        <v>-1219.7056132094949</v>
      </c>
      <c r="AG605" s="5">
        <f t="shared" si="612"/>
        <v>-1610.6481436532504</v>
      </c>
      <c r="AH605" s="5">
        <f t="shared" si="612"/>
        <v>-2001.5906740970076</v>
      </c>
    </row>
    <row r="606" spans="1:34" x14ac:dyDescent="0.35">
      <c r="A606" t="s">
        <v>626</v>
      </c>
      <c r="B606" s="3" t="s">
        <v>1266</v>
      </c>
      <c r="C606" s="4" t="s">
        <v>1267</v>
      </c>
      <c r="D606" s="2">
        <f t="shared" si="586"/>
        <v>107796.54986564786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107796.54986564786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f t="shared" ref="W606:AH606" si="613">IF(OR((SLOPE($E606:$V606,$E$1:$V$1)*W$1+INTERCEPT($E606:$V606,$E$1:$V$1))&gt;(AVERAGE($E606:$V606)+_xlfn.STDEV.P($E606:$V606)),(SLOPE($E606:$V606,$E$1:$V$1)*W$1+INTERCEPT($E606:$V606,$E$1:$V$1))&lt;(AVERAGE($E606:$V606)-_xlfn.STDEV.P($E606:$V606))),V606,(SLOPE($E606:$V606,$E$1:$V$1)*W$1+INTERCEPT($E606:$V606,$E$1:$V$1)))</f>
        <v>7045.5261350096653</v>
      </c>
      <c r="X606" s="5">
        <f t="shared" si="613"/>
        <v>7156.7712845098176</v>
      </c>
      <c r="Y606" s="5">
        <f t="shared" si="613"/>
        <v>7268.0164340099709</v>
      </c>
      <c r="Z606" s="5">
        <f t="shared" si="613"/>
        <v>7379.2615835101233</v>
      </c>
      <c r="AA606" s="5">
        <f t="shared" si="613"/>
        <v>7490.5067330102756</v>
      </c>
      <c r="AB606" s="5">
        <f t="shared" si="613"/>
        <v>7601.7518825104289</v>
      </c>
      <c r="AC606" s="5">
        <f t="shared" si="613"/>
        <v>7712.9970320105813</v>
      </c>
      <c r="AD606" s="5">
        <f t="shared" si="613"/>
        <v>7824.2421815107336</v>
      </c>
      <c r="AE606" s="5">
        <f t="shared" si="613"/>
        <v>7935.4873310108869</v>
      </c>
      <c r="AF606" s="5">
        <f t="shared" si="613"/>
        <v>8046.7324805110393</v>
      </c>
      <c r="AG606" s="5">
        <f t="shared" si="613"/>
        <v>8157.9776300111916</v>
      </c>
      <c r="AH606" s="5">
        <f t="shared" si="613"/>
        <v>8269.2227795113449</v>
      </c>
    </row>
    <row r="607" spans="1:34" x14ac:dyDescent="0.35">
      <c r="A607" t="s">
        <v>627</v>
      </c>
      <c r="B607" s="3" t="s">
        <v>1264</v>
      </c>
      <c r="C607" s="4" t="s">
        <v>1263</v>
      </c>
      <c r="D607" s="2">
        <f t="shared" si="586"/>
        <v>107080.75839999998</v>
      </c>
      <c r="E607" s="5">
        <v>2220.4448000000002</v>
      </c>
      <c r="F607" s="5">
        <v>6300.224000000002</v>
      </c>
      <c r="G607" s="5">
        <v>10802.579200000004</v>
      </c>
      <c r="H607" s="5">
        <v>1928.4832000000004</v>
      </c>
      <c r="I607" s="5">
        <v>6707.4336000000012</v>
      </c>
      <c r="J607" s="5">
        <v>3649.5200000000009</v>
      </c>
      <c r="K607" s="5">
        <v>13115.222399999999</v>
      </c>
      <c r="L607" s="5">
        <v>8612.8672000000024</v>
      </c>
      <c r="M607" s="5">
        <v>17971.004799999995</v>
      </c>
      <c r="N607" s="5">
        <v>13729.878400000003</v>
      </c>
      <c r="O607" s="5">
        <v>16941.456000000002</v>
      </c>
      <c r="P607" s="5">
        <v>2020.6816000000003</v>
      </c>
      <c r="Q607" s="5">
        <v>1298.4608000000003</v>
      </c>
      <c r="R607" s="5">
        <v>1628.8384000000003</v>
      </c>
      <c r="S607" s="5">
        <v>76.832000000000008</v>
      </c>
      <c r="T607" s="5">
        <v>0</v>
      </c>
      <c r="U607" s="5">
        <v>0</v>
      </c>
      <c r="V607" s="5">
        <v>76.832000000000008</v>
      </c>
      <c r="W607" s="5">
        <f t="shared" ref="W607:AH607" si="614">IF(OR((SLOPE($E607:$V607,$E$1:$V$1)*W$1+INTERCEPT($E607:$V607,$E$1:$V$1))&gt;(AVERAGE($E607:$V607)+_xlfn.STDEV.P($E607:$V607)),(SLOPE($E607:$V607,$E$1:$V$1)*W$1+INTERCEPT($E607:$V607,$E$1:$V$1))&lt;(AVERAGE($E607:$V607)-_xlfn.STDEV.P($E607:$V607))),V607,(SLOPE($E607:$V607,$E$1:$V$1)*W$1+INTERCEPT($E607:$V607,$E$1:$V$1)))</f>
        <v>2138.7417516339856</v>
      </c>
      <c r="X607" s="5">
        <f t="shared" si="614"/>
        <v>1737.6691968352234</v>
      </c>
      <c r="Y607" s="5">
        <f t="shared" si="614"/>
        <v>1336.5966420364621</v>
      </c>
      <c r="Z607" s="5">
        <f t="shared" si="614"/>
        <v>935.52408723769986</v>
      </c>
      <c r="AA607" s="5">
        <f t="shared" si="614"/>
        <v>534.45153243893765</v>
      </c>
      <c r="AB607" s="5">
        <f t="shared" si="614"/>
        <v>133.37897764017725</v>
      </c>
      <c r="AC607" s="5">
        <f t="shared" si="614"/>
        <v>133.37897764017725</v>
      </c>
      <c r="AD607" s="5">
        <f t="shared" si="614"/>
        <v>133.37897764017725</v>
      </c>
      <c r="AE607" s="5">
        <f t="shared" si="614"/>
        <v>133.37897764017725</v>
      </c>
      <c r="AF607" s="5">
        <f t="shared" si="614"/>
        <v>133.37897764017725</v>
      </c>
      <c r="AG607" s="5">
        <f t="shared" si="614"/>
        <v>133.37897764017725</v>
      </c>
      <c r="AH607" s="5">
        <f t="shared" si="614"/>
        <v>133.37897764017725</v>
      </c>
    </row>
    <row r="608" spans="1:34" x14ac:dyDescent="0.35">
      <c r="A608" t="s">
        <v>628</v>
      </c>
      <c r="B608" s="3" t="s">
        <v>1266</v>
      </c>
      <c r="C608" s="4" t="s">
        <v>1266</v>
      </c>
      <c r="D608" s="2">
        <f t="shared" si="586"/>
        <v>106433.33467761152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106433.33467761152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f t="shared" ref="W608:AH608" si="615">IF(OR((SLOPE($E608:$V608,$E$1:$V$1)*W$1+INTERCEPT($E608:$V608,$E$1:$V$1))&gt;(AVERAGE($E608:$V608)+_xlfn.STDEV.P($E608:$V608)),(SLOPE($E608:$V608,$E$1:$V$1)*W$1+INTERCEPT($E608:$V608,$E$1:$V$1))&lt;(AVERAGE($E608:$V608)-_xlfn.STDEV.P($E608:$V608))),V608,(SLOPE($E608:$V608,$E$1:$V$1)*W$1+INTERCEPT($E608:$V608,$E$1:$V$1)))</f>
        <v>11130.283364978983</v>
      </c>
      <c r="X608" s="5">
        <f t="shared" si="615"/>
        <v>11679.47497838255</v>
      </c>
      <c r="Y608" s="5">
        <f t="shared" si="615"/>
        <v>12228.666591786121</v>
      </c>
      <c r="Z608" s="5">
        <f t="shared" si="615"/>
        <v>12777.858205189688</v>
      </c>
      <c r="AA608" s="5">
        <f t="shared" si="615"/>
        <v>13327.049818593256</v>
      </c>
      <c r="AB608" s="5">
        <f t="shared" si="615"/>
        <v>13876.241431996827</v>
      </c>
      <c r="AC608" s="5">
        <f t="shared" si="615"/>
        <v>14425.433045400394</v>
      </c>
      <c r="AD608" s="5">
        <f t="shared" si="615"/>
        <v>14974.624658803961</v>
      </c>
      <c r="AE608" s="5">
        <f t="shared" si="615"/>
        <v>15523.816272207529</v>
      </c>
      <c r="AF608" s="5">
        <f t="shared" si="615"/>
        <v>16073.007885611099</v>
      </c>
      <c r="AG608" s="5">
        <f t="shared" si="615"/>
        <v>16622.199499014667</v>
      </c>
      <c r="AH608" s="5">
        <f t="shared" si="615"/>
        <v>17171.391112418234</v>
      </c>
    </row>
    <row r="609" spans="1:34" x14ac:dyDescent="0.35">
      <c r="A609" t="s">
        <v>629</v>
      </c>
      <c r="B609" s="3" t="s">
        <v>1266</v>
      </c>
      <c r="C609" s="4" t="s">
        <v>1263</v>
      </c>
      <c r="D609" s="2">
        <f t="shared" si="586"/>
        <v>105687.95249482135</v>
      </c>
      <c r="E609" s="5">
        <v>0</v>
      </c>
      <c r="F609" s="5">
        <v>0</v>
      </c>
      <c r="G609" s="5">
        <v>0</v>
      </c>
      <c r="H609" s="5">
        <v>51680.150580056994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43297.460300333812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10710.341614430557</v>
      </c>
      <c r="W609" s="5">
        <f t="shared" ref="W609:AH609" si="616">IF(OR((SLOPE($E609:$V609,$E$1:$V$1)*W$1+INTERCEPT($E609:$V609,$E$1:$V$1))&gt;(AVERAGE($E609:$V609)+_xlfn.STDEV.P($E609:$V609)),(SLOPE($E609:$V609,$E$1:$V$1)*W$1+INTERCEPT($E609:$V609,$E$1:$V$1))&lt;(AVERAGE($E609:$V609)-_xlfn.STDEV.P($E609:$V609))),V609,(SLOPE($E609:$V609,$E$1:$V$1)*W$1+INTERCEPT($E609:$V609,$E$1:$V$1)))</f>
        <v>3356.714994474004</v>
      </c>
      <c r="X609" s="5">
        <f t="shared" si="616"/>
        <v>3091.99521322085</v>
      </c>
      <c r="Y609" s="5">
        <f t="shared" si="616"/>
        <v>2827.275431967696</v>
      </c>
      <c r="Z609" s="5">
        <f t="shared" si="616"/>
        <v>2562.5556507145429</v>
      </c>
      <c r="AA609" s="5">
        <f t="shared" si="616"/>
        <v>2297.8358694613889</v>
      </c>
      <c r="AB609" s="5">
        <f t="shared" si="616"/>
        <v>2033.1160882082349</v>
      </c>
      <c r="AC609" s="5">
        <f t="shared" si="616"/>
        <v>1768.3963069550809</v>
      </c>
      <c r="AD609" s="5">
        <f t="shared" si="616"/>
        <v>1503.6765257019269</v>
      </c>
      <c r="AE609" s="5">
        <f t="shared" si="616"/>
        <v>1238.9567444487739</v>
      </c>
      <c r="AF609" s="5">
        <f t="shared" si="616"/>
        <v>974.23696319561986</v>
      </c>
      <c r="AG609" s="5">
        <f t="shared" si="616"/>
        <v>709.51718194246587</v>
      </c>
      <c r="AH609" s="5">
        <f t="shared" si="616"/>
        <v>444.79740068931278</v>
      </c>
    </row>
    <row r="610" spans="1:34" x14ac:dyDescent="0.35">
      <c r="A610" t="s">
        <v>630</v>
      </c>
      <c r="B610" s="3" t="s">
        <v>1265</v>
      </c>
      <c r="C610" s="4" t="s">
        <v>1267</v>
      </c>
      <c r="D610" s="2">
        <f t="shared" si="586"/>
        <v>105343.98549994116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105343.98549994116</v>
      </c>
      <c r="S610" s="5">
        <v>0</v>
      </c>
      <c r="T610" s="5">
        <v>0</v>
      </c>
      <c r="U610" s="5">
        <v>0</v>
      </c>
      <c r="V610" s="5">
        <v>0</v>
      </c>
      <c r="W610" s="5">
        <f t="shared" ref="W610:AH610" si="617">IF(OR((SLOPE($E610:$V610,$E$1:$V$1)*W$1+INTERCEPT($E610:$V610,$E$1:$V$1))&gt;(AVERAGE($E610:$V610)+_xlfn.STDEV.P($E610:$V610)),(SLOPE($E610:$V610,$E$1:$V$1)*W$1+INTERCEPT($E610:$V610,$E$1:$V$1))&lt;(AVERAGE($E610:$V610)-_xlfn.STDEV.P($E610:$V610))),V610,(SLOPE($E610:$V610,$E$1:$V$1)*W$1+INTERCEPT($E610:$V610,$E$1:$V$1)))</f>
        <v>15147.501182998076</v>
      </c>
      <c r="X610" s="5">
        <f t="shared" si="617"/>
        <v>16125.928292904649</v>
      </c>
      <c r="Y610" s="5">
        <f t="shared" si="617"/>
        <v>17104.355402811223</v>
      </c>
      <c r="Z610" s="5">
        <f t="shared" si="617"/>
        <v>18082.782512717797</v>
      </c>
      <c r="AA610" s="5">
        <f t="shared" si="617"/>
        <v>19061.209622624374</v>
      </c>
      <c r="AB610" s="5">
        <f t="shared" si="617"/>
        <v>20039.636732530947</v>
      </c>
      <c r="AC610" s="5">
        <f t="shared" si="617"/>
        <v>21018.063842437521</v>
      </c>
      <c r="AD610" s="5">
        <f t="shared" si="617"/>
        <v>21996.490952344095</v>
      </c>
      <c r="AE610" s="5">
        <f t="shared" si="617"/>
        <v>22974.918062250668</v>
      </c>
      <c r="AF610" s="5">
        <f t="shared" si="617"/>
        <v>23953.345172157242</v>
      </c>
      <c r="AG610" s="5">
        <f t="shared" si="617"/>
        <v>24931.772282063819</v>
      </c>
      <c r="AH610" s="5">
        <f t="shared" si="617"/>
        <v>25910.199391970393</v>
      </c>
    </row>
    <row r="611" spans="1:34" x14ac:dyDescent="0.35">
      <c r="A611" t="s">
        <v>631</v>
      </c>
      <c r="B611" s="3" t="s">
        <v>1266</v>
      </c>
      <c r="C611" s="4" t="s">
        <v>1266</v>
      </c>
      <c r="D611" s="2">
        <f t="shared" si="586"/>
        <v>104581.93603489063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104581.93603489063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f t="shared" ref="W611:AH611" si="618">IF(OR((SLOPE($E611:$V611,$E$1:$V$1)*W$1+INTERCEPT($E611:$V611,$E$1:$V$1))&gt;(AVERAGE($E611:$V611)+_xlfn.STDEV.P($E611:$V611)),(SLOPE($E611:$V611,$E$1:$V$1)*W$1+INTERCEPT($E611:$V611,$E$1:$V$1))&lt;(AVERAGE($E611:$V611)-_xlfn.STDEV.P($E611:$V611))),V611,(SLOPE($E611:$V611,$E$1:$V$1)*W$1+INTERCEPT($E611:$V611,$E$1:$V$1)))</f>
        <v>10936.673049400328</v>
      </c>
      <c r="X611" s="5">
        <f t="shared" si="618"/>
        <v>11476.31152223258</v>
      </c>
      <c r="Y611" s="5">
        <f t="shared" si="618"/>
        <v>12015.949995064833</v>
      </c>
      <c r="Z611" s="5">
        <f t="shared" si="618"/>
        <v>12555.588467897087</v>
      </c>
      <c r="AA611" s="5">
        <f t="shared" si="618"/>
        <v>13095.226940729339</v>
      </c>
      <c r="AB611" s="5">
        <f t="shared" si="618"/>
        <v>13634.865413561593</v>
      </c>
      <c r="AC611" s="5">
        <f t="shared" si="618"/>
        <v>14174.503886393846</v>
      </c>
      <c r="AD611" s="5">
        <f t="shared" si="618"/>
        <v>14714.142359226098</v>
      </c>
      <c r="AE611" s="5">
        <f t="shared" si="618"/>
        <v>15253.780832058352</v>
      </c>
      <c r="AF611" s="5">
        <f t="shared" si="618"/>
        <v>15793.419304890605</v>
      </c>
      <c r="AG611" s="5">
        <f t="shared" si="618"/>
        <v>16333.057777722857</v>
      </c>
      <c r="AH611" s="5">
        <f t="shared" si="618"/>
        <v>16872.696250555113</v>
      </c>
    </row>
    <row r="612" spans="1:34" x14ac:dyDescent="0.35">
      <c r="A612" t="s">
        <v>632</v>
      </c>
      <c r="B612" s="3" t="s">
        <v>1266</v>
      </c>
      <c r="C612" s="4" t="s">
        <v>1267</v>
      </c>
      <c r="D612" s="2">
        <f t="shared" si="586"/>
        <v>103642.60447867271</v>
      </c>
      <c r="E612" s="5">
        <v>0</v>
      </c>
      <c r="F612" s="5">
        <v>0</v>
      </c>
      <c r="G612" s="5">
        <v>0</v>
      </c>
      <c r="H612" s="5">
        <v>103642.60447867271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f t="shared" ref="W612:AH612" si="619">IF(OR((SLOPE($E612:$V612,$E$1:$V$1)*W$1+INTERCEPT($E612:$V612,$E$1:$V$1))&gt;(AVERAGE($E612:$V612)+_xlfn.STDEV.P($E612:$V612)),(SLOPE($E612:$V612,$E$1:$V$1)*W$1+INTERCEPT($E612:$V612,$E$1:$V$1))&lt;(AVERAGE($E612:$V612)-_xlfn.STDEV.P($E612:$V612))),V612,(SLOPE($E612:$V612,$E$1:$V$1)*W$1+INTERCEPT($E612:$V612,$E$1:$V$1)))</f>
        <v>-5419.2211492116476</v>
      </c>
      <c r="X612" s="5">
        <f t="shared" si="619"/>
        <v>-6595.7625829220706</v>
      </c>
      <c r="Y612" s="5">
        <f t="shared" si="619"/>
        <v>-7772.3040166324936</v>
      </c>
      <c r="Z612" s="5">
        <f t="shared" si="619"/>
        <v>-8948.8454503429166</v>
      </c>
      <c r="AA612" s="5">
        <f t="shared" si="619"/>
        <v>-10125.38688405334</v>
      </c>
      <c r="AB612" s="5">
        <f t="shared" si="619"/>
        <v>-11301.928317763763</v>
      </c>
      <c r="AC612" s="5">
        <f t="shared" si="619"/>
        <v>-12478.469751474186</v>
      </c>
      <c r="AD612" s="5">
        <f t="shared" si="619"/>
        <v>-13655.011185184609</v>
      </c>
      <c r="AE612" s="5">
        <f t="shared" si="619"/>
        <v>-14831.552618895032</v>
      </c>
      <c r="AF612" s="5">
        <f t="shared" si="619"/>
        <v>-16008.094052605455</v>
      </c>
      <c r="AG612" s="5">
        <f t="shared" si="619"/>
        <v>-17184.635486315878</v>
      </c>
      <c r="AH612" s="5">
        <f t="shared" si="619"/>
        <v>-17184.635486315878</v>
      </c>
    </row>
    <row r="613" spans="1:34" x14ac:dyDescent="0.35">
      <c r="A613" t="s">
        <v>633</v>
      </c>
      <c r="B613" s="3" t="s">
        <v>1265</v>
      </c>
      <c r="C613" s="4" t="s">
        <v>1263</v>
      </c>
      <c r="D613" s="2">
        <f t="shared" si="586"/>
        <v>101222.63199999997</v>
      </c>
      <c r="E613" s="5">
        <v>0</v>
      </c>
      <c r="F613" s="5">
        <v>10511.088</v>
      </c>
      <c r="G613" s="5">
        <v>32174.184000000001</v>
      </c>
      <c r="H613" s="5">
        <v>1773.2119999999998</v>
      </c>
      <c r="I613" s="5">
        <v>2980.2779999999998</v>
      </c>
      <c r="J613" s="5">
        <v>2115.0359999999996</v>
      </c>
      <c r="K613" s="5">
        <v>2328.6759999999999</v>
      </c>
      <c r="L613" s="5">
        <v>4721.4440000000004</v>
      </c>
      <c r="M613" s="5">
        <v>3460.9680000000008</v>
      </c>
      <c r="N613" s="5">
        <v>3728.018</v>
      </c>
      <c r="O613" s="5">
        <v>5576.0039999999981</v>
      </c>
      <c r="P613" s="5">
        <v>19847.155999999995</v>
      </c>
      <c r="Q613" s="5">
        <v>1794.5759999999998</v>
      </c>
      <c r="R613" s="5">
        <v>918.65200000000004</v>
      </c>
      <c r="S613" s="5">
        <v>7018.0740000000005</v>
      </c>
      <c r="T613" s="5">
        <v>1025.4719999999998</v>
      </c>
      <c r="U613" s="5">
        <v>854.56</v>
      </c>
      <c r="V613" s="5">
        <v>395.23399999999992</v>
      </c>
      <c r="W613" s="5">
        <f t="shared" ref="W613:AH613" si="620">IF(OR((SLOPE($E613:$V613,$E$1:$V$1)*W$1+INTERCEPT($E613:$V613,$E$1:$V$1))&gt;(AVERAGE($E613:$V613)+_xlfn.STDEV.P($E613:$V613)),(SLOPE($E613:$V613,$E$1:$V$1)*W$1+INTERCEPT($E613:$V613,$E$1:$V$1))&lt;(AVERAGE($E613:$V613)-_xlfn.STDEV.P($E613:$V613))),V613,(SLOPE($E613:$V613,$E$1:$V$1)*W$1+INTERCEPT($E613:$V613,$E$1:$V$1)))</f>
        <v>1547.5634771241803</v>
      </c>
      <c r="X613" s="5">
        <f t="shared" si="620"/>
        <v>1118.5196793945615</v>
      </c>
      <c r="Y613" s="5">
        <f t="shared" si="620"/>
        <v>689.47588166494461</v>
      </c>
      <c r="Z613" s="5">
        <f t="shared" si="620"/>
        <v>260.43208393532586</v>
      </c>
      <c r="AA613" s="5">
        <f t="shared" si="620"/>
        <v>-168.61171379429288</v>
      </c>
      <c r="AB613" s="5">
        <f t="shared" si="620"/>
        <v>-597.65551152390981</v>
      </c>
      <c r="AC613" s="5">
        <f t="shared" si="620"/>
        <v>-1026.6993092535286</v>
      </c>
      <c r="AD613" s="5">
        <f t="shared" si="620"/>
        <v>-1455.7431069831473</v>
      </c>
      <c r="AE613" s="5">
        <f t="shared" si="620"/>
        <v>-1884.786904712766</v>
      </c>
      <c r="AF613" s="5">
        <f t="shared" si="620"/>
        <v>-1884.786904712766</v>
      </c>
      <c r="AG613" s="5">
        <f t="shared" si="620"/>
        <v>-1884.786904712766</v>
      </c>
      <c r="AH613" s="5">
        <f t="shared" si="620"/>
        <v>-1884.786904712766</v>
      </c>
    </row>
    <row r="614" spans="1:34" x14ac:dyDescent="0.35">
      <c r="A614" t="s">
        <v>634</v>
      </c>
      <c r="B614" s="3" t="s">
        <v>1266</v>
      </c>
      <c r="C614" s="4" t="s">
        <v>1267</v>
      </c>
      <c r="D614" s="2">
        <f t="shared" si="586"/>
        <v>100695.59436795583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100695.59436795583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f t="shared" ref="W614:AH614" si="621">IF(OR((SLOPE($E614:$V614,$E$1:$V$1)*W$1+INTERCEPT($E614:$V614,$E$1:$V$1))&gt;(AVERAGE($E614:$V614)+_xlfn.STDEV.P($E614:$V614)),(SLOPE($E614:$V614,$E$1:$V$1)*W$1+INTERCEPT($E614:$V614,$E$1:$V$1))&lt;(AVERAGE($E614:$V614)-_xlfn.STDEV.P($E614:$V614))),V614,(SLOPE($E614:$V614,$E$1:$V$1)*W$1+INTERCEPT($E614:$V614,$E$1:$V$1)))</f>
        <v>6581.4113965984197</v>
      </c>
      <c r="X614" s="5">
        <f t="shared" si="621"/>
        <v>6685.3284186499732</v>
      </c>
      <c r="Y614" s="5">
        <f t="shared" si="621"/>
        <v>6789.2454407015275</v>
      </c>
      <c r="Z614" s="5">
        <f t="shared" si="621"/>
        <v>6893.1624627530819</v>
      </c>
      <c r="AA614" s="5">
        <f t="shared" si="621"/>
        <v>6997.0794848046353</v>
      </c>
      <c r="AB614" s="5">
        <f t="shared" si="621"/>
        <v>7100.9965068561887</v>
      </c>
      <c r="AC614" s="5">
        <f t="shared" si="621"/>
        <v>7204.9135289077431</v>
      </c>
      <c r="AD614" s="5">
        <f t="shared" si="621"/>
        <v>7308.8305509592974</v>
      </c>
      <c r="AE614" s="5">
        <f t="shared" si="621"/>
        <v>7412.7475730108508</v>
      </c>
      <c r="AF614" s="5">
        <f t="shared" si="621"/>
        <v>7516.6645950624052</v>
      </c>
      <c r="AG614" s="5">
        <f t="shared" si="621"/>
        <v>7620.5816171139595</v>
      </c>
      <c r="AH614" s="5">
        <f t="shared" si="621"/>
        <v>7724.4986391655129</v>
      </c>
    </row>
    <row r="615" spans="1:34" x14ac:dyDescent="0.35">
      <c r="A615" t="s">
        <v>635</v>
      </c>
      <c r="B615" s="3" t="s">
        <v>1264</v>
      </c>
      <c r="C615" s="4" t="s">
        <v>1267</v>
      </c>
      <c r="D615" s="2">
        <f t="shared" si="586"/>
        <v>100245.96283260142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100245.96283260142</v>
      </c>
      <c r="S615" s="5">
        <v>0</v>
      </c>
      <c r="T615" s="5">
        <v>0</v>
      </c>
      <c r="U615" s="5">
        <v>0</v>
      </c>
      <c r="V615" s="5">
        <v>0</v>
      </c>
      <c r="W615" s="5">
        <f t="shared" ref="W615:AH615" si="622">IF(OR((SLOPE($E615:$V615,$E$1:$V$1)*W$1+INTERCEPT($E615:$V615,$E$1:$V$1))&gt;(AVERAGE($E615:$V615)+_xlfn.STDEV.P($E615:$V615)),(SLOPE($E615:$V615,$E$1:$V$1)*W$1+INTERCEPT($E615:$V615,$E$1:$V$1))&lt;(AVERAGE($E615:$V615)-_xlfn.STDEV.P($E615:$V615))),V615,(SLOPE($E615:$V615,$E$1:$V$1)*W$1+INTERCEPT($E615:$V615,$E$1:$V$1)))</f>
        <v>14414.452172008048</v>
      </c>
      <c r="X615" s="5">
        <f t="shared" si="622"/>
        <v>15345.529226180817</v>
      </c>
      <c r="Y615" s="5">
        <f t="shared" si="622"/>
        <v>16276.606280353586</v>
      </c>
      <c r="Z615" s="5">
        <f t="shared" si="622"/>
        <v>17207.683334526355</v>
      </c>
      <c r="AA615" s="5">
        <f t="shared" si="622"/>
        <v>18138.760388699124</v>
      </c>
      <c r="AB615" s="5">
        <f t="shared" si="622"/>
        <v>19069.837442871889</v>
      </c>
      <c r="AC615" s="5">
        <f t="shared" si="622"/>
        <v>20000.914497044658</v>
      </c>
      <c r="AD615" s="5">
        <f t="shared" si="622"/>
        <v>20931.991551217427</v>
      </c>
      <c r="AE615" s="5">
        <f t="shared" si="622"/>
        <v>21863.068605390195</v>
      </c>
      <c r="AF615" s="5">
        <f t="shared" si="622"/>
        <v>22794.145659562964</v>
      </c>
      <c r="AG615" s="5">
        <f t="shared" si="622"/>
        <v>23725.222713735733</v>
      </c>
      <c r="AH615" s="5">
        <f t="shared" si="622"/>
        <v>24656.299767908502</v>
      </c>
    </row>
    <row r="616" spans="1:34" x14ac:dyDescent="0.35">
      <c r="A616" t="s">
        <v>636</v>
      </c>
      <c r="B616" s="3" t="s">
        <v>1266</v>
      </c>
      <c r="C616" s="4" t="s">
        <v>1267</v>
      </c>
      <c r="D616" s="2">
        <f t="shared" si="586"/>
        <v>100081.97667496066</v>
      </c>
      <c r="E616" s="5">
        <v>32488.989616826158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35881.879515679633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31711.10754245488</v>
      </c>
      <c r="V616" s="5">
        <v>0</v>
      </c>
      <c r="W616" s="5">
        <f t="shared" ref="W616:AH616" si="623">IF(OR((SLOPE($E616:$V616,$E$1:$V$1)*W$1+INTERCEPT($E616:$V616,$E$1:$V$1))&gt;(AVERAGE($E616:$V616)+_xlfn.STDEV.P($E616:$V616)),(SLOPE($E616:$V616,$E$1:$V$1)*W$1+INTERCEPT($E616:$V616,$E$1:$V$1))&lt;(AVERAGE($E616:$V616)-_xlfn.STDEV.P($E616:$V616))),V616,(SLOPE($E616:$V616,$E$1:$V$1)*W$1+INTERCEPT($E616:$V616,$E$1:$V$1)))</f>
        <v>4456.89324797264</v>
      </c>
      <c r="X616" s="5">
        <f t="shared" si="623"/>
        <v>4340.7651882565397</v>
      </c>
      <c r="Y616" s="5">
        <f t="shared" si="623"/>
        <v>4224.6371285404402</v>
      </c>
      <c r="Z616" s="5">
        <f t="shared" si="623"/>
        <v>4108.5090688243399</v>
      </c>
      <c r="AA616" s="5">
        <f t="shared" si="623"/>
        <v>3992.3810091082391</v>
      </c>
      <c r="AB616" s="5">
        <f t="shared" si="623"/>
        <v>3876.2529493921388</v>
      </c>
      <c r="AC616" s="5">
        <f t="shared" si="623"/>
        <v>3760.1248896760385</v>
      </c>
      <c r="AD616" s="5">
        <f t="shared" si="623"/>
        <v>3643.9968299599382</v>
      </c>
      <c r="AE616" s="5">
        <f t="shared" si="623"/>
        <v>3527.8687702438378</v>
      </c>
      <c r="AF616" s="5">
        <f t="shared" si="623"/>
        <v>3411.740710527738</v>
      </c>
      <c r="AG616" s="5">
        <f t="shared" si="623"/>
        <v>3295.6126508116376</v>
      </c>
      <c r="AH616" s="5">
        <f t="shared" si="623"/>
        <v>3179.4845910955373</v>
      </c>
    </row>
    <row r="617" spans="1:34" x14ac:dyDescent="0.35">
      <c r="A617" t="s">
        <v>637</v>
      </c>
      <c r="B617" s="3" t="s">
        <v>1262</v>
      </c>
      <c r="C617" s="4" t="s">
        <v>1263</v>
      </c>
      <c r="D617" s="2">
        <f t="shared" si="586"/>
        <v>94832.639999999999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94832.639999999999</v>
      </c>
      <c r="T617" s="5">
        <v>0</v>
      </c>
      <c r="U617" s="5">
        <v>0</v>
      </c>
      <c r="V617" s="5">
        <v>0</v>
      </c>
      <c r="W617" s="5">
        <f t="shared" ref="W617:AH617" si="624">IF(OR((SLOPE($E617:$V617,$E$1:$V$1)*W$1+INTERCEPT($E617:$V617,$E$1:$V$1))&gt;(AVERAGE($E617:$V617)+_xlfn.STDEV.P($E617:$V617)),(SLOPE($E617:$V617,$E$1:$V$1)*W$1+INTERCEPT($E617:$V617,$E$1:$V$1))&lt;(AVERAGE($E617:$V617)-_xlfn.STDEV.P($E617:$V617))),V617,(SLOPE($E617:$V617,$E$1:$V$1)*W$1+INTERCEPT($E617:$V617,$E$1:$V$1)))</f>
        <v>15495.529411764706</v>
      </c>
      <c r="X617" s="5">
        <f t="shared" si="624"/>
        <v>16572.060928792569</v>
      </c>
      <c r="Y617" s="5">
        <f t="shared" si="624"/>
        <v>17648.592445820435</v>
      </c>
      <c r="Z617" s="5">
        <f t="shared" si="624"/>
        <v>18725.123962848298</v>
      </c>
      <c r="AA617" s="5">
        <f t="shared" si="624"/>
        <v>19801.655479876161</v>
      </c>
      <c r="AB617" s="5">
        <f t="shared" si="624"/>
        <v>20878.186996904027</v>
      </c>
      <c r="AC617" s="5">
        <f t="shared" si="624"/>
        <v>21954.71851393189</v>
      </c>
      <c r="AD617" s="5">
        <f t="shared" si="624"/>
        <v>23031.250030959753</v>
      </c>
      <c r="AE617" s="5">
        <f t="shared" si="624"/>
        <v>24107.781547987615</v>
      </c>
      <c r="AF617" s="5">
        <f t="shared" si="624"/>
        <v>25184.313065015482</v>
      </c>
      <c r="AG617" s="5">
        <f t="shared" si="624"/>
        <v>26260.844582043344</v>
      </c>
      <c r="AH617" s="5">
        <f t="shared" si="624"/>
        <v>26260.844582043344</v>
      </c>
    </row>
    <row r="618" spans="1:34" x14ac:dyDescent="0.35">
      <c r="A618" t="s">
        <v>638</v>
      </c>
      <c r="B618" s="3" t="s">
        <v>1265</v>
      </c>
      <c r="C618" s="4" t="s">
        <v>1263</v>
      </c>
      <c r="D618" s="2">
        <f t="shared" si="586"/>
        <v>96848.099258980787</v>
      </c>
      <c r="E618" s="5">
        <v>4869.6175315074624</v>
      </c>
      <c r="F618" s="5">
        <v>6287.5355774464015</v>
      </c>
      <c r="G618" s="5">
        <v>4081.88528376361</v>
      </c>
      <c r="H618" s="5">
        <v>4339.6885648434163</v>
      </c>
      <c r="I618" s="5">
        <v>5728.9618017734865</v>
      </c>
      <c r="J618" s="5">
        <v>6459.4044314996054</v>
      </c>
      <c r="K618" s="5">
        <v>4110.5300927724775</v>
      </c>
      <c r="L618" s="5">
        <v>5943.7978693399909</v>
      </c>
      <c r="M618" s="5">
        <v>8092.1585450050497</v>
      </c>
      <c r="N618" s="5">
        <v>4182.1421152946459</v>
      </c>
      <c r="O618" s="5">
        <v>7146.8798477124246</v>
      </c>
      <c r="P618" s="5">
        <v>8736.6667477045685</v>
      </c>
      <c r="Q618" s="5">
        <v>2492.0983837714671</v>
      </c>
      <c r="R618" s="5">
        <v>4010.2732612414407</v>
      </c>
      <c r="S618" s="5">
        <v>5170.3880261005706</v>
      </c>
      <c r="T618" s="5">
        <v>4697.7486774542595</v>
      </c>
      <c r="U618" s="5">
        <v>7318.7487017656294</v>
      </c>
      <c r="V618" s="5">
        <v>3179.5737999842859</v>
      </c>
      <c r="W618" s="5">
        <f t="shared" ref="W618:AH618" si="625">IF(OR((SLOPE($E618:$V618,$E$1:$V$1)*W$1+INTERCEPT($E618:$V618,$E$1:$V$1))&gt;(AVERAGE($E618:$V618)+_xlfn.STDEV.P($E618:$V618)),(SLOPE($E618:$V618,$E$1:$V$1)*W$1+INTERCEPT($E618:$V618,$E$1:$V$1))&lt;(AVERAGE($E618:$V618)-_xlfn.STDEV.P($E618:$V618))),V618,(SLOPE($E618:$V618,$E$1:$V$1)*W$1+INTERCEPT($E618:$V618,$E$1:$V$1)))</f>
        <v>5218.4102059095549</v>
      </c>
      <c r="X618" s="5">
        <f t="shared" si="625"/>
        <v>5201.3533898124278</v>
      </c>
      <c r="Y618" s="5">
        <f t="shared" si="625"/>
        <v>5184.2965737153008</v>
      </c>
      <c r="Z618" s="5">
        <f t="shared" si="625"/>
        <v>5167.2397576181729</v>
      </c>
      <c r="AA618" s="5">
        <f t="shared" si="625"/>
        <v>5150.1829415210459</v>
      </c>
      <c r="AB618" s="5">
        <f t="shared" si="625"/>
        <v>5133.126125423918</v>
      </c>
      <c r="AC618" s="5">
        <f t="shared" si="625"/>
        <v>5116.069309326791</v>
      </c>
      <c r="AD618" s="5">
        <f t="shared" si="625"/>
        <v>5099.0124932296631</v>
      </c>
      <c r="AE618" s="5">
        <f t="shared" si="625"/>
        <v>5081.955677132536</v>
      </c>
      <c r="AF618" s="5">
        <f t="shared" si="625"/>
        <v>5064.8988610354081</v>
      </c>
      <c r="AG618" s="5">
        <f t="shared" si="625"/>
        <v>5047.8420449382811</v>
      </c>
      <c r="AH618" s="5">
        <f t="shared" si="625"/>
        <v>5030.7852288411541</v>
      </c>
    </row>
    <row r="619" spans="1:34" x14ac:dyDescent="0.35">
      <c r="A619" t="s">
        <v>639</v>
      </c>
      <c r="B619" s="3" t="s">
        <v>1266</v>
      </c>
      <c r="C619" s="4" t="s">
        <v>1266</v>
      </c>
      <c r="D619" s="2">
        <f t="shared" si="586"/>
        <v>97131.965210769442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48533.713554355592</v>
      </c>
      <c r="N619" s="5">
        <v>0</v>
      </c>
      <c r="O619" s="5">
        <v>0</v>
      </c>
      <c r="P619" s="5">
        <v>0</v>
      </c>
      <c r="Q619" s="5">
        <v>0</v>
      </c>
      <c r="R619" s="5">
        <v>48598.251656413842</v>
      </c>
      <c r="S619" s="5">
        <v>0</v>
      </c>
      <c r="T619" s="5">
        <v>0</v>
      </c>
      <c r="U619" s="5">
        <v>0</v>
      </c>
      <c r="V619" s="5">
        <v>0</v>
      </c>
      <c r="W619" s="5">
        <f t="shared" ref="W619:AH619" si="626">IF(OR((SLOPE($E619:$V619,$E$1:$V$1)*W$1+INTERCEPT($E619:$V619,$E$1:$V$1))&gt;(AVERAGE($E619:$V619)+_xlfn.STDEV.P($E619:$V619)),(SLOPE($E619:$V619,$E$1:$V$1)*W$1+INTERCEPT($E619:$V619,$E$1:$V$1))&lt;(AVERAGE($E619:$V619)-_xlfn.STDEV.P($E619:$V619))),V619,(SLOPE($E619:$V619,$E$1:$V$1)*W$1+INTERCEPT($E619:$V619,$E$1:$V$1)))</f>
        <v>9208.4805968731616</v>
      </c>
      <c r="X619" s="5">
        <f t="shared" si="626"/>
        <v>9609.7711555453679</v>
      </c>
      <c r="Y619" s="5">
        <f t="shared" si="626"/>
        <v>10011.061714217576</v>
      </c>
      <c r="Z619" s="5">
        <f t="shared" si="626"/>
        <v>10412.352272889782</v>
      </c>
      <c r="AA619" s="5">
        <f t="shared" si="626"/>
        <v>10813.642831561991</v>
      </c>
      <c r="AB619" s="5">
        <f t="shared" si="626"/>
        <v>11214.933390234199</v>
      </c>
      <c r="AC619" s="5">
        <f t="shared" si="626"/>
        <v>11616.223948906405</v>
      </c>
      <c r="AD619" s="5">
        <f t="shared" si="626"/>
        <v>12017.514507578613</v>
      </c>
      <c r="AE619" s="5">
        <f t="shared" si="626"/>
        <v>12418.805066250819</v>
      </c>
      <c r="AF619" s="5">
        <f t="shared" si="626"/>
        <v>12820.095624923028</v>
      </c>
      <c r="AG619" s="5">
        <f t="shared" si="626"/>
        <v>13221.386183595234</v>
      </c>
      <c r="AH619" s="5">
        <f t="shared" si="626"/>
        <v>13622.676742267442</v>
      </c>
    </row>
    <row r="620" spans="1:34" x14ac:dyDescent="0.35">
      <c r="A620" t="s">
        <v>640</v>
      </c>
      <c r="B620" s="3" t="s">
        <v>1264</v>
      </c>
      <c r="C620" s="4" t="s">
        <v>1263</v>
      </c>
      <c r="D620" s="2">
        <f t="shared" si="586"/>
        <v>90865.474889636433</v>
      </c>
      <c r="E620" s="5">
        <v>0</v>
      </c>
      <c r="F620" s="5">
        <v>0</v>
      </c>
      <c r="G620" s="5">
        <v>9901.575099167203</v>
      </c>
      <c r="H620" s="5">
        <v>639.89771049039746</v>
      </c>
      <c r="I620" s="5">
        <v>3031.0944181124087</v>
      </c>
      <c r="J620" s="5">
        <v>841.97067169789148</v>
      </c>
      <c r="K620" s="5">
        <v>8823.8526393939028</v>
      </c>
      <c r="L620" s="5">
        <v>5489.6487794702516</v>
      </c>
      <c r="M620" s="5">
        <v>2896.3791106407457</v>
      </c>
      <c r="N620" s="5">
        <v>6937.8383347906247</v>
      </c>
      <c r="O620" s="5">
        <v>1212.4377672449637</v>
      </c>
      <c r="P620" s="5">
        <v>6365.2982780360589</v>
      </c>
      <c r="Q620" s="5">
        <v>7779.8090064885164</v>
      </c>
      <c r="R620" s="5">
        <v>7240.9477766018654</v>
      </c>
      <c r="S620" s="5">
        <v>4984.4663764515162</v>
      </c>
      <c r="T620" s="5">
        <v>11181.370520147997</v>
      </c>
      <c r="U620" s="5">
        <v>6129.5464899606477</v>
      </c>
      <c r="V620" s="5">
        <v>7409.3419109414435</v>
      </c>
      <c r="W620" s="5">
        <f t="shared" ref="W620:AH620" si="627">IF(OR((SLOPE($E620:$V620,$E$1:$V$1)*W$1+INTERCEPT($E620:$V620,$E$1:$V$1))&gt;(AVERAGE($E620:$V620)+_xlfn.STDEV.P($E620:$V620)),(SLOPE($E620:$V620,$E$1:$V$1)*W$1+INTERCEPT($E620:$V620,$E$1:$V$1))&lt;(AVERAGE($E620:$V620)-_xlfn.STDEV.P($E620:$V620))),V620,(SLOPE($E620:$V620,$E$1:$V$1)*W$1+INTERCEPT($E620:$V620,$E$1:$V$1)))</f>
        <v>8456.9075126696171</v>
      </c>
      <c r="X620" s="5">
        <f t="shared" si="627"/>
        <v>8456.9075126696171</v>
      </c>
      <c r="Y620" s="5">
        <f t="shared" si="627"/>
        <v>8456.9075126696171</v>
      </c>
      <c r="Z620" s="5">
        <f t="shared" si="627"/>
        <v>8456.9075126696171</v>
      </c>
      <c r="AA620" s="5">
        <f t="shared" si="627"/>
        <v>8456.9075126696171</v>
      </c>
      <c r="AB620" s="5">
        <f t="shared" si="627"/>
        <v>8456.9075126696171</v>
      </c>
      <c r="AC620" s="5">
        <f t="shared" si="627"/>
        <v>8456.9075126696171</v>
      </c>
      <c r="AD620" s="5">
        <f t="shared" si="627"/>
        <v>8456.9075126696171</v>
      </c>
      <c r="AE620" s="5">
        <f t="shared" si="627"/>
        <v>8456.9075126696171</v>
      </c>
      <c r="AF620" s="5">
        <f t="shared" si="627"/>
        <v>8456.9075126696171</v>
      </c>
      <c r="AG620" s="5">
        <f t="shared" si="627"/>
        <v>8456.9075126696171</v>
      </c>
      <c r="AH620" s="5">
        <f t="shared" si="627"/>
        <v>8456.9075126696171</v>
      </c>
    </row>
    <row r="621" spans="1:34" x14ac:dyDescent="0.35">
      <c r="A621" t="s">
        <v>641</v>
      </c>
      <c r="B621" s="3" t="s">
        <v>1266</v>
      </c>
      <c r="C621" s="4" t="s">
        <v>1267</v>
      </c>
      <c r="D621" s="2">
        <f t="shared" si="586"/>
        <v>96729.382663719487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25410.451737889194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71318.930925830296</v>
      </c>
      <c r="V621" s="5">
        <v>0</v>
      </c>
      <c r="W621" s="5">
        <f t="shared" ref="W621:AH621" si="628">IF(OR((SLOPE($E621:$V621,$E$1:$V$1)*W$1+INTERCEPT($E621:$V621,$E$1:$V$1))&gt;(AVERAGE($E621:$V621)+_xlfn.STDEV.P($E621:$V621)),(SLOPE($E621:$V621,$E$1:$V$1)*W$1+INTERCEPT($E621:$V621,$E$1:$V$1))&lt;(AVERAGE($E621:$V621)-_xlfn.STDEV.P($E621:$V621))),V621,(SLOPE($E621:$V621,$E$1:$V$1)*W$1+INTERCEPT($E621:$V621,$E$1:$V$1)))</f>
        <v>16609.298897341821</v>
      </c>
      <c r="X621" s="5">
        <f t="shared" si="628"/>
        <v>17791.977245227397</v>
      </c>
      <c r="Y621" s="5">
        <f t="shared" si="628"/>
        <v>18974.65559311297</v>
      </c>
      <c r="Z621" s="5">
        <f t="shared" si="628"/>
        <v>20157.333940998546</v>
      </c>
      <c r="AA621" s="5">
        <f t="shared" si="628"/>
        <v>21340.012288884122</v>
      </c>
      <c r="AB621" s="5">
        <f t="shared" si="628"/>
        <v>21340.012288884122</v>
      </c>
      <c r="AC621" s="5">
        <f t="shared" si="628"/>
        <v>21340.012288884122</v>
      </c>
      <c r="AD621" s="5">
        <f t="shared" si="628"/>
        <v>21340.012288884122</v>
      </c>
      <c r="AE621" s="5">
        <f t="shared" si="628"/>
        <v>21340.012288884122</v>
      </c>
      <c r="AF621" s="5">
        <f t="shared" si="628"/>
        <v>21340.012288884122</v>
      </c>
      <c r="AG621" s="5">
        <f t="shared" si="628"/>
        <v>21340.012288884122</v>
      </c>
      <c r="AH621" s="5">
        <f t="shared" si="628"/>
        <v>21340.012288884122</v>
      </c>
    </row>
    <row r="622" spans="1:34" x14ac:dyDescent="0.35">
      <c r="A622" t="s">
        <v>642</v>
      </c>
      <c r="B622" s="3" t="s">
        <v>1265</v>
      </c>
      <c r="C622" s="4" t="s">
        <v>1263</v>
      </c>
      <c r="D622" s="2">
        <f t="shared" si="586"/>
        <v>96159.355397169391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22817.474162040191</v>
      </c>
      <c r="O622" s="5">
        <v>0</v>
      </c>
      <c r="P622" s="5">
        <v>0</v>
      </c>
      <c r="Q622" s="5">
        <v>36670.9406175646</v>
      </c>
      <c r="R622" s="5">
        <v>0</v>
      </c>
      <c r="S622" s="5">
        <v>0</v>
      </c>
      <c r="T622" s="5">
        <v>12223.646872521533</v>
      </c>
      <c r="U622" s="5">
        <v>0</v>
      </c>
      <c r="V622" s="5">
        <v>24447.293745043065</v>
      </c>
      <c r="W622" s="5">
        <f t="shared" ref="W622:AH622" si="629">IF(OR((SLOPE($E622:$V622,$E$1:$V$1)*W$1+INTERCEPT($E622:$V622,$E$1:$V$1))&gt;(AVERAGE($E622:$V622)+_xlfn.STDEV.P($E622:$V622)),(SLOPE($E622:$V622,$E$1:$V$1)*W$1+INTERCEPT($E622:$V622,$E$1:$V$1))&lt;(AVERAGE($E622:$V622)-_xlfn.STDEV.P($E622:$V622))),V622,(SLOPE($E622:$V622,$E$1:$V$1)*W$1+INTERCEPT($E622:$V622,$E$1:$V$1)))</f>
        <v>13714.985053047034</v>
      </c>
      <c r="X622" s="5">
        <f t="shared" si="629"/>
        <v>14596.332278530526</v>
      </c>
      <c r="Y622" s="5">
        <f t="shared" si="629"/>
        <v>15477.679504014019</v>
      </c>
      <c r="Z622" s="5">
        <f t="shared" si="629"/>
        <v>15477.679504014019</v>
      </c>
      <c r="AA622" s="5">
        <f t="shared" si="629"/>
        <v>15477.679504014019</v>
      </c>
      <c r="AB622" s="5">
        <f t="shared" si="629"/>
        <v>15477.679504014019</v>
      </c>
      <c r="AC622" s="5">
        <f t="shared" si="629"/>
        <v>15477.679504014019</v>
      </c>
      <c r="AD622" s="5">
        <f t="shared" si="629"/>
        <v>15477.679504014019</v>
      </c>
      <c r="AE622" s="5">
        <f t="shared" si="629"/>
        <v>15477.679504014019</v>
      </c>
      <c r="AF622" s="5">
        <f t="shared" si="629"/>
        <v>15477.679504014019</v>
      </c>
      <c r="AG622" s="5">
        <f t="shared" si="629"/>
        <v>15477.679504014019</v>
      </c>
      <c r="AH622" s="5">
        <f t="shared" si="629"/>
        <v>15477.679504014019</v>
      </c>
    </row>
    <row r="623" spans="1:34" x14ac:dyDescent="0.35">
      <c r="A623" t="s">
        <v>643</v>
      </c>
      <c r="B623" s="3" t="s">
        <v>1264</v>
      </c>
      <c r="C623" s="4" t="s">
        <v>1263</v>
      </c>
      <c r="D623" s="2">
        <f t="shared" si="586"/>
        <v>96042.032447364356</v>
      </c>
      <c r="E623" s="5">
        <v>5505.0984486885336</v>
      </c>
      <c r="F623" s="5">
        <v>3099.2713631434158</v>
      </c>
      <c r="G623" s="5">
        <v>6736.3158395263281</v>
      </c>
      <c r="H623" s="5">
        <v>10224.765113566746</v>
      </c>
      <c r="I623" s="5">
        <v>7359.0004969615356</v>
      </c>
      <c r="J623" s="5">
        <v>1903.4337823871663</v>
      </c>
      <c r="K623" s="5">
        <v>9800.2073925881959</v>
      </c>
      <c r="L623" s="5">
        <v>10981.893049311831</v>
      </c>
      <c r="M623" s="5">
        <v>3042.6636670129428</v>
      </c>
      <c r="N623" s="5">
        <v>10203.537227517822</v>
      </c>
      <c r="O623" s="5">
        <v>4613.5272346335778</v>
      </c>
      <c r="P623" s="5">
        <v>9686.9920003272491</v>
      </c>
      <c r="Q623" s="5">
        <v>12106.971009904984</v>
      </c>
      <c r="R623" s="5">
        <v>778.35582179400853</v>
      </c>
      <c r="S623" s="5">
        <v>0</v>
      </c>
      <c r="T623" s="5">
        <v>0</v>
      </c>
      <c r="U623" s="5">
        <v>0</v>
      </c>
      <c r="V623" s="5">
        <v>0</v>
      </c>
      <c r="W623" s="5">
        <f t="shared" ref="W623:AH623" si="630">IF(OR((SLOPE($E623:$V623,$E$1:$V$1)*W$1+INTERCEPT($E623:$V623,$E$1:$V$1))&gt;(AVERAGE($E623:$V623)+_xlfn.STDEV.P($E623:$V623)),(SLOPE($E623:$V623,$E$1:$V$1)*W$1+INTERCEPT($E623:$V623,$E$1:$V$1))&lt;(AVERAGE($E623:$V623)-_xlfn.STDEV.P($E623:$V623))),V623,(SLOPE($E623:$V623,$E$1:$V$1)*W$1+INTERCEPT($E623:$V623,$E$1:$V$1)))</f>
        <v>1998.1036794288984</v>
      </c>
      <c r="X623" s="5">
        <f t="shared" si="630"/>
        <v>1646.7810699689908</v>
      </c>
      <c r="Y623" s="5">
        <f t="shared" si="630"/>
        <v>1295.458460509084</v>
      </c>
      <c r="Z623" s="5">
        <f t="shared" si="630"/>
        <v>1295.458460509084</v>
      </c>
      <c r="AA623" s="5">
        <f t="shared" si="630"/>
        <v>1295.458460509084</v>
      </c>
      <c r="AB623" s="5">
        <f t="shared" si="630"/>
        <v>1295.458460509084</v>
      </c>
      <c r="AC623" s="5">
        <f t="shared" si="630"/>
        <v>1295.458460509084</v>
      </c>
      <c r="AD623" s="5">
        <f t="shared" si="630"/>
        <v>1295.458460509084</v>
      </c>
      <c r="AE623" s="5">
        <f t="shared" si="630"/>
        <v>1295.458460509084</v>
      </c>
      <c r="AF623" s="5">
        <f t="shared" si="630"/>
        <v>1295.458460509084</v>
      </c>
      <c r="AG623" s="5">
        <f t="shared" si="630"/>
        <v>1295.458460509084</v>
      </c>
      <c r="AH623" s="5">
        <f t="shared" si="630"/>
        <v>1295.458460509084</v>
      </c>
    </row>
    <row r="624" spans="1:34" x14ac:dyDescent="0.35">
      <c r="A624" t="s">
        <v>644</v>
      </c>
      <c r="B624" s="3" t="s">
        <v>1266</v>
      </c>
      <c r="C624" s="4" t="s">
        <v>1263</v>
      </c>
      <c r="D624" s="2">
        <f t="shared" si="586"/>
        <v>96036.864000000001</v>
      </c>
      <c r="E624" s="5">
        <v>0</v>
      </c>
      <c r="F624" s="5">
        <v>0</v>
      </c>
      <c r="G624" s="5">
        <v>0</v>
      </c>
      <c r="H624" s="5">
        <v>29875.103999999999</v>
      </c>
      <c r="I624" s="5">
        <v>3464.9663999999998</v>
      </c>
      <c r="J624" s="5">
        <v>27078.575999999997</v>
      </c>
      <c r="K624" s="5">
        <v>491.09759999999994</v>
      </c>
      <c r="L624" s="5">
        <v>3451.3247999999994</v>
      </c>
      <c r="M624" s="5">
        <v>11390.735999999999</v>
      </c>
      <c r="N624" s="5">
        <v>1568.7839999999999</v>
      </c>
      <c r="O624" s="5">
        <v>7693.8623999999991</v>
      </c>
      <c r="P624" s="5">
        <v>723.00479999999993</v>
      </c>
      <c r="Q624" s="5">
        <v>95.491199999999992</v>
      </c>
      <c r="R624" s="5">
        <v>4597.2191999999995</v>
      </c>
      <c r="S624" s="5">
        <v>2878.3775999999998</v>
      </c>
      <c r="T624" s="5">
        <v>2728.3199999999997</v>
      </c>
      <c r="U624" s="5">
        <v>0</v>
      </c>
      <c r="V624" s="5">
        <v>0</v>
      </c>
      <c r="W624" s="5">
        <f t="shared" ref="W624:AH624" si="631">IF(OR((SLOPE($E624:$V624,$E$1:$V$1)*W$1+INTERCEPT($E624:$V624,$E$1:$V$1))&gt;(AVERAGE($E624:$V624)+_xlfn.STDEV.P($E624:$V624)),(SLOPE($E624:$V624,$E$1:$V$1)*W$1+INTERCEPT($E624:$V624,$E$1:$V$1))&lt;(AVERAGE($E624:$V624)-_xlfn.STDEV.P($E624:$V624))),V624,(SLOPE($E624:$V624,$E$1:$V$1)*W$1+INTERCEPT($E624:$V624,$E$1:$V$1)))</f>
        <v>1059.6759215686288</v>
      </c>
      <c r="X624" s="5">
        <f t="shared" si="631"/>
        <v>609.60166769866009</v>
      </c>
      <c r="Y624" s="5">
        <f t="shared" si="631"/>
        <v>159.52741382869135</v>
      </c>
      <c r="Z624" s="5">
        <f t="shared" si="631"/>
        <v>-290.54684004127739</v>
      </c>
      <c r="AA624" s="5">
        <f t="shared" si="631"/>
        <v>-740.62109391124613</v>
      </c>
      <c r="AB624" s="5">
        <f t="shared" si="631"/>
        <v>-1190.6953477812149</v>
      </c>
      <c r="AC624" s="5">
        <f t="shared" si="631"/>
        <v>-1640.7696016511836</v>
      </c>
      <c r="AD624" s="5">
        <f t="shared" si="631"/>
        <v>-2090.8438555211524</v>
      </c>
      <c r="AE624" s="5">
        <f t="shared" si="631"/>
        <v>-2540.9181093911229</v>
      </c>
      <c r="AF624" s="5">
        <f t="shared" si="631"/>
        <v>-2990.9923632610917</v>
      </c>
      <c r="AG624" s="5">
        <f t="shared" si="631"/>
        <v>-2990.9923632610917</v>
      </c>
      <c r="AH624" s="5">
        <f t="shared" si="631"/>
        <v>-2990.9923632610917</v>
      </c>
    </row>
    <row r="625" spans="1:34" x14ac:dyDescent="0.35">
      <c r="A625" t="s">
        <v>645</v>
      </c>
      <c r="B625" s="3" t="s">
        <v>1264</v>
      </c>
      <c r="C625" s="4" t="s">
        <v>1263</v>
      </c>
      <c r="D625" s="2">
        <f t="shared" si="586"/>
        <v>95183.234999999986</v>
      </c>
      <c r="E625" s="5">
        <v>7342.65</v>
      </c>
      <c r="F625" s="5">
        <v>2659.2299999999996</v>
      </c>
      <c r="G625" s="5">
        <v>25342.065000000002</v>
      </c>
      <c r="H625" s="5">
        <v>2268.9450000000002</v>
      </c>
      <c r="I625" s="5">
        <v>1825.7399999999996</v>
      </c>
      <c r="J625" s="5">
        <v>1468.5299999999997</v>
      </c>
      <c r="K625" s="5">
        <v>1554.5250000000005</v>
      </c>
      <c r="L625" s="5">
        <v>3400.1099999999992</v>
      </c>
      <c r="M625" s="5">
        <v>3869.7750000000001</v>
      </c>
      <c r="N625" s="5">
        <v>4365.8999999999987</v>
      </c>
      <c r="O625" s="5">
        <v>9380.07</v>
      </c>
      <c r="P625" s="5">
        <v>5900.579999999999</v>
      </c>
      <c r="Q625" s="5">
        <v>4458.51</v>
      </c>
      <c r="R625" s="5">
        <v>3393.494999999999</v>
      </c>
      <c r="S625" s="5">
        <v>5278.77</v>
      </c>
      <c r="T625" s="5">
        <v>3830.0849999999987</v>
      </c>
      <c r="U625" s="5">
        <v>4544.5049999999992</v>
      </c>
      <c r="V625" s="5">
        <v>4299.75</v>
      </c>
      <c r="W625" s="5">
        <f t="shared" ref="W625:AH625" si="632">IF(OR((SLOPE($E625:$V625,$E$1:$V$1)*W$1+INTERCEPT($E625:$V625,$E$1:$V$1))&gt;(AVERAGE($E625:$V625)+_xlfn.STDEV.P($E625:$V625)),(SLOPE($E625:$V625,$E$1:$V$1)*W$1+INTERCEPT($E625:$V625,$E$1:$V$1))&lt;(AVERAGE($E625:$V625)-_xlfn.STDEV.P($E625:$V625))),V625,(SLOPE($E625:$V625,$E$1:$V$1)*W$1+INTERCEPT($E625:$V625,$E$1:$V$1)))</f>
        <v>3378.2329411764704</v>
      </c>
      <c r="X625" s="5">
        <f t="shared" si="632"/>
        <v>3177.2093034055724</v>
      </c>
      <c r="Y625" s="5">
        <f t="shared" si="632"/>
        <v>2976.1856656346745</v>
      </c>
      <c r="Z625" s="5">
        <f t="shared" si="632"/>
        <v>2775.1620278637765</v>
      </c>
      <c r="AA625" s="5">
        <f t="shared" si="632"/>
        <v>2574.1383900928786</v>
      </c>
      <c r="AB625" s="5">
        <f t="shared" si="632"/>
        <v>2373.1147523219806</v>
      </c>
      <c r="AC625" s="5">
        <f t="shared" si="632"/>
        <v>2172.0911145510827</v>
      </c>
      <c r="AD625" s="5">
        <f t="shared" si="632"/>
        <v>1971.0674767801847</v>
      </c>
      <c r="AE625" s="5">
        <f t="shared" si="632"/>
        <v>1770.0438390092877</v>
      </c>
      <c r="AF625" s="5">
        <f t="shared" si="632"/>
        <v>1569.0202012383897</v>
      </c>
      <c r="AG625" s="5">
        <f t="shared" si="632"/>
        <v>1367.9965634674918</v>
      </c>
      <c r="AH625" s="5">
        <f t="shared" si="632"/>
        <v>1166.9729256965938</v>
      </c>
    </row>
    <row r="626" spans="1:34" x14ac:dyDescent="0.35">
      <c r="A626" t="s">
        <v>646</v>
      </c>
      <c r="B626" s="3" t="s">
        <v>1264</v>
      </c>
      <c r="C626" s="4" t="s">
        <v>1263</v>
      </c>
      <c r="D626" s="2">
        <f t="shared" si="586"/>
        <v>95171.222160000005</v>
      </c>
      <c r="E626" s="5">
        <v>0</v>
      </c>
      <c r="F626" s="5">
        <v>1446.9386399999999</v>
      </c>
      <c r="G626" s="5">
        <v>2349.3304800000001</v>
      </c>
      <c r="H626" s="5">
        <v>1649.1988800000001</v>
      </c>
      <c r="I626" s="5">
        <v>2598.2661599999992</v>
      </c>
      <c r="J626" s="5">
        <v>2333.7719999999999</v>
      </c>
      <c r="K626" s="5">
        <v>4932.038160000001</v>
      </c>
      <c r="L626" s="5">
        <v>3267.2808</v>
      </c>
      <c r="M626" s="5">
        <v>7685.8891199999989</v>
      </c>
      <c r="N626" s="5">
        <v>5103.1814400000003</v>
      </c>
      <c r="O626" s="5">
        <v>6519.0031199999994</v>
      </c>
      <c r="P626" s="5">
        <v>6270.0674400000007</v>
      </c>
      <c r="Q626" s="5">
        <v>12633.485760000001</v>
      </c>
      <c r="R626" s="5">
        <v>10564.207920000003</v>
      </c>
      <c r="S626" s="5">
        <v>0</v>
      </c>
      <c r="T626" s="5">
        <v>171.14328</v>
      </c>
      <c r="U626" s="5">
        <v>0</v>
      </c>
      <c r="V626" s="5">
        <v>27647.418959999992</v>
      </c>
      <c r="W626" s="5">
        <f t="shared" ref="W626:AH626" si="633">IF(OR((SLOPE($E626:$V626,$E$1:$V$1)*W$1+INTERCEPT($E626:$V626,$E$1:$V$1))&gt;(AVERAGE($E626:$V626)+_xlfn.STDEV.P($E626:$V626)),(SLOPE($E626:$V626,$E$1:$V$1)*W$1+INTERCEPT($E626:$V626,$E$1:$V$1))&lt;(AVERAGE($E626:$V626)-_xlfn.STDEV.P($E626:$V626))),V626,(SLOPE($E626:$V626,$E$1:$V$1)*W$1+INTERCEPT($E626:$V626,$E$1:$V$1)))</f>
        <v>10772.569524705883</v>
      </c>
      <c r="X626" s="5">
        <f t="shared" si="633"/>
        <v>11349.967356780187</v>
      </c>
      <c r="Y626" s="5">
        <f t="shared" si="633"/>
        <v>11349.967356780187</v>
      </c>
      <c r="Z626" s="5">
        <f t="shared" si="633"/>
        <v>11349.967356780187</v>
      </c>
      <c r="AA626" s="5">
        <f t="shared" si="633"/>
        <v>11349.967356780187</v>
      </c>
      <c r="AB626" s="5">
        <f t="shared" si="633"/>
        <v>11349.967356780187</v>
      </c>
      <c r="AC626" s="5">
        <f t="shared" si="633"/>
        <v>11349.967356780187</v>
      </c>
      <c r="AD626" s="5">
        <f t="shared" si="633"/>
        <v>11349.967356780187</v>
      </c>
      <c r="AE626" s="5">
        <f t="shared" si="633"/>
        <v>11349.967356780187</v>
      </c>
      <c r="AF626" s="5">
        <f t="shared" si="633"/>
        <v>11349.967356780187</v>
      </c>
      <c r="AG626" s="5">
        <f t="shared" si="633"/>
        <v>11349.967356780187</v>
      </c>
      <c r="AH626" s="5">
        <f t="shared" si="633"/>
        <v>11349.967356780187</v>
      </c>
    </row>
    <row r="627" spans="1:34" x14ac:dyDescent="0.35">
      <c r="A627" t="s">
        <v>647</v>
      </c>
      <c r="B627" s="3" t="s">
        <v>1265</v>
      </c>
      <c r="C627" s="4" t="s">
        <v>1263</v>
      </c>
      <c r="D627" s="2">
        <f t="shared" si="586"/>
        <v>94519.444429685871</v>
      </c>
      <c r="E627" s="5">
        <v>0</v>
      </c>
      <c r="F627" s="5">
        <v>0</v>
      </c>
      <c r="G627" s="5">
        <v>0</v>
      </c>
      <c r="H627" s="5">
        <v>29800.45365861712</v>
      </c>
      <c r="I627" s="5">
        <v>0</v>
      </c>
      <c r="J627" s="5">
        <v>0</v>
      </c>
      <c r="K627" s="5">
        <v>32689.694318039834</v>
      </c>
      <c r="L627" s="5">
        <v>2724.1411931699863</v>
      </c>
      <c r="M627" s="5">
        <v>0</v>
      </c>
      <c r="N627" s="5">
        <v>0</v>
      </c>
      <c r="O627" s="5">
        <v>0</v>
      </c>
      <c r="P627" s="5">
        <v>8172.4235795099585</v>
      </c>
      <c r="Q627" s="5">
        <v>0</v>
      </c>
      <c r="R627" s="5">
        <v>0</v>
      </c>
      <c r="S627" s="5">
        <v>0</v>
      </c>
      <c r="T627" s="5">
        <v>2724.1411931699863</v>
      </c>
      <c r="U627" s="5">
        <v>11928.436436759486</v>
      </c>
      <c r="V627" s="5">
        <v>6480.1540504195127</v>
      </c>
      <c r="W627" s="5">
        <f t="shared" ref="W627:AH627" si="634">IF(OR((SLOPE($E627:$V627,$E$1:$V$1)*W$1+INTERCEPT($E627:$V627,$E$1:$V$1))&gt;(AVERAGE($E627:$V627)+_xlfn.STDEV.P($E627:$V627)),(SLOPE($E627:$V627,$E$1:$V$1)*W$1+INTERCEPT($E627:$V627,$E$1:$V$1))&lt;(AVERAGE($E627:$V627)-_xlfn.STDEV.P($E627:$V627))),V627,(SLOPE($E627:$V627,$E$1:$V$1)*W$1+INTERCEPT($E627:$V627,$E$1:$V$1)))</f>
        <v>3936.7590049445039</v>
      </c>
      <c r="X627" s="5">
        <f t="shared" si="634"/>
        <v>3798.409400613014</v>
      </c>
      <c r="Y627" s="5">
        <f t="shared" si="634"/>
        <v>3660.0597962815241</v>
      </c>
      <c r="Z627" s="5">
        <f t="shared" si="634"/>
        <v>3521.7101919500337</v>
      </c>
      <c r="AA627" s="5">
        <f t="shared" si="634"/>
        <v>3383.3605876185438</v>
      </c>
      <c r="AB627" s="5">
        <f t="shared" si="634"/>
        <v>3245.0109832870539</v>
      </c>
      <c r="AC627" s="5">
        <f t="shared" si="634"/>
        <v>3106.661378955564</v>
      </c>
      <c r="AD627" s="5">
        <f t="shared" si="634"/>
        <v>2968.3117746240741</v>
      </c>
      <c r="AE627" s="5">
        <f t="shared" si="634"/>
        <v>2829.9621702925838</v>
      </c>
      <c r="AF627" s="5">
        <f t="shared" si="634"/>
        <v>2691.6125659610939</v>
      </c>
      <c r="AG627" s="5">
        <f t="shared" si="634"/>
        <v>2553.262961629604</v>
      </c>
      <c r="AH627" s="5">
        <f t="shared" si="634"/>
        <v>2414.9133572981136</v>
      </c>
    </row>
    <row r="628" spans="1:34" x14ac:dyDescent="0.35">
      <c r="A628" t="s">
        <v>648</v>
      </c>
      <c r="B628" s="3" t="s">
        <v>1266</v>
      </c>
      <c r="C628" s="4" t="s">
        <v>1267</v>
      </c>
      <c r="D628" s="2">
        <f t="shared" si="586"/>
        <v>94244.335236079074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94244.335236079074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f t="shared" ref="W628:AH628" si="635">IF(OR((SLOPE($E628:$V628,$E$1:$V$1)*W$1+INTERCEPT($E628:$V628,$E$1:$V$1))&gt;(AVERAGE($E628:$V628)+_xlfn.STDEV.P($E628:$V628)),(SLOPE($E628:$V628,$E$1:$V$1)*W$1+INTERCEPT($E628:$V628,$E$1:$V$1))&lt;(AVERAGE($E628:$V628)-_xlfn.STDEV.P($E628:$V628))),V628,(SLOPE($E628:$V628,$E$1:$V$1)*W$1+INTERCEPT($E628:$V628,$E$1:$V$1)))</f>
        <v>4311.832331062441</v>
      </c>
      <c r="X628" s="5">
        <f t="shared" si="635"/>
        <v>4214.572955173815</v>
      </c>
      <c r="Y628" s="5">
        <f t="shared" si="635"/>
        <v>4117.3135792851881</v>
      </c>
      <c r="Z628" s="5">
        <f t="shared" si="635"/>
        <v>4020.0542033965617</v>
      </c>
      <c r="AA628" s="5">
        <f t="shared" si="635"/>
        <v>3922.7948275079348</v>
      </c>
      <c r="AB628" s="5">
        <f t="shared" si="635"/>
        <v>3825.5354516193083</v>
      </c>
      <c r="AC628" s="5">
        <f t="shared" si="635"/>
        <v>3728.2760757306819</v>
      </c>
      <c r="AD628" s="5">
        <f t="shared" si="635"/>
        <v>3631.0166998420555</v>
      </c>
      <c r="AE628" s="5">
        <f t="shared" si="635"/>
        <v>3533.757323953429</v>
      </c>
      <c r="AF628" s="5">
        <f t="shared" si="635"/>
        <v>3436.4979480648026</v>
      </c>
      <c r="AG628" s="5">
        <f t="shared" si="635"/>
        <v>3339.2385721761757</v>
      </c>
      <c r="AH628" s="5">
        <f t="shared" si="635"/>
        <v>3241.9791962875493</v>
      </c>
    </row>
    <row r="629" spans="1:34" x14ac:dyDescent="0.35">
      <c r="A629" t="s">
        <v>649</v>
      </c>
      <c r="B629" s="3" t="s">
        <v>1265</v>
      </c>
      <c r="C629" s="4" t="s">
        <v>1263</v>
      </c>
      <c r="D629" s="2">
        <f t="shared" si="586"/>
        <v>93696.281000000017</v>
      </c>
      <c r="E629" s="5">
        <v>0</v>
      </c>
      <c r="F629" s="5">
        <v>1602.1530000000002</v>
      </c>
      <c r="G629" s="5">
        <v>4628.4420000000018</v>
      </c>
      <c r="H629" s="5">
        <v>7203.7546000000011</v>
      </c>
      <c r="I629" s="5">
        <v>1946.3192000000004</v>
      </c>
      <c r="J629" s="5">
        <v>2504.1058000000007</v>
      </c>
      <c r="K629" s="5">
        <v>985.02740000000017</v>
      </c>
      <c r="L629" s="5">
        <v>1958.1870000000004</v>
      </c>
      <c r="M629" s="5">
        <v>6444.2154</v>
      </c>
      <c r="N629" s="5">
        <v>5198.0964000000004</v>
      </c>
      <c r="O629" s="5">
        <v>7191.8867999999993</v>
      </c>
      <c r="P629" s="5">
        <v>6361.1407999999992</v>
      </c>
      <c r="Q629" s="5">
        <v>4818.3268000000007</v>
      </c>
      <c r="R629" s="5">
        <v>6776.5138000000006</v>
      </c>
      <c r="S629" s="5">
        <v>2800.8008000000004</v>
      </c>
      <c r="T629" s="5">
        <v>0</v>
      </c>
      <c r="U629" s="5">
        <v>18929.141</v>
      </c>
      <c r="V629" s="5">
        <v>14348.1702</v>
      </c>
      <c r="W629" s="5">
        <f t="shared" ref="W629:AH629" si="636">IF(OR((SLOPE($E629:$V629,$E$1:$V$1)*W$1+INTERCEPT($E629:$V629,$E$1:$V$1))&gt;(AVERAGE($E629:$V629)+_xlfn.STDEV.P($E629:$V629)),(SLOPE($E629:$V629,$E$1:$V$1)*W$1+INTERCEPT($E629:$V629,$E$1:$V$1))&lt;(AVERAGE($E629:$V629)-_xlfn.STDEV.P($E629:$V629))),V629,(SLOPE($E629:$V629,$E$1:$V$1)*W$1+INTERCEPT($E629:$V629,$E$1:$V$1)))</f>
        <v>14348.1702</v>
      </c>
      <c r="X629" s="5">
        <f t="shared" si="636"/>
        <v>14348.1702</v>
      </c>
      <c r="Y629" s="5">
        <f t="shared" si="636"/>
        <v>14348.1702</v>
      </c>
      <c r="Z629" s="5">
        <f t="shared" si="636"/>
        <v>14348.1702</v>
      </c>
      <c r="AA629" s="5">
        <f t="shared" si="636"/>
        <v>14348.1702</v>
      </c>
      <c r="AB629" s="5">
        <f t="shared" si="636"/>
        <v>14348.1702</v>
      </c>
      <c r="AC629" s="5">
        <f t="shared" si="636"/>
        <v>14348.1702</v>
      </c>
      <c r="AD629" s="5">
        <f t="shared" si="636"/>
        <v>14348.1702</v>
      </c>
      <c r="AE629" s="5">
        <f t="shared" si="636"/>
        <v>14348.1702</v>
      </c>
      <c r="AF629" s="5">
        <f t="shared" si="636"/>
        <v>14348.1702</v>
      </c>
      <c r="AG629" s="5">
        <f t="shared" si="636"/>
        <v>14348.1702</v>
      </c>
      <c r="AH629" s="5">
        <f t="shared" si="636"/>
        <v>14348.1702</v>
      </c>
    </row>
    <row r="630" spans="1:34" x14ac:dyDescent="0.35">
      <c r="A630" t="s">
        <v>650</v>
      </c>
      <c r="B630" s="3" t="s">
        <v>1266</v>
      </c>
      <c r="C630" s="4" t="s">
        <v>1267</v>
      </c>
      <c r="D630" s="2">
        <f t="shared" si="586"/>
        <v>93921.799538277468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93921.799538277468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f t="shared" ref="W630:AH630" si="637">IF(OR((SLOPE($E630:$V630,$E$1:$V$1)*W$1+INTERCEPT($E630:$V630,$E$1:$V$1))&gt;(AVERAGE($E630:$V630)+_xlfn.STDEV.P($E630:$V630)),(SLOPE($E630:$V630,$E$1:$V$1)*W$1+INTERCEPT($E630:$V630,$E$1:$V$1))&lt;(AVERAGE($E630:$V630)-_xlfn.STDEV.P($E630:$V630))),V630,(SLOPE($E630:$V630,$E$1:$V$1)*W$1+INTERCEPT($E630:$V630,$E$1:$V$1)))</f>
        <v>9821.8875334146342</v>
      </c>
      <c r="X630" s="5">
        <f t="shared" si="637"/>
        <v>10306.520141971278</v>
      </c>
      <c r="Y630" s="5">
        <f t="shared" si="637"/>
        <v>10791.152750527921</v>
      </c>
      <c r="Z630" s="5">
        <f t="shared" si="637"/>
        <v>11275.785359084564</v>
      </c>
      <c r="AA630" s="5">
        <f t="shared" si="637"/>
        <v>11760.417967641208</v>
      </c>
      <c r="AB630" s="5">
        <f t="shared" si="637"/>
        <v>12245.050576197851</v>
      </c>
      <c r="AC630" s="5">
        <f t="shared" si="637"/>
        <v>12729.683184754493</v>
      </c>
      <c r="AD630" s="5">
        <f t="shared" si="637"/>
        <v>13214.315793311136</v>
      </c>
      <c r="AE630" s="5">
        <f t="shared" si="637"/>
        <v>13698.948401867779</v>
      </c>
      <c r="AF630" s="5">
        <f t="shared" si="637"/>
        <v>14183.581010424423</v>
      </c>
      <c r="AG630" s="5">
        <f t="shared" si="637"/>
        <v>14668.213618981066</v>
      </c>
      <c r="AH630" s="5">
        <f t="shared" si="637"/>
        <v>15152.846227537708</v>
      </c>
    </row>
    <row r="631" spans="1:34" x14ac:dyDescent="0.35">
      <c r="A631" t="s">
        <v>651</v>
      </c>
      <c r="B631" s="3" t="s">
        <v>1265</v>
      </c>
      <c r="C631" s="4" t="s">
        <v>1263</v>
      </c>
      <c r="D631" s="2">
        <f t="shared" si="586"/>
        <v>92569.283008730097</v>
      </c>
      <c r="E631" s="5">
        <v>191.41704509662966</v>
      </c>
      <c r="F631" s="5">
        <v>1205.9273841087668</v>
      </c>
      <c r="G631" s="5">
        <v>2354.4296546885448</v>
      </c>
      <c r="H631" s="5">
        <v>6355.0458972081042</v>
      </c>
      <c r="I631" s="5">
        <v>8192.64953013575</v>
      </c>
      <c r="J631" s="5">
        <v>8939.1760060126053</v>
      </c>
      <c r="K631" s="5">
        <v>650.81795332854085</v>
      </c>
      <c r="L631" s="5">
        <v>4000.6162425195594</v>
      </c>
      <c r="M631" s="5">
        <v>3809.1991974229295</v>
      </c>
      <c r="N631" s="5">
        <v>9111.4513465995715</v>
      </c>
      <c r="O631" s="5">
        <v>4153.7498785968637</v>
      </c>
      <c r="P631" s="5">
        <v>7407.8396452395691</v>
      </c>
      <c r="Q631" s="5">
        <v>4861.9929454543926</v>
      </c>
      <c r="R631" s="5">
        <v>4995.9848770220351</v>
      </c>
      <c r="S631" s="5">
        <v>8479.7750977806918</v>
      </c>
      <c r="T631" s="5">
        <v>5417.1023762346185</v>
      </c>
      <c r="U631" s="5">
        <v>5857.3615799568679</v>
      </c>
      <c r="V631" s="5">
        <v>6584.74635132406</v>
      </c>
      <c r="W631" s="5">
        <f t="shared" ref="W631:AH631" si="638">IF(OR((SLOPE($E631:$V631,$E$1:$V$1)*W$1+INTERCEPT($E631:$V631,$E$1:$V$1))&gt;(AVERAGE($E631:$V631)+_xlfn.STDEV.P($E631:$V631)),(SLOPE($E631:$V631,$E$1:$V$1)*W$1+INTERCEPT($E631:$V631,$E$1:$V$1))&lt;(AVERAGE($E631:$V631)-_xlfn.STDEV.P($E631:$V631))),V631,(SLOPE($E631:$V631,$E$1:$V$1)*W$1+INTERCEPT($E631:$V631,$E$1:$V$1)))</f>
        <v>7337.6533953708022</v>
      </c>
      <c r="X631" s="5">
        <f t="shared" si="638"/>
        <v>7568.6971269962087</v>
      </c>
      <c r="Y631" s="5">
        <f t="shared" si="638"/>
        <v>7799.7408586216134</v>
      </c>
      <c r="Z631" s="5">
        <f t="shared" si="638"/>
        <v>7799.7408586216134</v>
      </c>
      <c r="AA631" s="5">
        <f t="shared" si="638"/>
        <v>7799.7408586216134</v>
      </c>
      <c r="AB631" s="5">
        <f t="shared" si="638"/>
        <v>7799.7408586216134</v>
      </c>
      <c r="AC631" s="5">
        <f t="shared" si="638"/>
        <v>7799.7408586216134</v>
      </c>
      <c r="AD631" s="5">
        <f t="shared" si="638"/>
        <v>7799.7408586216134</v>
      </c>
      <c r="AE631" s="5">
        <f t="shared" si="638"/>
        <v>7799.7408586216134</v>
      </c>
      <c r="AF631" s="5">
        <f t="shared" si="638"/>
        <v>7799.7408586216134</v>
      </c>
      <c r="AG631" s="5">
        <f t="shared" si="638"/>
        <v>7799.7408586216134</v>
      </c>
      <c r="AH631" s="5">
        <f t="shared" si="638"/>
        <v>7799.7408586216134</v>
      </c>
    </row>
    <row r="632" spans="1:34" x14ac:dyDescent="0.35">
      <c r="A632" t="s">
        <v>652</v>
      </c>
      <c r="B632" s="3" t="s">
        <v>1266</v>
      </c>
      <c r="C632" s="4" t="s">
        <v>1263</v>
      </c>
      <c r="D632" s="2">
        <f t="shared" si="586"/>
        <v>92561.839272997007</v>
      </c>
      <c r="E632" s="5">
        <v>0</v>
      </c>
      <c r="F632" s="5">
        <v>0</v>
      </c>
      <c r="G632" s="5">
        <v>0</v>
      </c>
      <c r="H632" s="5">
        <v>18204.803795940221</v>
      </c>
      <c r="I632" s="5">
        <v>0</v>
      </c>
      <c r="J632" s="5">
        <v>0</v>
      </c>
      <c r="K632" s="5">
        <v>0</v>
      </c>
      <c r="L632" s="5">
        <v>0</v>
      </c>
      <c r="M632" s="5">
        <v>18945.696973681974</v>
      </c>
      <c r="N632" s="5">
        <v>0</v>
      </c>
      <c r="O632" s="5">
        <v>0</v>
      </c>
      <c r="P632" s="5">
        <v>0</v>
      </c>
      <c r="Q632" s="5">
        <v>18242.159754481821</v>
      </c>
      <c r="R632" s="5">
        <v>0</v>
      </c>
      <c r="S632" s="5">
        <v>37169.178748892991</v>
      </c>
      <c r="T632" s="5">
        <v>0</v>
      </c>
      <c r="U632" s="5">
        <v>0</v>
      </c>
      <c r="V632" s="5">
        <v>0</v>
      </c>
      <c r="W632" s="5">
        <f t="shared" ref="W632:AH632" si="639">IF(OR((SLOPE($E632:$V632,$E$1:$V$1)*W$1+INTERCEPT($E632:$V632,$E$1:$V$1))&gt;(AVERAGE($E632:$V632)+_xlfn.STDEV.P($E632:$V632)),(SLOPE($E632:$V632,$E$1:$V$1)*W$1+INTERCEPT($E632:$V632,$E$1:$V$1))&lt;(AVERAGE($E632:$V632)-_xlfn.STDEV.P($E632:$V632))),V632,(SLOPE($E632:$V632,$E$1:$V$1)*W$1+INTERCEPT($E632:$V632,$E$1:$V$1)))</f>
        <v>8253.6728921943213</v>
      </c>
      <c r="X632" s="5">
        <f t="shared" si="639"/>
        <v>8581.1832593668405</v>
      </c>
      <c r="Y632" s="5">
        <f t="shared" si="639"/>
        <v>8908.6936265393615</v>
      </c>
      <c r="Z632" s="5">
        <f t="shared" si="639"/>
        <v>9236.2039937118807</v>
      </c>
      <c r="AA632" s="5">
        <f t="shared" si="639"/>
        <v>9563.7143608843999</v>
      </c>
      <c r="AB632" s="5">
        <f t="shared" si="639"/>
        <v>9891.224728056919</v>
      </c>
      <c r="AC632" s="5">
        <f t="shared" si="639"/>
        <v>10218.735095229438</v>
      </c>
      <c r="AD632" s="5">
        <f t="shared" si="639"/>
        <v>10546.245462401959</v>
      </c>
      <c r="AE632" s="5">
        <f t="shared" si="639"/>
        <v>10873.755829574478</v>
      </c>
      <c r="AF632" s="5">
        <f t="shared" si="639"/>
        <v>11201.266196746998</v>
      </c>
      <c r="AG632" s="5">
        <f t="shared" si="639"/>
        <v>11528.776563919517</v>
      </c>
      <c r="AH632" s="5">
        <f t="shared" si="639"/>
        <v>11856.286931092036</v>
      </c>
    </row>
    <row r="633" spans="1:34" x14ac:dyDescent="0.35">
      <c r="A633" t="s">
        <v>653</v>
      </c>
      <c r="B633" s="3" t="s">
        <v>1265</v>
      </c>
      <c r="C633" s="4" t="s">
        <v>1263</v>
      </c>
      <c r="D633" s="2">
        <f t="shared" si="586"/>
        <v>91137.281135235258</v>
      </c>
      <c r="E633" s="5">
        <v>7150.8590428049474</v>
      </c>
      <c r="F633" s="5">
        <v>2921.5571964767296</v>
      </c>
      <c r="G633" s="5">
        <v>4716.2280457410061</v>
      </c>
      <c r="H633" s="5">
        <v>4883.1741712539624</v>
      </c>
      <c r="I633" s="5">
        <v>1252.0959413471699</v>
      </c>
      <c r="J633" s="5">
        <v>7387.3660539483026</v>
      </c>
      <c r="K633" s="5">
        <v>3005.0302592332077</v>
      </c>
      <c r="L633" s="5">
        <v>6469.1623636270442</v>
      </c>
      <c r="M633" s="5">
        <v>6399.6014779966463</v>
      </c>
      <c r="N633" s="5">
        <v>2864.5172702598029</v>
      </c>
      <c r="O633" s="5">
        <v>12103.594099689308</v>
      </c>
      <c r="P633" s="5">
        <v>4507.5453888498114</v>
      </c>
      <c r="Q633" s="5">
        <v>9126.3881947082591</v>
      </c>
      <c r="R633" s="5">
        <v>1001.6767530777358</v>
      </c>
      <c r="S633" s="5">
        <v>3923.2339495544657</v>
      </c>
      <c r="T633" s="5">
        <v>3617.1660527807126</v>
      </c>
      <c r="U633" s="5">
        <v>5634.4317360622645</v>
      </c>
      <c r="V633" s="5">
        <v>4173.6531378238997</v>
      </c>
      <c r="W633" s="5">
        <f t="shared" ref="W633:AH633" si="640">IF(OR((SLOPE($E633:$V633,$E$1:$V$1)*W$1+INTERCEPT($E633:$V633,$E$1:$V$1))&gt;(AVERAGE($E633:$V633)+_xlfn.STDEV.P($E633:$V633)),(SLOPE($E633:$V633,$E$1:$V$1)*W$1+INTERCEPT($E633:$V633,$E$1:$V$1))&lt;(AVERAGE($E633:$V633)-_xlfn.STDEV.P($E633:$V633))),V633,(SLOPE($E633:$V633,$E$1:$V$1)*W$1+INTERCEPT($E633:$V633,$E$1:$V$1)))</f>
        <v>5024.2963862845208</v>
      </c>
      <c r="X633" s="5">
        <f t="shared" si="640"/>
        <v>5020.2031337575399</v>
      </c>
      <c r="Y633" s="5">
        <f t="shared" si="640"/>
        <v>5016.1098812305581</v>
      </c>
      <c r="Z633" s="5">
        <f t="shared" si="640"/>
        <v>5012.0166287035763</v>
      </c>
      <c r="AA633" s="5">
        <f t="shared" si="640"/>
        <v>5007.9233761765945</v>
      </c>
      <c r="AB633" s="5">
        <f t="shared" si="640"/>
        <v>5003.8301236496127</v>
      </c>
      <c r="AC633" s="5">
        <f t="shared" si="640"/>
        <v>4999.7368711226309</v>
      </c>
      <c r="AD633" s="5">
        <f t="shared" si="640"/>
        <v>4995.6436185956491</v>
      </c>
      <c r="AE633" s="5">
        <f t="shared" si="640"/>
        <v>4991.5503660686672</v>
      </c>
      <c r="AF633" s="5">
        <f t="shared" si="640"/>
        <v>4987.4571135416854</v>
      </c>
      <c r="AG633" s="5">
        <f t="shared" si="640"/>
        <v>4983.3638610147036</v>
      </c>
      <c r="AH633" s="5">
        <f t="shared" si="640"/>
        <v>4979.2706084877218</v>
      </c>
    </row>
    <row r="634" spans="1:34" x14ac:dyDescent="0.35">
      <c r="A634" t="s">
        <v>654</v>
      </c>
      <c r="B634" s="3" t="s">
        <v>1266</v>
      </c>
      <c r="C634" s="4" t="s">
        <v>1267</v>
      </c>
      <c r="D634" s="2">
        <f t="shared" si="586"/>
        <v>92339.552876115515</v>
      </c>
      <c r="E634" s="5">
        <v>0</v>
      </c>
      <c r="F634" s="5">
        <v>0</v>
      </c>
      <c r="G634" s="5">
        <v>18344.537188148341</v>
      </c>
      <c r="H634" s="5">
        <v>0</v>
      </c>
      <c r="I634" s="5">
        <v>0</v>
      </c>
      <c r="J634" s="5">
        <v>0</v>
      </c>
      <c r="K634" s="5">
        <v>37175.993409047609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36819.022278919576</v>
      </c>
      <c r="U634" s="5">
        <v>0</v>
      </c>
      <c r="V634" s="5">
        <v>0</v>
      </c>
      <c r="W634" s="5">
        <f t="shared" ref="W634:AH634" si="641">IF(OR((SLOPE($E634:$V634,$E$1:$V$1)*W$1+INTERCEPT($E634:$V634,$E$1:$V$1))&gt;(AVERAGE($E634:$V634)+_xlfn.STDEV.P($E634:$V634)),(SLOPE($E634:$V634,$E$1:$V$1)*W$1+INTERCEPT($E634:$V634,$E$1:$V$1))&lt;(AVERAGE($E634:$V634)-_xlfn.STDEV.P($E634:$V634))),V634,(SLOPE($E634:$V634,$E$1:$V$1)*W$1+INTERCEPT($E634:$V634,$E$1:$V$1)))</f>
        <v>5662.2137787527054</v>
      </c>
      <c r="X634" s="5">
        <f t="shared" si="641"/>
        <v>5718.2388965388636</v>
      </c>
      <c r="Y634" s="5">
        <f t="shared" si="641"/>
        <v>5774.2640143250228</v>
      </c>
      <c r="Z634" s="5">
        <f t="shared" si="641"/>
        <v>5830.289132111182</v>
      </c>
      <c r="AA634" s="5">
        <f t="shared" si="641"/>
        <v>5886.3142498973411</v>
      </c>
      <c r="AB634" s="5">
        <f t="shared" si="641"/>
        <v>5942.3393676835003</v>
      </c>
      <c r="AC634" s="5">
        <f t="shared" si="641"/>
        <v>5998.3644854696586</v>
      </c>
      <c r="AD634" s="5">
        <f t="shared" si="641"/>
        <v>6054.3896032558177</v>
      </c>
      <c r="AE634" s="5">
        <f t="shared" si="641"/>
        <v>6110.414721041976</v>
      </c>
      <c r="AF634" s="5">
        <f t="shared" si="641"/>
        <v>6166.4398388281352</v>
      </c>
      <c r="AG634" s="5">
        <f t="shared" si="641"/>
        <v>6222.4649566142944</v>
      </c>
      <c r="AH634" s="5">
        <f t="shared" si="641"/>
        <v>6278.4900744004535</v>
      </c>
    </row>
    <row r="635" spans="1:34" x14ac:dyDescent="0.35">
      <c r="A635" t="s">
        <v>655</v>
      </c>
      <c r="B635" s="3" t="s">
        <v>1265</v>
      </c>
      <c r="C635" s="4" t="s">
        <v>1263</v>
      </c>
      <c r="D635" s="2">
        <f t="shared" si="586"/>
        <v>92287.776000000013</v>
      </c>
      <c r="E635" s="5">
        <v>0</v>
      </c>
      <c r="F635" s="5">
        <v>8025.0240000000003</v>
      </c>
      <c r="G635" s="5">
        <v>8025.0240000000003</v>
      </c>
      <c r="H635" s="5">
        <v>8025.0240000000003</v>
      </c>
      <c r="I635" s="5">
        <v>8025.0240000000003</v>
      </c>
      <c r="J635" s="5">
        <v>4012.5120000000002</v>
      </c>
      <c r="K635" s="5">
        <v>8025.0240000000003</v>
      </c>
      <c r="L635" s="5">
        <v>4012.5120000000002</v>
      </c>
      <c r="M635" s="5">
        <v>4012.5120000000002</v>
      </c>
      <c r="N635" s="5">
        <v>0</v>
      </c>
      <c r="O635" s="5">
        <v>4012.5120000000002</v>
      </c>
      <c r="P635" s="5">
        <v>8025.0240000000003</v>
      </c>
      <c r="Q635" s="5">
        <v>4012.5120000000002</v>
      </c>
      <c r="R635" s="5">
        <v>4012.5120000000002</v>
      </c>
      <c r="S635" s="5">
        <v>0</v>
      </c>
      <c r="T635" s="5">
        <v>8025.0240000000003</v>
      </c>
      <c r="U635" s="5">
        <v>8025.0240000000003</v>
      </c>
      <c r="V635" s="5">
        <v>4012.5120000000002</v>
      </c>
      <c r="W635" s="5">
        <f t="shared" ref="W635:AH635" si="642">IF(OR((SLOPE($E635:$V635,$E$1:$V$1)*W$1+INTERCEPT($E635:$V635,$E$1:$V$1))&gt;(AVERAGE($E635:$V635)+_xlfn.STDEV.P($E635:$V635)),(SLOPE($E635:$V635,$E$1:$V$1)*W$1+INTERCEPT($E635:$V635,$E$1:$V$1))&lt;(AVERAGE($E635:$V635)-_xlfn.STDEV.P($E635:$V635))),V635,(SLOPE($E635:$V635,$E$1:$V$1)*W$1+INTERCEPT($E635:$V635,$E$1:$V$1)))</f>
        <v>4537.0233725490207</v>
      </c>
      <c r="X635" s="5">
        <f t="shared" si="642"/>
        <v>4474.910183694532</v>
      </c>
      <c r="Y635" s="5">
        <f t="shared" si="642"/>
        <v>4412.7969948400423</v>
      </c>
      <c r="Z635" s="5">
        <f t="shared" si="642"/>
        <v>4350.6838059855536</v>
      </c>
      <c r="AA635" s="5">
        <f t="shared" si="642"/>
        <v>4288.5706171310649</v>
      </c>
      <c r="AB635" s="5">
        <f t="shared" si="642"/>
        <v>4226.4574282765752</v>
      </c>
      <c r="AC635" s="5">
        <f t="shared" si="642"/>
        <v>4164.3442394220856</v>
      </c>
      <c r="AD635" s="5">
        <f t="shared" si="642"/>
        <v>4102.2310505675969</v>
      </c>
      <c r="AE635" s="5">
        <f t="shared" si="642"/>
        <v>4040.1178617131077</v>
      </c>
      <c r="AF635" s="5">
        <f t="shared" si="642"/>
        <v>3978.0046728586185</v>
      </c>
      <c r="AG635" s="5">
        <f t="shared" si="642"/>
        <v>3915.8914840041298</v>
      </c>
      <c r="AH635" s="5">
        <f t="shared" si="642"/>
        <v>3853.7782951496401</v>
      </c>
    </row>
    <row r="636" spans="1:34" x14ac:dyDescent="0.35">
      <c r="A636" t="s">
        <v>656</v>
      </c>
      <c r="B636" s="3" t="s">
        <v>1266</v>
      </c>
      <c r="C636" s="4" t="s">
        <v>1268</v>
      </c>
      <c r="D636" s="2">
        <f t="shared" si="586"/>
        <v>91839.858809651021</v>
      </c>
      <c r="E636" s="5">
        <v>0</v>
      </c>
      <c r="F636" s="5">
        <v>0</v>
      </c>
      <c r="G636" s="5">
        <v>0</v>
      </c>
      <c r="H636" s="5">
        <v>38457.100467877295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27054.43571376543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26328.3226280083</v>
      </c>
      <c r="V636" s="5">
        <v>0</v>
      </c>
      <c r="W636" s="5">
        <f t="shared" ref="W636:AH636" si="643">IF(OR((SLOPE($E636:$V636,$E$1:$V$1)*W$1+INTERCEPT($E636:$V636,$E$1:$V$1))&gt;(AVERAGE($E636:$V636)+_xlfn.STDEV.P($E636:$V636)),(SLOPE($E636:$V636,$E$1:$V$1)*W$1+INTERCEPT($E636:$V636,$E$1:$V$1))&lt;(AVERAGE($E636:$V636)-_xlfn.STDEV.P($E636:$V636))),V636,(SLOPE($E636:$V636,$E$1:$V$1)*W$1+INTERCEPT($E636:$V636,$E$1:$V$1)))</f>
        <v>5091.931731130021</v>
      </c>
      <c r="X636" s="5">
        <f t="shared" si="643"/>
        <v>5090.8493472159244</v>
      </c>
      <c r="Y636" s="5">
        <f t="shared" si="643"/>
        <v>5089.7669633018268</v>
      </c>
      <c r="Z636" s="5">
        <f t="shared" si="643"/>
        <v>5088.6845793877292</v>
      </c>
      <c r="AA636" s="5">
        <f t="shared" si="643"/>
        <v>5087.6021954736325</v>
      </c>
      <c r="AB636" s="5">
        <f t="shared" si="643"/>
        <v>5086.5198115595349</v>
      </c>
      <c r="AC636" s="5">
        <f t="shared" si="643"/>
        <v>5085.4374276454373</v>
      </c>
      <c r="AD636" s="5">
        <f t="shared" si="643"/>
        <v>5084.3550437313406</v>
      </c>
      <c r="AE636" s="5">
        <f t="shared" si="643"/>
        <v>5083.272659817243</v>
      </c>
      <c r="AF636" s="5">
        <f t="shared" si="643"/>
        <v>5082.1902759031454</v>
      </c>
      <c r="AG636" s="5">
        <f t="shared" si="643"/>
        <v>5081.1078919890488</v>
      </c>
      <c r="AH636" s="5">
        <f t="shared" si="643"/>
        <v>5080.0255080749512</v>
      </c>
    </row>
    <row r="637" spans="1:34" x14ac:dyDescent="0.35">
      <c r="A637" t="s">
        <v>657</v>
      </c>
      <c r="B637" s="3" t="s">
        <v>1266</v>
      </c>
      <c r="C637" s="4" t="s">
        <v>1267</v>
      </c>
      <c r="D637" s="2">
        <f t="shared" si="586"/>
        <v>91512.347246761157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91512.347246761157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f t="shared" ref="W637:AH637" si="644">IF(OR((SLOPE($E637:$V637,$E$1:$V$1)*W$1+INTERCEPT($E637:$V637,$E$1:$V$1))&gt;(AVERAGE($E637:$V637)+_xlfn.STDEV.P($E637:$V637)),(SLOPE($E637:$V637,$E$1:$V$1)*W$1+INTERCEPT($E637:$V637,$E$1:$V$1))&lt;(AVERAGE($E637:$V637)-_xlfn.STDEV.P($E637:$V637))),V637,(SLOPE($E637:$V637,$E$1:$V$1)*W$1+INTERCEPT($E637:$V637,$E$1:$V$1)))</f>
        <v>9569.9186663279634</v>
      </c>
      <c r="X637" s="5">
        <f t="shared" si="644"/>
        <v>10042.118600521777</v>
      </c>
      <c r="Y637" s="5">
        <f t="shared" si="644"/>
        <v>10514.318534715592</v>
      </c>
      <c r="Z637" s="5">
        <f t="shared" si="644"/>
        <v>10986.518468909406</v>
      </c>
      <c r="AA637" s="5">
        <f t="shared" si="644"/>
        <v>11458.718403103219</v>
      </c>
      <c r="AB637" s="5">
        <f t="shared" si="644"/>
        <v>11930.918337297033</v>
      </c>
      <c r="AC637" s="5">
        <f t="shared" si="644"/>
        <v>12403.118271490846</v>
      </c>
      <c r="AD637" s="5">
        <f t="shared" si="644"/>
        <v>12875.318205684662</v>
      </c>
      <c r="AE637" s="5">
        <f t="shared" si="644"/>
        <v>13347.518139878475</v>
      </c>
      <c r="AF637" s="5">
        <f t="shared" si="644"/>
        <v>13819.718074072289</v>
      </c>
      <c r="AG637" s="5">
        <f t="shared" si="644"/>
        <v>14291.918008266102</v>
      </c>
      <c r="AH637" s="5">
        <f t="shared" si="644"/>
        <v>14764.117942459918</v>
      </c>
    </row>
    <row r="638" spans="1:34" x14ac:dyDescent="0.35">
      <c r="A638" t="s">
        <v>658</v>
      </c>
      <c r="B638" s="3" t="s">
        <v>1265</v>
      </c>
      <c r="C638" s="4" t="s">
        <v>1267</v>
      </c>
      <c r="D638" s="2">
        <f t="shared" si="586"/>
        <v>90757.415526453318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90757.415526453318</v>
      </c>
      <c r="U638" s="5">
        <v>0</v>
      </c>
      <c r="V638" s="5">
        <v>0</v>
      </c>
      <c r="W638" s="5">
        <f t="shared" ref="W638:AH638" si="645">IF(OR((SLOPE($E638:$V638,$E$1:$V$1)*W$1+INTERCEPT($E638:$V638,$E$1:$V$1))&gt;(AVERAGE($E638:$V638)+_xlfn.STDEV.P($E638:$V638)),(SLOPE($E638:$V638,$E$1:$V$1)*W$1+INTERCEPT($E638:$V638,$E$1:$V$1))&lt;(AVERAGE($E638:$V638)-_xlfn.STDEV.P($E638:$V638))),V638,(SLOPE($E638:$V638,$E$1:$V$1)*W$1+INTERCEPT($E638:$V638,$E$1:$V$1)))</f>
        <v>16609.200227063349</v>
      </c>
      <c r="X638" s="5">
        <f t="shared" si="645"/>
        <v>17826.791973032279</v>
      </c>
      <c r="Y638" s="5">
        <f t="shared" si="645"/>
        <v>19044.383719001209</v>
      </c>
      <c r="Z638" s="5">
        <f t="shared" si="645"/>
        <v>20261.975464970139</v>
      </c>
      <c r="AA638" s="5">
        <f t="shared" si="645"/>
        <v>21479.567210939069</v>
      </c>
      <c r="AB638" s="5">
        <f t="shared" si="645"/>
        <v>22697.158956907995</v>
      </c>
      <c r="AC638" s="5">
        <f t="shared" si="645"/>
        <v>23914.750702876925</v>
      </c>
      <c r="AD638" s="5">
        <f t="shared" si="645"/>
        <v>25132.342448845855</v>
      </c>
      <c r="AE638" s="5">
        <f t="shared" si="645"/>
        <v>25132.342448845855</v>
      </c>
      <c r="AF638" s="5">
        <f t="shared" si="645"/>
        <v>25132.342448845855</v>
      </c>
      <c r="AG638" s="5">
        <f t="shared" si="645"/>
        <v>25132.342448845855</v>
      </c>
      <c r="AH638" s="5">
        <f t="shared" si="645"/>
        <v>25132.342448845855</v>
      </c>
    </row>
    <row r="639" spans="1:34" x14ac:dyDescent="0.35">
      <c r="A639" t="s">
        <v>659</v>
      </c>
      <c r="B639" s="3" t="s">
        <v>1266</v>
      </c>
      <c r="C639" s="4" t="s">
        <v>1267</v>
      </c>
      <c r="D639" s="2">
        <f t="shared" si="586"/>
        <v>90698.592272325535</v>
      </c>
      <c r="E639" s="5">
        <v>42717.61207055024</v>
      </c>
      <c r="F639" s="5">
        <v>0</v>
      </c>
      <c r="G639" s="5">
        <v>0</v>
      </c>
      <c r="H639" s="5">
        <v>47980.980201775288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f t="shared" ref="W639:AH639" si="646">IF(OR((SLOPE($E639:$V639,$E$1:$V$1)*W$1+INTERCEPT($E639:$V639,$E$1:$V$1))&gt;(AVERAGE($E639:$V639)+_xlfn.STDEV.P($E639:$V639)),(SLOPE($E639:$V639,$E$1:$V$1)*W$1+INTERCEPT($E639:$V639,$E$1:$V$1))&lt;(AVERAGE($E639:$V639)-_xlfn.STDEV.P($E639:$V639))),V639,(SLOPE($E639:$V639,$E$1:$V$1)*W$1+INTERCEPT($E639:$V639,$E$1:$V$1)))</f>
        <v>-7255.2107634872955</v>
      </c>
      <c r="X639" s="5">
        <f t="shared" si="646"/>
        <v>-8549.3182840434165</v>
      </c>
      <c r="Y639" s="5">
        <f t="shared" si="646"/>
        <v>-8549.3182840434165</v>
      </c>
      <c r="Z639" s="5">
        <f t="shared" si="646"/>
        <v>-8549.3182840434165</v>
      </c>
      <c r="AA639" s="5">
        <f t="shared" si="646"/>
        <v>-8549.3182840434165</v>
      </c>
      <c r="AB639" s="5">
        <f t="shared" si="646"/>
        <v>-8549.3182840434165</v>
      </c>
      <c r="AC639" s="5">
        <f t="shared" si="646"/>
        <v>-8549.3182840434165</v>
      </c>
      <c r="AD639" s="5">
        <f t="shared" si="646"/>
        <v>-8549.3182840434165</v>
      </c>
      <c r="AE639" s="5">
        <f t="shared" si="646"/>
        <v>-8549.3182840434165</v>
      </c>
      <c r="AF639" s="5">
        <f t="shared" si="646"/>
        <v>-8549.3182840434165</v>
      </c>
      <c r="AG639" s="5">
        <f t="shared" si="646"/>
        <v>-8549.3182840434165</v>
      </c>
      <c r="AH639" s="5">
        <f t="shared" si="646"/>
        <v>-8549.3182840434165</v>
      </c>
    </row>
    <row r="640" spans="1:34" x14ac:dyDescent="0.35">
      <c r="A640" t="s">
        <v>660</v>
      </c>
      <c r="B640" s="3" t="s">
        <v>1264</v>
      </c>
      <c r="C640" s="4" t="s">
        <v>1268</v>
      </c>
      <c r="D640" s="2">
        <f t="shared" si="586"/>
        <v>90506.392955999996</v>
      </c>
      <c r="E640" s="5">
        <v>0</v>
      </c>
      <c r="F640" s="5">
        <v>3238.7040000000002</v>
      </c>
      <c r="G640" s="5">
        <v>9473.2091999999993</v>
      </c>
      <c r="H640" s="5">
        <v>1619.3520000000001</v>
      </c>
      <c r="I640" s="5">
        <v>6153.5376000000006</v>
      </c>
      <c r="J640" s="5">
        <v>19918.029600000002</v>
      </c>
      <c r="K640" s="5">
        <v>1619.3520000000001</v>
      </c>
      <c r="L640" s="5">
        <v>4048.38</v>
      </c>
      <c r="M640" s="5">
        <v>16128.745919999999</v>
      </c>
      <c r="N640" s="5">
        <v>0</v>
      </c>
      <c r="O640" s="5">
        <v>4048.38</v>
      </c>
      <c r="P640" s="5">
        <v>0</v>
      </c>
      <c r="Q640" s="5">
        <v>0</v>
      </c>
      <c r="R640" s="5">
        <v>0</v>
      </c>
      <c r="S640" s="5">
        <v>4048.38</v>
      </c>
      <c r="T640" s="5">
        <v>16193.52</v>
      </c>
      <c r="U640" s="5">
        <v>0</v>
      </c>
      <c r="V640" s="5">
        <v>4016.8026359999999</v>
      </c>
      <c r="W640" s="5">
        <f t="shared" ref="W640:AH640" si="647">IF(OR((SLOPE($E640:$V640,$E$1:$V$1)*W$1+INTERCEPT($E640:$V640,$E$1:$V$1))&gt;(AVERAGE($E640:$V640)+_xlfn.STDEV.P($E640:$V640)),(SLOPE($E640:$V640,$E$1:$V$1)*W$1+INTERCEPT($E640:$V640,$E$1:$V$1))&lt;(AVERAGE($E640:$V640)-_xlfn.STDEV.P($E640:$V640))),V640,(SLOPE($E640:$V640,$E$1:$V$1)*W$1+INTERCEPT($E640:$V640,$E$1:$V$1)))</f>
        <v>4192.3964880000003</v>
      </c>
      <c r="X640" s="5">
        <f t="shared" si="647"/>
        <v>4104.4242296842103</v>
      </c>
      <c r="Y640" s="5">
        <f t="shared" si="647"/>
        <v>4016.4519713684208</v>
      </c>
      <c r="Z640" s="5">
        <f t="shared" si="647"/>
        <v>3928.4797130526313</v>
      </c>
      <c r="AA640" s="5">
        <f t="shared" si="647"/>
        <v>3840.5074547368417</v>
      </c>
      <c r="AB640" s="5">
        <f t="shared" si="647"/>
        <v>3752.5351964210522</v>
      </c>
      <c r="AC640" s="5">
        <f t="shared" si="647"/>
        <v>3664.5629381052627</v>
      </c>
      <c r="AD640" s="5">
        <f t="shared" si="647"/>
        <v>3576.5906797894731</v>
      </c>
      <c r="AE640" s="5">
        <f t="shared" si="647"/>
        <v>3488.6184214736841</v>
      </c>
      <c r="AF640" s="5">
        <f t="shared" si="647"/>
        <v>3400.6461631578945</v>
      </c>
      <c r="AG640" s="5">
        <f t="shared" si="647"/>
        <v>3312.673904842105</v>
      </c>
      <c r="AH640" s="5">
        <f t="shared" si="647"/>
        <v>3224.7016465263155</v>
      </c>
    </row>
    <row r="641" spans="1:34" x14ac:dyDescent="0.35">
      <c r="A641" t="s">
        <v>661</v>
      </c>
      <c r="B641" s="3" t="s">
        <v>1266</v>
      </c>
      <c r="C641" s="4" t="s">
        <v>1267</v>
      </c>
      <c r="D641" s="2">
        <f t="shared" si="586"/>
        <v>90450.975041821424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90450.975041821424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f t="shared" ref="W641:AH641" si="648">IF(OR((SLOPE($E641:$V641,$E$1:$V$1)*W$1+INTERCEPT($E641:$V641,$E$1:$V$1))&gt;(AVERAGE($E641:$V641)+_xlfn.STDEV.P($E641:$V641)),(SLOPE($E641:$V641,$E$1:$V$1)*W$1+INTERCEPT($E641:$V641,$E$1:$V$1))&lt;(AVERAGE($E641:$V641)-_xlfn.STDEV.P($E641:$V641))),V641,(SLOPE($E641:$V641,$E$1:$V$1)*W$1+INTERCEPT($E641:$V641,$E$1:$V$1)))</f>
        <v>4138.2799038741832</v>
      </c>
      <c r="X641" s="5">
        <f t="shared" si="648"/>
        <v>4044.9352443882995</v>
      </c>
      <c r="Y641" s="5">
        <f t="shared" si="648"/>
        <v>3951.5905849024157</v>
      </c>
      <c r="Z641" s="5">
        <f t="shared" si="648"/>
        <v>3858.2459254165319</v>
      </c>
      <c r="AA641" s="5">
        <f t="shared" si="648"/>
        <v>3764.9012659306482</v>
      </c>
      <c r="AB641" s="5">
        <f t="shared" si="648"/>
        <v>3671.5566064447639</v>
      </c>
      <c r="AC641" s="5">
        <f t="shared" si="648"/>
        <v>3578.2119469588802</v>
      </c>
      <c r="AD641" s="5">
        <f t="shared" si="648"/>
        <v>3484.8672874729964</v>
      </c>
      <c r="AE641" s="5">
        <f t="shared" si="648"/>
        <v>3391.5226279871126</v>
      </c>
      <c r="AF641" s="5">
        <f t="shared" si="648"/>
        <v>3298.1779685012289</v>
      </c>
      <c r="AG641" s="5">
        <f t="shared" si="648"/>
        <v>3204.8333090153451</v>
      </c>
      <c r="AH641" s="5">
        <f t="shared" si="648"/>
        <v>3111.4886495294613</v>
      </c>
    </row>
    <row r="642" spans="1:34" x14ac:dyDescent="0.35">
      <c r="A642" t="s">
        <v>662</v>
      </c>
      <c r="B642" s="3" t="s">
        <v>1265</v>
      </c>
      <c r="C642" s="4" t="s">
        <v>1263</v>
      </c>
      <c r="D642" s="2">
        <f t="shared" si="586"/>
        <v>89223.119999999981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89223.119999999981</v>
      </c>
      <c r="W642" s="5">
        <f t="shared" ref="W642:AH642" si="649">IF(OR((SLOPE($E642:$V642,$E$1:$V$1)*W$1+INTERCEPT($E642:$V642,$E$1:$V$1))&gt;(AVERAGE($E642:$V642)+_xlfn.STDEV.P($E642:$V642)),(SLOPE($E642:$V642,$E$1:$V$1)*W$1+INTERCEPT($E642:$V642,$E$1:$V$1))&lt;(AVERAGE($E642:$V642)-_xlfn.STDEV.P($E642:$V642))),V642,(SLOPE($E642:$V642,$E$1:$V$1)*W$1+INTERCEPT($E642:$V642,$E$1:$V$1)))</f>
        <v>19827.359999999997</v>
      </c>
      <c r="X642" s="5">
        <f t="shared" si="649"/>
        <v>21392.677894736837</v>
      </c>
      <c r="Y642" s="5">
        <f t="shared" si="649"/>
        <v>22957.99578947368</v>
      </c>
      <c r="Z642" s="5">
        <f t="shared" si="649"/>
        <v>24523.313684210523</v>
      </c>
      <c r="AA642" s="5">
        <f t="shared" si="649"/>
        <v>24523.313684210523</v>
      </c>
      <c r="AB642" s="5">
        <f t="shared" si="649"/>
        <v>24523.313684210523</v>
      </c>
      <c r="AC642" s="5">
        <f t="shared" si="649"/>
        <v>24523.313684210523</v>
      </c>
      <c r="AD642" s="5">
        <f t="shared" si="649"/>
        <v>24523.313684210523</v>
      </c>
      <c r="AE642" s="5">
        <f t="shared" si="649"/>
        <v>24523.313684210523</v>
      </c>
      <c r="AF642" s="5">
        <f t="shared" si="649"/>
        <v>24523.313684210523</v>
      </c>
      <c r="AG642" s="5">
        <f t="shared" si="649"/>
        <v>24523.313684210523</v>
      </c>
      <c r="AH642" s="5">
        <f t="shared" si="649"/>
        <v>24523.313684210523</v>
      </c>
    </row>
    <row r="643" spans="1:34" x14ac:dyDescent="0.35">
      <c r="A643" t="s">
        <v>663</v>
      </c>
      <c r="B643" s="3" t="s">
        <v>1262</v>
      </c>
      <c r="C643" s="4" t="s">
        <v>1263</v>
      </c>
      <c r="D643" s="2">
        <f t="shared" si="586"/>
        <v>89906.669999999984</v>
      </c>
      <c r="E643" s="5">
        <v>25183.549999999988</v>
      </c>
      <c r="F643" s="5">
        <v>27287.61</v>
      </c>
      <c r="G643" s="5">
        <v>1936.4799999999996</v>
      </c>
      <c r="H643" s="5">
        <v>1024.0999999999997</v>
      </c>
      <c r="I643" s="5">
        <v>4217.4299999999985</v>
      </c>
      <c r="J643" s="5">
        <v>10147.899999999998</v>
      </c>
      <c r="K643" s="5">
        <v>0</v>
      </c>
      <c r="L643" s="5">
        <v>4245.3599999999988</v>
      </c>
      <c r="M643" s="5">
        <v>3630.8999999999987</v>
      </c>
      <c r="N643" s="5">
        <v>2271.639999999999</v>
      </c>
      <c r="O643" s="5">
        <v>2374.0499999999997</v>
      </c>
      <c r="P643" s="5">
        <v>2606.7999999999993</v>
      </c>
      <c r="Q643" s="5">
        <v>1768.8999999999996</v>
      </c>
      <c r="R643" s="5">
        <v>1629.2499999999995</v>
      </c>
      <c r="S643" s="5">
        <v>1256.8499999999997</v>
      </c>
      <c r="T643" s="5">
        <v>325.84999999999991</v>
      </c>
      <c r="U643" s="5">
        <v>0</v>
      </c>
      <c r="V643" s="5">
        <v>0</v>
      </c>
      <c r="W643" s="5">
        <f t="shared" ref="W643:AH643" si="650">IF(OR((SLOPE($E643:$V643,$E$1:$V$1)*W$1+INTERCEPT($E643:$V643,$E$1:$V$1))&gt;(AVERAGE($E643:$V643)+_xlfn.STDEV.P($E643:$V643)),(SLOPE($E643:$V643,$E$1:$V$1)*W$1+INTERCEPT($E643:$V643,$E$1:$V$1))&lt;(AVERAGE($E643:$V643)-_xlfn.STDEV.P($E643:$V643))),V643,(SLOPE($E643:$V643,$E$1:$V$1)*W$1+INTERCEPT($E643:$V643,$E$1:$V$1)))</f>
        <v>0</v>
      </c>
      <c r="X643" s="5">
        <f t="shared" si="650"/>
        <v>0</v>
      </c>
      <c r="Y643" s="5">
        <f t="shared" si="650"/>
        <v>0</v>
      </c>
      <c r="Z643" s="5">
        <f t="shared" si="650"/>
        <v>0</v>
      </c>
      <c r="AA643" s="5">
        <f t="shared" si="650"/>
        <v>0</v>
      </c>
      <c r="AB643" s="5">
        <f t="shared" si="650"/>
        <v>0</v>
      </c>
      <c r="AC643" s="5">
        <f t="shared" si="650"/>
        <v>0</v>
      </c>
      <c r="AD643" s="5">
        <f t="shared" si="650"/>
        <v>0</v>
      </c>
      <c r="AE643" s="5">
        <f t="shared" si="650"/>
        <v>0</v>
      </c>
      <c r="AF643" s="5">
        <f t="shared" si="650"/>
        <v>0</v>
      </c>
      <c r="AG643" s="5">
        <f t="shared" si="650"/>
        <v>0</v>
      </c>
      <c r="AH643" s="5">
        <f t="shared" si="650"/>
        <v>0</v>
      </c>
    </row>
    <row r="644" spans="1:34" x14ac:dyDescent="0.35">
      <c r="A644" t="s">
        <v>664</v>
      </c>
      <c r="B644" s="3" t="s">
        <v>1265</v>
      </c>
      <c r="C644" s="4" t="s">
        <v>1263</v>
      </c>
      <c r="D644" s="2">
        <f t="shared" ref="D644:D707" si="651">SUM(E644:V644)</f>
        <v>89578.266199562655</v>
      </c>
      <c r="E644" s="5">
        <v>18493.219246406923</v>
      </c>
      <c r="F644" s="5">
        <v>0</v>
      </c>
      <c r="G644" s="5">
        <v>18326.613667610465</v>
      </c>
      <c r="H644" s="5">
        <v>0</v>
      </c>
      <c r="I644" s="5">
        <v>0</v>
      </c>
      <c r="J644" s="5">
        <v>0</v>
      </c>
      <c r="K644" s="5">
        <v>13883.798233038231</v>
      </c>
      <c r="L644" s="5">
        <v>0</v>
      </c>
      <c r="M644" s="5">
        <v>0</v>
      </c>
      <c r="N644" s="5">
        <v>7774.9270105014093</v>
      </c>
      <c r="O644" s="5">
        <v>24990.836819468816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6108.8712225368217</v>
      </c>
      <c r="W644" s="5">
        <f t="shared" ref="W644:AH644" si="652">IF(OR((SLOPE($E644:$V644,$E$1:$V$1)*W$1+INTERCEPT($E644:$V644,$E$1:$V$1))&gt;(AVERAGE($E644:$V644)+_xlfn.STDEV.P($E644:$V644)),(SLOPE($E644:$V644,$E$1:$V$1)*W$1+INTERCEPT($E644:$V644,$E$1:$V$1))&lt;(AVERAGE($E644:$V644)-_xlfn.STDEV.P($E644:$V644))),V644,(SLOPE($E644:$V644,$E$1:$V$1)*W$1+INTERCEPT($E644:$V644,$E$1:$V$1)))</f>
        <v>707.43850342984297</v>
      </c>
      <c r="X644" s="5">
        <f t="shared" si="652"/>
        <v>258.056204378232</v>
      </c>
      <c r="Y644" s="5">
        <f t="shared" si="652"/>
        <v>-191.32609467337898</v>
      </c>
      <c r="Z644" s="5">
        <f t="shared" si="652"/>
        <v>-640.70839372498995</v>
      </c>
      <c r="AA644" s="5">
        <f t="shared" si="652"/>
        <v>-1090.0906927766009</v>
      </c>
      <c r="AB644" s="5">
        <f t="shared" si="652"/>
        <v>-1539.4729918282119</v>
      </c>
      <c r="AC644" s="5">
        <f t="shared" si="652"/>
        <v>-1988.8552908798229</v>
      </c>
      <c r="AD644" s="5">
        <f t="shared" si="652"/>
        <v>-2438.2375899314338</v>
      </c>
      <c r="AE644" s="5">
        <f t="shared" si="652"/>
        <v>-2887.6198889830448</v>
      </c>
      <c r="AF644" s="5">
        <f t="shared" si="652"/>
        <v>-2887.6198889830448</v>
      </c>
      <c r="AG644" s="5">
        <f t="shared" si="652"/>
        <v>-2887.6198889830448</v>
      </c>
      <c r="AH644" s="5">
        <f t="shared" si="652"/>
        <v>-2887.6198889830448</v>
      </c>
    </row>
    <row r="645" spans="1:34" x14ac:dyDescent="0.35">
      <c r="A645" t="s">
        <v>665</v>
      </c>
      <c r="B645" s="3" t="s">
        <v>1265</v>
      </c>
      <c r="C645" s="4" t="s">
        <v>1267</v>
      </c>
      <c r="D645" s="2">
        <f t="shared" si="651"/>
        <v>89450.649399160116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89450.649399160116</v>
      </c>
      <c r="S645" s="5">
        <v>0</v>
      </c>
      <c r="T645" s="5">
        <v>0</v>
      </c>
      <c r="U645" s="5">
        <v>0</v>
      </c>
      <c r="V645" s="5">
        <v>0</v>
      </c>
      <c r="W645" s="5">
        <f t="shared" ref="W645:AH645" si="653">IF(OR((SLOPE($E645:$V645,$E$1:$V$1)*W$1+INTERCEPT($E645:$V645,$E$1:$V$1))&gt;(AVERAGE($E645:$V645)+_xlfn.STDEV.P($E645:$V645)),(SLOPE($E645:$V645,$E$1:$V$1)*W$1+INTERCEPT($E645:$V645,$E$1:$V$1))&lt;(AVERAGE($E645:$V645)-_xlfn.STDEV.P($E645:$V645))),V645,(SLOPE($E645:$V645,$E$1:$V$1)*W$1+INTERCEPT($E645:$V645,$E$1:$V$1)))</f>
        <v>12862.184880924984</v>
      </c>
      <c r="X645" s="5">
        <f t="shared" si="653"/>
        <v>13692.995866056503</v>
      </c>
      <c r="Y645" s="5">
        <f t="shared" si="653"/>
        <v>14523.806851188023</v>
      </c>
      <c r="Z645" s="5">
        <f t="shared" si="653"/>
        <v>15354.617836319539</v>
      </c>
      <c r="AA645" s="5">
        <f t="shared" si="653"/>
        <v>16185.428821451056</v>
      </c>
      <c r="AB645" s="5">
        <f t="shared" si="653"/>
        <v>17016.239806582576</v>
      </c>
      <c r="AC645" s="5">
        <f t="shared" si="653"/>
        <v>17847.050791714093</v>
      </c>
      <c r="AD645" s="5">
        <f t="shared" si="653"/>
        <v>18677.861776845613</v>
      </c>
      <c r="AE645" s="5">
        <f t="shared" si="653"/>
        <v>19508.67276197713</v>
      </c>
      <c r="AF645" s="5">
        <f t="shared" si="653"/>
        <v>20339.483747108647</v>
      </c>
      <c r="AG645" s="5">
        <f t="shared" si="653"/>
        <v>21170.294732240167</v>
      </c>
      <c r="AH645" s="5">
        <f t="shared" si="653"/>
        <v>22001.105717371684</v>
      </c>
    </row>
    <row r="646" spans="1:34" x14ac:dyDescent="0.35">
      <c r="A646" t="s">
        <v>666</v>
      </c>
      <c r="B646" s="3" t="s">
        <v>1266</v>
      </c>
      <c r="C646" s="4" t="s">
        <v>1266</v>
      </c>
      <c r="D646" s="2">
        <f t="shared" si="651"/>
        <v>89407.902063149246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44985.733444454403</v>
      </c>
      <c r="P646" s="5">
        <v>0</v>
      </c>
      <c r="Q646" s="5">
        <v>0</v>
      </c>
      <c r="R646" s="5">
        <v>0</v>
      </c>
      <c r="S646" s="5">
        <v>44422.168618694843</v>
      </c>
      <c r="T646" s="5">
        <v>0</v>
      </c>
      <c r="U646" s="5">
        <v>0</v>
      </c>
      <c r="V646" s="5">
        <v>0</v>
      </c>
      <c r="W646" s="5">
        <f t="shared" ref="W646:AH646" si="654">IF(OR((SLOPE($E646:$V646,$E$1:$V$1)*W$1+INTERCEPT($E646:$V646,$E$1:$V$1))&gt;(AVERAGE($E646:$V646)+_xlfn.STDEV.P($E646:$V646)),(SLOPE($E646:$V646,$E$1:$V$1)*W$1+INTERCEPT($E646:$V646,$E$1:$V$1))&lt;(AVERAGE($E646:$V646)-_xlfn.STDEV.P($E646:$V646))),V646,(SLOPE($E646:$V646,$E$1:$V$1)*W$1+INTERCEPT($E646:$V646,$E$1:$V$1)))</f>
        <v>11080.841504871099</v>
      </c>
      <c r="X646" s="5">
        <f t="shared" si="654"/>
        <v>11724.392645365431</v>
      </c>
      <c r="Y646" s="5">
        <f t="shared" si="654"/>
        <v>12367.943785859763</v>
      </c>
      <c r="Z646" s="5">
        <f t="shared" si="654"/>
        <v>13011.494926354095</v>
      </c>
      <c r="AA646" s="5">
        <f t="shared" si="654"/>
        <v>13655.046066848423</v>
      </c>
      <c r="AB646" s="5">
        <f t="shared" si="654"/>
        <v>14298.597207342755</v>
      </c>
      <c r="AC646" s="5">
        <f t="shared" si="654"/>
        <v>14942.148347837086</v>
      </c>
      <c r="AD646" s="5">
        <f t="shared" si="654"/>
        <v>15585.699488331418</v>
      </c>
      <c r="AE646" s="5">
        <f t="shared" si="654"/>
        <v>16229.250628825746</v>
      </c>
      <c r="AF646" s="5">
        <f t="shared" si="654"/>
        <v>16872.801769320078</v>
      </c>
      <c r="AG646" s="5">
        <f t="shared" si="654"/>
        <v>17516.35290981441</v>
      </c>
      <c r="AH646" s="5">
        <f t="shared" si="654"/>
        <v>18159.904050308742</v>
      </c>
    </row>
    <row r="647" spans="1:34" x14ac:dyDescent="0.35">
      <c r="A647" t="s">
        <v>667</v>
      </c>
      <c r="B647" s="3" t="s">
        <v>1265</v>
      </c>
      <c r="C647" s="4" t="s">
        <v>1263</v>
      </c>
      <c r="D647" s="2">
        <f t="shared" si="651"/>
        <v>87600.24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87600.24</v>
      </c>
      <c r="W647" s="5">
        <f t="shared" ref="W647:AH647" si="655">IF(OR((SLOPE($E647:$V647,$E$1:$V$1)*W$1+INTERCEPT($E647:$V647,$E$1:$V$1))&gt;(AVERAGE($E647:$V647)+_xlfn.STDEV.P($E647:$V647)),(SLOPE($E647:$V647,$E$1:$V$1)*W$1+INTERCEPT($E647:$V647,$E$1:$V$1))&lt;(AVERAGE($E647:$V647)-_xlfn.STDEV.P($E647:$V647))),V647,(SLOPE($E647:$V647,$E$1:$V$1)*W$1+INTERCEPT($E647:$V647,$E$1:$V$1)))</f>
        <v>19466.72</v>
      </c>
      <c r="X647" s="5">
        <f t="shared" si="655"/>
        <v>21003.566315789474</v>
      </c>
      <c r="Y647" s="5">
        <f t="shared" si="655"/>
        <v>22540.412631578947</v>
      </c>
      <c r="Z647" s="5">
        <f t="shared" si="655"/>
        <v>24077.25894736842</v>
      </c>
      <c r="AA647" s="5">
        <f t="shared" si="655"/>
        <v>24077.25894736842</v>
      </c>
      <c r="AB647" s="5">
        <f t="shared" si="655"/>
        <v>24077.25894736842</v>
      </c>
      <c r="AC647" s="5">
        <f t="shared" si="655"/>
        <v>24077.25894736842</v>
      </c>
      <c r="AD647" s="5">
        <f t="shared" si="655"/>
        <v>24077.25894736842</v>
      </c>
      <c r="AE647" s="5">
        <f t="shared" si="655"/>
        <v>24077.25894736842</v>
      </c>
      <c r="AF647" s="5">
        <f t="shared" si="655"/>
        <v>24077.25894736842</v>
      </c>
      <c r="AG647" s="5">
        <f t="shared" si="655"/>
        <v>24077.25894736842</v>
      </c>
      <c r="AH647" s="5">
        <f t="shared" si="655"/>
        <v>24077.25894736842</v>
      </c>
    </row>
    <row r="648" spans="1:34" x14ac:dyDescent="0.35">
      <c r="A648" t="s">
        <v>668</v>
      </c>
      <c r="B648" s="3" t="s">
        <v>1266</v>
      </c>
      <c r="C648" s="4" t="s">
        <v>1267</v>
      </c>
      <c r="D648" s="2">
        <f t="shared" si="651"/>
        <v>88300.204822160609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88300.204822160609</v>
      </c>
      <c r="S648" s="5">
        <v>0</v>
      </c>
      <c r="T648" s="5">
        <v>0</v>
      </c>
      <c r="U648" s="5">
        <v>0</v>
      </c>
      <c r="V648" s="5">
        <v>0</v>
      </c>
      <c r="W648" s="5">
        <f t="shared" ref="W648:AH648" si="656">IF(OR((SLOPE($E648:$V648,$E$1:$V$1)*W$1+INTERCEPT($E648:$V648,$E$1:$V$1))&gt;(AVERAGE($E648:$V648)+_xlfn.STDEV.P($E648:$V648)),(SLOPE($E648:$V648,$E$1:$V$1)*W$1+INTERCEPT($E648:$V648,$E$1:$V$1))&lt;(AVERAGE($E648:$V648)-_xlfn.STDEV.P($E648:$V648))),V648,(SLOPE($E648:$V648,$E$1:$V$1)*W$1+INTERCEPT($E648:$V648,$E$1:$V$1)))</f>
        <v>12696.761477696295</v>
      </c>
      <c r="X648" s="5">
        <f t="shared" si="656"/>
        <v>13516.887219078591</v>
      </c>
      <c r="Y648" s="5">
        <f t="shared" si="656"/>
        <v>14337.012960460888</v>
      </c>
      <c r="Z648" s="5">
        <f t="shared" si="656"/>
        <v>15157.138701843185</v>
      </c>
      <c r="AA648" s="5">
        <f t="shared" si="656"/>
        <v>15977.264443225482</v>
      </c>
      <c r="AB648" s="5">
        <f t="shared" si="656"/>
        <v>16797.390184607779</v>
      </c>
      <c r="AC648" s="5">
        <f t="shared" si="656"/>
        <v>17617.515925990076</v>
      </c>
      <c r="AD648" s="5">
        <f t="shared" si="656"/>
        <v>18437.641667372372</v>
      </c>
      <c r="AE648" s="5">
        <f t="shared" si="656"/>
        <v>19257.767408754666</v>
      </c>
      <c r="AF648" s="5">
        <f t="shared" si="656"/>
        <v>20077.893150136963</v>
      </c>
      <c r="AG648" s="5">
        <f t="shared" si="656"/>
        <v>20898.018891519259</v>
      </c>
      <c r="AH648" s="5">
        <f t="shared" si="656"/>
        <v>21718.144632901556</v>
      </c>
    </row>
    <row r="649" spans="1:34" x14ac:dyDescent="0.35">
      <c r="A649" t="s">
        <v>669</v>
      </c>
      <c r="B649" s="3" t="s">
        <v>1265</v>
      </c>
      <c r="C649" s="4" t="s">
        <v>1263</v>
      </c>
      <c r="D649" s="2">
        <f t="shared" si="651"/>
        <v>88047.887107184768</v>
      </c>
      <c r="E649" s="5">
        <v>0</v>
      </c>
      <c r="F649" s="5">
        <v>0</v>
      </c>
      <c r="G649" s="5">
        <v>0</v>
      </c>
      <c r="H649" s="5">
        <v>5047.4597057546871</v>
      </c>
      <c r="I649" s="5">
        <v>0</v>
      </c>
      <c r="J649" s="5">
        <v>10094.919411509374</v>
      </c>
      <c r="K649" s="5">
        <v>630.93246321933589</v>
      </c>
      <c r="L649" s="5">
        <v>4542.7137351792189</v>
      </c>
      <c r="M649" s="5">
        <v>0</v>
      </c>
      <c r="N649" s="5">
        <v>0</v>
      </c>
      <c r="O649" s="5">
        <v>0</v>
      </c>
      <c r="P649" s="5">
        <v>8075.9355292074997</v>
      </c>
      <c r="Q649" s="5">
        <v>26499.16345521211</v>
      </c>
      <c r="R649" s="5">
        <v>20694.584793594218</v>
      </c>
      <c r="S649" s="5">
        <v>2523.7298528773435</v>
      </c>
      <c r="T649" s="5">
        <v>7162.3453224659006</v>
      </c>
      <c r="U649" s="5">
        <v>504.74597057546873</v>
      </c>
      <c r="V649" s="5">
        <v>2271.3568675896095</v>
      </c>
      <c r="W649" s="5">
        <f t="shared" ref="W649:AH649" si="657">IF(OR((SLOPE($E649:$V649,$E$1:$V$1)*W$1+INTERCEPT($E649:$V649,$E$1:$V$1))&gt;(AVERAGE($E649:$V649)+_xlfn.STDEV.P($E649:$V649)),(SLOPE($E649:$V649,$E$1:$V$1)*W$1+INTERCEPT($E649:$V649,$E$1:$V$1))&lt;(AVERAGE($E649:$V649)-_xlfn.STDEV.P($E649:$V649))),V649,(SLOPE($E649:$V649,$E$1:$V$1)*W$1+INTERCEPT($E649:$V649,$E$1:$V$1)))</f>
        <v>9168.1332316808366</v>
      </c>
      <c r="X649" s="5">
        <f t="shared" si="657"/>
        <v>9618.2999630438208</v>
      </c>
      <c r="Y649" s="5">
        <f t="shared" si="657"/>
        <v>10068.466694406805</v>
      </c>
      <c r="Z649" s="5">
        <f t="shared" si="657"/>
        <v>10518.633425769789</v>
      </c>
      <c r="AA649" s="5">
        <f t="shared" si="657"/>
        <v>10968.800157132773</v>
      </c>
      <c r="AB649" s="5">
        <f t="shared" si="657"/>
        <v>11418.966888495757</v>
      </c>
      <c r="AC649" s="5">
        <f t="shared" si="657"/>
        <v>11869.133619858741</v>
      </c>
      <c r="AD649" s="5">
        <f t="shared" si="657"/>
        <v>11869.133619858741</v>
      </c>
      <c r="AE649" s="5">
        <f t="shared" si="657"/>
        <v>11869.133619858741</v>
      </c>
      <c r="AF649" s="5">
        <f t="shared" si="657"/>
        <v>11869.133619858741</v>
      </c>
      <c r="AG649" s="5">
        <f t="shared" si="657"/>
        <v>11869.133619858741</v>
      </c>
      <c r="AH649" s="5">
        <f t="shared" si="657"/>
        <v>11869.133619858741</v>
      </c>
    </row>
    <row r="650" spans="1:34" x14ac:dyDescent="0.35">
      <c r="A650" t="s">
        <v>670</v>
      </c>
      <c r="B650" s="3" t="s">
        <v>1266</v>
      </c>
      <c r="C650" s="4" t="s">
        <v>1267</v>
      </c>
      <c r="D650" s="2">
        <f t="shared" si="651"/>
        <v>88041.875152165114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1791.5643326593026</v>
      </c>
      <c r="O650" s="5">
        <v>0</v>
      </c>
      <c r="P650" s="5">
        <v>75055.535925207325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11194.774894298493</v>
      </c>
      <c r="W650" s="5">
        <f t="shared" ref="W650:AH650" si="658">IF(OR((SLOPE($E650:$V650,$E$1:$V$1)*W$1+INTERCEPT($E650:$V650,$E$1:$V$1))&gt;(AVERAGE($E650:$V650)+_xlfn.STDEV.P($E650:$V650)),(SLOPE($E650:$V650,$E$1:$V$1)*W$1+INTERCEPT($E650:$V650,$E$1:$V$1))&lt;(AVERAGE($E650:$V650)-_xlfn.STDEV.P($E650:$V650))),V650,(SLOPE($E650:$V650,$E$1:$V$1)*W$1+INTERCEPT($E650:$V650,$E$1:$V$1)))</f>
        <v>10453.768395660514</v>
      </c>
      <c r="X650" s="5">
        <f t="shared" si="658"/>
        <v>11039.300301916212</v>
      </c>
      <c r="Y650" s="5">
        <f t="shared" si="658"/>
        <v>11624.832208171907</v>
      </c>
      <c r="Z650" s="5">
        <f t="shared" si="658"/>
        <v>12210.364114427604</v>
      </c>
      <c r="AA650" s="5">
        <f t="shared" si="658"/>
        <v>12795.896020683302</v>
      </c>
      <c r="AB650" s="5">
        <f t="shared" si="658"/>
        <v>13381.427926938997</v>
      </c>
      <c r="AC650" s="5">
        <f t="shared" si="658"/>
        <v>13966.959833194695</v>
      </c>
      <c r="AD650" s="5">
        <f t="shared" si="658"/>
        <v>14552.491739450392</v>
      </c>
      <c r="AE650" s="5">
        <f t="shared" si="658"/>
        <v>15138.023645706089</v>
      </c>
      <c r="AF650" s="5">
        <f t="shared" si="658"/>
        <v>15723.555551961786</v>
      </c>
      <c r="AG650" s="5">
        <f t="shared" si="658"/>
        <v>16309.087458217482</v>
      </c>
      <c r="AH650" s="5">
        <f t="shared" si="658"/>
        <v>16894.619364473176</v>
      </c>
    </row>
    <row r="651" spans="1:34" x14ac:dyDescent="0.35">
      <c r="A651" t="s">
        <v>671</v>
      </c>
      <c r="B651" s="3" t="s">
        <v>1265</v>
      </c>
      <c r="C651" s="4" t="s">
        <v>1263</v>
      </c>
      <c r="D651" s="2">
        <f t="shared" si="651"/>
        <v>87982.583641588499</v>
      </c>
      <c r="E651" s="5">
        <v>0</v>
      </c>
      <c r="F651" s="5">
        <v>0</v>
      </c>
      <c r="G651" s="5">
        <v>13302.477115450334</v>
      </c>
      <c r="H651" s="5">
        <v>10641.981692360267</v>
      </c>
      <c r="I651" s="5">
        <v>0</v>
      </c>
      <c r="J651" s="5">
        <v>13302.477115450334</v>
      </c>
      <c r="K651" s="5">
        <v>0</v>
      </c>
      <c r="L651" s="5">
        <v>31925.9450770808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18809.702641246771</v>
      </c>
      <c r="T651" s="5">
        <v>0</v>
      </c>
      <c r="U651" s="5">
        <v>0</v>
      </c>
      <c r="V651" s="5">
        <v>0</v>
      </c>
      <c r="W651" s="5">
        <f t="shared" ref="W651:AH651" si="659">IF(OR((SLOPE($E651:$V651,$E$1:$V$1)*W$1+INTERCEPT($E651:$V651,$E$1:$V$1))&gt;(AVERAGE($E651:$V651)+_xlfn.STDEV.P($E651:$V651)),(SLOPE($E651:$V651,$E$1:$V$1)*W$1+INTERCEPT($E651:$V651,$E$1:$V$1))&lt;(AVERAGE($E651:$V651)-_xlfn.STDEV.P($E651:$V651))),V651,(SLOPE($E651:$V651,$E$1:$V$1)*W$1+INTERCEPT($E651:$V651,$E$1:$V$1)))</f>
        <v>2221.4267339853332</v>
      </c>
      <c r="X651" s="5">
        <f t="shared" si="659"/>
        <v>1940.7430940446748</v>
      </c>
      <c r="Y651" s="5">
        <f t="shared" si="659"/>
        <v>1660.0594541040173</v>
      </c>
      <c r="Z651" s="5">
        <f t="shared" si="659"/>
        <v>1379.3758141633589</v>
      </c>
      <c r="AA651" s="5">
        <f t="shared" si="659"/>
        <v>1098.6921742227014</v>
      </c>
      <c r="AB651" s="5">
        <f t="shared" si="659"/>
        <v>818.00853428204391</v>
      </c>
      <c r="AC651" s="5">
        <f t="shared" si="659"/>
        <v>537.32489434138552</v>
      </c>
      <c r="AD651" s="5">
        <f t="shared" si="659"/>
        <v>256.64125440072803</v>
      </c>
      <c r="AE651" s="5">
        <f t="shared" si="659"/>
        <v>-24.042385539930365</v>
      </c>
      <c r="AF651" s="5">
        <f t="shared" si="659"/>
        <v>-304.72602548058785</v>
      </c>
      <c r="AG651" s="5">
        <f t="shared" si="659"/>
        <v>-585.40966542124625</v>
      </c>
      <c r="AH651" s="5">
        <f t="shared" si="659"/>
        <v>-866.09330536190464</v>
      </c>
    </row>
    <row r="652" spans="1:34" x14ac:dyDescent="0.35">
      <c r="A652" t="s">
        <v>672</v>
      </c>
      <c r="B652" s="3" t="s">
        <v>1264</v>
      </c>
      <c r="C652" s="4" t="s">
        <v>1263</v>
      </c>
      <c r="D652" s="2">
        <f t="shared" si="651"/>
        <v>87959.205657116836</v>
      </c>
      <c r="E652" s="5">
        <v>0</v>
      </c>
      <c r="F652" s="5">
        <v>791.00005087335296</v>
      </c>
      <c r="G652" s="5">
        <v>949.20006104802349</v>
      </c>
      <c r="H652" s="5">
        <v>0</v>
      </c>
      <c r="I652" s="5">
        <v>0</v>
      </c>
      <c r="J652" s="5">
        <v>4904.2003154147878</v>
      </c>
      <c r="K652" s="5">
        <v>0</v>
      </c>
      <c r="L652" s="5">
        <v>0</v>
      </c>
      <c r="M652" s="5">
        <v>0</v>
      </c>
      <c r="N652" s="5">
        <v>8226.40052908287</v>
      </c>
      <c r="O652" s="5">
        <v>9070.133916681114</v>
      </c>
      <c r="P652" s="5">
        <v>10124.800651178917</v>
      </c>
      <c r="Q652" s="5">
        <v>5062.4003255894586</v>
      </c>
      <c r="R652" s="5">
        <v>21304.268036855639</v>
      </c>
      <c r="S652" s="5">
        <v>27526.801770392682</v>
      </c>
      <c r="T652" s="5">
        <v>0</v>
      </c>
      <c r="U652" s="5">
        <v>0</v>
      </c>
      <c r="V652" s="5">
        <v>0</v>
      </c>
      <c r="W652" s="5">
        <f t="shared" ref="W652:AH652" si="660">IF(OR((SLOPE($E652:$V652,$E$1:$V$1)*W$1+INTERCEPT($E652:$V652,$E$1:$V$1))&gt;(AVERAGE($E652:$V652)+_xlfn.STDEV.P($E652:$V652)),(SLOPE($E652:$V652,$E$1:$V$1)*W$1+INTERCEPT($E652:$V652,$E$1:$V$1))&lt;(AVERAGE($E652:$V652)-_xlfn.STDEV.P($E652:$V652))),V652,(SLOPE($E652:$V652,$E$1:$V$1)*W$1+INTERCEPT($E652:$V652,$E$1:$V$1)))</f>
        <v>10352.277789992169</v>
      </c>
      <c r="X652" s="5">
        <f t="shared" si="660"/>
        <v>10927.60992193803</v>
      </c>
      <c r="Y652" s="5">
        <f t="shared" si="660"/>
        <v>11502.942053883891</v>
      </c>
      <c r="Z652" s="5">
        <f t="shared" si="660"/>
        <v>12078.274185829752</v>
      </c>
      <c r="AA652" s="5">
        <f t="shared" si="660"/>
        <v>12078.274185829752</v>
      </c>
      <c r="AB652" s="5">
        <f t="shared" si="660"/>
        <v>12078.274185829752</v>
      </c>
      <c r="AC652" s="5">
        <f t="shared" si="660"/>
        <v>12078.274185829752</v>
      </c>
      <c r="AD652" s="5">
        <f t="shared" si="660"/>
        <v>12078.274185829752</v>
      </c>
      <c r="AE652" s="5">
        <f t="shared" si="660"/>
        <v>12078.274185829752</v>
      </c>
      <c r="AF652" s="5">
        <f t="shared" si="660"/>
        <v>12078.274185829752</v>
      </c>
      <c r="AG652" s="5">
        <f t="shared" si="660"/>
        <v>12078.274185829752</v>
      </c>
      <c r="AH652" s="5">
        <f t="shared" si="660"/>
        <v>12078.274185829752</v>
      </c>
    </row>
    <row r="653" spans="1:34" x14ac:dyDescent="0.35">
      <c r="A653" t="s">
        <v>673</v>
      </c>
      <c r="B653" s="3" t="s">
        <v>1265</v>
      </c>
      <c r="C653" s="4" t="s">
        <v>1263</v>
      </c>
      <c r="D653" s="2">
        <f t="shared" si="651"/>
        <v>87573.113599999982</v>
      </c>
      <c r="E653" s="5">
        <v>0</v>
      </c>
      <c r="F653" s="5">
        <v>6634.5215999999982</v>
      </c>
      <c r="G653" s="5">
        <v>17383.475199999997</v>
      </c>
      <c r="H653" s="5">
        <v>2918.6751999999997</v>
      </c>
      <c r="I653" s="5">
        <v>4815.1711999999989</v>
      </c>
      <c r="J653" s="5">
        <v>5168.7551999999987</v>
      </c>
      <c r="K653" s="5">
        <v>1902.9247999999995</v>
      </c>
      <c r="L653" s="5">
        <v>4294.4383999999991</v>
      </c>
      <c r="M653" s="5">
        <v>2532.9472000000001</v>
      </c>
      <c r="N653" s="5">
        <v>1960.7839999999994</v>
      </c>
      <c r="O653" s="5">
        <v>4455.1583999999984</v>
      </c>
      <c r="P653" s="5">
        <v>25046.604799999994</v>
      </c>
      <c r="Q653" s="5">
        <v>636.45119999999986</v>
      </c>
      <c r="R653" s="5">
        <v>1189.3279999999995</v>
      </c>
      <c r="S653" s="5">
        <v>3124.3967999999995</v>
      </c>
      <c r="T653" s="5">
        <v>2957.248</v>
      </c>
      <c r="U653" s="5">
        <v>1613.6287999999993</v>
      </c>
      <c r="V653" s="5">
        <v>938.60479999999961</v>
      </c>
      <c r="W653" s="5">
        <f t="shared" ref="W653:AH653" si="661">IF(OR((SLOPE($E653:$V653,$E$1:$V$1)*W$1+INTERCEPT($E653:$V653,$E$1:$V$1))&gt;(AVERAGE($E653:$V653)+_xlfn.STDEV.P($E653:$V653)),(SLOPE($E653:$V653,$E$1:$V$1)*W$1+INTERCEPT($E653:$V653,$E$1:$V$1))&lt;(AVERAGE($E653:$V653)-_xlfn.STDEV.P($E653:$V653))),V653,(SLOPE($E653:$V653,$E$1:$V$1)*W$1+INTERCEPT($E653:$V653,$E$1:$V$1)))</f>
        <v>2969.4333071895417</v>
      </c>
      <c r="X653" s="5">
        <f t="shared" si="661"/>
        <v>2769.8817629170958</v>
      </c>
      <c r="Y653" s="5">
        <f t="shared" si="661"/>
        <v>2570.3302186446499</v>
      </c>
      <c r="Z653" s="5">
        <f t="shared" si="661"/>
        <v>2370.7786743722045</v>
      </c>
      <c r="AA653" s="5">
        <f t="shared" si="661"/>
        <v>2171.2271300997581</v>
      </c>
      <c r="AB653" s="5">
        <f t="shared" si="661"/>
        <v>1971.6755858273127</v>
      </c>
      <c r="AC653" s="5">
        <f t="shared" si="661"/>
        <v>1772.1240415548673</v>
      </c>
      <c r="AD653" s="5">
        <f t="shared" si="661"/>
        <v>1572.572497282421</v>
      </c>
      <c r="AE653" s="5">
        <f t="shared" si="661"/>
        <v>1373.0209530099755</v>
      </c>
      <c r="AF653" s="5">
        <f t="shared" si="661"/>
        <v>1173.4694087375301</v>
      </c>
      <c r="AG653" s="5">
        <f t="shared" si="661"/>
        <v>973.91786446508377</v>
      </c>
      <c r="AH653" s="5">
        <f t="shared" si="661"/>
        <v>774.36632019263834</v>
      </c>
    </row>
    <row r="654" spans="1:34" x14ac:dyDescent="0.35">
      <c r="A654" t="s">
        <v>674</v>
      </c>
      <c r="B654" s="3" t="s">
        <v>1265</v>
      </c>
      <c r="C654" s="4" t="s">
        <v>1263</v>
      </c>
      <c r="D654" s="2">
        <f t="shared" si="651"/>
        <v>86714.164599236901</v>
      </c>
      <c r="E654" s="5">
        <v>0</v>
      </c>
      <c r="F654" s="5">
        <v>0</v>
      </c>
      <c r="G654" s="5">
        <v>0</v>
      </c>
      <c r="H654" s="5">
        <v>22482.851930138244</v>
      </c>
      <c r="I654" s="5">
        <v>0</v>
      </c>
      <c r="J654" s="5">
        <v>7948.4830056044302</v>
      </c>
      <c r="K654" s="5">
        <v>29030.887929993318</v>
      </c>
      <c r="L654" s="5">
        <v>10219.478150062838</v>
      </c>
      <c r="M654" s="5">
        <v>0</v>
      </c>
      <c r="N654" s="5">
        <v>0</v>
      </c>
      <c r="O654" s="5">
        <v>0</v>
      </c>
      <c r="P654" s="5">
        <v>5791.0376183689414</v>
      </c>
      <c r="Q654" s="5">
        <v>0</v>
      </c>
      <c r="R654" s="5">
        <v>0</v>
      </c>
      <c r="S654" s="5">
        <v>0</v>
      </c>
      <c r="T654" s="5">
        <v>0</v>
      </c>
      <c r="U654" s="5">
        <v>9197.5303350565537</v>
      </c>
      <c r="V654" s="5">
        <v>2043.8956300125676</v>
      </c>
      <c r="W654" s="5">
        <f t="shared" ref="W654:AH654" si="662">IF(OR((SLOPE($E654:$V654,$E$1:$V$1)*W$1+INTERCEPT($E654:$V654,$E$1:$V$1))&gt;(AVERAGE($E654:$V654)+_xlfn.STDEV.P($E654:$V654)),(SLOPE($E654:$V654,$E$1:$V$1)*W$1+INTERCEPT($E654:$V654,$E$1:$V$1))&lt;(AVERAGE($E654:$V654)-_xlfn.STDEV.P($E654:$V654))),V654,(SLOPE($E654:$V654,$E$1:$V$1)*W$1+INTERCEPT($E654:$V654,$E$1:$V$1)))</f>
        <v>2100.7942011700225</v>
      </c>
      <c r="X654" s="5">
        <f t="shared" si="662"/>
        <v>1814.8300550988151</v>
      </c>
      <c r="Y654" s="5">
        <f t="shared" si="662"/>
        <v>1528.8659090276069</v>
      </c>
      <c r="Z654" s="5">
        <f t="shared" si="662"/>
        <v>1242.9017629563996</v>
      </c>
      <c r="AA654" s="5">
        <f t="shared" si="662"/>
        <v>956.93761688519226</v>
      </c>
      <c r="AB654" s="5">
        <f t="shared" si="662"/>
        <v>670.97347081398402</v>
      </c>
      <c r="AC654" s="5">
        <f t="shared" si="662"/>
        <v>385.0093247427767</v>
      </c>
      <c r="AD654" s="5">
        <f t="shared" si="662"/>
        <v>99.045178671569374</v>
      </c>
      <c r="AE654" s="5">
        <f t="shared" si="662"/>
        <v>-186.91896739963795</v>
      </c>
      <c r="AF654" s="5">
        <f t="shared" si="662"/>
        <v>-472.88311347084618</v>
      </c>
      <c r="AG654" s="5">
        <f t="shared" si="662"/>
        <v>-758.84725954205351</v>
      </c>
      <c r="AH654" s="5">
        <f t="shared" si="662"/>
        <v>-1044.8114056132617</v>
      </c>
    </row>
    <row r="655" spans="1:34" x14ac:dyDescent="0.35">
      <c r="A655" t="s">
        <v>675</v>
      </c>
      <c r="B655" s="3" t="s">
        <v>1266</v>
      </c>
      <c r="C655" s="4" t="s">
        <v>1266</v>
      </c>
      <c r="D655" s="2">
        <f t="shared" si="651"/>
        <v>86576.392643648433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86576.392643648433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f t="shared" ref="W655:AH655" si="663">IF(OR((SLOPE($E655:$V655,$E$1:$V$1)*W$1+INTERCEPT($E655:$V655,$E$1:$V$1))&gt;(AVERAGE($E655:$V655)+_xlfn.STDEV.P($E655:$V655)),(SLOPE($E655:$V655,$E$1:$V$1)*W$1+INTERCEPT($E655:$V655,$E$1:$V$1))&lt;(AVERAGE($E655:$V655)-_xlfn.STDEV.P($E655:$V655))),V655,(SLOPE($E655:$V655,$E$1:$V$1)*W$1+INTERCEPT($E655:$V655,$E$1:$V$1)))</f>
        <v>7356.1640808328748</v>
      </c>
      <c r="X655" s="5">
        <f t="shared" si="663"/>
        <v>7624.2024481506714</v>
      </c>
      <c r="Y655" s="5">
        <f t="shared" si="663"/>
        <v>7892.2408154684681</v>
      </c>
      <c r="Z655" s="5">
        <f t="shared" si="663"/>
        <v>8160.2791827862657</v>
      </c>
      <c r="AA655" s="5">
        <f t="shared" si="663"/>
        <v>8428.3175501040641</v>
      </c>
      <c r="AB655" s="5">
        <f t="shared" si="663"/>
        <v>8696.3559174218608</v>
      </c>
      <c r="AC655" s="5">
        <f t="shared" si="663"/>
        <v>8964.3942847396575</v>
      </c>
      <c r="AD655" s="5">
        <f t="shared" si="663"/>
        <v>9232.4326520574541</v>
      </c>
      <c r="AE655" s="5">
        <f t="shared" si="663"/>
        <v>9500.4710193752508</v>
      </c>
      <c r="AF655" s="5">
        <f t="shared" si="663"/>
        <v>9768.5093866930474</v>
      </c>
      <c r="AG655" s="5">
        <f t="shared" si="663"/>
        <v>10036.547754010844</v>
      </c>
      <c r="AH655" s="5">
        <f t="shared" si="663"/>
        <v>10304.586121328643</v>
      </c>
    </row>
    <row r="656" spans="1:34" x14ac:dyDescent="0.35">
      <c r="A656" t="s">
        <v>676</v>
      </c>
      <c r="B656" s="3" t="s">
        <v>1262</v>
      </c>
      <c r="C656" s="4" t="s">
        <v>1263</v>
      </c>
      <c r="D656" s="2">
        <f t="shared" si="651"/>
        <v>86430.355200000005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86430.355200000005</v>
      </c>
      <c r="U656" s="5">
        <v>0</v>
      </c>
      <c r="V656" s="5">
        <v>0</v>
      </c>
      <c r="W656" s="5">
        <f t="shared" ref="W656:AH656" si="664">IF(OR((SLOPE($E656:$V656,$E$1:$V$1)*W$1+INTERCEPT($E656:$V656,$E$1:$V$1))&gt;(AVERAGE($E656:$V656)+_xlfn.STDEV.P($E656:$V656)),(SLOPE($E656:$V656,$E$1:$V$1)*W$1+INTERCEPT($E656:$V656,$E$1:$V$1))&lt;(AVERAGE($E656:$V656)-_xlfn.STDEV.P($E656:$V656))),V656,(SLOPE($E656:$V656,$E$1:$V$1)*W$1+INTERCEPT($E656:$V656,$E$1:$V$1)))</f>
        <v>15817.319905882352</v>
      </c>
      <c r="X656" s="5">
        <f t="shared" si="664"/>
        <v>16976.860274922597</v>
      </c>
      <c r="Y656" s="5">
        <f t="shared" si="664"/>
        <v>18136.400643962847</v>
      </c>
      <c r="Z656" s="5">
        <f t="shared" si="664"/>
        <v>19295.941013003092</v>
      </c>
      <c r="AA656" s="5">
        <f t="shared" si="664"/>
        <v>20455.481382043341</v>
      </c>
      <c r="AB656" s="5">
        <f t="shared" si="664"/>
        <v>21615.02175108359</v>
      </c>
      <c r="AC656" s="5">
        <f t="shared" si="664"/>
        <v>22774.562120123835</v>
      </c>
      <c r="AD656" s="5">
        <f t="shared" si="664"/>
        <v>23934.102489164085</v>
      </c>
      <c r="AE656" s="5">
        <f t="shared" si="664"/>
        <v>23934.102489164085</v>
      </c>
      <c r="AF656" s="5">
        <f t="shared" si="664"/>
        <v>23934.102489164085</v>
      </c>
      <c r="AG656" s="5">
        <f t="shared" si="664"/>
        <v>23934.102489164085</v>
      </c>
      <c r="AH656" s="5">
        <f t="shared" si="664"/>
        <v>23934.102489164085</v>
      </c>
    </row>
    <row r="657" spans="1:34" x14ac:dyDescent="0.35">
      <c r="A657" t="s">
        <v>677</v>
      </c>
      <c r="B657" s="3" t="s">
        <v>1264</v>
      </c>
      <c r="C657" s="4" t="s">
        <v>1267</v>
      </c>
      <c r="D657" s="2">
        <f t="shared" si="651"/>
        <v>85891.972364015994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70898.994939527998</v>
      </c>
      <c r="U657" s="5">
        <v>14992.977424488001</v>
      </c>
      <c r="V657" s="5">
        <v>0</v>
      </c>
      <c r="W657" s="5">
        <f t="shared" ref="W657:AH657" si="665">IF(OR((SLOPE($E657:$V657,$E$1:$V$1)*W$1+INTERCEPT($E657:$V657,$E$1:$V$1))&gt;(AVERAGE($E657:$V657)+_xlfn.STDEV.P($E657:$V657)),(SLOPE($E657:$V657,$E$1:$V$1)*W$1+INTERCEPT($E657:$V657,$E$1:$V$1))&lt;(AVERAGE($E657:$V657)-_xlfn.STDEV.P($E657:$V657))),V657,(SLOPE($E657:$V657,$E$1:$V$1)*W$1+INTERCEPT($E657:$V657,$E$1:$V$1)))</f>
        <v>16012.772277554981</v>
      </c>
      <c r="X657" s="5">
        <f t="shared" si="665"/>
        <v>17196.035018092836</v>
      </c>
      <c r="Y657" s="5">
        <f t="shared" si="665"/>
        <v>18379.297758630695</v>
      </c>
      <c r="Z657" s="5">
        <f t="shared" si="665"/>
        <v>19562.560499168554</v>
      </c>
      <c r="AA657" s="5">
        <f t="shared" si="665"/>
        <v>20745.823239706409</v>
      </c>
      <c r="AB657" s="5">
        <f t="shared" si="665"/>
        <v>20745.823239706409</v>
      </c>
      <c r="AC657" s="5">
        <f t="shared" si="665"/>
        <v>20745.823239706409</v>
      </c>
      <c r="AD657" s="5">
        <f t="shared" si="665"/>
        <v>20745.823239706409</v>
      </c>
      <c r="AE657" s="5">
        <f t="shared" si="665"/>
        <v>20745.823239706409</v>
      </c>
      <c r="AF657" s="5">
        <f t="shared" si="665"/>
        <v>20745.823239706409</v>
      </c>
      <c r="AG657" s="5">
        <f t="shared" si="665"/>
        <v>20745.823239706409</v>
      </c>
      <c r="AH657" s="5">
        <f t="shared" si="665"/>
        <v>20745.823239706409</v>
      </c>
    </row>
    <row r="658" spans="1:34" x14ac:dyDescent="0.35">
      <c r="A658" t="s">
        <v>678</v>
      </c>
      <c r="B658" s="3" t="s">
        <v>1266</v>
      </c>
      <c r="C658" s="4" t="s">
        <v>1266</v>
      </c>
      <c r="D658" s="2">
        <f t="shared" si="651"/>
        <v>85163.489341622073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85163.489341622073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f t="shared" ref="W658:AH658" si="666">IF(OR((SLOPE($E658:$V658,$E$1:$V$1)*W$1+INTERCEPT($E658:$V658,$E$1:$V$1))&gt;(AVERAGE($E658:$V658)+_xlfn.STDEV.P($E658:$V658)),(SLOPE($E658:$V658,$E$1:$V$1)*W$1+INTERCEPT($E658:$V658,$E$1:$V$1))&lt;(AVERAGE($E658:$V658)-_xlfn.STDEV.P($E658:$V658))),V658,(SLOPE($E658:$V658,$E$1:$V$1)*W$1+INTERCEPT($E658:$V658,$E$1:$V$1)))</f>
        <v>8905.9858135029626</v>
      </c>
      <c r="X658" s="5">
        <f t="shared" si="666"/>
        <v>9345.4259029850164</v>
      </c>
      <c r="Y658" s="5">
        <f t="shared" si="666"/>
        <v>9784.8659924670701</v>
      </c>
      <c r="Z658" s="5">
        <f t="shared" si="666"/>
        <v>10224.306081949124</v>
      </c>
      <c r="AA658" s="5">
        <f t="shared" si="666"/>
        <v>10663.746171431178</v>
      </c>
      <c r="AB658" s="5">
        <f t="shared" si="666"/>
        <v>11103.186260913231</v>
      </c>
      <c r="AC658" s="5">
        <f t="shared" si="666"/>
        <v>11542.626350395287</v>
      </c>
      <c r="AD658" s="5">
        <f t="shared" si="666"/>
        <v>11982.066439877341</v>
      </c>
      <c r="AE658" s="5">
        <f t="shared" si="666"/>
        <v>12421.506529359394</v>
      </c>
      <c r="AF658" s="5">
        <f t="shared" si="666"/>
        <v>12860.946618841448</v>
      </c>
      <c r="AG658" s="5">
        <f t="shared" si="666"/>
        <v>13300.386708323502</v>
      </c>
      <c r="AH658" s="5">
        <f t="shared" si="666"/>
        <v>13739.826797805557</v>
      </c>
    </row>
    <row r="659" spans="1:34" x14ac:dyDescent="0.35">
      <c r="A659" t="s">
        <v>679</v>
      </c>
      <c r="B659" s="3" t="s">
        <v>1264</v>
      </c>
      <c r="C659" s="4" t="s">
        <v>1263</v>
      </c>
      <c r="D659" s="2">
        <f t="shared" si="651"/>
        <v>85082.720820008224</v>
      </c>
      <c r="E659" s="5">
        <v>0</v>
      </c>
      <c r="F659" s="5">
        <v>0</v>
      </c>
      <c r="G659" s="5">
        <v>17027.896094731466</v>
      </c>
      <c r="H659" s="5">
        <v>0</v>
      </c>
      <c r="I659" s="5">
        <v>17027.896094731466</v>
      </c>
      <c r="J659" s="5">
        <v>0</v>
      </c>
      <c r="K659" s="5">
        <v>17027.896094731466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5675.9653649104894</v>
      </c>
      <c r="V659" s="5">
        <v>28323.067170903341</v>
      </c>
      <c r="W659" s="5">
        <f t="shared" ref="W659:AH659" si="667">IF(OR((SLOPE($E659:$V659,$E$1:$V$1)*W$1+INTERCEPT($E659:$V659,$E$1:$V$1))&gt;(AVERAGE($E659:$V659)+_xlfn.STDEV.P($E659:$V659)),(SLOPE($E659:$V659,$E$1:$V$1)*W$1+INTERCEPT($E659:$V659,$E$1:$V$1))&lt;(AVERAGE($E659:$V659)-_xlfn.STDEV.P($E659:$V659))),V659,(SLOPE($E659:$V659,$E$1:$V$1)*W$1+INTERCEPT($E659:$V659,$E$1:$V$1)))</f>
        <v>5774.6455470716774</v>
      </c>
      <c r="X659" s="5">
        <f t="shared" si="667"/>
        <v>5884.9432022019819</v>
      </c>
      <c r="Y659" s="5">
        <f t="shared" si="667"/>
        <v>5995.2408573322855</v>
      </c>
      <c r="Z659" s="5">
        <f t="shared" si="667"/>
        <v>6105.53851246259</v>
      </c>
      <c r="AA659" s="5">
        <f t="shared" si="667"/>
        <v>6215.8361675928936</v>
      </c>
      <c r="AB659" s="5">
        <f t="shared" si="667"/>
        <v>6326.1338227231972</v>
      </c>
      <c r="AC659" s="5">
        <f t="shared" si="667"/>
        <v>6436.4314778535017</v>
      </c>
      <c r="AD659" s="5">
        <f t="shared" si="667"/>
        <v>6546.7291329838054</v>
      </c>
      <c r="AE659" s="5">
        <f t="shared" si="667"/>
        <v>6657.0267881141099</v>
      </c>
      <c r="AF659" s="5">
        <f t="shared" si="667"/>
        <v>6767.3244432444135</v>
      </c>
      <c r="AG659" s="5">
        <f t="shared" si="667"/>
        <v>6877.6220983747171</v>
      </c>
      <c r="AH659" s="5">
        <f t="shared" si="667"/>
        <v>6987.9197535050207</v>
      </c>
    </row>
    <row r="660" spans="1:34" x14ac:dyDescent="0.35">
      <c r="A660" t="s">
        <v>680</v>
      </c>
      <c r="B660" s="3" t="s">
        <v>1266</v>
      </c>
      <c r="C660" s="4" t="s">
        <v>1267</v>
      </c>
      <c r="D660" s="2">
        <f t="shared" si="651"/>
        <v>84725.155199999965</v>
      </c>
      <c r="E660" s="5">
        <v>23787.363599999997</v>
      </c>
      <c r="F660" s="5">
        <v>47075.691599999984</v>
      </c>
      <c r="G660" s="5">
        <v>12753.131999999996</v>
      </c>
      <c r="H660" s="5">
        <v>1108.9679999999996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f t="shared" ref="W660:AH660" si="668">IF(OR((SLOPE($E660:$V660,$E$1:$V$1)*W$1+INTERCEPT($E660:$V660,$E$1:$V$1))&gt;(AVERAGE($E660:$V660)+_xlfn.STDEV.P($E660:$V660)),(SLOPE($E660:$V660,$E$1:$V$1)*W$1+INTERCEPT($E660:$V660,$E$1:$V$1))&lt;(AVERAGE($E660:$V660)-_xlfn.STDEV.P($E660:$V660))),V660,(SLOPE($E660:$V660,$E$1:$V$1)*W$1+INTERCEPT($E660:$V660,$E$1:$V$1)))</f>
        <v>0</v>
      </c>
      <c r="X660" s="5">
        <f t="shared" si="668"/>
        <v>0</v>
      </c>
      <c r="Y660" s="5">
        <f t="shared" si="668"/>
        <v>0</v>
      </c>
      <c r="Z660" s="5">
        <f t="shared" si="668"/>
        <v>0</v>
      </c>
      <c r="AA660" s="5">
        <f t="shared" si="668"/>
        <v>0</v>
      </c>
      <c r="AB660" s="5">
        <f t="shared" si="668"/>
        <v>0</v>
      </c>
      <c r="AC660" s="5">
        <f t="shared" si="668"/>
        <v>0</v>
      </c>
      <c r="AD660" s="5">
        <f t="shared" si="668"/>
        <v>0</v>
      </c>
      <c r="AE660" s="5">
        <f t="shared" si="668"/>
        <v>0</v>
      </c>
      <c r="AF660" s="5">
        <f t="shared" si="668"/>
        <v>0</v>
      </c>
      <c r="AG660" s="5">
        <f t="shared" si="668"/>
        <v>0</v>
      </c>
      <c r="AH660" s="5">
        <f t="shared" si="668"/>
        <v>0</v>
      </c>
    </row>
    <row r="661" spans="1:34" x14ac:dyDescent="0.35">
      <c r="A661" t="s">
        <v>681</v>
      </c>
      <c r="B661" s="3" t="s">
        <v>1266</v>
      </c>
      <c r="C661" s="4" t="s">
        <v>1263</v>
      </c>
      <c r="D661" s="2">
        <f t="shared" si="651"/>
        <v>83880.139375314509</v>
      </c>
      <c r="E661" s="5">
        <v>0</v>
      </c>
      <c r="F661" s="5">
        <v>0</v>
      </c>
      <c r="G661" s="5">
        <v>0</v>
      </c>
      <c r="H661" s="5">
        <v>0</v>
      </c>
      <c r="I661" s="5">
        <v>17356.687982100444</v>
      </c>
      <c r="J661" s="5">
        <v>0</v>
      </c>
      <c r="K661" s="5">
        <v>15841.922485480771</v>
      </c>
      <c r="L661" s="5">
        <v>0</v>
      </c>
      <c r="M661" s="5">
        <v>0</v>
      </c>
      <c r="N661" s="5">
        <v>15968.152943532408</v>
      </c>
      <c r="O661" s="5">
        <v>17356.687982100444</v>
      </c>
      <c r="P661" s="5">
        <v>0</v>
      </c>
      <c r="Q661" s="5">
        <v>0</v>
      </c>
      <c r="R661" s="5">
        <v>0</v>
      </c>
      <c r="S661" s="5">
        <v>17356.687982100444</v>
      </c>
      <c r="T661" s="5">
        <v>0</v>
      </c>
      <c r="U661" s="5">
        <v>0</v>
      </c>
      <c r="V661" s="5">
        <v>0</v>
      </c>
      <c r="W661" s="5">
        <f t="shared" ref="W661:AH661" si="669">IF(OR((SLOPE($E661:$V661,$E$1:$V$1)*W$1+INTERCEPT($E661:$V661,$E$1:$V$1))&gt;(AVERAGE($E661:$V661)+_xlfn.STDEV.P($E661:$V661)),(SLOPE($E661:$V661,$E$1:$V$1)*W$1+INTERCEPT($E661:$V661,$E$1:$V$1))&lt;(AVERAGE($E661:$V661)-_xlfn.STDEV.P($E661:$V661))),V661,(SLOPE($E661:$V661,$E$1:$V$1)*W$1+INTERCEPT($E661:$V661,$E$1:$V$1)))</f>
        <v>4890.8114727458778</v>
      </c>
      <c r="X661" s="5">
        <f t="shared" si="669"/>
        <v>4915.1066021851257</v>
      </c>
      <c r="Y661" s="5">
        <f t="shared" si="669"/>
        <v>4939.4017316243726</v>
      </c>
      <c r="Z661" s="5">
        <f t="shared" si="669"/>
        <v>4963.6968610636204</v>
      </c>
      <c r="AA661" s="5">
        <f t="shared" si="669"/>
        <v>4987.9919905028673</v>
      </c>
      <c r="AB661" s="5">
        <f t="shared" si="669"/>
        <v>5012.2871199421152</v>
      </c>
      <c r="AC661" s="5">
        <f t="shared" si="669"/>
        <v>5036.5822493813621</v>
      </c>
      <c r="AD661" s="5">
        <f t="shared" si="669"/>
        <v>5060.8773788206099</v>
      </c>
      <c r="AE661" s="5">
        <f t="shared" si="669"/>
        <v>5085.1725082598568</v>
      </c>
      <c r="AF661" s="5">
        <f t="shared" si="669"/>
        <v>5109.4676376991047</v>
      </c>
      <c r="AG661" s="5">
        <f t="shared" si="669"/>
        <v>5133.7627671383516</v>
      </c>
      <c r="AH661" s="5">
        <f t="shared" si="669"/>
        <v>5158.0578965775994</v>
      </c>
    </row>
    <row r="662" spans="1:34" x14ac:dyDescent="0.35">
      <c r="A662" t="s">
        <v>682</v>
      </c>
      <c r="B662" s="3" t="s">
        <v>1265</v>
      </c>
      <c r="C662" s="4" t="s">
        <v>1263</v>
      </c>
      <c r="D662" s="2">
        <f t="shared" si="651"/>
        <v>78813.025444236438</v>
      </c>
      <c r="E662" s="5">
        <v>0</v>
      </c>
      <c r="F662" s="5">
        <v>0</v>
      </c>
      <c r="G662" s="5">
        <v>163.00522325591822</v>
      </c>
      <c r="H662" s="5">
        <v>815.02611627959118</v>
      </c>
      <c r="I662" s="5">
        <v>1026.9329065122847</v>
      </c>
      <c r="J662" s="5">
        <v>945.43029488432569</v>
      </c>
      <c r="K662" s="5">
        <v>1336.6428306985295</v>
      </c>
      <c r="L662" s="5">
        <v>1434.4459646520804</v>
      </c>
      <c r="M662" s="5">
        <v>847.62716093077483</v>
      </c>
      <c r="N662" s="5">
        <v>1418.1454423264886</v>
      </c>
      <c r="O662" s="5">
        <v>5656.2812469803621</v>
      </c>
      <c r="P662" s="5">
        <v>1630.0522325591821</v>
      </c>
      <c r="Q662" s="5">
        <v>65.202089302367284</v>
      </c>
      <c r="R662" s="5">
        <v>10872.448391169744</v>
      </c>
      <c r="S662" s="5">
        <v>16064.164751870734</v>
      </c>
      <c r="T662" s="5">
        <v>11222.909621169965</v>
      </c>
      <c r="U662" s="5">
        <v>15004.630800707268</v>
      </c>
      <c r="V662" s="5">
        <v>10310.080370936827</v>
      </c>
      <c r="W662" s="5">
        <f t="shared" ref="W662:AH662" si="670">IF(OR((SLOPE($E662:$V662,$E$1:$V$1)*W$1+INTERCEPT($E662:$V662,$E$1:$V$1))&gt;(AVERAGE($E662:$V662)+_xlfn.STDEV.P($E662:$V662)),(SLOPE($E662:$V662,$E$1:$V$1)*W$1+INTERCEPT($E662:$V662,$E$1:$V$1))&lt;(AVERAGE($E662:$V662)-_xlfn.STDEV.P($E662:$V662))),V662,(SLOPE($E662:$V662,$E$1:$V$1)*W$1+INTERCEPT($E662:$V662,$E$1:$V$1)))</f>
        <v>10310.080370936827</v>
      </c>
      <c r="X662" s="5">
        <f t="shared" si="670"/>
        <v>10310.080370936827</v>
      </c>
      <c r="Y662" s="5">
        <f t="shared" si="670"/>
        <v>10310.080370936827</v>
      </c>
      <c r="Z662" s="5">
        <f t="shared" si="670"/>
        <v>10310.080370936827</v>
      </c>
      <c r="AA662" s="5">
        <f t="shared" si="670"/>
        <v>10310.080370936827</v>
      </c>
      <c r="AB662" s="5">
        <f t="shared" si="670"/>
        <v>10310.080370936827</v>
      </c>
      <c r="AC662" s="5">
        <f t="shared" si="670"/>
        <v>10310.080370936827</v>
      </c>
      <c r="AD662" s="5">
        <f t="shared" si="670"/>
        <v>10310.080370936827</v>
      </c>
      <c r="AE662" s="5">
        <f t="shared" si="670"/>
        <v>10310.080370936827</v>
      </c>
      <c r="AF662" s="5">
        <f t="shared" si="670"/>
        <v>10310.080370936827</v>
      </c>
      <c r="AG662" s="5">
        <f t="shared" si="670"/>
        <v>10310.080370936827</v>
      </c>
      <c r="AH662" s="5">
        <f t="shared" si="670"/>
        <v>10310.080370936827</v>
      </c>
    </row>
    <row r="663" spans="1:34" x14ac:dyDescent="0.35">
      <c r="A663" t="s">
        <v>683</v>
      </c>
      <c r="B663" s="3" t="s">
        <v>1266</v>
      </c>
      <c r="C663" s="4" t="s">
        <v>1266</v>
      </c>
      <c r="D663" s="2">
        <f t="shared" si="651"/>
        <v>83568.517426697566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29123.024020455679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24754.570417387327</v>
      </c>
      <c r="U663" s="5">
        <v>0</v>
      </c>
      <c r="V663" s="5">
        <v>29690.922988854563</v>
      </c>
      <c r="W663" s="5">
        <f t="shared" ref="W663:AH663" si="671">IF(OR((SLOPE($E663:$V663,$E$1:$V$1)*W$1+INTERCEPT($E663:$V663,$E$1:$V$1))&gt;(AVERAGE($E663:$V663)+_xlfn.STDEV.P($E663:$V663)),(SLOPE($E663:$V663,$E$1:$V$1)*W$1+INTERCEPT($E663:$V663,$E$1:$V$1))&lt;(AVERAGE($E663:$V663)-_xlfn.STDEV.P($E663:$V663))),V663,(SLOPE($E663:$V663,$E$1:$V$1)*W$1+INTERCEPT($E663:$V663,$E$1:$V$1)))</f>
        <v>11318.577629597097</v>
      </c>
      <c r="X663" s="5">
        <f t="shared" si="671"/>
        <v>12021.302073492127</v>
      </c>
      <c r="Y663" s="5">
        <f t="shared" si="671"/>
        <v>12724.026517387159</v>
      </c>
      <c r="Z663" s="5">
        <f t="shared" si="671"/>
        <v>13426.750961282189</v>
      </c>
      <c r="AA663" s="5">
        <f t="shared" si="671"/>
        <v>14129.475405177218</v>
      </c>
      <c r="AB663" s="5">
        <f t="shared" si="671"/>
        <v>14832.199849072251</v>
      </c>
      <c r="AC663" s="5">
        <f t="shared" si="671"/>
        <v>14832.199849072251</v>
      </c>
      <c r="AD663" s="5">
        <f t="shared" si="671"/>
        <v>14832.199849072251</v>
      </c>
      <c r="AE663" s="5">
        <f t="shared" si="671"/>
        <v>14832.199849072251</v>
      </c>
      <c r="AF663" s="5">
        <f t="shared" si="671"/>
        <v>14832.199849072251</v>
      </c>
      <c r="AG663" s="5">
        <f t="shared" si="671"/>
        <v>14832.199849072251</v>
      </c>
      <c r="AH663" s="5">
        <f t="shared" si="671"/>
        <v>14832.199849072251</v>
      </c>
    </row>
    <row r="664" spans="1:34" x14ac:dyDescent="0.35">
      <c r="A664" t="s">
        <v>684</v>
      </c>
      <c r="B664" s="3" t="s">
        <v>1266</v>
      </c>
      <c r="C664" s="4" t="s">
        <v>1263</v>
      </c>
      <c r="D664" s="2">
        <f t="shared" si="651"/>
        <v>83301.616226606362</v>
      </c>
      <c r="E664" s="5">
        <v>0</v>
      </c>
      <c r="F664" s="5">
        <v>0</v>
      </c>
      <c r="G664" s="5">
        <v>0</v>
      </c>
      <c r="H664" s="5">
        <v>20668.044104665714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20413.681442551555</v>
      </c>
      <c r="Q664" s="5">
        <v>0</v>
      </c>
      <c r="R664" s="5">
        <v>0</v>
      </c>
      <c r="S664" s="5">
        <v>0</v>
      </c>
      <c r="T664" s="5">
        <v>0</v>
      </c>
      <c r="U664" s="5">
        <v>21698.42844780612</v>
      </c>
      <c r="V664" s="5">
        <v>20521.46223158298</v>
      </c>
      <c r="W664" s="5">
        <f t="shared" ref="W664:AH664" si="672">IF(OR((SLOPE($E664:$V664,$E$1:$V$1)*W$1+INTERCEPT($E664:$V664,$E$1:$V$1))&gt;(AVERAGE($E664:$V664)+_xlfn.STDEV.P($E664:$V664)),(SLOPE($E664:$V664,$E$1:$V$1)*W$1+INTERCEPT($E664:$V664,$E$1:$V$1))&lt;(AVERAGE($E664:$V664)-_xlfn.STDEV.P($E664:$V664))),V664,(SLOPE($E664:$V664,$E$1:$V$1)*W$1+INTERCEPT($E664:$V664,$E$1:$V$1)))</f>
        <v>10010.820575158888</v>
      </c>
      <c r="X664" s="5">
        <f t="shared" si="672"/>
        <v>10577.447207476162</v>
      </c>
      <c r="Y664" s="5">
        <f t="shared" si="672"/>
        <v>11144.073839793435</v>
      </c>
      <c r="Z664" s="5">
        <f t="shared" si="672"/>
        <v>11710.700472110708</v>
      </c>
      <c r="AA664" s="5">
        <f t="shared" si="672"/>
        <v>12277.327104427981</v>
      </c>
      <c r="AB664" s="5">
        <f t="shared" si="672"/>
        <v>12843.953736745254</v>
      </c>
      <c r="AC664" s="5">
        <f t="shared" si="672"/>
        <v>12843.953736745254</v>
      </c>
      <c r="AD664" s="5">
        <f t="shared" si="672"/>
        <v>12843.953736745254</v>
      </c>
      <c r="AE664" s="5">
        <f t="shared" si="672"/>
        <v>12843.953736745254</v>
      </c>
      <c r="AF664" s="5">
        <f t="shared" si="672"/>
        <v>12843.953736745254</v>
      </c>
      <c r="AG664" s="5">
        <f t="shared" si="672"/>
        <v>12843.953736745254</v>
      </c>
      <c r="AH664" s="5">
        <f t="shared" si="672"/>
        <v>12843.953736745254</v>
      </c>
    </row>
    <row r="665" spans="1:34" x14ac:dyDescent="0.35">
      <c r="A665" t="s">
        <v>685</v>
      </c>
      <c r="B665" s="3" t="s">
        <v>1264</v>
      </c>
      <c r="C665" s="4" t="s">
        <v>1263</v>
      </c>
      <c r="D665" s="2">
        <f t="shared" si="651"/>
        <v>80539.810400000002</v>
      </c>
      <c r="E665" s="5">
        <v>0</v>
      </c>
      <c r="F665" s="5">
        <v>2285.2031999999999</v>
      </c>
      <c r="G665" s="5">
        <v>6855.6095999999989</v>
      </c>
      <c r="H665" s="5">
        <v>5128.1048000000001</v>
      </c>
      <c r="I665" s="5">
        <v>7998.2111999999997</v>
      </c>
      <c r="J665" s="5">
        <v>3427.8047999999999</v>
      </c>
      <c r="K665" s="5">
        <v>3427.8047999999999</v>
      </c>
      <c r="L665" s="5">
        <v>4570.4063999999998</v>
      </c>
      <c r="M665" s="5">
        <v>2285.2031999999999</v>
      </c>
      <c r="N665" s="5">
        <v>2285.2031999999999</v>
      </c>
      <c r="O665" s="5">
        <v>4570.4063999999998</v>
      </c>
      <c r="P665" s="5">
        <v>9140.8127999999997</v>
      </c>
      <c r="Q665" s="5">
        <v>0</v>
      </c>
      <c r="R665" s="5">
        <v>5713.0079999999998</v>
      </c>
      <c r="S665" s="5">
        <v>3427.8047999999994</v>
      </c>
      <c r="T665" s="5">
        <v>7998.2111999999997</v>
      </c>
      <c r="U665" s="5">
        <v>3427.8047999999994</v>
      </c>
      <c r="V665" s="5">
        <v>7998.2111999999997</v>
      </c>
      <c r="W665" s="5">
        <f t="shared" ref="W665:AH665" si="673">IF(OR((SLOPE($E665:$V665,$E$1:$V$1)*W$1+INTERCEPT($E665:$V665,$E$1:$V$1))&gt;(AVERAGE($E665:$V665)+_xlfn.STDEV.P($E665:$V665)),(SLOPE($E665:$V665,$E$1:$V$1)*W$1+INTERCEPT($E665:$V665,$E$1:$V$1))&lt;(AVERAGE($E665:$V665)-_xlfn.STDEV.P($E665:$V665))),V665,(SLOPE($E665:$V665,$E$1:$V$1)*W$1+INTERCEPT($E665:$V665,$E$1:$V$1)))</f>
        <v>5780.9310954248358</v>
      </c>
      <c r="X665" s="5">
        <f t="shared" si="673"/>
        <v>5918.4571148262803</v>
      </c>
      <c r="Y665" s="5">
        <f t="shared" si="673"/>
        <v>6055.9831342277257</v>
      </c>
      <c r="Z665" s="5">
        <f t="shared" si="673"/>
        <v>6193.5091536291702</v>
      </c>
      <c r="AA665" s="5">
        <f t="shared" si="673"/>
        <v>6331.0351730306156</v>
      </c>
      <c r="AB665" s="5">
        <f t="shared" si="673"/>
        <v>6468.5611924320601</v>
      </c>
      <c r="AC665" s="5">
        <f t="shared" si="673"/>
        <v>6606.0872118335046</v>
      </c>
      <c r="AD665" s="5">
        <f t="shared" si="673"/>
        <v>6743.6132312349491</v>
      </c>
      <c r="AE665" s="5">
        <f t="shared" si="673"/>
        <v>6881.1392506363936</v>
      </c>
      <c r="AF665" s="5">
        <f t="shared" si="673"/>
        <v>7018.665270037839</v>
      </c>
      <c r="AG665" s="5">
        <f t="shared" si="673"/>
        <v>7018.665270037839</v>
      </c>
      <c r="AH665" s="5">
        <f t="shared" si="673"/>
        <v>7018.665270037839</v>
      </c>
    </row>
    <row r="666" spans="1:34" x14ac:dyDescent="0.35">
      <c r="A666" t="s">
        <v>686</v>
      </c>
      <c r="B666" s="3" t="s">
        <v>1264</v>
      </c>
      <c r="C666" s="4" t="s">
        <v>1263</v>
      </c>
      <c r="D666" s="2">
        <f t="shared" si="651"/>
        <v>82283.378176932601</v>
      </c>
      <c r="E666" s="5">
        <v>6474.7219487237835</v>
      </c>
      <c r="F666" s="5">
        <v>7236.453942691287</v>
      </c>
      <c r="G666" s="5">
        <v>7617.3199396750406</v>
      </c>
      <c r="H666" s="5">
        <v>0</v>
      </c>
      <c r="I666" s="5">
        <v>6474.7219487237835</v>
      </c>
      <c r="J666" s="5">
        <v>0</v>
      </c>
      <c r="K666" s="5">
        <v>4586.714792247185</v>
      </c>
      <c r="L666" s="5">
        <v>3808.6599698375198</v>
      </c>
      <c r="M666" s="5">
        <v>0</v>
      </c>
      <c r="N666" s="5">
        <v>6855.5879457075353</v>
      </c>
      <c r="O666" s="5">
        <v>0</v>
      </c>
      <c r="P666" s="5">
        <v>3046.9279758700159</v>
      </c>
      <c r="Q666" s="5">
        <v>17138.969864268838</v>
      </c>
      <c r="R666" s="5">
        <v>0</v>
      </c>
      <c r="S666" s="5">
        <v>4951.2579607887756</v>
      </c>
      <c r="T666" s="5">
        <v>2666.0619788862641</v>
      </c>
      <c r="U666" s="5">
        <v>9902.5159215775511</v>
      </c>
      <c r="V666" s="5">
        <v>1523.4639879350079</v>
      </c>
      <c r="W666" s="5">
        <f t="shared" ref="W666:AH666" si="674">IF(OR((SLOPE($E666:$V666,$E$1:$V$1)*W$1+INTERCEPT($E666:$V666,$E$1:$V$1))&gt;(AVERAGE($E666:$V666)+_xlfn.STDEV.P($E666:$V666)),(SLOPE($E666:$V666,$E$1:$V$1)*W$1+INTERCEPT($E666:$V666,$E$1:$V$1))&lt;(AVERAGE($E666:$V666)-_xlfn.STDEV.P($E666:$V666))),V666,(SLOPE($E666:$V666,$E$1:$V$1)*W$1+INTERCEPT($E666:$V666,$E$1:$V$1)))</f>
        <v>4525.690884607212</v>
      </c>
      <c r="X666" s="5">
        <f t="shared" si="674"/>
        <v>4520.8900527124588</v>
      </c>
      <c r="Y666" s="5">
        <f t="shared" si="674"/>
        <v>4516.0892208177056</v>
      </c>
      <c r="Z666" s="5">
        <f t="shared" si="674"/>
        <v>4511.2883889229524</v>
      </c>
      <c r="AA666" s="5">
        <f t="shared" si="674"/>
        <v>4506.4875570281993</v>
      </c>
      <c r="AB666" s="5">
        <f t="shared" si="674"/>
        <v>4501.6867251334461</v>
      </c>
      <c r="AC666" s="5">
        <f t="shared" si="674"/>
        <v>4496.8858932386929</v>
      </c>
      <c r="AD666" s="5">
        <f t="shared" si="674"/>
        <v>4492.0850613439397</v>
      </c>
      <c r="AE666" s="5">
        <f t="shared" si="674"/>
        <v>4487.2842294491866</v>
      </c>
      <c r="AF666" s="5">
        <f t="shared" si="674"/>
        <v>4482.4833975544334</v>
      </c>
      <c r="AG666" s="5">
        <f t="shared" si="674"/>
        <v>4477.6825656596793</v>
      </c>
      <c r="AH666" s="5">
        <f t="shared" si="674"/>
        <v>4472.8817337649261</v>
      </c>
    </row>
    <row r="667" spans="1:34" x14ac:dyDescent="0.35">
      <c r="A667" t="s">
        <v>687</v>
      </c>
      <c r="B667" s="3" t="s">
        <v>1266</v>
      </c>
      <c r="C667" s="4" t="s">
        <v>1263</v>
      </c>
      <c r="D667" s="2">
        <f t="shared" si="651"/>
        <v>81261.744531407443</v>
      </c>
      <c r="E667" s="5">
        <v>703.10624046376006</v>
      </c>
      <c r="F667" s="5">
        <v>288.94777005360004</v>
      </c>
      <c r="G667" s="5">
        <v>4131.9531117664801</v>
      </c>
      <c r="H667" s="5">
        <v>2773.8985925145603</v>
      </c>
      <c r="I667" s="5">
        <v>346.73732406432003</v>
      </c>
      <c r="J667" s="5">
        <v>539.36917076672012</v>
      </c>
      <c r="K667" s="5">
        <v>245.60560454556003</v>
      </c>
      <c r="L667" s="5">
        <v>72232.126717232444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f t="shared" ref="W667:AH667" si="675">IF(OR((SLOPE($E667:$V667,$E$1:$V$1)*W$1+INTERCEPT($E667:$V667,$E$1:$V$1))&gt;(AVERAGE($E667:$V667)+_xlfn.STDEV.P($E667:$V667)),(SLOPE($E667:$V667,$E$1:$V$1)*W$1+INTERCEPT($E667:$V667,$E$1:$V$1))&lt;(AVERAGE($E667:$V667)-_xlfn.STDEV.P($E667:$V667))),V667,(SLOPE($E667:$V667,$E$1:$V$1)*W$1+INTERCEPT($E667:$V667,$E$1:$V$1)))</f>
        <v>1324.9734619178971</v>
      </c>
      <c r="X667" s="5">
        <f t="shared" si="675"/>
        <v>989.22947234546791</v>
      </c>
      <c r="Y667" s="5">
        <f t="shared" si="675"/>
        <v>653.48548277303962</v>
      </c>
      <c r="Z667" s="5">
        <f t="shared" si="675"/>
        <v>317.74149320061133</v>
      </c>
      <c r="AA667" s="5">
        <f t="shared" si="675"/>
        <v>-18.00249637181787</v>
      </c>
      <c r="AB667" s="5">
        <f t="shared" si="675"/>
        <v>-353.74648594424616</v>
      </c>
      <c r="AC667" s="5">
        <f t="shared" si="675"/>
        <v>-689.49047551667445</v>
      </c>
      <c r="AD667" s="5">
        <f t="shared" si="675"/>
        <v>-1025.2344650891037</v>
      </c>
      <c r="AE667" s="5">
        <f t="shared" si="675"/>
        <v>-1360.9784546615329</v>
      </c>
      <c r="AF667" s="5">
        <f t="shared" si="675"/>
        <v>-1696.7224442339602</v>
      </c>
      <c r="AG667" s="5">
        <f t="shared" si="675"/>
        <v>-2032.4664338063894</v>
      </c>
      <c r="AH667" s="5">
        <f t="shared" si="675"/>
        <v>-2368.2104233788186</v>
      </c>
    </row>
    <row r="668" spans="1:34" x14ac:dyDescent="0.35">
      <c r="A668" t="s">
        <v>688</v>
      </c>
      <c r="B668" s="3" t="s">
        <v>1266</v>
      </c>
      <c r="C668" s="4" t="s">
        <v>1268</v>
      </c>
      <c r="D668" s="2">
        <f t="shared" si="651"/>
        <v>80598.209919210931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37833.866329117736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42764.343590093187</v>
      </c>
      <c r="V668" s="5">
        <v>0</v>
      </c>
      <c r="W668" s="5">
        <f t="shared" ref="W668:AH668" si="676">IF(OR((SLOPE($E668:$V668,$E$1:$V$1)*W$1+INTERCEPT($E668:$V668,$E$1:$V$1))&gt;(AVERAGE($E668:$V668)+_xlfn.STDEV.P($E668:$V668)),(SLOPE($E668:$V668,$E$1:$V$1)*W$1+INTERCEPT($E668:$V668,$E$1:$V$1))&lt;(AVERAGE($E668:$V668)-_xlfn.STDEV.P($E668:$V668))),V668,(SLOPE($E668:$V668,$E$1:$V$1)*W$1+INTERCEPT($E668:$V668,$E$1:$V$1)))</f>
        <v>11137.472644340301</v>
      </c>
      <c r="X668" s="5">
        <f t="shared" si="676"/>
        <v>11838.503624918749</v>
      </c>
      <c r="Y668" s="5">
        <f t="shared" si="676"/>
        <v>12539.534605497196</v>
      </c>
      <c r="Z668" s="5">
        <f t="shared" si="676"/>
        <v>13240.565586075643</v>
      </c>
      <c r="AA668" s="5">
        <f t="shared" si="676"/>
        <v>13941.596566654091</v>
      </c>
      <c r="AB668" s="5">
        <f t="shared" si="676"/>
        <v>14642.62754723254</v>
      </c>
      <c r="AC668" s="5">
        <f t="shared" si="676"/>
        <v>15343.658527810985</v>
      </c>
      <c r="AD668" s="5">
        <f t="shared" si="676"/>
        <v>16044.689508389434</v>
      </c>
      <c r="AE668" s="5">
        <f t="shared" si="676"/>
        <v>16745.72048896788</v>
      </c>
      <c r="AF668" s="5">
        <f t="shared" si="676"/>
        <v>16745.72048896788</v>
      </c>
      <c r="AG668" s="5">
        <f t="shared" si="676"/>
        <v>16745.72048896788</v>
      </c>
      <c r="AH668" s="5">
        <f t="shared" si="676"/>
        <v>16745.72048896788</v>
      </c>
    </row>
    <row r="669" spans="1:34" x14ac:dyDescent="0.35">
      <c r="A669" t="s">
        <v>689</v>
      </c>
      <c r="B669" s="3" t="s">
        <v>1266</v>
      </c>
      <c r="C669" s="4" t="s">
        <v>1267</v>
      </c>
      <c r="D669" s="2">
        <f t="shared" si="651"/>
        <v>80570.700000000012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40158.44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40412.26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f t="shared" ref="W669:AH669" si="677">IF(OR((SLOPE($E669:$V669,$E$1:$V$1)*W$1+INTERCEPT($E669:$V669,$E$1:$V$1))&gt;(AVERAGE($E669:$V669)+_xlfn.STDEV.P($E669:$V669)),(SLOPE($E669:$V669,$E$1:$V$1)*W$1+INTERCEPT($E669:$V669,$E$1:$V$1))&lt;(AVERAGE($E669:$V669)-_xlfn.STDEV.P($E669:$V669))),V669,(SLOPE($E669:$V669,$E$1:$V$1)*W$1+INTERCEPT($E669:$V669,$E$1:$V$1)))</f>
        <v>5280.9894117647063</v>
      </c>
      <c r="X669" s="5">
        <f t="shared" si="677"/>
        <v>5365.7093498452014</v>
      </c>
      <c r="Y669" s="5">
        <f t="shared" si="677"/>
        <v>5450.4292879256973</v>
      </c>
      <c r="Z669" s="5">
        <f t="shared" si="677"/>
        <v>5535.1492260061923</v>
      </c>
      <c r="AA669" s="5">
        <f t="shared" si="677"/>
        <v>5619.8691640866873</v>
      </c>
      <c r="AB669" s="5">
        <f t="shared" si="677"/>
        <v>5704.5891021671832</v>
      </c>
      <c r="AC669" s="5">
        <f t="shared" si="677"/>
        <v>5789.3090402476782</v>
      </c>
      <c r="AD669" s="5">
        <f t="shared" si="677"/>
        <v>5874.0289783281733</v>
      </c>
      <c r="AE669" s="5">
        <f t="shared" si="677"/>
        <v>5958.7489164086692</v>
      </c>
      <c r="AF669" s="5">
        <f t="shared" si="677"/>
        <v>6043.4688544891642</v>
      </c>
      <c r="AG669" s="5">
        <f t="shared" si="677"/>
        <v>6128.1887925696592</v>
      </c>
      <c r="AH669" s="5">
        <f t="shared" si="677"/>
        <v>6212.9087306501551</v>
      </c>
    </row>
    <row r="670" spans="1:34" x14ac:dyDescent="0.35">
      <c r="A670" t="s">
        <v>690</v>
      </c>
      <c r="B670" s="3" t="s">
        <v>1265</v>
      </c>
      <c r="C670" s="4" t="s">
        <v>1263</v>
      </c>
      <c r="D670" s="2">
        <f t="shared" si="651"/>
        <v>80371.568403604964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80371.568403604964</v>
      </c>
      <c r="T670" s="5">
        <v>0</v>
      </c>
      <c r="U670" s="5">
        <v>0</v>
      </c>
      <c r="V670" s="5">
        <v>0</v>
      </c>
      <c r="W670" s="5">
        <f t="shared" ref="W670:AH670" si="678">IF(OR((SLOPE($E670:$V670,$E$1:$V$1)*W$1+INTERCEPT($E670:$V670,$E$1:$V$1))&gt;(AVERAGE($E670:$V670)+_xlfn.STDEV.P($E670:$V670)),(SLOPE($E670:$V670,$E$1:$V$1)*W$1+INTERCEPT($E670:$V670,$E$1:$V$1))&lt;(AVERAGE($E670:$V670)-_xlfn.STDEV.P($E670:$V670))),V670,(SLOPE($E670:$V670,$E$1:$V$1)*W$1+INTERCEPT($E670:$V670,$E$1:$V$1)))</f>
        <v>13132.609216275321</v>
      </c>
      <c r="X670" s="5">
        <f t="shared" si="678"/>
        <v>14044.979961827079</v>
      </c>
      <c r="Y670" s="5">
        <f t="shared" si="678"/>
        <v>14957.350707378837</v>
      </c>
      <c r="Z670" s="5">
        <f t="shared" si="678"/>
        <v>15869.721452930598</v>
      </c>
      <c r="AA670" s="5">
        <f t="shared" si="678"/>
        <v>16782.092198482358</v>
      </c>
      <c r="AB670" s="5">
        <f t="shared" si="678"/>
        <v>17694.462944034116</v>
      </c>
      <c r="AC670" s="5">
        <f t="shared" si="678"/>
        <v>18606.833689585874</v>
      </c>
      <c r="AD670" s="5">
        <f t="shared" si="678"/>
        <v>19519.204435137632</v>
      </c>
      <c r="AE670" s="5">
        <f t="shared" si="678"/>
        <v>20431.57518068939</v>
      </c>
      <c r="AF670" s="5">
        <f t="shared" si="678"/>
        <v>21343.945926241155</v>
      </c>
      <c r="AG670" s="5">
        <f t="shared" si="678"/>
        <v>22256.316671792913</v>
      </c>
      <c r="AH670" s="5">
        <f t="shared" si="678"/>
        <v>22256.316671792913</v>
      </c>
    </row>
    <row r="671" spans="1:34" x14ac:dyDescent="0.35">
      <c r="A671" t="s">
        <v>691</v>
      </c>
      <c r="B671" s="3" t="s">
        <v>1266</v>
      </c>
      <c r="C671" s="4" t="s">
        <v>1268</v>
      </c>
      <c r="D671" s="2">
        <f t="shared" si="651"/>
        <v>80127.249522455124</v>
      </c>
      <c r="E671" s="5">
        <v>0</v>
      </c>
      <c r="F671" s="5">
        <v>0</v>
      </c>
      <c r="G671" s="5">
        <v>0</v>
      </c>
      <c r="H671" s="5">
        <v>30948.400737862299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24366.963909409733</v>
      </c>
      <c r="O671" s="5">
        <v>0</v>
      </c>
      <c r="P671" s="5">
        <v>0</v>
      </c>
      <c r="Q671" s="5">
        <v>0</v>
      </c>
      <c r="R671" s="5">
        <v>24811.884875183099</v>
      </c>
      <c r="S671" s="5">
        <v>0</v>
      </c>
      <c r="T671" s="5">
        <v>0</v>
      </c>
      <c r="U671" s="5">
        <v>0</v>
      </c>
      <c r="V671" s="5">
        <v>0</v>
      </c>
      <c r="W671" s="5">
        <f t="shared" ref="W671:AH671" si="679">IF(OR((SLOPE($E671:$V671,$E$1:$V$1)*W$1+INTERCEPT($E671:$V671,$E$1:$V$1))&gt;(AVERAGE($E671:$V671)+_xlfn.STDEV.P($E671:$V671)),(SLOPE($E671:$V671,$E$1:$V$1)*W$1+INTERCEPT($E671:$V671,$E$1:$V$1))&lt;(AVERAGE($E671:$V671)-_xlfn.STDEV.P($E671:$V671))),V671,(SLOPE($E671:$V671,$E$1:$V$1)*W$1+INTERCEPT($E671:$V671,$E$1:$V$1)))</f>
        <v>3542.1169963740331</v>
      </c>
      <c r="X671" s="5">
        <f t="shared" si="679"/>
        <v>3446.3910104809188</v>
      </c>
      <c r="Y671" s="5">
        <f t="shared" si="679"/>
        <v>3350.6650245878045</v>
      </c>
      <c r="Z671" s="5">
        <f t="shared" si="679"/>
        <v>3254.9390386946902</v>
      </c>
      <c r="AA671" s="5">
        <f t="shared" si="679"/>
        <v>3159.2130528015764</v>
      </c>
      <c r="AB671" s="5">
        <f t="shared" si="679"/>
        <v>3063.4870669084621</v>
      </c>
      <c r="AC671" s="5">
        <f t="shared" si="679"/>
        <v>2967.7610810153478</v>
      </c>
      <c r="AD671" s="5">
        <f t="shared" si="679"/>
        <v>2872.0350951222335</v>
      </c>
      <c r="AE671" s="5">
        <f t="shared" si="679"/>
        <v>2776.3091092291193</v>
      </c>
      <c r="AF671" s="5">
        <f t="shared" si="679"/>
        <v>2680.583123336005</v>
      </c>
      <c r="AG671" s="5">
        <f t="shared" si="679"/>
        <v>2584.8571374428911</v>
      </c>
      <c r="AH671" s="5">
        <f t="shared" si="679"/>
        <v>2489.1311515497769</v>
      </c>
    </row>
    <row r="672" spans="1:34" x14ac:dyDescent="0.35">
      <c r="A672" t="s">
        <v>692</v>
      </c>
      <c r="B672" s="3" t="s">
        <v>1266</v>
      </c>
      <c r="C672" s="4" t="s">
        <v>1267</v>
      </c>
      <c r="D672" s="2">
        <f t="shared" si="651"/>
        <v>79800.1484871719</v>
      </c>
      <c r="E672" s="5">
        <v>0</v>
      </c>
      <c r="F672" s="5">
        <v>0</v>
      </c>
      <c r="G672" s="5">
        <v>79800.1484871719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f t="shared" ref="W672:AH672" si="680">IF(OR((SLOPE($E672:$V672,$E$1:$V$1)*W$1+INTERCEPT($E672:$V672,$E$1:$V$1))&gt;(AVERAGE($E672:$V672)+_xlfn.STDEV.P($E672:$V672)),(SLOPE($E672:$V672,$E$1:$V$1)*W$1+INTERCEPT($E672:$V672,$E$1:$V$1))&lt;(AVERAGE($E672:$V672)-_xlfn.STDEV.P($E672:$V672))),V672,(SLOPE($E672:$V672,$E$1:$V$1)*W$1+INTERCEPT($E672:$V672,$E$1:$V$1)))</f>
        <v>-5737.2655775090898</v>
      </c>
      <c r="X672" s="5">
        <f t="shared" si="680"/>
        <v>-6807.8558048911691</v>
      </c>
      <c r="Y672" s="5">
        <f t="shared" si="680"/>
        <v>-7878.4460322732484</v>
      </c>
      <c r="Z672" s="5">
        <f t="shared" si="680"/>
        <v>-8949.0362596553277</v>
      </c>
      <c r="AA672" s="5">
        <f t="shared" si="680"/>
        <v>-10019.626487037407</v>
      </c>
      <c r="AB672" s="5">
        <f t="shared" si="680"/>
        <v>-11090.216714419483</v>
      </c>
      <c r="AC672" s="5">
        <f t="shared" si="680"/>
        <v>-12160.806941801562</v>
      </c>
      <c r="AD672" s="5">
        <f t="shared" si="680"/>
        <v>-13231.397169183641</v>
      </c>
      <c r="AE672" s="5">
        <f t="shared" si="680"/>
        <v>-13231.397169183641</v>
      </c>
      <c r="AF672" s="5">
        <f t="shared" si="680"/>
        <v>-13231.397169183641</v>
      </c>
      <c r="AG672" s="5">
        <f t="shared" si="680"/>
        <v>-13231.397169183641</v>
      </c>
      <c r="AH672" s="5">
        <f t="shared" si="680"/>
        <v>-13231.397169183641</v>
      </c>
    </row>
    <row r="673" spans="1:34" x14ac:dyDescent="0.35">
      <c r="A673" t="s">
        <v>693</v>
      </c>
      <c r="B673" s="3" t="s">
        <v>1264</v>
      </c>
      <c r="C673" s="4" t="s">
        <v>1263</v>
      </c>
      <c r="D673" s="2">
        <f t="shared" si="651"/>
        <v>79745.343999999983</v>
      </c>
      <c r="E673" s="5">
        <v>5718.398000000001</v>
      </c>
      <c r="F673" s="5">
        <v>4579.344000000001</v>
      </c>
      <c r="G673" s="5">
        <v>4960.956000000001</v>
      </c>
      <c r="H673" s="5">
        <v>14437.653999999999</v>
      </c>
      <c r="I673" s="5">
        <v>5498.6820000000007</v>
      </c>
      <c r="J673" s="5">
        <v>4301.808</v>
      </c>
      <c r="K673" s="5">
        <v>3688.9160000000002</v>
      </c>
      <c r="L673" s="5">
        <v>4920.482</v>
      </c>
      <c r="M673" s="5">
        <v>4348.0639999999994</v>
      </c>
      <c r="N673" s="5">
        <v>2503.6060000000002</v>
      </c>
      <c r="O673" s="5">
        <v>6718.6840000000002</v>
      </c>
      <c r="P673" s="5">
        <v>10384.472</v>
      </c>
      <c r="Q673" s="5">
        <v>2838.962</v>
      </c>
      <c r="R673" s="5">
        <v>2035.2640000000001</v>
      </c>
      <c r="S673" s="5">
        <v>2810.0520000000001</v>
      </c>
      <c r="T673" s="5">
        <v>0</v>
      </c>
      <c r="U673" s="5">
        <v>0</v>
      </c>
      <c r="V673" s="5">
        <v>0</v>
      </c>
      <c r="W673" s="5">
        <f t="shared" ref="W673:AH673" si="681">IF(OR((SLOPE($E673:$V673,$E$1:$V$1)*W$1+INTERCEPT($E673:$V673,$E$1:$V$1))&gt;(AVERAGE($E673:$V673)+_xlfn.STDEV.P($E673:$V673)),(SLOPE($E673:$V673,$E$1:$V$1)*W$1+INTERCEPT($E673:$V673,$E$1:$V$1))&lt;(AVERAGE($E673:$V673)-_xlfn.STDEV.P($E673:$V673))),V673,(SLOPE($E673:$V673,$E$1:$V$1)*W$1+INTERCEPT($E673:$V673,$E$1:$V$1)))</f>
        <v>0</v>
      </c>
      <c r="X673" s="5">
        <f t="shared" si="681"/>
        <v>0</v>
      </c>
      <c r="Y673" s="5">
        <f t="shared" si="681"/>
        <v>0</v>
      </c>
      <c r="Z673" s="5">
        <f t="shared" si="681"/>
        <v>0</v>
      </c>
      <c r="AA673" s="5">
        <f t="shared" si="681"/>
        <v>0</v>
      </c>
      <c r="AB673" s="5">
        <f t="shared" si="681"/>
        <v>0</v>
      </c>
      <c r="AC673" s="5">
        <f t="shared" si="681"/>
        <v>0</v>
      </c>
      <c r="AD673" s="5">
        <f t="shared" si="681"/>
        <v>0</v>
      </c>
      <c r="AE673" s="5">
        <f t="shared" si="681"/>
        <v>0</v>
      </c>
      <c r="AF673" s="5">
        <f t="shared" si="681"/>
        <v>0</v>
      </c>
      <c r="AG673" s="5">
        <f t="shared" si="681"/>
        <v>0</v>
      </c>
      <c r="AH673" s="5">
        <f t="shared" si="681"/>
        <v>0</v>
      </c>
    </row>
    <row r="674" spans="1:34" x14ac:dyDescent="0.35">
      <c r="A674" t="s">
        <v>694</v>
      </c>
      <c r="B674" s="3" t="s">
        <v>1266</v>
      </c>
      <c r="C674" s="4" t="s">
        <v>1267</v>
      </c>
      <c r="D674" s="2">
        <f t="shared" si="651"/>
        <v>79351.628868622152</v>
      </c>
      <c r="E674" s="5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79351.628868622152</v>
      </c>
      <c r="U674" s="5">
        <v>0</v>
      </c>
      <c r="V674" s="5">
        <v>0</v>
      </c>
      <c r="W674" s="5">
        <f t="shared" ref="W674:AH674" si="682">IF(OR((SLOPE($E674:$V674,$E$1:$V$1)*W$1+INTERCEPT($E674:$V674,$E$1:$V$1))&gt;(AVERAGE($E674:$V674)+_xlfn.STDEV.P($E674:$V674)),(SLOPE($E674:$V674,$E$1:$V$1)*W$1+INTERCEPT($E674:$V674,$E$1:$V$1))&lt;(AVERAGE($E674:$V674)-_xlfn.STDEV.P($E674:$V674))),V674,(SLOPE($E674:$V674,$E$1:$V$1)*W$1+INTERCEPT($E674:$V674,$E$1:$V$1)))</f>
        <v>14521.866721055034</v>
      </c>
      <c r="X674" s="5">
        <f t="shared" si="682"/>
        <v>15586.439657372979</v>
      </c>
      <c r="Y674" s="5">
        <f t="shared" si="682"/>
        <v>16651.012593690921</v>
      </c>
      <c r="Z674" s="5">
        <f t="shared" si="682"/>
        <v>17715.585530008866</v>
      </c>
      <c r="AA674" s="5">
        <f t="shared" si="682"/>
        <v>18780.158466326811</v>
      </c>
      <c r="AB674" s="5">
        <f t="shared" si="682"/>
        <v>19844.731402644753</v>
      </c>
      <c r="AC674" s="5">
        <f t="shared" si="682"/>
        <v>20909.304338962698</v>
      </c>
      <c r="AD674" s="5">
        <f t="shared" si="682"/>
        <v>21973.877275280644</v>
      </c>
      <c r="AE674" s="5">
        <f t="shared" si="682"/>
        <v>21973.877275280644</v>
      </c>
      <c r="AF674" s="5">
        <f t="shared" si="682"/>
        <v>21973.877275280644</v>
      </c>
      <c r="AG674" s="5">
        <f t="shared" si="682"/>
        <v>21973.877275280644</v>
      </c>
      <c r="AH674" s="5">
        <f t="shared" si="682"/>
        <v>21973.877275280644</v>
      </c>
    </row>
    <row r="675" spans="1:34" x14ac:dyDescent="0.35">
      <c r="A675" t="s">
        <v>695</v>
      </c>
      <c r="B675" s="3" t="s">
        <v>1266</v>
      </c>
      <c r="C675" s="4" t="s">
        <v>1267</v>
      </c>
      <c r="D675" s="2">
        <f t="shared" si="651"/>
        <v>79159.05704</v>
      </c>
      <c r="E675" s="5">
        <v>18258.048760000001</v>
      </c>
      <c r="F675" s="5">
        <v>18858.481236</v>
      </c>
      <c r="G675" s="5">
        <v>16530.273675999997</v>
      </c>
      <c r="H675" s="5">
        <v>25512.253368000005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f t="shared" ref="W675:AH675" si="683">IF(OR((SLOPE($E675:$V675,$E$1:$V$1)*W$1+INTERCEPT($E675:$V675,$E$1:$V$1))&gt;(AVERAGE($E675:$V675)+_xlfn.STDEV.P($E675:$V675)),(SLOPE($E675:$V675,$E$1:$V$1)*W$1+INTERCEPT($E675:$V675,$E$1:$V$1))&lt;(AVERAGE($E675:$V675)-_xlfn.STDEV.P($E675:$V675))),V675,(SLOPE($E675:$V675,$E$1:$V$1)*W$1+INTERCEPT($E675:$V675,$E$1:$V$1)))</f>
        <v>0</v>
      </c>
      <c r="X675" s="5">
        <f t="shared" si="683"/>
        <v>0</v>
      </c>
      <c r="Y675" s="5">
        <f t="shared" si="683"/>
        <v>0</v>
      </c>
      <c r="Z675" s="5">
        <f t="shared" si="683"/>
        <v>0</v>
      </c>
      <c r="AA675" s="5">
        <f t="shared" si="683"/>
        <v>0</v>
      </c>
      <c r="AB675" s="5">
        <f t="shared" si="683"/>
        <v>0</v>
      </c>
      <c r="AC675" s="5">
        <f t="shared" si="683"/>
        <v>0</v>
      </c>
      <c r="AD675" s="5">
        <f t="shared" si="683"/>
        <v>0</v>
      </c>
      <c r="AE675" s="5">
        <f t="shared" si="683"/>
        <v>0</v>
      </c>
      <c r="AF675" s="5">
        <f t="shared" si="683"/>
        <v>0</v>
      </c>
      <c r="AG675" s="5">
        <f t="shared" si="683"/>
        <v>0</v>
      </c>
      <c r="AH675" s="5">
        <f t="shared" si="683"/>
        <v>0</v>
      </c>
    </row>
    <row r="676" spans="1:34" x14ac:dyDescent="0.35">
      <c r="A676" t="s">
        <v>696</v>
      </c>
      <c r="B676" s="3" t="s">
        <v>1262</v>
      </c>
      <c r="C676" s="4" t="s">
        <v>1263</v>
      </c>
      <c r="D676" s="2">
        <f t="shared" si="651"/>
        <v>78873.069728392409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27434.11120987562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13717.05560493781</v>
      </c>
      <c r="U676" s="5">
        <v>0</v>
      </c>
      <c r="V676" s="5">
        <v>37721.902913578975</v>
      </c>
      <c r="W676" s="5">
        <f t="shared" ref="W676:AH676" si="684">IF(OR((SLOPE($E676:$V676,$E$1:$V$1)*W$1+INTERCEPT($E676:$V676,$E$1:$V$1))&gt;(AVERAGE($E676:$V676)+_xlfn.STDEV.P($E676:$V676)),(SLOPE($E676:$V676,$E$1:$V$1)*W$1+INTERCEPT($E676:$V676,$E$1:$V$1))&lt;(AVERAGE($E676:$V676)-_xlfn.STDEV.P($E676:$V676))),V676,(SLOPE($E676:$V676,$E$1:$V$1)*W$1+INTERCEPT($E676:$V676,$E$1:$V$1)))</f>
        <v>12686.035085612417</v>
      </c>
      <c r="X676" s="5">
        <f t="shared" si="684"/>
        <v>13560.161178083945</v>
      </c>
      <c r="Y676" s="5">
        <f t="shared" si="684"/>
        <v>14434.287270555473</v>
      </c>
      <c r="Z676" s="5">
        <f t="shared" si="684"/>
        <v>14434.287270555473</v>
      </c>
      <c r="AA676" s="5">
        <f t="shared" si="684"/>
        <v>14434.287270555473</v>
      </c>
      <c r="AB676" s="5">
        <f t="shared" si="684"/>
        <v>14434.287270555473</v>
      </c>
      <c r="AC676" s="5">
        <f t="shared" si="684"/>
        <v>14434.287270555473</v>
      </c>
      <c r="AD676" s="5">
        <f t="shared" si="684"/>
        <v>14434.287270555473</v>
      </c>
      <c r="AE676" s="5">
        <f t="shared" si="684"/>
        <v>14434.287270555473</v>
      </c>
      <c r="AF676" s="5">
        <f t="shared" si="684"/>
        <v>14434.287270555473</v>
      </c>
      <c r="AG676" s="5">
        <f t="shared" si="684"/>
        <v>14434.287270555473</v>
      </c>
      <c r="AH676" s="5">
        <f t="shared" si="684"/>
        <v>14434.287270555473</v>
      </c>
    </row>
    <row r="677" spans="1:34" x14ac:dyDescent="0.35">
      <c r="A677" t="s">
        <v>697</v>
      </c>
      <c r="B677" s="3" t="s">
        <v>1266</v>
      </c>
      <c r="C677" s="4" t="s">
        <v>1268</v>
      </c>
      <c r="D677" s="2">
        <f t="shared" si="651"/>
        <v>78590.333905227235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39275.992966592043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39314.340938635192</v>
      </c>
      <c r="S677" s="5">
        <v>0</v>
      </c>
      <c r="T677" s="5">
        <v>0</v>
      </c>
      <c r="U677" s="5">
        <v>0</v>
      </c>
      <c r="V677" s="5">
        <v>0</v>
      </c>
      <c r="W677" s="5">
        <f t="shared" ref="W677:AH677" si="685">IF(OR((SLOPE($E677:$V677,$E$1:$V$1)*W$1+INTERCEPT($E677:$V677,$E$1:$V$1))&gt;(AVERAGE($E677:$V677)+_xlfn.STDEV.P($E677:$V677)),(SLOPE($E677:$V677,$E$1:$V$1)*W$1+INTERCEPT($E677:$V677,$E$1:$V$1))&lt;(AVERAGE($E677:$V677)-_xlfn.STDEV.P($E677:$V677))),V677,(SLOPE($E677:$V677,$E$1:$V$1)*W$1+INTERCEPT($E677:$V677,$E$1:$V$1)))</f>
        <v>5139.6308151424182</v>
      </c>
      <c r="X677" s="5">
        <f t="shared" si="685"/>
        <v>5221.0519892204084</v>
      </c>
      <c r="Y677" s="5">
        <f t="shared" si="685"/>
        <v>5302.4731632983985</v>
      </c>
      <c r="Z677" s="5">
        <f t="shared" si="685"/>
        <v>5383.8943373763886</v>
      </c>
      <c r="AA677" s="5">
        <f t="shared" si="685"/>
        <v>5465.3155114543788</v>
      </c>
      <c r="AB677" s="5">
        <f t="shared" si="685"/>
        <v>5546.7366855323689</v>
      </c>
      <c r="AC677" s="5">
        <f t="shared" si="685"/>
        <v>5628.1578596103591</v>
      </c>
      <c r="AD677" s="5">
        <f t="shared" si="685"/>
        <v>5709.5790336883492</v>
      </c>
      <c r="AE677" s="5">
        <f t="shared" si="685"/>
        <v>5791.0002077663394</v>
      </c>
      <c r="AF677" s="5">
        <f t="shared" si="685"/>
        <v>5872.4213818443295</v>
      </c>
      <c r="AG677" s="5">
        <f t="shared" si="685"/>
        <v>5953.8425559223197</v>
      </c>
      <c r="AH677" s="5">
        <f t="shared" si="685"/>
        <v>6035.2637300003098</v>
      </c>
    </row>
    <row r="678" spans="1:34" x14ac:dyDescent="0.35">
      <c r="A678" t="s">
        <v>698</v>
      </c>
      <c r="B678" s="3" t="s">
        <v>1266</v>
      </c>
      <c r="C678" s="4" t="s">
        <v>1268</v>
      </c>
      <c r="D678" s="2">
        <f t="shared" si="651"/>
        <v>77678.915999999997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77678.915999999997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f t="shared" ref="W678:AH678" si="686">IF(OR((SLOPE($E678:$V678,$E$1:$V$1)*W$1+INTERCEPT($E678:$V678,$E$1:$V$1))&gt;(AVERAGE($E678:$V678)+_xlfn.STDEV.P($E678:$V678)),(SLOPE($E678:$V678,$E$1:$V$1)*W$1+INTERCEPT($E678:$V678,$E$1:$V$1))&lt;(AVERAGE($E678:$V678)-_xlfn.STDEV.P($E678:$V678))),V678,(SLOPE($E678:$V678,$E$1:$V$1)*W$1+INTERCEPT($E678:$V678,$E$1:$V$1)))</f>
        <v>8123.2853333333333</v>
      </c>
      <c r="X678" s="5">
        <f t="shared" si="686"/>
        <v>8524.1053333333348</v>
      </c>
      <c r="Y678" s="5">
        <f t="shared" si="686"/>
        <v>8924.9253333333345</v>
      </c>
      <c r="Z678" s="5">
        <f t="shared" si="686"/>
        <v>9325.7453333333342</v>
      </c>
      <c r="AA678" s="5">
        <f t="shared" si="686"/>
        <v>9726.5653333333339</v>
      </c>
      <c r="AB678" s="5">
        <f t="shared" si="686"/>
        <v>10127.385333333334</v>
      </c>
      <c r="AC678" s="5">
        <f t="shared" si="686"/>
        <v>10528.205333333335</v>
      </c>
      <c r="AD678" s="5">
        <f t="shared" si="686"/>
        <v>10929.025333333335</v>
      </c>
      <c r="AE678" s="5">
        <f t="shared" si="686"/>
        <v>11329.845333333335</v>
      </c>
      <c r="AF678" s="5">
        <f t="shared" si="686"/>
        <v>11730.665333333334</v>
      </c>
      <c r="AG678" s="5">
        <f t="shared" si="686"/>
        <v>12131.485333333334</v>
      </c>
      <c r="AH678" s="5">
        <f t="shared" si="686"/>
        <v>12532.305333333336</v>
      </c>
    </row>
    <row r="679" spans="1:34" x14ac:dyDescent="0.35">
      <c r="A679" t="s">
        <v>699</v>
      </c>
      <c r="B679" s="3" t="s">
        <v>1265</v>
      </c>
      <c r="C679" s="4" t="s">
        <v>1267</v>
      </c>
      <c r="D679" s="2">
        <f t="shared" si="651"/>
        <v>76728.591386959553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76728.591386959553</v>
      </c>
      <c r="W679" s="5">
        <f t="shared" ref="W679:AH679" si="687">IF(OR((SLOPE($E679:$V679,$E$1:$V$1)*W$1+INTERCEPT($E679:$V679,$E$1:$V$1))&gt;(AVERAGE($E679:$V679)+_xlfn.STDEV.P($E679:$V679)),(SLOPE($E679:$V679,$E$1:$V$1)*W$1+INTERCEPT($E679:$V679,$E$1:$V$1))&lt;(AVERAGE($E679:$V679)-_xlfn.STDEV.P($E679:$V679))),V679,(SLOPE($E679:$V679,$E$1:$V$1)*W$1+INTERCEPT($E679:$V679,$E$1:$V$1)))</f>
        <v>17050.798085991013</v>
      </c>
      <c r="X679" s="5">
        <f t="shared" si="687"/>
        <v>18396.913724358725</v>
      </c>
      <c r="Y679" s="5">
        <f t="shared" si="687"/>
        <v>19743.029362726436</v>
      </c>
      <c r="Z679" s="5">
        <f t="shared" si="687"/>
        <v>21089.145001094148</v>
      </c>
      <c r="AA679" s="5">
        <f t="shared" si="687"/>
        <v>21089.145001094148</v>
      </c>
      <c r="AB679" s="5">
        <f t="shared" si="687"/>
        <v>21089.145001094148</v>
      </c>
      <c r="AC679" s="5">
        <f t="shared" si="687"/>
        <v>21089.145001094148</v>
      </c>
      <c r="AD679" s="5">
        <f t="shared" si="687"/>
        <v>21089.145001094148</v>
      </c>
      <c r="AE679" s="5">
        <f t="shared" si="687"/>
        <v>21089.145001094148</v>
      </c>
      <c r="AF679" s="5">
        <f t="shared" si="687"/>
        <v>21089.145001094148</v>
      </c>
      <c r="AG679" s="5">
        <f t="shared" si="687"/>
        <v>21089.145001094148</v>
      </c>
      <c r="AH679" s="5">
        <f t="shared" si="687"/>
        <v>21089.145001094148</v>
      </c>
    </row>
    <row r="680" spans="1:34" x14ac:dyDescent="0.35">
      <c r="A680" t="s">
        <v>700</v>
      </c>
      <c r="B680" s="3" t="s">
        <v>1266</v>
      </c>
      <c r="C680" s="4" t="s">
        <v>1263</v>
      </c>
      <c r="D680" s="2">
        <f t="shared" si="651"/>
        <v>77357.899851360795</v>
      </c>
      <c r="E680" s="5">
        <v>0</v>
      </c>
      <c r="F680" s="5">
        <v>0</v>
      </c>
      <c r="G680" s="5">
        <v>0</v>
      </c>
      <c r="H680" s="5">
        <v>37504.589042923952</v>
      </c>
      <c r="I680" s="5">
        <v>0</v>
      </c>
      <c r="J680" s="5">
        <v>39853.310808436843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f t="shared" ref="W680:AH680" si="688">IF(OR((SLOPE($E680:$V680,$E$1:$V$1)*W$1+INTERCEPT($E680:$V680,$E$1:$V$1))&gt;(AVERAGE($E680:$V680)+_xlfn.STDEV.P($E680:$V680)),(SLOPE($E680:$V680,$E$1:$V$1)*W$1+INTERCEPT($E680:$V680,$E$1:$V$1))&lt;(AVERAGE($E680:$V680)-_xlfn.STDEV.P($E680:$V680))),V680,(SLOPE($E680:$V680,$E$1:$V$1)*W$1+INTERCEPT($E680:$V680,$E$1:$V$1)))</f>
        <v>-2481.9825749036954</v>
      </c>
      <c r="X680" s="5">
        <f t="shared" si="688"/>
        <v>-3195.629277825492</v>
      </c>
      <c r="Y680" s="5">
        <f t="shared" si="688"/>
        <v>-3909.2759807472885</v>
      </c>
      <c r="Z680" s="5">
        <f t="shared" si="688"/>
        <v>-4622.9226836690868</v>
      </c>
      <c r="AA680" s="5">
        <f t="shared" si="688"/>
        <v>-5336.5693865908834</v>
      </c>
      <c r="AB680" s="5">
        <f t="shared" si="688"/>
        <v>-6050.2160895126799</v>
      </c>
      <c r="AC680" s="5">
        <f t="shared" si="688"/>
        <v>-6763.8627924344764</v>
      </c>
      <c r="AD680" s="5">
        <f t="shared" si="688"/>
        <v>-7477.509495356273</v>
      </c>
      <c r="AE680" s="5">
        <f t="shared" si="688"/>
        <v>-7477.509495356273</v>
      </c>
      <c r="AF680" s="5">
        <f t="shared" si="688"/>
        <v>-7477.509495356273</v>
      </c>
      <c r="AG680" s="5">
        <f t="shared" si="688"/>
        <v>-7477.509495356273</v>
      </c>
      <c r="AH680" s="5">
        <f t="shared" si="688"/>
        <v>-7477.509495356273</v>
      </c>
    </row>
    <row r="681" spans="1:34" x14ac:dyDescent="0.35">
      <c r="A681" t="s">
        <v>701</v>
      </c>
      <c r="B681" s="3" t="s">
        <v>1265</v>
      </c>
      <c r="C681" s="4" t="s">
        <v>1263</v>
      </c>
      <c r="D681" s="2">
        <f t="shared" si="651"/>
        <v>77342.222922748158</v>
      </c>
      <c r="E681" s="5">
        <v>25496.767430866617</v>
      </c>
      <c r="F681" s="5">
        <v>9006.0180901390449</v>
      </c>
      <c r="G681" s="5">
        <v>4928.9693601436657</v>
      </c>
      <c r="H681" s="5">
        <v>0</v>
      </c>
      <c r="I681" s="5">
        <v>0</v>
      </c>
      <c r="J681" s="5">
        <v>3285.9795734291101</v>
      </c>
      <c r="K681" s="5">
        <v>0</v>
      </c>
      <c r="L681" s="5">
        <v>4928.9693601436666</v>
      </c>
      <c r="M681" s="5">
        <v>547.6632622381851</v>
      </c>
      <c r="N681" s="5">
        <v>2190.6530489527404</v>
      </c>
      <c r="O681" s="5">
        <v>2190.6530489527399</v>
      </c>
      <c r="P681" s="5">
        <v>8214.9489335727758</v>
      </c>
      <c r="Q681" s="5">
        <v>12717.9579786423</v>
      </c>
      <c r="R681" s="5">
        <v>0</v>
      </c>
      <c r="S681" s="5">
        <v>0</v>
      </c>
      <c r="T681" s="5">
        <v>1095.3265244763702</v>
      </c>
      <c r="U681" s="5">
        <v>2738.3163111909257</v>
      </c>
      <c r="V681" s="5">
        <v>0</v>
      </c>
      <c r="W681" s="5">
        <f t="shared" ref="W681:AH681" si="689">IF(OR((SLOPE($E681:$V681,$E$1:$V$1)*W$1+INTERCEPT($E681:$V681,$E$1:$V$1))&gt;(AVERAGE($E681:$V681)+_xlfn.STDEV.P($E681:$V681)),(SLOPE($E681:$V681,$E$1:$V$1)*W$1+INTERCEPT($E681:$V681,$E$1:$V$1))&lt;(AVERAGE($E681:$V681)-_xlfn.STDEV.P($E681:$V681))),V681,(SLOPE($E681:$V681,$E$1:$V$1)*W$1+INTERCEPT($E681:$V681,$E$1:$V$1)))</f>
        <v>-377.43822502834882</v>
      </c>
      <c r="X681" s="5">
        <f t="shared" si="689"/>
        <v>-869.46226580763687</v>
      </c>
      <c r="Y681" s="5">
        <f t="shared" si="689"/>
        <v>-1361.4863065869267</v>
      </c>
      <c r="Z681" s="5">
        <f t="shared" si="689"/>
        <v>-1853.5103473662148</v>
      </c>
      <c r="AA681" s="5">
        <f t="shared" si="689"/>
        <v>-1853.5103473662148</v>
      </c>
      <c r="AB681" s="5">
        <f t="shared" si="689"/>
        <v>-1853.5103473662148</v>
      </c>
      <c r="AC681" s="5">
        <f t="shared" si="689"/>
        <v>-1853.5103473662148</v>
      </c>
      <c r="AD681" s="5">
        <f t="shared" si="689"/>
        <v>-1853.5103473662148</v>
      </c>
      <c r="AE681" s="5">
        <f t="shared" si="689"/>
        <v>-1853.5103473662148</v>
      </c>
      <c r="AF681" s="5">
        <f t="shared" si="689"/>
        <v>-1853.5103473662148</v>
      </c>
      <c r="AG681" s="5">
        <f t="shared" si="689"/>
        <v>-1853.5103473662148</v>
      </c>
      <c r="AH681" s="5">
        <f t="shared" si="689"/>
        <v>-1853.5103473662148</v>
      </c>
    </row>
    <row r="682" spans="1:34" x14ac:dyDescent="0.35">
      <c r="A682" t="s">
        <v>702</v>
      </c>
      <c r="B682" s="3" t="s">
        <v>1264</v>
      </c>
      <c r="C682" s="4" t="s">
        <v>1263</v>
      </c>
      <c r="D682" s="2">
        <f t="shared" si="651"/>
        <v>76458.389387972886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23712.0952709759</v>
      </c>
      <c r="S682" s="5">
        <v>0</v>
      </c>
      <c r="T682" s="5">
        <v>0</v>
      </c>
      <c r="U682" s="5">
        <v>0</v>
      </c>
      <c r="V682" s="5">
        <v>52746.294116996978</v>
      </c>
      <c r="W682" s="5">
        <f t="shared" ref="W682:AH682" si="690">IF(OR((SLOPE($E682:$V682,$E$1:$V$1)*W$1+INTERCEPT($E682:$V682,$E$1:$V$1))&gt;(AVERAGE($E682:$V682)+_xlfn.STDEV.P($E682:$V682)),(SLOPE($E682:$V682,$E$1:$V$1)*W$1+INTERCEPT($E682:$V682,$E$1:$V$1))&lt;(AVERAGE($E682:$V682)-_xlfn.STDEV.P($E682:$V682))),V682,(SLOPE($E682:$V682,$E$1:$V$1)*W$1+INTERCEPT($E682:$V682,$E$1:$V$1)))</f>
        <v>15130.981019211549</v>
      </c>
      <c r="X682" s="5">
        <f t="shared" si="690"/>
        <v>16276.590779198888</v>
      </c>
      <c r="Y682" s="5">
        <f t="shared" si="690"/>
        <v>16276.590779198888</v>
      </c>
      <c r="Z682" s="5">
        <f t="shared" si="690"/>
        <v>16276.590779198888</v>
      </c>
      <c r="AA682" s="5">
        <f t="shared" si="690"/>
        <v>16276.590779198888</v>
      </c>
      <c r="AB682" s="5">
        <f t="shared" si="690"/>
        <v>16276.590779198888</v>
      </c>
      <c r="AC682" s="5">
        <f t="shared" si="690"/>
        <v>16276.590779198888</v>
      </c>
      <c r="AD682" s="5">
        <f t="shared" si="690"/>
        <v>16276.590779198888</v>
      </c>
      <c r="AE682" s="5">
        <f t="shared" si="690"/>
        <v>16276.590779198888</v>
      </c>
      <c r="AF682" s="5">
        <f t="shared" si="690"/>
        <v>16276.590779198888</v>
      </c>
      <c r="AG682" s="5">
        <f t="shared" si="690"/>
        <v>16276.590779198888</v>
      </c>
      <c r="AH682" s="5">
        <f t="shared" si="690"/>
        <v>16276.590779198888</v>
      </c>
    </row>
    <row r="683" spans="1:34" x14ac:dyDescent="0.35">
      <c r="A683" t="s">
        <v>703</v>
      </c>
      <c r="B683" s="3" t="s">
        <v>1264</v>
      </c>
      <c r="C683" s="4" t="s">
        <v>1263</v>
      </c>
      <c r="D683" s="2">
        <f t="shared" si="651"/>
        <v>76414.324000000008</v>
      </c>
      <c r="E683" s="5">
        <v>7610.0919999999987</v>
      </c>
      <c r="F683" s="5">
        <v>6959.1759999999995</v>
      </c>
      <c r="G683" s="5">
        <v>6268.079999999999</v>
      </c>
      <c r="H683" s="5">
        <v>924.13999999999987</v>
      </c>
      <c r="I683" s="5">
        <v>1205.3999999999999</v>
      </c>
      <c r="J683" s="5">
        <v>42317.576000000001</v>
      </c>
      <c r="K683" s="5">
        <v>321.43999999999994</v>
      </c>
      <c r="L683" s="5">
        <v>1342.0119999999997</v>
      </c>
      <c r="M683" s="5">
        <v>4741.24</v>
      </c>
      <c r="N683" s="5">
        <v>0</v>
      </c>
      <c r="O683" s="5">
        <v>4725.1679999999988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f t="shared" ref="W683:AH683" si="691">IF(OR((SLOPE($E683:$V683,$E$1:$V$1)*W$1+INTERCEPT($E683:$V683,$E$1:$V$1))&gt;(AVERAGE($E683:$V683)+_xlfn.STDEV.P($E683:$V683)),(SLOPE($E683:$V683,$E$1:$V$1)*W$1+INTERCEPT($E683:$V683,$E$1:$V$1))&lt;(AVERAGE($E683:$V683)-_xlfn.STDEV.P($E683:$V683))),V683,(SLOPE($E683:$V683,$E$1:$V$1)*W$1+INTERCEPT($E683:$V683,$E$1:$V$1)))</f>
        <v>-1918.2929934640506</v>
      </c>
      <c r="X683" s="5">
        <f t="shared" si="691"/>
        <v>-2567.0859635362904</v>
      </c>
      <c r="Y683" s="5">
        <f t="shared" si="691"/>
        <v>-3215.8789336085301</v>
      </c>
      <c r="Z683" s="5">
        <f t="shared" si="691"/>
        <v>-3864.6719036807699</v>
      </c>
      <c r="AA683" s="5">
        <f t="shared" si="691"/>
        <v>-4513.4648737530097</v>
      </c>
      <c r="AB683" s="5">
        <f t="shared" si="691"/>
        <v>-5162.2578438252494</v>
      </c>
      <c r="AC683" s="5">
        <f t="shared" si="691"/>
        <v>-5162.2578438252494</v>
      </c>
      <c r="AD683" s="5">
        <f t="shared" si="691"/>
        <v>-5162.2578438252494</v>
      </c>
      <c r="AE683" s="5">
        <f t="shared" si="691"/>
        <v>-5162.2578438252494</v>
      </c>
      <c r="AF683" s="5">
        <f t="shared" si="691"/>
        <v>-5162.2578438252494</v>
      </c>
      <c r="AG683" s="5">
        <f t="shared" si="691"/>
        <v>-5162.2578438252494</v>
      </c>
      <c r="AH683" s="5">
        <f t="shared" si="691"/>
        <v>-5162.2578438252494</v>
      </c>
    </row>
    <row r="684" spans="1:34" x14ac:dyDescent="0.35">
      <c r="A684" t="s">
        <v>704</v>
      </c>
      <c r="B684" s="3" t="s">
        <v>1266</v>
      </c>
      <c r="C684" s="4" t="s">
        <v>1267</v>
      </c>
      <c r="D684" s="2">
        <f t="shared" si="651"/>
        <v>75794.901662701872</v>
      </c>
      <c r="E684" s="5">
        <v>35702.870705421366</v>
      </c>
      <c r="F684" s="5">
        <v>39338.667630468866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327.54927252680147</v>
      </c>
      <c r="P684" s="5">
        <v>425.81405428484192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f t="shared" ref="W684:AH684" si="692">IF(OR((SLOPE($E684:$V684,$E$1:$V$1)*W$1+INTERCEPT($E684:$V684,$E$1:$V$1))&gt;(AVERAGE($E684:$V684)+_xlfn.STDEV.P($E684:$V684)),(SLOPE($E684:$V684,$E$1:$V$1)*W$1+INTERCEPT($E684:$V684,$E$1:$V$1))&lt;(AVERAGE($E684:$V684)-_xlfn.STDEV.P($E684:$V684))),V684,(SLOPE($E684:$V684,$E$1:$V$1)*W$1+INTERCEPT($E684:$V684,$E$1:$V$1)))</f>
        <v>-7494.2417216164795</v>
      </c>
      <c r="X684" s="5">
        <f t="shared" si="692"/>
        <v>-7494.2417216164795</v>
      </c>
      <c r="Y684" s="5">
        <f t="shared" si="692"/>
        <v>-7494.2417216164795</v>
      </c>
      <c r="Z684" s="5">
        <f t="shared" si="692"/>
        <v>-7494.2417216164795</v>
      </c>
      <c r="AA684" s="5">
        <f t="shared" si="692"/>
        <v>-7494.2417216164795</v>
      </c>
      <c r="AB684" s="5">
        <f t="shared" si="692"/>
        <v>-7494.2417216164795</v>
      </c>
      <c r="AC684" s="5">
        <f t="shared" si="692"/>
        <v>-7494.2417216164795</v>
      </c>
      <c r="AD684" s="5">
        <f t="shared" si="692"/>
        <v>-7494.2417216164795</v>
      </c>
      <c r="AE684" s="5">
        <f t="shared" si="692"/>
        <v>-7494.2417216164795</v>
      </c>
      <c r="AF684" s="5">
        <f t="shared" si="692"/>
        <v>-7494.2417216164795</v>
      </c>
      <c r="AG684" s="5">
        <f t="shared" si="692"/>
        <v>-7494.2417216164795</v>
      </c>
      <c r="AH684" s="5">
        <f t="shared" si="692"/>
        <v>-7494.2417216164795</v>
      </c>
    </row>
    <row r="685" spans="1:34" x14ac:dyDescent="0.35">
      <c r="A685" t="s">
        <v>705</v>
      </c>
      <c r="B685" s="3" t="s">
        <v>1266</v>
      </c>
      <c r="C685" s="4" t="s">
        <v>1267</v>
      </c>
      <c r="D685" s="2">
        <f t="shared" si="651"/>
        <v>75606.698865921353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75606.698865921353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f t="shared" ref="W685:AH685" si="693">IF(OR((SLOPE($E685:$V685,$E$1:$V$1)*W$1+INTERCEPT($E685:$V685,$E$1:$V$1))&gt;(AVERAGE($E685:$V685)+_xlfn.STDEV.P($E685:$V685)),(SLOPE($E685:$V685,$E$1:$V$1)*W$1+INTERCEPT($E685:$V685,$E$1:$V$1))&lt;(AVERAGE($E685:$V685)-_xlfn.STDEV.P($E685:$V685))),V685,(SLOPE($E685:$V685,$E$1:$V$1)*W$1+INTERCEPT($E685:$V685,$E$1:$V$1)))</f>
        <v>6424.0985964508336</v>
      </c>
      <c r="X685" s="5">
        <f t="shared" si="693"/>
        <v>6658.1750635279896</v>
      </c>
      <c r="Y685" s="5">
        <f t="shared" si="693"/>
        <v>6892.2515306051455</v>
      </c>
      <c r="Z685" s="5">
        <f t="shared" si="693"/>
        <v>7126.3279976823014</v>
      </c>
      <c r="AA685" s="5">
        <f t="shared" si="693"/>
        <v>7360.4044647594574</v>
      </c>
      <c r="AB685" s="5">
        <f t="shared" si="693"/>
        <v>7594.4809318366133</v>
      </c>
      <c r="AC685" s="5">
        <f t="shared" si="693"/>
        <v>7828.5573989137692</v>
      </c>
      <c r="AD685" s="5">
        <f t="shared" si="693"/>
        <v>8062.6338659909252</v>
      </c>
      <c r="AE685" s="5">
        <f t="shared" si="693"/>
        <v>8296.7103330680802</v>
      </c>
      <c r="AF685" s="5">
        <f t="shared" si="693"/>
        <v>8530.7868001452371</v>
      </c>
      <c r="AG685" s="5">
        <f t="shared" si="693"/>
        <v>8764.8632672223939</v>
      </c>
      <c r="AH685" s="5">
        <f t="shared" si="693"/>
        <v>8998.9397342995489</v>
      </c>
    </row>
    <row r="686" spans="1:34" x14ac:dyDescent="0.35">
      <c r="A686" t="s">
        <v>706</v>
      </c>
      <c r="B686" s="3" t="s">
        <v>1266</v>
      </c>
      <c r="C686" s="4" t="s">
        <v>1263</v>
      </c>
      <c r="D686" s="2">
        <f t="shared" si="651"/>
        <v>75170.653789842341</v>
      </c>
      <c r="E686" s="5">
        <v>0</v>
      </c>
      <c r="F686" s="5">
        <v>0</v>
      </c>
      <c r="G686" s="5">
        <v>0</v>
      </c>
      <c r="H686" s="5">
        <v>0</v>
      </c>
      <c r="I686" s="5">
        <v>75170.653789842341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f t="shared" ref="W686:AH686" si="694">IF(OR((SLOPE($E686:$V686,$E$1:$V$1)*W$1+INTERCEPT($E686:$V686,$E$1:$V$1))&gt;(AVERAGE($E686:$V686)+_xlfn.STDEV.P($E686:$V686)),(SLOPE($E686:$V686,$E$1:$V$1)*W$1+INTERCEPT($E686:$V686,$E$1:$V$1))&lt;(AVERAGE($E686:$V686)-_xlfn.STDEV.P($E686:$V686))),V686,(SLOPE($E686:$V686,$E$1:$V$1)*W$1+INTERCEPT($E686:$V686,$E$1:$V$1)))</f>
        <v>-2456.5573133935413</v>
      </c>
      <c r="X686" s="5">
        <f t="shared" si="694"/>
        <v>-3154.7367603580224</v>
      </c>
      <c r="Y686" s="5">
        <f t="shared" si="694"/>
        <v>-3852.9162073225016</v>
      </c>
      <c r="Z686" s="5">
        <f t="shared" si="694"/>
        <v>-4551.0956542869826</v>
      </c>
      <c r="AA686" s="5">
        <f t="shared" si="694"/>
        <v>-5249.2751012514618</v>
      </c>
      <c r="AB686" s="5">
        <f t="shared" si="694"/>
        <v>-5947.454548215941</v>
      </c>
      <c r="AC686" s="5">
        <f t="shared" si="694"/>
        <v>-6645.6339951804221</v>
      </c>
      <c r="AD686" s="5">
        <f t="shared" si="694"/>
        <v>-7343.8134421449031</v>
      </c>
      <c r="AE686" s="5">
        <f t="shared" si="694"/>
        <v>-8041.9928891093805</v>
      </c>
      <c r="AF686" s="5">
        <f t="shared" si="694"/>
        <v>-8740.1723360738615</v>
      </c>
      <c r="AG686" s="5">
        <f t="shared" si="694"/>
        <v>-9438.3517830383425</v>
      </c>
      <c r="AH686" s="5">
        <f t="shared" si="694"/>
        <v>-10136.531230002824</v>
      </c>
    </row>
    <row r="687" spans="1:34" x14ac:dyDescent="0.35">
      <c r="A687" t="s">
        <v>707</v>
      </c>
      <c r="B687" s="3" t="s">
        <v>1265</v>
      </c>
      <c r="C687" s="4" t="s">
        <v>1267</v>
      </c>
      <c r="D687" s="2">
        <f t="shared" si="651"/>
        <v>74546.308240471248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74546.308240471248</v>
      </c>
      <c r="U687" s="5">
        <v>0</v>
      </c>
      <c r="V687" s="5">
        <v>0</v>
      </c>
      <c r="W687" s="5">
        <f t="shared" ref="W687:AH687" si="695">IF(OR((SLOPE($E687:$V687,$E$1:$V$1)*W$1+INTERCEPT($E687:$V687,$E$1:$V$1))&gt;(AVERAGE($E687:$V687)+_xlfn.STDEV.P($E687:$V687)),(SLOPE($E687:$V687,$E$1:$V$1)*W$1+INTERCEPT($E687:$V687,$E$1:$V$1))&lt;(AVERAGE($E687:$V687)-_xlfn.STDEV.P($E687:$V687))),V687,(SLOPE($E687:$V687,$E$1:$V$1)*W$1+INTERCEPT($E687:$V687,$E$1:$V$1)))</f>
        <v>13642.461638779056</v>
      </c>
      <c r="X687" s="5">
        <f t="shared" si="695"/>
        <v>14642.566909291054</v>
      </c>
      <c r="Y687" s="5">
        <f t="shared" si="695"/>
        <v>15642.672179803052</v>
      </c>
      <c r="Z687" s="5">
        <f t="shared" si="695"/>
        <v>16642.77745031505</v>
      </c>
      <c r="AA687" s="5">
        <f t="shared" si="695"/>
        <v>17642.882720827049</v>
      </c>
      <c r="AB687" s="5">
        <f t="shared" si="695"/>
        <v>18642.987991339047</v>
      </c>
      <c r="AC687" s="5">
        <f t="shared" si="695"/>
        <v>19643.093261851045</v>
      </c>
      <c r="AD687" s="5">
        <f t="shared" si="695"/>
        <v>20643.198532363043</v>
      </c>
      <c r="AE687" s="5">
        <f t="shared" si="695"/>
        <v>20643.198532363043</v>
      </c>
      <c r="AF687" s="5">
        <f t="shared" si="695"/>
        <v>20643.198532363043</v>
      </c>
      <c r="AG687" s="5">
        <f t="shared" si="695"/>
        <v>20643.198532363043</v>
      </c>
      <c r="AH687" s="5">
        <f t="shared" si="695"/>
        <v>20643.198532363043</v>
      </c>
    </row>
    <row r="688" spans="1:34" x14ac:dyDescent="0.35">
      <c r="A688" t="s">
        <v>708</v>
      </c>
      <c r="B688" s="3" t="s">
        <v>1266</v>
      </c>
      <c r="C688" s="4" t="s">
        <v>1267</v>
      </c>
      <c r="D688" s="2">
        <f t="shared" si="651"/>
        <v>74460.521028034069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36751.378910037754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37709.142117996314</v>
      </c>
      <c r="S688" s="5">
        <v>0</v>
      </c>
      <c r="T688" s="5">
        <v>0</v>
      </c>
      <c r="U688" s="5">
        <v>0</v>
      </c>
      <c r="V688" s="5">
        <v>0</v>
      </c>
      <c r="W688" s="5">
        <f t="shared" ref="W688:AH688" si="696">IF(OR((SLOPE($E688:$V688,$E$1:$V$1)*W$1+INTERCEPT($E688:$V688,$E$1:$V$1))&gt;(AVERAGE($E688:$V688)+_xlfn.STDEV.P($E688:$V688)),(SLOPE($E688:$V688,$E$1:$V$1)*W$1+INTERCEPT($E688:$V688,$E$1:$V$1))&lt;(AVERAGE($E688:$V688)-_xlfn.STDEV.P($E688:$V688))),V688,(SLOPE($E688:$V688,$E$1:$V$1)*W$1+INTERCEPT($E688:$V688,$E$1:$V$1)))</f>
        <v>4941.8194037636822</v>
      </c>
      <c r="X688" s="5">
        <f t="shared" si="696"/>
        <v>5026.5692765105377</v>
      </c>
      <c r="Y688" s="5">
        <f t="shared" si="696"/>
        <v>5111.3191492573924</v>
      </c>
      <c r="Z688" s="5">
        <f t="shared" si="696"/>
        <v>5196.0690220042479</v>
      </c>
      <c r="AA688" s="5">
        <f t="shared" si="696"/>
        <v>5280.8188947511026</v>
      </c>
      <c r="AB688" s="5">
        <f t="shared" si="696"/>
        <v>5365.5687674979581</v>
      </c>
      <c r="AC688" s="5">
        <f t="shared" si="696"/>
        <v>5450.3186402448137</v>
      </c>
      <c r="AD688" s="5">
        <f t="shared" si="696"/>
        <v>5535.0685129916683</v>
      </c>
      <c r="AE688" s="5">
        <f t="shared" si="696"/>
        <v>5619.8183857385229</v>
      </c>
      <c r="AF688" s="5">
        <f t="shared" si="696"/>
        <v>5704.5682584853785</v>
      </c>
      <c r="AG688" s="5">
        <f t="shared" si="696"/>
        <v>5789.318131232234</v>
      </c>
      <c r="AH688" s="5">
        <f t="shared" si="696"/>
        <v>5874.0680039790886</v>
      </c>
    </row>
    <row r="689" spans="1:34" x14ac:dyDescent="0.35">
      <c r="A689" t="s">
        <v>709</v>
      </c>
      <c r="B689" s="3" t="s">
        <v>1265</v>
      </c>
      <c r="C689" s="4" t="s">
        <v>1263</v>
      </c>
      <c r="D689" s="2">
        <f t="shared" si="651"/>
        <v>70639.146192384011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211.85690803199998</v>
      </c>
      <c r="P689" s="5">
        <v>13108.225833472001</v>
      </c>
      <c r="Q689" s="5">
        <v>2162.2855851519998</v>
      </c>
      <c r="R689" s="5">
        <v>10078.335767808001</v>
      </c>
      <c r="S689" s="5">
        <v>12210.356080384001</v>
      </c>
      <c r="T689" s="5">
        <v>7613.397456896003</v>
      </c>
      <c r="U689" s="5">
        <v>13259.552196352004</v>
      </c>
      <c r="V689" s="5">
        <v>11995.136364288001</v>
      </c>
      <c r="W689" s="5">
        <f t="shared" ref="W689:AH689" si="697">IF(OR((SLOPE($E689:$V689,$E$1:$V$1)*W$1+INTERCEPT($E689:$V689,$E$1:$V$1))&gt;(AVERAGE($E689:$V689)+_xlfn.STDEV.P($E689:$V689)),(SLOPE($E689:$V689,$E$1:$V$1)*W$1+INTERCEPT($E689:$V689,$E$1:$V$1))&lt;(AVERAGE($E689:$V689)-_xlfn.STDEV.P($E689:$V689))),V689,(SLOPE($E689:$V689,$E$1:$V$1)*W$1+INTERCEPT($E689:$V689,$E$1:$V$1)))</f>
        <v>11995.136364288001</v>
      </c>
      <c r="X689" s="5">
        <f t="shared" si="697"/>
        <v>11995.136364288001</v>
      </c>
      <c r="Y689" s="5">
        <f t="shared" si="697"/>
        <v>11995.136364288001</v>
      </c>
      <c r="Z689" s="5">
        <f t="shared" si="697"/>
        <v>11995.136364288001</v>
      </c>
      <c r="AA689" s="5">
        <f t="shared" si="697"/>
        <v>11995.136364288001</v>
      </c>
      <c r="AB689" s="5">
        <f t="shared" si="697"/>
        <v>11995.136364288001</v>
      </c>
      <c r="AC689" s="5">
        <f t="shared" si="697"/>
        <v>11995.136364288001</v>
      </c>
      <c r="AD689" s="5">
        <f t="shared" si="697"/>
        <v>11995.136364288001</v>
      </c>
      <c r="AE689" s="5">
        <f t="shared" si="697"/>
        <v>11995.136364288001</v>
      </c>
      <c r="AF689" s="5">
        <f t="shared" si="697"/>
        <v>11995.136364288001</v>
      </c>
      <c r="AG689" s="5">
        <f t="shared" si="697"/>
        <v>11995.136364288001</v>
      </c>
      <c r="AH689" s="5">
        <f t="shared" si="697"/>
        <v>11995.136364288001</v>
      </c>
    </row>
    <row r="690" spans="1:34" x14ac:dyDescent="0.35">
      <c r="A690" t="s">
        <v>710</v>
      </c>
      <c r="B690" s="3" t="s">
        <v>1262</v>
      </c>
      <c r="C690" s="4" t="s">
        <v>1263</v>
      </c>
      <c r="D690" s="2">
        <f t="shared" si="651"/>
        <v>73892.044772631154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30035.480976767318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43856.563795863833</v>
      </c>
      <c r="W690" s="5">
        <f t="shared" ref="W690:AH690" si="698">IF(OR((SLOPE($E690:$V690,$E$1:$V$1)*W$1+INTERCEPT($E690:$V690,$E$1:$V$1))&gt;(AVERAGE($E690:$V690)+_xlfn.STDEV.P($E690:$V690)),(SLOPE($E690:$V690,$E$1:$V$1)*W$1+INTERCEPT($E690:$V690,$E$1:$V$1))&lt;(AVERAGE($E690:$V690)-_xlfn.STDEV.P($E690:$V690))),V690,(SLOPE($E690:$V690,$E$1:$V$1)*W$1+INTERCEPT($E690:$V690,$E$1:$V$1)))</f>
        <v>11709.006397562374</v>
      </c>
      <c r="X690" s="5">
        <f t="shared" si="698"/>
        <v>12509.416165886887</v>
      </c>
      <c r="Y690" s="5">
        <f t="shared" si="698"/>
        <v>13309.8259342114</v>
      </c>
      <c r="Z690" s="5">
        <f t="shared" si="698"/>
        <v>14110.235702535912</v>
      </c>
      <c r="AA690" s="5">
        <f t="shared" si="698"/>
        <v>14910.645470860425</v>
      </c>
      <c r="AB690" s="5">
        <f t="shared" si="698"/>
        <v>15711.055239184938</v>
      </c>
      <c r="AC690" s="5">
        <f t="shared" si="698"/>
        <v>15711.055239184938</v>
      </c>
      <c r="AD690" s="5">
        <f t="shared" si="698"/>
        <v>15711.055239184938</v>
      </c>
      <c r="AE690" s="5">
        <f t="shared" si="698"/>
        <v>15711.055239184938</v>
      </c>
      <c r="AF690" s="5">
        <f t="shared" si="698"/>
        <v>15711.055239184938</v>
      </c>
      <c r="AG690" s="5">
        <f t="shared" si="698"/>
        <v>15711.055239184938</v>
      </c>
      <c r="AH690" s="5">
        <f t="shared" si="698"/>
        <v>15711.055239184938</v>
      </c>
    </row>
    <row r="691" spans="1:34" x14ac:dyDescent="0.35">
      <c r="A691" t="s">
        <v>711</v>
      </c>
      <c r="B691" s="3" t="s">
        <v>1265</v>
      </c>
      <c r="C691" s="4" t="s">
        <v>1263</v>
      </c>
      <c r="D691" s="2">
        <f t="shared" si="651"/>
        <v>73382.399999999994</v>
      </c>
      <c r="E691" s="5">
        <v>0</v>
      </c>
      <c r="F691" s="5">
        <v>0</v>
      </c>
      <c r="G691" s="5">
        <v>0</v>
      </c>
      <c r="H691" s="5">
        <v>0</v>
      </c>
      <c r="I691" s="5">
        <v>1881.6</v>
      </c>
      <c r="J691" s="5">
        <v>7761.6</v>
      </c>
      <c r="K691" s="5">
        <v>7056</v>
      </c>
      <c r="L691" s="5">
        <v>0</v>
      </c>
      <c r="M691" s="5">
        <v>1176</v>
      </c>
      <c r="N691" s="5">
        <v>705.59999999999991</v>
      </c>
      <c r="O691" s="5">
        <v>1176</v>
      </c>
      <c r="P691" s="5">
        <v>1881.6</v>
      </c>
      <c r="Q691" s="5">
        <v>0</v>
      </c>
      <c r="R691" s="5">
        <v>0</v>
      </c>
      <c r="S691" s="5">
        <v>4939.2</v>
      </c>
      <c r="T691" s="5">
        <v>705.59999999999991</v>
      </c>
      <c r="U691" s="5">
        <v>40689.599999999999</v>
      </c>
      <c r="V691" s="5">
        <v>5409.6</v>
      </c>
      <c r="W691" s="5">
        <f t="shared" ref="W691:AH691" si="699">IF(OR((SLOPE($E691:$V691,$E$1:$V$1)*W$1+INTERCEPT($E691:$V691,$E$1:$V$1))&gt;(AVERAGE($E691:$V691)+_xlfn.STDEV.P($E691:$V691)),(SLOPE($E691:$V691,$E$1:$V$1)*W$1+INTERCEPT($E691:$V691,$E$1:$V$1))&lt;(AVERAGE($E691:$V691)-_xlfn.STDEV.P($E691:$V691))),V691,(SLOPE($E691:$V691,$E$1:$V$1)*W$1+INTERCEPT($E691:$V691,$E$1:$V$1)))</f>
        <v>10662.399999999998</v>
      </c>
      <c r="X691" s="5">
        <f t="shared" si="699"/>
        <v>11355.621052631577</v>
      </c>
      <c r="Y691" s="5">
        <f t="shared" si="699"/>
        <v>12048.842105263155</v>
      </c>
      <c r="Z691" s="5">
        <f t="shared" si="699"/>
        <v>12742.063157894734</v>
      </c>
      <c r="AA691" s="5">
        <f t="shared" si="699"/>
        <v>12742.063157894734</v>
      </c>
      <c r="AB691" s="5">
        <f t="shared" si="699"/>
        <v>12742.063157894734</v>
      </c>
      <c r="AC691" s="5">
        <f t="shared" si="699"/>
        <v>12742.063157894734</v>
      </c>
      <c r="AD691" s="5">
        <f t="shared" si="699"/>
        <v>12742.063157894734</v>
      </c>
      <c r="AE691" s="5">
        <f t="shared" si="699"/>
        <v>12742.063157894734</v>
      </c>
      <c r="AF691" s="5">
        <f t="shared" si="699"/>
        <v>12742.063157894734</v>
      </c>
      <c r="AG691" s="5">
        <f t="shared" si="699"/>
        <v>12742.063157894734</v>
      </c>
      <c r="AH691" s="5">
        <f t="shared" si="699"/>
        <v>12742.063157894734</v>
      </c>
    </row>
    <row r="692" spans="1:34" x14ac:dyDescent="0.35">
      <c r="A692" t="s">
        <v>712</v>
      </c>
      <c r="B692" s="3" t="s">
        <v>1266</v>
      </c>
      <c r="C692" s="4" t="s">
        <v>1267</v>
      </c>
      <c r="D692" s="2">
        <f t="shared" si="651"/>
        <v>72993.544820999887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72993.544820999887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f t="shared" ref="W692:AH692" si="700">IF(OR((SLOPE($E692:$V692,$E$1:$V$1)*W$1+INTERCEPT($E692:$V692,$E$1:$V$1))&gt;(AVERAGE($E692:$V692)+_xlfn.STDEV.P($E692:$V692)),(SLOPE($E692:$V692,$E$1:$V$1)*W$1+INTERCEPT($E692:$V692,$E$1:$V$1))&lt;(AVERAGE($E692:$V692)-_xlfn.STDEV.P($E692:$V692))),V692,(SLOPE($E692:$V692,$E$1:$V$1)*W$1+INTERCEPT($E692:$V692,$E$1:$V$1)))</f>
        <v>6202.0658998235194</v>
      </c>
      <c r="X692" s="5">
        <f t="shared" si="700"/>
        <v>6428.0521066996807</v>
      </c>
      <c r="Y692" s="5">
        <f t="shared" si="700"/>
        <v>6654.0383135758402</v>
      </c>
      <c r="Z692" s="5">
        <f t="shared" si="700"/>
        <v>6880.0245204520015</v>
      </c>
      <c r="AA692" s="5">
        <f t="shared" si="700"/>
        <v>7106.0107273281628</v>
      </c>
      <c r="AB692" s="5">
        <f t="shared" si="700"/>
        <v>7331.9969342043223</v>
      </c>
      <c r="AC692" s="5">
        <f t="shared" si="700"/>
        <v>7557.9831410804836</v>
      </c>
      <c r="AD692" s="5">
        <f t="shared" si="700"/>
        <v>7783.9693479566431</v>
      </c>
      <c r="AE692" s="5">
        <f t="shared" si="700"/>
        <v>8009.9555548328044</v>
      </c>
      <c r="AF692" s="5">
        <f t="shared" si="700"/>
        <v>8235.9417617089657</v>
      </c>
      <c r="AG692" s="5">
        <f t="shared" si="700"/>
        <v>8461.9279685851252</v>
      </c>
      <c r="AH692" s="5">
        <f t="shared" si="700"/>
        <v>8687.9141754612865</v>
      </c>
    </row>
    <row r="693" spans="1:34" x14ac:dyDescent="0.35">
      <c r="A693" t="s">
        <v>713</v>
      </c>
      <c r="B693" s="3" t="s">
        <v>1266</v>
      </c>
      <c r="C693" s="4" t="s">
        <v>1263</v>
      </c>
      <c r="D693" s="2">
        <f t="shared" si="651"/>
        <v>72929.496749376645</v>
      </c>
      <c r="E693" s="5">
        <v>0</v>
      </c>
      <c r="F693" s="5">
        <v>0</v>
      </c>
      <c r="G693" s="5">
        <v>0</v>
      </c>
      <c r="H693" s="5">
        <v>6133.9291562676617</v>
      </c>
      <c r="I693" s="5">
        <v>0</v>
      </c>
      <c r="J693" s="5">
        <v>0</v>
      </c>
      <c r="K693" s="5">
        <v>7886.4803437727078</v>
      </c>
      <c r="L693" s="5">
        <v>0</v>
      </c>
      <c r="M693" s="5">
        <v>12355.485871910576</v>
      </c>
      <c r="N693" s="5">
        <v>3142.9084629257163</v>
      </c>
      <c r="O693" s="5">
        <v>0</v>
      </c>
      <c r="P693" s="5">
        <v>13573.508947226581</v>
      </c>
      <c r="Q693" s="5">
        <v>0</v>
      </c>
      <c r="R693" s="5">
        <v>0</v>
      </c>
      <c r="S693" s="5">
        <v>5783.4189187666525</v>
      </c>
      <c r="T693" s="5">
        <v>7886.4803437727078</v>
      </c>
      <c r="U693" s="5">
        <v>0</v>
      </c>
      <c r="V693" s="5">
        <v>16167.284704734049</v>
      </c>
      <c r="W693" s="5">
        <f t="shared" ref="W693:AH693" si="701">IF(OR((SLOPE($E693:$V693,$E$1:$V$1)*W$1+INTERCEPT($E693:$V693,$E$1:$V$1))&gt;(AVERAGE($E693:$V693)+_xlfn.STDEV.P($E693:$V693)),(SLOPE($E693:$V693,$E$1:$V$1)*W$1+INTERCEPT($E693:$V693,$E$1:$V$1))&lt;(AVERAGE($E693:$V693)-_xlfn.STDEV.P($E693:$V693))),V693,(SLOPE($E693:$V693,$E$1:$V$1)*W$1+INTERCEPT($E693:$V693,$E$1:$V$1)))</f>
        <v>7901.9822126643649</v>
      </c>
      <c r="X693" s="5">
        <f t="shared" si="701"/>
        <v>8307.2815289133814</v>
      </c>
      <c r="Y693" s="5">
        <f t="shared" si="701"/>
        <v>8712.580845162398</v>
      </c>
      <c r="Z693" s="5">
        <f t="shared" si="701"/>
        <v>9117.8801614114163</v>
      </c>
      <c r="AA693" s="5">
        <f t="shared" si="701"/>
        <v>9117.8801614114163</v>
      </c>
      <c r="AB693" s="5">
        <f t="shared" si="701"/>
        <v>9117.8801614114163</v>
      </c>
      <c r="AC693" s="5">
        <f t="shared" si="701"/>
        <v>9117.8801614114163</v>
      </c>
      <c r="AD693" s="5">
        <f t="shared" si="701"/>
        <v>9117.8801614114163</v>
      </c>
      <c r="AE693" s="5">
        <f t="shared" si="701"/>
        <v>9117.8801614114163</v>
      </c>
      <c r="AF693" s="5">
        <f t="shared" si="701"/>
        <v>9117.8801614114163</v>
      </c>
      <c r="AG693" s="5">
        <f t="shared" si="701"/>
        <v>9117.8801614114163</v>
      </c>
      <c r="AH693" s="5">
        <f t="shared" si="701"/>
        <v>9117.8801614114163</v>
      </c>
    </row>
    <row r="694" spans="1:34" x14ac:dyDescent="0.35">
      <c r="A694" t="s">
        <v>714</v>
      </c>
      <c r="B694" s="3" t="s">
        <v>1266</v>
      </c>
      <c r="C694" s="4" t="s">
        <v>1268</v>
      </c>
      <c r="D694" s="2">
        <f t="shared" si="651"/>
        <v>72751.902473475304</v>
      </c>
      <c r="E694" s="5">
        <v>0</v>
      </c>
      <c r="F694" s="5">
        <v>0</v>
      </c>
      <c r="G694" s="5">
        <v>0</v>
      </c>
      <c r="H694" s="5">
        <v>23746.085344621351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24508.963150185424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24496.853978668532</v>
      </c>
      <c r="V694" s="5">
        <v>0</v>
      </c>
      <c r="W694" s="5">
        <f t="shared" ref="W694:AH694" si="702">IF(OR((SLOPE($E694:$V694,$E$1:$V$1)*W$1+INTERCEPT($E694:$V694,$E$1:$V$1))&gt;(AVERAGE($E694:$V694)+_xlfn.STDEV.P($E694:$V694)),(SLOPE($E694:$V694,$E$1:$V$1)*W$1+INTERCEPT($E694:$V694,$E$1:$V$1))&lt;(AVERAGE($E694:$V694)-_xlfn.STDEV.P($E694:$V694))),V694,(SLOPE($E694:$V694,$E$1:$V$1)*W$1+INTERCEPT($E694:$V694,$E$1:$V$1)))</f>
        <v>5323.6824972784834</v>
      </c>
      <c r="X694" s="5">
        <f t="shared" si="702"/>
        <v>5458.6204065038473</v>
      </c>
      <c r="Y694" s="5">
        <f t="shared" si="702"/>
        <v>5593.5583157292131</v>
      </c>
      <c r="Z694" s="5">
        <f t="shared" si="702"/>
        <v>5728.496224954577</v>
      </c>
      <c r="AA694" s="5">
        <f t="shared" si="702"/>
        <v>5863.4341341799427</v>
      </c>
      <c r="AB694" s="5">
        <f t="shared" si="702"/>
        <v>5998.3720434053075</v>
      </c>
      <c r="AC694" s="5">
        <f t="shared" si="702"/>
        <v>6133.3099526306723</v>
      </c>
      <c r="AD694" s="5">
        <f t="shared" si="702"/>
        <v>6268.2478618560372</v>
      </c>
      <c r="AE694" s="5">
        <f t="shared" si="702"/>
        <v>6403.185771081402</v>
      </c>
      <c r="AF694" s="5">
        <f t="shared" si="702"/>
        <v>6538.1236803067668</v>
      </c>
      <c r="AG694" s="5">
        <f t="shared" si="702"/>
        <v>6673.0615895321316</v>
      </c>
      <c r="AH694" s="5">
        <f t="shared" si="702"/>
        <v>6807.9994987574964</v>
      </c>
    </row>
    <row r="695" spans="1:34" x14ac:dyDescent="0.35">
      <c r="A695" t="s">
        <v>715</v>
      </c>
      <c r="B695" s="3" t="s">
        <v>1265</v>
      </c>
      <c r="C695" s="4" t="s">
        <v>1263</v>
      </c>
      <c r="D695" s="2">
        <f t="shared" si="651"/>
        <v>71437.422054949988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2196.7226954166663</v>
      </c>
      <c r="P695" s="5">
        <v>34356.742956316659</v>
      </c>
      <c r="Q695" s="5">
        <v>2108.8537875999991</v>
      </c>
      <c r="R695" s="5">
        <v>175.7378156333333</v>
      </c>
      <c r="S695" s="5">
        <v>17222.305932066665</v>
      </c>
      <c r="T695" s="5">
        <v>2108.8537875999996</v>
      </c>
      <c r="U695" s="5">
        <v>4305.5764830166663</v>
      </c>
      <c r="V695" s="5">
        <v>8962.6285972999995</v>
      </c>
      <c r="W695" s="5">
        <f t="shared" ref="W695:AH695" si="703">IF(OR((SLOPE($E695:$V695,$E$1:$V$1)*W$1+INTERCEPT($E695:$V695,$E$1:$V$1))&gt;(AVERAGE($E695:$V695)+_xlfn.STDEV.P($E695:$V695)),(SLOPE($E695:$V695,$E$1:$V$1)*W$1+INTERCEPT($E695:$V695,$E$1:$V$1))&lt;(AVERAGE($E695:$V695)-_xlfn.STDEV.P($E695:$V695))),V695,(SLOPE($E695:$V695,$E$1:$V$1)*W$1+INTERCEPT($E695:$V695,$E$1:$V$1)))</f>
        <v>10130.768195333334</v>
      </c>
      <c r="X695" s="5">
        <f t="shared" si="703"/>
        <v>10779.402145397955</v>
      </c>
      <c r="Y695" s="5">
        <f t="shared" si="703"/>
        <v>11428.036095462576</v>
      </c>
      <c r="Z695" s="5">
        <f t="shared" si="703"/>
        <v>12076.670045527193</v>
      </c>
      <c r="AA695" s="5">
        <f t="shared" si="703"/>
        <v>12076.670045527193</v>
      </c>
      <c r="AB695" s="5">
        <f t="shared" si="703"/>
        <v>12076.670045527193</v>
      </c>
      <c r="AC695" s="5">
        <f t="shared" si="703"/>
        <v>12076.670045527193</v>
      </c>
      <c r="AD695" s="5">
        <f t="shared" si="703"/>
        <v>12076.670045527193</v>
      </c>
      <c r="AE695" s="5">
        <f t="shared" si="703"/>
        <v>12076.670045527193</v>
      </c>
      <c r="AF695" s="5">
        <f t="shared" si="703"/>
        <v>12076.670045527193</v>
      </c>
      <c r="AG695" s="5">
        <f t="shared" si="703"/>
        <v>12076.670045527193</v>
      </c>
      <c r="AH695" s="5">
        <f t="shared" si="703"/>
        <v>12076.670045527193</v>
      </c>
    </row>
    <row r="696" spans="1:34" x14ac:dyDescent="0.35">
      <c r="A696" t="s">
        <v>716</v>
      </c>
      <c r="B696" s="3" t="s">
        <v>1264</v>
      </c>
      <c r="C696" s="4" t="s">
        <v>1263</v>
      </c>
      <c r="D696" s="2">
        <f t="shared" si="651"/>
        <v>71378.574744909012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35545.956901079189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35832.61784382983</v>
      </c>
      <c r="S696" s="5">
        <v>0</v>
      </c>
      <c r="T696" s="5">
        <v>0</v>
      </c>
      <c r="U696" s="5">
        <v>0</v>
      </c>
      <c r="V696" s="5">
        <v>0</v>
      </c>
      <c r="W696" s="5">
        <f t="shared" ref="W696:AH696" si="704">IF(OR((SLOPE($E696:$V696,$E$1:$V$1)*W$1+INTERCEPT($E696:$V696,$E$1:$V$1))&gt;(AVERAGE($E696:$V696)+_xlfn.STDEV.P($E696:$V696)),(SLOPE($E696:$V696,$E$1:$V$1)*W$1+INTERCEPT($E696:$V696,$E$1:$V$1))&lt;(AVERAGE($E696:$V696)-_xlfn.STDEV.P($E696:$V696))),V696,(SLOPE($E696:$V696,$E$1:$V$1)*W$1+INTERCEPT($E696:$V696,$E$1:$V$1)))</f>
        <v>5384.7290814727803</v>
      </c>
      <c r="X696" s="5">
        <f t="shared" si="704"/>
        <v>5534.1241032365288</v>
      </c>
      <c r="Y696" s="5">
        <f t="shared" si="704"/>
        <v>5683.5191250002772</v>
      </c>
      <c r="Z696" s="5">
        <f t="shared" si="704"/>
        <v>5832.9141467640256</v>
      </c>
      <c r="AA696" s="5">
        <f t="shared" si="704"/>
        <v>5982.3091685277741</v>
      </c>
      <c r="AB696" s="5">
        <f t="shared" si="704"/>
        <v>6131.7041902915225</v>
      </c>
      <c r="AC696" s="5">
        <f t="shared" si="704"/>
        <v>6281.099212055271</v>
      </c>
      <c r="AD696" s="5">
        <f t="shared" si="704"/>
        <v>6430.4942338190203</v>
      </c>
      <c r="AE696" s="5">
        <f t="shared" si="704"/>
        <v>6579.8892555827697</v>
      </c>
      <c r="AF696" s="5">
        <f t="shared" si="704"/>
        <v>6729.2842773465181</v>
      </c>
      <c r="AG696" s="5">
        <f t="shared" si="704"/>
        <v>6878.6792991102666</v>
      </c>
      <c r="AH696" s="5">
        <f t="shared" si="704"/>
        <v>7028.074320874015</v>
      </c>
    </row>
    <row r="697" spans="1:34" x14ac:dyDescent="0.35">
      <c r="A697" t="s">
        <v>717</v>
      </c>
      <c r="B697" s="3" t="s">
        <v>1264</v>
      </c>
      <c r="C697" s="4" t="s">
        <v>1263</v>
      </c>
      <c r="D697" s="2">
        <f t="shared" si="651"/>
        <v>71339.687999999966</v>
      </c>
      <c r="E697" s="5">
        <v>4841.8272000000006</v>
      </c>
      <c r="F697" s="5">
        <v>4137.8735999999999</v>
      </c>
      <c r="G697" s="5">
        <v>5975.0208000000021</v>
      </c>
      <c r="H697" s="5">
        <v>8438.858400000001</v>
      </c>
      <c r="I697" s="5">
        <v>4773.1487999999999</v>
      </c>
      <c r="J697" s="5">
        <v>3382.4112</v>
      </c>
      <c r="K697" s="5">
        <v>3039.0191999999988</v>
      </c>
      <c r="L697" s="5">
        <v>4223.7215999999989</v>
      </c>
      <c r="M697" s="5">
        <v>3940.4231999999997</v>
      </c>
      <c r="N697" s="5">
        <v>3030.4343999999992</v>
      </c>
      <c r="O697" s="5">
        <v>2970.3407999999995</v>
      </c>
      <c r="P697" s="5">
        <v>13993.224</v>
      </c>
      <c r="Q697" s="5">
        <v>1021.5911999999998</v>
      </c>
      <c r="R697" s="5">
        <v>1219.0416</v>
      </c>
      <c r="S697" s="5">
        <v>1064.5151999999996</v>
      </c>
      <c r="T697" s="5">
        <v>3330.9023999999986</v>
      </c>
      <c r="U697" s="5">
        <v>1957.3343999999988</v>
      </c>
      <c r="V697" s="5">
        <v>0</v>
      </c>
      <c r="W697" s="5">
        <f t="shared" ref="W697:AH697" si="705">IF(OR((SLOPE($E697:$V697,$E$1:$V$1)*W$1+INTERCEPT($E697:$V697,$E$1:$V$1))&gt;(AVERAGE($E697:$V697)+_xlfn.STDEV.P($E697:$V697)),(SLOPE($E697:$V697,$E$1:$V$1)*W$1+INTERCEPT($E697:$V697,$E$1:$V$1))&lt;(AVERAGE($E697:$V697)-_xlfn.STDEV.P($E697:$V697))),V697,(SLOPE($E697:$V697,$E$1:$V$1)*W$1+INTERCEPT($E697:$V697,$E$1:$V$1)))</f>
        <v>1718.9799529411739</v>
      </c>
      <c r="X697" s="5">
        <f t="shared" si="705"/>
        <v>1482.7340532507715</v>
      </c>
      <c r="Y697" s="5">
        <f t="shared" si="705"/>
        <v>1246.488153560369</v>
      </c>
      <c r="Z697" s="5">
        <f t="shared" si="705"/>
        <v>1010.2422538699666</v>
      </c>
      <c r="AA697" s="5">
        <f t="shared" si="705"/>
        <v>1010.2422538699666</v>
      </c>
      <c r="AB697" s="5">
        <f t="shared" si="705"/>
        <v>1010.2422538699666</v>
      </c>
      <c r="AC697" s="5">
        <f t="shared" si="705"/>
        <v>1010.2422538699666</v>
      </c>
      <c r="AD697" s="5">
        <f t="shared" si="705"/>
        <v>1010.2422538699666</v>
      </c>
      <c r="AE697" s="5">
        <f t="shared" si="705"/>
        <v>1010.2422538699666</v>
      </c>
      <c r="AF697" s="5">
        <f t="shared" si="705"/>
        <v>1010.2422538699666</v>
      </c>
      <c r="AG697" s="5">
        <f t="shared" si="705"/>
        <v>1010.2422538699666</v>
      </c>
      <c r="AH697" s="5">
        <f t="shared" si="705"/>
        <v>1010.2422538699666</v>
      </c>
    </row>
    <row r="698" spans="1:34" x14ac:dyDescent="0.35">
      <c r="A698" t="s">
        <v>718</v>
      </c>
      <c r="B698" s="3" t="s">
        <v>1265</v>
      </c>
      <c r="C698" s="4" t="s">
        <v>1263</v>
      </c>
      <c r="D698" s="2">
        <f t="shared" si="651"/>
        <v>71081.111041049197</v>
      </c>
      <c r="E698" s="5">
        <v>0</v>
      </c>
      <c r="F698" s="5">
        <v>0</v>
      </c>
      <c r="G698" s="5">
        <v>0</v>
      </c>
      <c r="H698" s="5">
        <v>12706.361366786174</v>
      </c>
      <c r="I698" s="5">
        <v>0</v>
      </c>
      <c r="J698" s="5">
        <v>58374.749674263025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f t="shared" ref="W698:AH698" si="706">IF(OR((SLOPE($E698:$V698,$E$1:$V$1)*W$1+INTERCEPT($E698:$V698,$E$1:$V$1))&gt;(AVERAGE($E698:$V698)+_xlfn.STDEV.P($E698:$V698)),(SLOPE($E698:$V698,$E$1:$V$1)*W$1+INTERCEPT($E698:$V698,$E$1:$V$1))&lt;(AVERAGE($E698:$V698)-_xlfn.STDEV.P($E698:$V698))),V698,(SLOPE($E698:$V698,$E$1:$V$1)*W$1+INTERCEPT($E698:$V698,$E$1:$V$1)))</f>
        <v>-1427.4535312602329</v>
      </c>
      <c r="X698" s="5">
        <f t="shared" si="706"/>
        <v>-1993.3908096446376</v>
      </c>
      <c r="Y698" s="5">
        <f t="shared" si="706"/>
        <v>-2559.328088029044</v>
      </c>
      <c r="Z698" s="5">
        <f t="shared" si="706"/>
        <v>-3125.2653664134486</v>
      </c>
      <c r="AA698" s="5">
        <f t="shared" si="706"/>
        <v>-3691.2026447978551</v>
      </c>
      <c r="AB698" s="5">
        <f t="shared" si="706"/>
        <v>-4257.1399231822616</v>
      </c>
      <c r="AC698" s="5">
        <f t="shared" si="706"/>
        <v>-4823.0772015666662</v>
      </c>
      <c r="AD698" s="5">
        <f t="shared" si="706"/>
        <v>-5389.0144799510726</v>
      </c>
      <c r="AE698" s="5">
        <f t="shared" si="706"/>
        <v>-5954.9517583354773</v>
      </c>
      <c r="AF698" s="5">
        <f t="shared" si="706"/>
        <v>-6520.8890367198837</v>
      </c>
      <c r="AG698" s="5">
        <f t="shared" si="706"/>
        <v>-7086.8263151042884</v>
      </c>
      <c r="AH698" s="5">
        <f t="shared" si="706"/>
        <v>-7652.763593488693</v>
      </c>
    </row>
    <row r="699" spans="1:34" x14ac:dyDescent="0.35">
      <c r="A699" t="s">
        <v>719</v>
      </c>
      <c r="B699" s="3" t="s">
        <v>1266</v>
      </c>
      <c r="C699" s="4" t="s">
        <v>1267</v>
      </c>
      <c r="D699" s="2">
        <f t="shared" si="651"/>
        <v>71002.979422167977</v>
      </c>
      <c r="E699" s="5">
        <v>0</v>
      </c>
      <c r="F699" s="5">
        <v>23536.899255967288</v>
      </c>
      <c r="G699" s="5">
        <v>0</v>
      </c>
      <c r="H699" s="5">
        <v>9414.759702386913</v>
      </c>
      <c r="I699" s="5">
        <v>0</v>
      </c>
      <c r="J699" s="5">
        <v>38051.320463813776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f t="shared" ref="W699:AH699" si="707">IF(OR((SLOPE($E699:$V699,$E$1:$V$1)*W$1+INTERCEPT($E699:$V699,$E$1:$V$1))&gt;(AVERAGE($E699:$V699)+_xlfn.STDEV.P($E699:$V699)),(SLOPE($E699:$V699,$E$1:$V$1)*W$1+INTERCEPT($E699:$V699,$E$1:$V$1))&lt;(AVERAGE($E699:$V699)-_xlfn.STDEV.P($E699:$V699))),V699,(SLOPE($E699:$V699,$E$1:$V$1)*W$1+INTERCEPT($E699:$V699,$E$1:$V$1)))</f>
        <v>-3143.3810988906189</v>
      </c>
      <c r="X699" s="5">
        <f t="shared" si="707"/>
        <v>-3889.4854217104967</v>
      </c>
      <c r="Y699" s="5">
        <f t="shared" si="707"/>
        <v>-4635.5897445303744</v>
      </c>
      <c r="Z699" s="5">
        <f t="shared" si="707"/>
        <v>-5381.694067350254</v>
      </c>
      <c r="AA699" s="5">
        <f t="shared" si="707"/>
        <v>-5381.694067350254</v>
      </c>
      <c r="AB699" s="5">
        <f t="shared" si="707"/>
        <v>-5381.694067350254</v>
      </c>
      <c r="AC699" s="5">
        <f t="shared" si="707"/>
        <v>-5381.694067350254</v>
      </c>
      <c r="AD699" s="5">
        <f t="shared" si="707"/>
        <v>-5381.694067350254</v>
      </c>
      <c r="AE699" s="5">
        <f t="shared" si="707"/>
        <v>-5381.694067350254</v>
      </c>
      <c r="AF699" s="5">
        <f t="shared" si="707"/>
        <v>-5381.694067350254</v>
      </c>
      <c r="AG699" s="5">
        <f t="shared" si="707"/>
        <v>-5381.694067350254</v>
      </c>
      <c r="AH699" s="5">
        <f t="shared" si="707"/>
        <v>-5381.694067350254</v>
      </c>
    </row>
    <row r="700" spans="1:34" x14ac:dyDescent="0.35">
      <c r="A700" t="s">
        <v>720</v>
      </c>
      <c r="B700" s="3" t="s">
        <v>1265</v>
      </c>
      <c r="C700" s="4" t="s">
        <v>1263</v>
      </c>
      <c r="D700" s="2">
        <f t="shared" si="651"/>
        <v>70357.701850113997</v>
      </c>
      <c r="E700" s="5">
        <v>0</v>
      </c>
      <c r="F700" s="5">
        <v>0</v>
      </c>
      <c r="G700" s="5">
        <v>9434.9408611263971</v>
      </c>
      <c r="H700" s="5">
        <v>0</v>
      </c>
      <c r="I700" s="5">
        <v>0</v>
      </c>
      <c r="J700" s="5">
        <v>9434.9408611263971</v>
      </c>
      <c r="K700" s="5">
        <v>0</v>
      </c>
      <c r="L700" s="5">
        <v>0</v>
      </c>
      <c r="M700" s="5">
        <v>8985.6579629775206</v>
      </c>
      <c r="N700" s="5">
        <v>0</v>
      </c>
      <c r="O700" s="5">
        <v>0</v>
      </c>
      <c r="P700" s="5">
        <v>29922.241016715147</v>
      </c>
      <c r="Q700" s="5">
        <v>0</v>
      </c>
      <c r="R700" s="5">
        <v>0</v>
      </c>
      <c r="S700" s="5">
        <v>6289.9605740842653</v>
      </c>
      <c r="T700" s="5">
        <v>0</v>
      </c>
      <c r="U700" s="5">
        <v>0</v>
      </c>
      <c r="V700" s="5">
        <v>6289.9605740842653</v>
      </c>
      <c r="W700" s="5">
        <f t="shared" ref="W700:AH700" si="708">IF(OR((SLOPE($E700:$V700,$E$1:$V$1)*W$1+INTERCEPT($E700:$V700,$E$1:$V$1))&gt;(AVERAGE($E700:$V700)+_xlfn.STDEV.P($E700:$V700)),(SLOPE($E700:$V700,$E$1:$V$1)*W$1+INTERCEPT($E700:$V700,$E$1:$V$1))&lt;(AVERAGE($E700:$V700)-_xlfn.STDEV.P($E700:$V700))),V700,(SLOPE($E700:$V700,$E$1:$V$1)*W$1+INTERCEPT($E700:$V700,$E$1:$V$1)))</f>
        <v>5164.1104881347292</v>
      </c>
      <c r="X700" s="5">
        <f t="shared" si="708"/>
        <v>5296.2525170020454</v>
      </c>
      <c r="Y700" s="5">
        <f t="shared" si="708"/>
        <v>5428.3945458693615</v>
      </c>
      <c r="Z700" s="5">
        <f t="shared" si="708"/>
        <v>5560.5365747366777</v>
      </c>
      <c r="AA700" s="5">
        <f t="shared" si="708"/>
        <v>5692.6786036039948</v>
      </c>
      <c r="AB700" s="5">
        <f t="shared" si="708"/>
        <v>5824.820632471311</v>
      </c>
      <c r="AC700" s="5">
        <f t="shared" si="708"/>
        <v>5956.9626613386281</v>
      </c>
      <c r="AD700" s="5">
        <f t="shared" si="708"/>
        <v>6089.1046902059443</v>
      </c>
      <c r="AE700" s="5">
        <f t="shared" si="708"/>
        <v>6221.2467190732605</v>
      </c>
      <c r="AF700" s="5">
        <f t="shared" si="708"/>
        <v>6353.3887479405766</v>
      </c>
      <c r="AG700" s="5">
        <f t="shared" si="708"/>
        <v>6485.5307768078937</v>
      </c>
      <c r="AH700" s="5">
        <f t="shared" si="708"/>
        <v>6617.6728056752108</v>
      </c>
    </row>
    <row r="701" spans="1:34" x14ac:dyDescent="0.35">
      <c r="A701" t="s">
        <v>721</v>
      </c>
      <c r="B701" s="3" t="s">
        <v>1264</v>
      </c>
      <c r="C701" s="4" t="s">
        <v>1267</v>
      </c>
      <c r="D701" s="2">
        <f t="shared" si="651"/>
        <v>70212.741306387397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70212.741306387397</v>
      </c>
      <c r="S701" s="5">
        <v>0</v>
      </c>
      <c r="T701" s="5">
        <v>0</v>
      </c>
      <c r="U701" s="5">
        <v>0</v>
      </c>
      <c r="V701" s="5">
        <v>0</v>
      </c>
      <c r="W701" s="5">
        <f t="shared" ref="W701:AH701" si="709">IF(OR((SLOPE($E701:$V701,$E$1:$V$1)*W$1+INTERCEPT($E701:$V701,$E$1:$V$1))&gt;(AVERAGE($E701:$V701)+_xlfn.STDEV.P($E701:$V701)),(SLOPE($E701:$V701,$E$1:$V$1)*W$1+INTERCEPT($E701:$V701,$E$1:$V$1))&lt;(AVERAGE($E701:$V701)-_xlfn.STDEV.P($E701:$V701))),V701,(SLOPE($E701:$V701,$E$1:$V$1)*W$1+INTERCEPT($E701:$V701,$E$1:$V$1)))</f>
        <v>10095.949730330212</v>
      </c>
      <c r="X701" s="5">
        <f t="shared" si="709"/>
        <v>10748.080454538147</v>
      </c>
      <c r="Y701" s="5">
        <f t="shared" si="709"/>
        <v>11400.211178746078</v>
      </c>
      <c r="Z701" s="5">
        <f t="shared" si="709"/>
        <v>12052.341902954009</v>
      </c>
      <c r="AA701" s="5">
        <f t="shared" si="709"/>
        <v>12704.472627161944</v>
      </c>
      <c r="AB701" s="5">
        <f t="shared" si="709"/>
        <v>13356.603351369875</v>
      </c>
      <c r="AC701" s="5">
        <f t="shared" si="709"/>
        <v>14008.73407557781</v>
      </c>
      <c r="AD701" s="5">
        <f t="shared" si="709"/>
        <v>14660.864799785741</v>
      </c>
      <c r="AE701" s="5">
        <f t="shared" si="709"/>
        <v>15312.995523993672</v>
      </c>
      <c r="AF701" s="5">
        <f t="shared" si="709"/>
        <v>15965.126248201603</v>
      </c>
      <c r="AG701" s="5">
        <f t="shared" si="709"/>
        <v>16617.256972409537</v>
      </c>
      <c r="AH701" s="5">
        <f t="shared" si="709"/>
        <v>17269.387696617468</v>
      </c>
    </row>
    <row r="702" spans="1:34" x14ac:dyDescent="0.35">
      <c r="A702" t="s">
        <v>722</v>
      </c>
      <c r="B702" s="3" t="s">
        <v>1264</v>
      </c>
      <c r="C702" s="4" t="s">
        <v>1263</v>
      </c>
      <c r="D702" s="2">
        <f t="shared" si="651"/>
        <v>69997.087999999989</v>
      </c>
      <c r="E702" s="5">
        <v>4515.8399999999992</v>
      </c>
      <c r="F702" s="5">
        <v>2290.8479999999995</v>
      </c>
      <c r="G702" s="5">
        <v>4548.7679999999991</v>
      </c>
      <c r="H702" s="5">
        <v>86.24</v>
      </c>
      <c r="I702" s="5">
        <v>6773.7599999999993</v>
      </c>
      <c r="J702" s="5">
        <v>2483.7119999999995</v>
      </c>
      <c r="K702" s="5">
        <v>4515.8399999999992</v>
      </c>
      <c r="L702" s="5">
        <v>2417.8559999999998</v>
      </c>
      <c r="M702" s="5">
        <v>9125.7599999999984</v>
      </c>
      <c r="N702" s="5">
        <v>3.9199999999999995</v>
      </c>
      <c r="O702" s="5">
        <v>5080.3199999999988</v>
      </c>
      <c r="P702" s="5">
        <v>3137.5679999999998</v>
      </c>
      <c r="Q702" s="5">
        <v>4446.0639999999994</v>
      </c>
      <c r="R702" s="5">
        <v>2799.6639999999993</v>
      </c>
      <c r="S702" s="5">
        <v>4233.5999999999995</v>
      </c>
      <c r="T702" s="5">
        <v>2511.9359999999992</v>
      </c>
      <c r="U702" s="5">
        <v>5080.32</v>
      </c>
      <c r="V702" s="5">
        <v>5945.0719999999992</v>
      </c>
      <c r="W702" s="5">
        <f t="shared" ref="W702:AH702" si="710">IF(OR((SLOPE($E702:$V702,$E$1:$V$1)*W$1+INTERCEPT($E702:$V702,$E$1:$V$1))&gt;(AVERAGE($E702:$V702)+_xlfn.STDEV.P($E702:$V702)),(SLOPE($E702:$V702,$E$1:$V$1)*W$1+INTERCEPT($E702:$V702,$E$1:$V$1))&lt;(AVERAGE($E702:$V702)-_xlfn.STDEV.P($E702:$V702))),V702,(SLOPE($E702:$V702,$E$1:$V$1)*W$1+INTERCEPT($E702:$V702,$E$1:$V$1)))</f>
        <v>4430.1482875816982</v>
      </c>
      <c r="X702" s="5">
        <f t="shared" si="710"/>
        <v>4487.1399903680758</v>
      </c>
      <c r="Y702" s="5">
        <f t="shared" si="710"/>
        <v>4544.1316931544543</v>
      </c>
      <c r="Z702" s="5">
        <f t="shared" si="710"/>
        <v>4601.1233959408319</v>
      </c>
      <c r="AA702" s="5">
        <f t="shared" si="710"/>
        <v>4658.1150987272094</v>
      </c>
      <c r="AB702" s="5">
        <f t="shared" si="710"/>
        <v>4715.106801513587</v>
      </c>
      <c r="AC702" s="5">
        <f t="shared" si="710"/>
        <v>4772.0985042999655</v>
      </c>
      <c r="AD702" s="5">
        <f t="shared" si="710"/>
        <v>4829.0902070863431</v>
      </c>
      <c r="AE702" s="5">
        <f t="shared" si="710"/>
        <v>4886.0819098727206</v>
      </c>
      <c r="AF702" s="5">
        <f t="shared" si="710"/>
        <v>4943.0736126590982</v>
      </c>
      <c r="AG702" s="5">
        <f t="shared" si="710"/>
        <v>5000.0653154454758</v>
      </c>
      <c r="AH702" s="5">
        <f t="shared" si="710"/>
        <v>5057.0570182318534</v>
      </c>
    </row>
    <row r="703" spans="1:34" x14ac:dyDescent="0.35">
      <c r="A703" t="s">
        <v>723</v>
      </c>
      <c r="B703" s="3" t="s">
        <v>1266</v>
      </c>
      <c r="C703" s="4" t="s">
        <v>1263</v>
      </c>
      <c r="D703" s="2">
        <f t="shared" si="651"/>
        <v>69699.931002464393</v>
      </c>
      <c r="E703" s="5">
        <v>0</v>
      </c>
      <c r="F703" s="5">
        <v>0</v>
      </c>
      <c r="G703" s="5">
        <v>16367.022434823954</v>
      </c>
      <c r="H703" s="5">
        <v>0</v>
      </c>
      <c r="I703" s="5">
        <v>0</v>
      </c>
      <c r="J703" s="5">
        <v>17981.143707139243</v>
      </c>
      <c r="K703" s="5">
        <v>0</v>
      </c>
      <c r="L703" s="5">
        <v>0</v>
      </c>
      <c r="M703" s="5">
        <v>0</v>
      </c>
      <c r="N703" s="5">
        <v>0</v>
      </c>
      <c r="O703" s="5">
        <v>17295.351249471605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18056.413611029591</v>
      </c>
      <c r="V703" s="5">
        <v>0</v>
      </c>
      <c r="W703" s="5">
        <f t="shared" ref="W703:AH703" si="711">IF(OR((SLOPE($E703:$V703,$E$1:$V$1)*W$1+INTERCEPT($E703:$V703,$E$1:$V$1))&gt;(AVERAGE($E703:$V703)+_xlfn.STDEV.P($E703:$V703)),(SLOPE($E703:$V703,$E$1:$V$1)*W$1+INTERCEPT($E703:$V703,$E$1:$V$1))&lt;(AVERAGE($E703:$V703)-_xlfn.STDEV.P($E703:$V703))),V703,(SLOPE($E703:$V703,$E$1:$V$1)*W$1+INTERCEPT($E703:$V703,$E$1:$V$1)))</f>
        <v>3716.2670195274914</v>
      </c>
      <c r="X703" s="5">
        <f t="shared" si="711"/>
        <v>3699.8510858960908</v>
      </c>
      <c r="Y703" s="5">
        <f t="shared" si="711"/>
        <v>3683.4351522646898</v>
      </c>
      <c r="Z703" s="5">
        <f t="shared" si="711"/>
        <v>3667.0192186332888</v>
      </c>
      <c r="AA703" s="5">
        <f t="shared" si="711"/>
        <v>3650.6032850018883</v>
      </c>
      <c r="AB703" s="5">
        <f t="shared" si="711"/>
        <v>3634.1873513704872</v>
      </c>
      <c r="AC703" s="5">
        <f t="shared" si="711"/>
        <v>3617.7714177390862</v>
      </c>
      <c r="AD703" s="5">
        <f t="shared" si="711"/>
        <v>3601.3554841076857</v>
      </c>
      <c r="AE703" s="5">
        <f t="shared" si="711"/>
        <v>3584.9395504762847</v>
      </c>
      <c r="AF703" s="5">
        <f t="shared" si="711"/>
        <v>3568.5236168448837</v>
      </c>
      <c r="AG703" s="5">
        <f t="shared" si="711"/>
        <v>3552.1076832134831</v>
      </c>
      <c r="AH703" s="5">
        <f t="shared" si="711"/>
        <v>3535.6917495820821</v>
      </c>
    </row>
    <row r="704" spans="1:34" x14ac:dyDescent="0.35">
      <c r="A704" t="s">
        <v>724</v>
      </c>
      <c r="B704" s="3" t="s">
        <v>1264</v>
      </c>
      <c r="C704" s="4" t="s">
        <v>1263</v>
      </c>
      <c r="D704" s="2">
        <f t="shared" si="651"/>
        <v>68050.67532519043</v>
      </c>
      <c r="E704" s="5">
        <v>0</v>
      </c>
      <c r="F704" s="5">
        <v>0</v>
      </c>
      <c r="G704" s="5">
        <v>4775.0563830198398</v>
      </c>
      <c r="H704" s="5">
        <v>2644.6466121340654</v>
      </c>
      <c r="I704" s="5">
        <v>4505.6942280802596</v>
      </c>
      <c r="J704" s="5">
        <v>1836.5601473153235</v>
      </c>
      <c r="K704" s="5">
        <v>5803.530065516421</v>
      </c>
      <c r="L704" s="5">
        <v>612.18671577177452</v>
      </c>
      <c r="M704" s="5">
        <v>6660.5914675969061</v>
      </c>
      <c r="N704" s="5">
        <v>4358.7694162950347</v>
      </c>
      <c r="O704" s="5">
        <v>465.26190398654859</v>
      </c>
      <c r="P704" s="5">
        <v>4921.9811948050665</v>
      </c>
      <c r="Q704" s="5">
        <v>6317.7669067647112</v>
      </c>
      <c r="R704" s="5">
        <v>3526.1954828454204</v>
      </c>
      <c r="S704" s="5">
        <v>6219.8170322412279</v>
      </c>
      <c r="T704" s="5">
        <v>3452.7330769528071</v>
      </c>
      <c r="U704" s="5">
        <v>5338.2681615298734</v>
      </c>
      <c r="V704" s="5">
        <v>6611.6165303351645</v>
      </c>
      <c r="W704" s="5">
        <f t="shared" ref="W704:AH704" si="712">IF(OR((SLOPE($E704:$V704,$E$1:$V$1)*W$1+INTERCEPT($E704:$V704,$E$1:$V$1))&gt;(AVERAGE($E704:$V704)+_xlfn.STDEV.P($E704:$V704)),(SLOPE($E704:$V704,$E$1:$V$1)*W$1+INTERCEPT($E704:$V704,$E$1:$V$1))&lt;(AVERAGE($E704:$V704)-_xlfn.STDEV.P($E704:$V704))),V704,(SLOPE($E704:$V704,$E$1:$V$1)*W$1+INTERCEPT($E704:$V704,$E$1:$V$1)))</f>
        <v>6035.6008466586627</v>
      </c>
      <c r="X704" s="5">
        <f t="shared" si="712"/>
        <v>6035.6008466586627</v>
      </c>
      <c r="Y704" s="5">
        <f t="shared" si="712"/>
        <v>6035.6008466586627</v>
      </c>
      <c r="Z704" s="5">
        <f t="shared" si="712"/>
        <v>6035.6008466586627</v>
      </c>
      <c r="AA704" s="5">
        <f t="shared" si="712"/>
        <v>6035.6008466586627</v>
      </c>
      <c r="AB704" s="5">
        <f t="shared" si="712"/>
        <v>6035.6008466586627</v>
      </c>
      <c r="AC704" s="5">
        <f t="shared" si="712"/>
        <v>6035.6008466586627</v>
      </c>
      <c r="AD704" s="5">
        <f t="shared" si="712"/>
        <v>6035.6008466586627</v>
      </c>
      <c r="AE704" s="5">
        <f t="shared" si="712"/>
        <v>6035.6008466586627</v>
      </c>
      <c r="AF704" s="5">
        <f t="shared" si="712"/>
        <v>6035.6008466586627</v>
      </c>
      <c r="AG704" s="5">
        <f t="shared" si="712"/>
        <v>6035.6008466586627</v>
      </c>
      <c r="AH704" s="5">
        <f t="shared" si="712"/>
        <v>6035.6008466586627</v>
      </c>
    </row>
    <row r="705" spans="1:34" x14ac:dyDescent="0.35">
      <c r="A705" t="s">
        <v>725</v>
      </c>
      <c r="B705" s="3" t="s">
        <v>1266</v>
      </c>
      <c r="C705" s="4" t="s">
        <v>1267</v>
      </c>
      <c r="D705" s="2">
        <f t="shared" si="651"/>
        <v>69138.40712186147</v>
      </c>
      <c r="E705" s="5">
        <v>0</v>
      </c>
      <c r="F705" s="5">
        <v>0</v>
      </c>
      <c r="G705" s="5">
        <v>69138.40712186147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f t="shared" ref="W705:AH705" si="713">IF(OR((SLOPE($E705:$V705,$E$1:$V$1)*W$1+INTERCEPT($E705:$V705,$E$1:$V$1))&gt;(AVERAGE($E705:$V705)+_xlfn.STDEV.P($E705:$V705)),(SLOPE($E705:$V705,$E$1:$V$1)*W$1+INTERCEPT($E705:$V705,$E$1:$V$1))&lt;(AVERAGE($E705:$V705)-_xlfn.STDEV.P($E705:$V705))),V705,(SLOPE($E705:$V705,$E$1:$V$1)*W$1+INTERCEPT($E705:$V705,$E$1:$V$1)))</f>
        <v>-4970.7351525521299</v>
      </c>
      <c r="X705" s="5">
        <f t="shared" si="713"/>
        <v>-5898.2886020714286</v>
      </c>
      <c r="Y705" s="5">
        <f t="shared" si="713"/>
        <v>-6825.8420515907237</v>
      </c>
      <c r="Z705" s="5">
        <f t="shared" si="713"/>
        <v>-7753.3955011100225</v>
      </c>
      <c r="AA705" s="5">
        <f t="shared" si="713"/>
        <v>-8680.9489506293212</v>
      </c>
      <c r="AB705" s="5">
        <f t="shared" si="713"/>
        <v>-9608.5024001486163</v>
      </c>
      <c r="AC705" s="5">
        <f t="shared" si="713"/>
        <v>-10536.055849667915</v>
      </c>
      <c r="AD705" s="5">
        <f t="shared" si="713"/>
        <v>-11463.60929918721</v>
      </c>
      <c r="AE705" s="5">
        <f t="shared" si="713"/>
        <v>-11463.60929918721</v>
      </c>
      <c r="AF705" s="5">
        <f t="shared" si="713"/>
        <v>-11463.60929918721</v>
      </c>
      <c r="AG705" s="5">
        <f t="shared" si="713"/>
        <v>-11463.60929918721</v>
      </c>
      <c r="AH705" s="5">
        <f t="shared" si="713"/>
        <v>-11463.60929918721</v>
      </c>
    </row>
    <row r="706" spans="1:34" x14ac:dyDescent="0.35">
      <c r="A706" t="s">
        <v>726</v>
      </c>
      <c r="B706" s="3" t="s">
        <v>1266</v>
      </c>
      <c r="C706" s="4" t="s">
        <v>1263</v>
      </c>
      <c r="D706" s="2">
        <f t="shared" si="651"/>
        <v>69060.599999999991</v>
      </c>
      <c r="E706" s="5">
        <v>0</v>
      </c>
      <c r="F706" s="5">
        <v>0</v>
      </c>
      <c r="G706" s="5">
        <v>15346.8</v>
      </c>
      <c r="H706" s="5">
        <v>46040.4</v>
      </c>
      <c r="I706" s="5">
        <v>0</v>
      </c>
      <c r="J706" s="5">
        <v>0</v>
      </c>
      <c r="K706" s="5">
        <v>7673.4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f t="shared" ref="W706:AH706" si="714">IF(OR((SLOPE($E706:$V706,$E$1:$V$1)*W$1+INTERCEPT($E706:$V706,$E$1:$V$1))&gt;(AVERAGE($E706:$V706)+_xlfn.STDEV.P($E706:$V706)),(SLOPE($E706:$V706,$E$1:$V$1)*W$1+INTERCEPT($E706:$V706,$E$1:$V$1))&lt;(AVERAGE($E706:$V706)-_xlfn.STDEV.P($E706:$V706))),V706,(SLOPE($E706:$V706,$E$1:$V$1)*W$1+INTERCEPT($E706:$V706,$E$1:$V$1)))</f>
        <v>-3460.5529411764728</v>
      </c>
      <c r="X706" s="5">
        <f t="shared" si="714"/>
        <v>-4228.6848297213655</v>
      </c>
      <c r="Y706" s="5">
        <f t="shared" si="714"/>
        <v>-4996.8167182662582</v>
      </c>
      <c r="Z706" s="5">
        <f t="shared" si="714"/>
        <v>-5764.9486068111473</v>
      </c>
      <c r="AA706" s="5">
        <f t="shared" si="714"/>
        <v>-6533.08049535604</v>
      </c>
      <c r="AB706" s="5">
        <f t="shared" si="714"/>
        <v>-6533.08049535604</v>
      </c>
      <c r="AC706" s="5">
        <f t="shared" si="714"/>
        <v>-6533.08049535604</v>
      </c>
      <c r="AD706" s="5">
        <f t="shared" si="714"/>
        <v>-6533.08049535604</v>
      </c>
      <c r="AE706" s="5">
        <f t="shared" si="714"/>
        <v>-6533.08049535604</v>
      </c>
      <c r="AF706" s="5">
        <f t="shared" si="714"/>
        <v>-6533.08049535604</v>
      </c>
      <c r="AG706" s="5">
        <f t="shared" si="714"/>
        <v>-6533.08049535604</v>
      </c>
      <c r="AH706" s="5">
        <f t="shared" si="714"/>
        <v>-6533.08049535604</v>
      </c>
    </row>
    <row r="707" spans="1:34" x14ac:dyDescent="0.35">
      <c r="A707" t="s">
        <v>727</v>
      </c>
      <c r="B707" s="3" t="s">
        <v>1264</v>
      </c>
      <c r="C707" s="4" t="s">
        <v>1267</v>
      </c>
      <c r="D707" s="2">
        <f t="shared" si="651"/>
        <v>68882.014760586928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68882.014760586928</v>
      </c>
      <c r="S707" s="5">
        <v>0</v>
      </c>
      <c r="T707" s="5">
        <v>0</v>
      </c>
      <c r="U707" s="5">
        <v>0</v>
      </c>
      <c r="V707" s="5">
        <v>0</v>
      </c>
      <c r="W707" s="5">
        <f t="shared" ref="W707:AH707" si="715">IF(OR((SLOPE($E707:$V707,$E$1:$V$1)*W$1+INTERCEPT($E707:$V707,$E$1:$V$1))&gt;(AVERAGE($E707:$V707)+_xlfn.STDEV.P($E707:$V707)),(SLOPE($E707:$V707,$E$1:$V$1)*W$1+INTERCEPT($E707:$V707,$E$1:$V$1))&lt;(AVERAGE($E707:$V707)-_xlfn.STDEV.P($E707:$V707))),V707,(SLOPE($E707:$V707,$E$1:$V$1)*W$1+INTERCEPT($E707:$V707,$E$1:$V$1)))</f>
        <v>9904.6034296268772</v>
      </c>
      <c r="X707" s="5">
        <f t="shared" si="715"/>
        <v>10544.374464554929</v>
      </c>
      <c r="Y707" s="5">
        <f t="shared" si="715"/>
        <v>11184.14549948298</v>
      </c>
      <c r="Z707" s="5">
        <f t="shared" si="715"/>
        <v>11823.916534411032</v>
      </c>
      <c r="AA707" s="5">
        <f t="shared" si="715"/>
        <v>12463.687569339083</v>
      </c>
      <c r="AB707" s="5">
        <f t="shared" si="715"/>
        <v>13103.458604267134</v>
      </c>
      <c r="AC707" s="5">
        <f t="shared" si="715"/>
        <v>13743.229639195188</v>
      </c>
      <c r="AD707" s="5">
        <f t="shared" si="715"/>
        <v>14383.000674123237</v>
      </c>
      <c r="AE707" s="5">
        <f t="shared" si="715"/>
        <v>15022.771709051291</v>
      </c>
      <c r="AF707" s="5">
        <f t="shared" si="715"/>
        <v>15662.542743979344</v>
      </c>
      <c r="AG707" s="5">
        <f t="shared" si="715"/>
        <v>16302.313778907393</v>
      </c>
      <c r="AH707" s="5">
        <f t="shared" si="715"/>
        <v>16942.084813835449</v>
      </c>
    </row>
    <row r="708" spans="1:34" x14ac:dyDescent="0.35">
      <c r="A708" t="s">
        <v>728</v>
      </c>
      <c r="B708" s="3" t="s">
        <v>1266</v>
      </c>
      <c r="C708" s="4" t="s">
        <v>1267</v>
      </c>
      <c r="D708" s="2">
        <f t="shared" ref="D708:D771" si="716">SUM(E708:V708)</f>
        <v>68449.503385683362</v>
      </c>
      <c r="E708" s="5">
        <v>0</v>
      </c>
      <c r="F708" s="5">
        <v>35404.915544318981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33044.58784136438</v>
      </c>
      <c r="T708" s="5">
        <v>0</v>
      </c>
      <c r="U708" s="5">
        <v>0</v>
      </c>
      <c r="V708" s="5">
        <v>0</v>
      </c>
      <c r="W708" s="5">
        <f t="shared" ref="W708:AH708" si="717">IF(OR((SLOPE($E708:$V708,$E$1:$V$1)*W$1+INTERCEPT($E708:$V708,$E$1:$V$1))&gt;(AVERAGE($E708:$V708)+_xlfn.STDEV.P($E708:$V708)),(SLOPE($E708:$V708,$E$1:$V$1)*W$1+INTERCEPT($E708:$V708,$E$1:$V$1))&lt;(AVERAGE($E708:$V708)-_xlfn.STDEV.P($E708:$V708))),V708,(SLOPE($E708:$V708,$E$1:$V$1)*W$1+INTERCEPT($E708:$V708,$E$1:$V$1)))</f>
        <v>2159.7769830957113</v>
      </c>
      <c r="X708" s="5">
        <f t="shared" si="717"/>
        <v>1986.832435201205</v>
      </c>
      <c r="Y708" s="5">
        <f t="shared" si="717"/>
        <v>1813.8878873066992</v>
      </c>
      <c r="Z708" s="5">
        <f t="shared" si="717"/>
        <v>1640.9433394121929</v>
      </c>
      <c r="AA708" s="5">
        <f t="shared" si="717"/>
        <v>1467.9987915176866</v>
      </c>
      <c r="AB708" s="5">
        <f t="shared" si="717"/>
        <v>1295.0542436231808</v>
      </c>
      <c r="AC708" s="5">
        <f t="shared" si="717"/>
        <v>1122.1096957286745</v>
      </c>
      <c r="AD708" s="5">
        <f t="shared" si="717"/>
        <v>949.16514783416824</v>
      </c>
      <c r="AE708" s="5">
        <f t="shared" si="717"/>
        <v>776.22059993966195</v>
      </c>
      <c r="AF708" s="5">
        <f t="shared" si="717"/>
        <v>603.27605204515567</v>
      </c>
      <c r="AG708" s="5">
        <f t="shared" si="717"/>
        <v>430.33150415064938</v>
      </c>
      <c r="AH708" s="5">
        <f t="shared" si="717"/>
        <v>257.38695625614309</v>
      </c>
    </row>
    <row r="709" spans="1:34" x14ac:dyDescent="0.35">
      <c r="A709" t="s">
        <v>729</v>
      </c>
      <c r="B709" s="3" t="s">
        <v>1266</v>
      </c>
      <c r="C709" s="4" t="s">
        <v>1267</v>
      </c>
      <c r="D709" s="2">
        <f t="shared" si="716"/>
        <v>68395.826799999995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28319.961599999999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40075.8652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f t="shared" ref="W709:AH709" si="718">IF(OR((SLOPE($E709:$V709,$E$1:$V$1)*W$1+INTERCEPT($E709:$V709,$E$1:$V$1))&gt;(AVERAGE($E709:$V709)+_xlfn.STDEV.P($E709:$V709)),(SLOPE($E709:$V709,$E$1:$V$1)*W$1+INTERCEPT($E709:$V709,$E$1:$V$1))&lt;(AVERAGE($E709:$V709)-_xlfn.STDEV.P($E709:$V709))),V709,(SLOPE($E709:$V709,$E$1:$V$1)*W$1+INTERCEPT($E709:$V709,$E$1:$V$1)))</f>
        <v>5161.8392183006526</v>
      </c>
      <c r="X709" s="5">
        <f t="shared" si="718"/>
        <v>5305.2151196422419</v>
      </c>
      <c r="Y709" s="5">
        <f t="shared" si="718"/>
        <v>5448.5910209838312</v>
      </c>
      <c r="Z709" s="5">
        <f t="shared" si="718"/>
        <v>5591.9669223254205</v>
      </c>
      <c r="AA709" s="5">
        <f t="shared" si="718"/>
        <v>5735.3428236670097</v>
      </c>
      <c r="AB709" s="5">
        <f t="shared" si="718"/>
        <v>5878.718725008599</v>
      </c>
      <c r="AC709" s="5">
        <f t="shared" si="718"/>
        <v>6022.0946263501883</v>
      </c>
      <c r="AD709" s="5">
        <f t="shared" si="718"/>
        <v>6165.4705276917775</v>
      </c>
      <c r="AE709" s="5">
        <f t="shared" si="718"/>
        <v>6308.8464290333668</v>
      </c>
      <c r="AF709" s="5">
        <f t="shared" si="718"/>
        <v>6452.2223303749561</v>
      </c>
      <c r="AG709" s="5">
        <f t="shared" si="718"/>
        <v>6595.5982317165453</v>
      </c>
      <c r="AH709" s="5">
        <f t="shared" si="718"/>
        <v>6738.9741330581346</v>
      </c>
    </row>
    <row r="710" spans="1:34" x14ac:dyDescent="0.35">
      <c r="A710" t="s">
        <v>730</v>
      </c>
      <c r="B710" s="3" t="s">
        <v>1264</v>
      </c>
      <c r="C710" s="4" t="s">
        <v>1263</v>
      </c>
      <c r="D710" s="2">
        <f t="shared" si="716"/>
        <v>68333.911279684136</v>
      </c>
      <c r="E710" s="5">
        <v>0</v>
      </c>
      <c r="F710" s="5">
        <v>0</v>
      </c>
      <c r="G710" s="5">
        <v>0</v>
      </c>
      <c r="H710" s="5">
        <v>39817.469475352569</v>
      </c>
      <c r="I710" s="5">
        <v>0</v>
      </c>
      <c r="J710" s="5">
        <v>0</v>
      </c>
      <c r="K710" s="5">
        <v>4604.1223844900369</v>
      </c>
      <c r="L710" s="5">
        <v>0</v>
      </c>
      <c r="M710" s="5">
        <v>0</v>
      </c>
      <c r="N710" s="5">
        <v>0</v>
      </c>
      <c r="O710" s="5">
        <v>0</v>
      </c>
      <c r="P710" s="5">
        <v>12010.754046495749</v>
      </c>
      <c r="Q710" s="5">
        <v>0</v>
      </c>
      <c r="R710" s="5">
        <v>0</v>
      </c>
      <c r="S710" s="5">
        <v>0</v>
      </c>
      <c r="T710" s="5">
        <v>909.90560958301126</v>
      </c>
      <c r="U710" s="5">
        <v>4367.5469259984538</v>
      </c>
      <c r="V710" s="5">
        <v>6624.1128377643226</v>
      </c>
      <c r="W710" s="5">
        <f t="shared" ref="W710:AH710" si="719">IF(OR((SLOPE($E710:$V710,$E$1:$V$1)*W$1+INTERCEPT($E710:$V710,$E$1:$V$1))&gt;(AVERAGE($E710:$V710)+_xlfn.STDEV.P($E710:$V710)),(SLOPE($E710:$V710,$E$1:$V$1)*W$1+INTERCEPT($E710:$V710,$E$1:$V$1))&lt;(AVERAGE($E710:$V710)-_xlfn.STDEV.P($E710:$V710))),V710,(SLOPE($E710:$V710,$E$1:$V$1)*W$1+INTERCEPT($E710:$V710,$E$1:$V$1)))</f>
        <v>1727.6312391102274</v>
      </c>
      <c r="X710" s="5">
        <f t="shared" si="719"/>
        <v>1509.8736427611047</v>
      </c>
      <c r="Y710" s="5">
        <f t="shared" si="719"/>
        <v>1292.1160464119812</v>
      </c>
      <c r="Z710" s="5">
        <f t="shared" si="719"/>
        <v>1074.3584500628585</v>
      </c>
      <c r="AA710" s="5">
        <f t="shared" si="719"/>
        <v>856.60085371373498</v>
      </c>
      <c r="AB710" s="5">
        <f t="shared" si="719"/>
        <v>638.84325736461233</v>
      </c>
      <c r="AC710" s="5">
        <f t="shared" si="719"/>
        <v>421.08566101548877</v>
      </c>
      <c r="AD710" s="5">
        <f t="shared" si="719"/>
        <v>203.32806466636612</v>
      </c>
      <c r="AE710" s="5">
        <f t="shared" si="719"/>
        <v>-14.429531682757442</v>
      </c>
      <c r="AF710" s="5">
        <f t="shared" si="719"/>
        <v>-232.18712803188009</v>
      </c>
      <c r="AG710" s="5">
        <f t="shared" si="719"/>
        <v>-449.94472438100365</v>
      </c>
      <c r="AH710" s="5">
        <f t="shared" si="719"/>
        <v>-667.7023207301263</v>
      </c>
    </row>
    <row r="711" spans="1:34" x14ac:dyDescent="0.35">
      <c r="A711" t="s">
        <v>731</v>
      </c>
      <c r="B711" s="3" t="s">
        <v>1266</v>
      </c>
      <c r="C711" s="4" t="s">
        <v>1266</v>
      </c>
      <c r="D711" s="2">
        <f t="shared" si="716"/>
        <v>68142.709096502353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1436.9885748368229</v>
      </c>
      <c r="O711" s="5">
        <v>0</v>
      </c>
      <c r="P711" s="5">
        <v>59089.173305215932</v>
      </c>
      <c r="Q711" s="5">
        <v>0</v>
      </c>
      <c r="R711" s="5">
        <v>0</v>
      </c>
      <c r="S711" s="5">
        <v>0</v>
      </c>
      <c r="T711" s="5">
        <v>7616.5472164495914</v>
      </c>
      <c r="U711" s="5">
        <v>0</v>
      </c>
      <c r="V711" s="5">
        <v>0</v>
      </c>
      <c r="W711" s="5">
        <f t="shared" ref="W711:AH711" si="720">IF(OR((SLOPE($E711:$V711,$E$1:$V$1)*W$1+INTERCEPT($E711:$V711,$E$1:$V$1))&gt;(AVERAGE($E711:$V711)+_xlfn.STDEV.P($E711:$V711)),(SLOPE($E711:$V711,$E$1:$V$1)*W$1+INTERCEPT($E711:$V711,$E$1:$V$1))&lt;(AVERAGE($E711:$V711)-_xlfn.STDEV.P($E711:$V711))),V711,(SLOPE($E711:$V711,$E$1:$V$1)*W$1+INTERCEPT($E711:$V711,$E$1:$V$1)))</f>
        <v>7667.058697336025</v>
      </c>
      <c r="X711" s="5">
        <f t="shared" si="720"/>
        <v>8075.6221327485755</v>
      </c>
      <c r="Y711" s="5">
        <f t="shared" si="720"/>
        <v>8484.1855681611269</v>
      </c>
      <c r="Z711" s="5">
        <f t="shared" si="720"/>
        <v>8892.7490035736773</v>
      </c>
      <c r="AA711" s="5">
        <f t="shared" si="720"/>
        <v>9301.3124389862278</v>
      </c>
      <c r="AB711" s="5">
        <f t="shared" si="720"/>
        <v>9709.8758743987783</v>
      </c>
      <c r="AC711" s="5">
        <f t="shared" si="720"/>
        <v>10118.439309811329</v>
      </c>
      <c r="AD711" s="5">
        <f t="shared" si="720"/>
        <v>10527.002745223879</v>
      </c>
      <c r="AE711" s="5">
        <f t="shared" si="720"/>
        <v>10935.566180636426</v>
      </c>
      <c r="AF711" s="5">
        <f t="shared" si="720"/>
        <v>11344.129616048976</v>
      </c>
      <c r="AG711" s="5">
        <f t="shared" si="720"/>
        <v>11752.693051461527</v>
      </c>
      <c r="AH711" s="5">
        <f t="shared" si="720"/>
        <v>12161.256486874077</v>
      </c>
    </row>
    <row r="712" spans="1:34" x14ac:dyDescent="0.35">
      <c r="A712" t="s">
        <v>732</v>
      </c>
      <c r="B712" s="3" t="s">
        <v>1265</v>
      </c>
      <c r="C712" s="4" t="s">
        <v>1263</v>
      </c>
      <c r="D712" s="2">
        <f t="shared" si="716"/>
        <v>67888.774800000014</v>
      </c>
      <c r="E712" s="5">
        <v>10808.292599999999</v>
      </c>
      <c r="F712" s="5">
        <v>33096.168000000012</v>
      </c>
      <c r="G712" s="5">
        <v>2914.1280000000002</v>
      </c>
      <c r="H712" s="5">
        <v>0</v>
      </c>
      <c r="I712" s="5">
        <v>0</v>
      </c>
      <c r="J712" s="5">
        <v>0</v>
      </c>
      <c r="K712" s="5">
        <v>10.4076</v>
      </c>
      <c r="L712" s="5">
        <v>4693.8275999999987</v>
      </c>
      <c r="M712" s="5">
        <v>6036.4079999999985</v>
      </c>
      <c r="N712" s="5">
        <v>7493.4719999999988</v>
      </c>
      <c r="O712" s="5">
        <v>26.019000000000002</v>
      </c>
      <c r="P712" s="5">
        <v>208.15200000000002</v>
      </c>
      <c r="Q712" s="5">
        <v>1092.798</v>
      </c>
      <c r="R712" s="5">
        <v>421.50780000000003</v>
      </c>
      <c r="S712" s="5">
        <v>1035.5562</v>
      </c>
      <c r="T712" s="5">
        <v>52.038000000000004</v>
      </c>
      <c r="U712" s="5">
        <v>0</v>
      </c>
      <c r="V712" s="5">
        <v>0</v>
      </c>
      <c r="W712" s="5">
        <f t="shared" ref="W712:AH712" si="721">IF(OR((SLOPE($E712:$V712,$E$1:$V$1)*W$1+INTERCEPT($E712:$V712,$E$1:$V$1))&gt;(AVERAGE($E712:$V712)+_xlfn.STDEV.P($E712:$V712)),(SLOPE($E712:$V712,$E$1:$V$1)*W$1+INTERCEPT($E712:$V712,$E$1:$V$1))&lt;(AVERAGE($E712:$V712)-_xlfn.STDEV.P($E712:$V712))),V712,(SLOPE($E712:$V712,$E$1:$V$1)*W$1+INTERCEPT($E712:$V712,$E$1:$V$1)))</f>
        <v>-3151.0879647058828</v>
      </c>
      <c r="X712" s="5">
        <f t="shared" si="721"/>
        <v>-3879.7918136222906</v>
      </c>
      <c r="Y712" s="5">
        <f t="shared" si="721"/>
        <v>-3879.7918136222906</v>
      </c>
      <c r="Z712" s="5">
        <f t="shared" si="721"/>
        <v>-3879.7918136222906</v>
      </c>
      <c r="AA712" s="5">
        <f t="shared" si="721"/>
        <v>-3879.7918136222906</v>
      </c>
      <c r="AB712" s="5">
        <f t="shared" si="721"/>
        <v>-3879.7918136222906</v>
      </c>
      <c r="AC712" s="5">
        <f t="shared" si="721"/>
        <v>-3879.7918136222906</v>
      </c>
      <c r="AD712" s="5">
        <f t="shared" si="721"/>
        <v>-3879.7918136222906</v>
      </c>
      <c r="AE712" s="5">
        <f t="shared" si="721"/>
        <v>-3879.7918136222906</v>
      </c>
      <c r="AF712" s="5">
        <f t="shared" si="721"/>
        <v>-3879.7918136222906</v>
      </c>
      <c r="AG712" s="5">
        <f t="shared" si="721"/>
        <v>-3879.7918136222906</v>
      </c>
      <c r="AH712" s="5">
        <f t="shared" si="721"/>
        <v>-3879.7918136222906</v>
      </c>
    </row>
    <row r="713" spans="1:34" x14ac:dyDescent="0.35">
      <c r="A713" t="s">
        <v>733</v>
      </c>
      <c r="B713" s="3" t="s">
        <v>1266</v>
      </c>
      <c r="C713" s="4" t="s">
        <v>1263</v>
      </c>
      <c r="D713" s="2">
        <f t="shared" si="716"/>
        <v>67124.076370270544</v>
      </c>
      <c r="E713" s="5">
        <v>0</v>
      </c>
      <c r="F713" s="5">
        <v>0</v>
      </c>
      <c r="G713" s="5">
        <v>0</v>
      </c>
      <c r="H713" s="5">
        <v>0</v>
      </c>
      <c r="I713" s="5">
        <v>34072.21884042849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16992.940287843281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16058.917241998779</v>
      </c>
      <c r="V713" s="5">
        <v>0</v>
      </c>
      <c r="W713" s="5">
        <f t="shared" ref="W713:AH713" si="722">IF(OR((SLOPE($E713:$V713,$E$1:$V$1)*W$1+INTERCEPT($E713:$V713,$E$1:$V$1))&gt;(AVERAGE($E713:$V713)+_xlfn.STDEV.P($E713:$V713)),(SLOPE($E713:$V713,$E$1:$V$1)*W$1+INTERCEPT($E713:$V713,$E$1:$V$1))&lt;(AVERAGE($E713:$V713)-_xlfn.STDEV.P($E713:$V713))),V713,(SLOPE($E713:$V713,$E$1:$V$1)*W$1+INTERCEPT($E713:$V713,$E$1:$V$1)))</f>
        <v>3584.1409414495574</v>
      </c>
      <c r="X713" s="5">
        <f t="shared" si="722"/>
        <v>3568.8804769806775</v>
      </c>
      <c r="Y713" s="5">
        <f t="shared" si="722"/>
        <v>3553.6200125117971</v>
      </c>
      <c r="Z713" s="5">
        <f t="shared" si="722"/>
        <v>3538.3595480429171</v>
      </c>
      <c r="AA713" s="5">
        <f t="shared" si="722"/>
        <v>3523.0990835740367</v>
      </c>
      <c r="AB713" s="5">
        <f t="shared" si="722"/>
        <v>3507.8386191051568</v>
      </c>
      <c r="AC713" s="5">
        <f t="shared" si="722"/>
        <v>3492.5781546362764</v>
      </c>
      <c r="AD713" s="5">
        <f t="shared" si="722"/>
        <v>3477.317690167396</v>
      </c>
      <c r="AE713" s="5">
        <f t="shared" si="722"/>
        <v>3462.057225698516</v>
      </c>
      <c r="AF713" s="5">
        <f t="shared" si="722"/>
        <v>3446.7967612296361</v>
      </c>
      <c r="AG713" s="5">
        <f t="shared" si="722"/>
        <v>3431.5362967607557</v>
      </c>
      <c r="AH713" s="5">
        <f t="shared" si="722"/>
        <v>3416.2758322918753</v>
      </c>
    </row>
    <row r="714" spans="1:34" x14ac:dyDescent="0.35">
      <c r="A714" t="s">
        <v>734</v>
      </c>
      <c r="B714" s="3" t="s">
        <v>1265</v>
      </c>
      <c r="C714" s="4" t="s">
        <v>1263</v>
      </c>
      <c r="D714" s="2">
        <f t="shared" si="716"/>
        <v>66428.313182009064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33420.248121084558</v>
      </c>
      <c r="K714" s="5">
        <v>0</v>
      </c>
      <c r="L714" s="5">
        <v>0</v>
      </c>
      <c r="M714" s="5">
        <v>0</v>
      </c>
      <c r="N714" s="5">
        <v>0</v>
      </c>
      <c r="O714" s="5">
        <v>33008.065060924513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f t="shared" ref="W714:AH714" si="723">IF(OR((SLOPE($E714:$V714,$E$1:$V$1)*W$1+INTERCEPT($E714:$V714,$E$1:$V$1))&gt;(AVERAGE($E714:$V714)+_xlfn.STDEV.P($E714:$V714)),(SLOPE($E714:$V714,$E$1:$V$1)*W$1+INTERCEPT($E714:$V714,$E$1:$V$1))&lt;(AVERAGE($E714:$V714)-_xlfn.STDEV.P($E714:$V714))),V714,(SLOPE($E714:$V714,$E$1:$V$1)*W$1+INTERCEPT($E714:$V714,$E$1:$V$1)))</f>
        <v>2367.7408467310429</v>
      </c>
      <c r="X714" s="5">
        <f t="shared" si="723"/>
        <v>2228.5070576032631</v>
      </c>
      <c r="Y714" s="5">
        <f t="shared" si="723"/>
        <v>2089.2732684754837</v>
      </c>
      <c r="Z714" s="5">
        <f t="shared" si="723"/>
        <v>1950.0394793477044</v>
      </c>
      <c r="AA714" s="5">
        <f t="shared" si="723"/>
        <v>1810.8056902199246</v>
      </c>
      <c r="AB714" s="5">
        <f t="shared" si="723"/>
        <v>1671.5719010921453</v>
      </c>
      <c r="AC714" s="5">
        <f t="shared" si="723"/>
        <v>1532.3381119643659</v>
      </c>
      <c r="AD714" s="5">
        <f t="shared" si="723"/>
        <v>1393.1043228365861</v>
      </c>
      <c r="AE714" s="5">
        <f t="shared" si="723"/>
        <v>1253.8705337088068</v>
      </c>
      <c r="AF714" s="5">
        <f t="shared" si="723"/>
        <v>1114.6367445810274</v>
      </c>
      <c r="AG714" s="5">
        <f t="shared" si="723"/>
        <v>975.40295545324761</v>
      </c>
      <c r="AH714" s="5">
        <f t="shared" si="723"/>
        <v>836.16916632546781</v>
      </c>
    </row>
    <row r="715" spans="1:34" x14ac:dyDescent="0.35">
      <c r="A715" t="s">
        <v>735</v>
      </c>
      <c r="B715" s="3" t="s">
        <v>1266</v>
      </c>
      <c r="C715" s="4" t="s">
        <v>1266</v>
      </c>
      <c r="D715" s="2">
        <f t="shared" si="716"/>
        <v>65498.994673711786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48972.235707190077</v>
      </c>
      <c r="Q715" s="5">
        <v>0</v>
      </c>
      <c r="R715" s="5">
        <v>16526.758966521706</v>
      </c>
      <c r="S715" s="5">
        <v>0</v>
      </c>
      <c r="T715" s="5">
        <v>0</v>
      </c>
      <c r="U715" s="5">
        <v>0</v>
      </c>
      <c r="V715" s="5">
        <v>0</v>
      </c>
      <c r="W715" s="5">
        <f t="shared" ref="W715:AH715" si="724">IF(OR((SLOPE($E715:$V715,$E$1:$V$1)*W$1+INTERCEPT($E715:$V715,$E$1:$V$1))&gt;(AVERAGE($E715:$V715)+_xlfn.STDEV.P($E715:$V715)),(SLOPE($E715:$V715,$E$1:$V$1)*W$1+INTERCEPT($E715:$V715,$E$1:$V$1))&lt;(AVERAGE($E715:$V715)-_xlfn.STDEV.P($E715:$V715))),V715,(SLOPE($E715:$V715,$E$1:$V$1)*W$1+INTERCEPT($E715:$V715,$E$1:$V$1)))</f>
        <v>7497.6762652190773</v>
      </c>
      <c r="X715" s="5">
        <f t="shared" si="724"/>
        <v>7903.8702891970388</v>
      </c>
      <c r="Y715" s="5">
        <f t="shared" si="724"/>
        <v>8310.0643131750003</v>
      </c>
      <c r="Z715" s="5">
        <f t="shared" si="724"/>
        <v>8716.2583371529636</v>
      </c>
      <c r="AA715" s="5">
        <f t="shared" si="724"/>
        <v>9122.4523611309269</v>
      </c>
      <c r="AB715" s="5">
        <f t="shared" si="724"/>
        <v>9528.6463851088884</v>
      </c>
      <c r="AC715" s="5">
        <f t="shared" si="724"/>
        <v>9934.8404090868517</v>
      </c>
      <c r="AD715" s="5">
        <f t="shared" si="724"/>
        <v>10341.034433064813</v>
      </c>
      <c r="AE715" s="5">
        <f t="shared" si="724"/>
        <v>10747.228457042776</v>
      </c>
      <c r="AF715" s="5">
        <f t="shared" si="724"/>
        <v>11153.42248102074</v>
      </c>
      <c r="AG715" s="5">
        <f t="shared" si="724"/>
        <v>11559.616504998701</v>
      </c>
      <c r="AH715" s="5">
        <f t="shared" si="724"/>
        <v>11965.810528976665</v>
      </c>
    </row>
    <row r="716" spans="1:34" x14ac:dyDescent="0.35">
      <c r="A716" t="s">
        <v>736</v>
      </c>
      <c r="B716" s="3" t="s">
        <v>1266</v>
      </c>
      <c r="C716" s="4" t="s">
        <v>1267</v>
      </c>
      <c r="D716" s="2">
        <f t="shared" si="716"/>
        <v>65316.99664549718</v>
      </c>
      <c r="E716" s="5">
        <v>0</v>
      </c>
      <c r="F716" s="5">
        <v>0</v>
      </c>
      <c r="G716" s="5">
        <v>0</v>
      </c>
      <c r="H716" s="5">
        <v>17043.735003757418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12497.006915864815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35776.254725874947</v>
      </c>
      <c r="W716" s="5">
        <f t="shared" ref="W716:AH716" si="725">IF(OR((SLOPE($E716:$V716,$E$1:$V$1)*W$1+INTERCEPT($E716:$V716,$E$1:$V$1))&gt;(AVERAGE($E716:$V716)+_xlfn.STDEV.P($E716:$V716)),(SLOPE($E716:$V716,$E$1:$V$1)*W$1+INTERCEPT($E716:$V716,$E$1:$V$1))&lt;(AVERAGE($E716:$V716)-_xlfn.STDEV.P($E716:$V716))),V716,(SLOPE($E716:$V716,$E$1:$V$1)*W$1+INTERCEPT($E716:$V716,$E$1:$V$1)))</f>
        <v>8120.9403304309235</v>
      </c>
      <c r="X716" s="5">
        <f t="shared" si="725"/>
        <v>8593.8054140698678</v>
      </c>
      <c r="Y716" s="5">
        <f t="shared" si="725"/>
        <v>9066.670497708812</v>
      </c>
      <c r="Z716" s="5">
        <f t="shared" si="725"/>
        <v>9539.5355813477563</v>
      </c>
      <c r="AA716" s="5">
        <f t="shared" si="725"/>
        <v>10012.400664986701</v>
      </c>
      <c r="AB716" s="5">
        <f t="shared" si="725"/>
        <v>10485.265748625643</v>
      </c>
      <c r="AC716" s="5">
        <f t="shared" si="725"/>
        <v>10958.130832264587</v>
      </c>
      <c r="AD716" s="5">
        <f t="shared" si="725"/>
        <v>11430.995915903532</v>
      </c>
      <c r="AE716" s="5">
        <f t="shared" si="725"/>
        <v>11903.860999542476</v>
      </c>
      <c r="AF716" s="5">
        <f t="shared" si="725"/>
        <v>12376.72608318142</v>
      </c>
      <c r="AG716" s="5">
        <f t="shared" si="725"/>
        <v>12376.72608318142</v>
      </c>
      <c r="AH716" s="5">
        <f t="shared" si="725"/>
        <v>12376.72608318142</v>
      </c>
    </row>
    <row r="717" spans="1:34" x14ac:dyDescent="0.35">
      <c r="A717" t="s">
        <v>737</v>
      </c>
      <c r="B717" s="3" t="s">
        <v>1266</v>
      </c>
      <c r="C717" s="4" t="s">
        <v>1263</v>
      </c>
      <c r="D717" s="2">
        <f t="shared" si="716"/>
        <v>65209.47358424397</v>
      </c>
      <c r="E717" s="5">
        <v>0</v>
      </c>
      <c r="F717" s="5">
        <v>0</v>
      </c>
      <c r="G717" s="5">
        <v>17173.94616387779</v>
      </c>
      <c r="H717" s="5">
        <v>48035.527420366183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f t="shared" ref="W717:AH717" si="726">IF(OR((SLOPE($E717:$V717,$E$1:$V$1)*W$1+INTERCEPT($E717:$V717,$E$1:$V$1))&gt;(AVERAGE($E717:$V717)+_xlfn.STDEV.P($E717:$V717)),(SLOPE($E717:$V717,$E$1:$V$1)*W$1+INTERCEPT($E717:$V717,$E$1:$V$1))&lt;(AVERAGE($E717:$V717)-_xlfn.STDEV.P($E717:$V717))),V717,(SLOPE($E717:$V717,$E$1:$V$1)*W$1+INTERCEPT($E717:$V717,$E$1:$V$1)))</f>
        <v>-3746.3897200365027</v>
      </c>
      <c r="X717" s="5">
        <f t="shared" si="726"/>
        <v>-4522.088483456977</v>
      </c>
      <c r="Y717" s="5">
        <f t="shared" si="726"/>
        <v>-5297.7872468774513</v>
      </c>
      <c r="Z717" s="5">
        <f t="shared" si="726"/>
        <v>-6073.4860102979255</v>
      </c>
      <c r="AA717" s="5">
        <f t="shared" si="726"/>
        <v>-6849.1847737183998</v>
      </c>
      <c r="AB717" s="5">
        <f t="shared" si="726"/>
        <v>-7624.8835371388741</v>
      </c>
      <c r="AC717" s="5">
        <f t="shared" si="726"/>
        <v>-7624.8835371388741</v>
      </c>
      <c r="AD717" s="5">
        <f t="shared" si="726"/>
        <v>-7624.8835371388741</v>
      </c>
      <c r="AE717" s="5">
        <f t="shared" si="726"/>
        <v>-7624.8835371388741</v>
      </c>
      <c r="AF717" s="5">
        <f t="shared" si="726"/>
        <v>-7624.8835371388741</v>
      </c>
      <c r="AG717" s="5">
        <f t="shared" si="726"/>
        <v>-7624.8835371388741</v>
      </c>
      <c r="AH717" s="5">
        <f t="shared" si="726"/>
        <v>-7624.8835371388741</v>
      </c>
    </row>
    <row r="718" spans="1:34" x14ac:dyDescent="0.35">
      <c r="A718" t="s">
        <v>738</v>
      </c>
      <c r="B718" s="3" t="s">
        <v>1266</v>
      </c>
      <c r="C718" s="4" t="s">
        <v>1263</v>
      </c>
      <c r="D718" s="2">
        <f t="shared" si="716"/>
        <v>64799.305199999988</v>
      </c>
      <c r="E718" s="5">
        <v>1402.3799999999997</v>
      </c>
      <c r="F718" s="5">
        <v>2290.5539999999996</v>
      </c>
      <c r="G718" s="5">
        <v>8442.3275999999987</v>
      </c>
      <c r="H718" s="5">
        <v>336.57119999999998</v>
      </c>
      <c r="I718" s="5">
        <v>10199.977199999999</v>
      </c>
      <c r="J718" s="5">
        <v>4543.7111999999997</v>
      </c>
      <c r="K718" s="5">
        <v>11162.944799999994</v>
      </c>
      <c r="L718" s="5">
        <v>2337.3000000000002</v>
      </c>
      <c r="M718" s="5">
        <v>3225.4740000000002</v>
      </c>
      <c r="N718" s="5">
        <v>3085.2359999999999</v>
      </c>
      <c r="O718" s="5">
        <v>9498.7872000000007</v>
      </c>
      <c r="P718" s="5">
        <v>7152.1380000000008</v>
      </c>
      <c r="Q718" s="5">
        <v>0</v>
      </c>
      <c r="R718" s="5">
        <v>0</v>
      </c>
      <c r="S718" s="5">
        <v>0</v>
      </c>
      <c r="T718" s="5">
        <v>0</v>
      </c>
      <c r="U718" s="5">
        <v>1121.9039999999998</v>
      </c>
      <c r="V718" s="5">
        <v>0</v>
      </c>
      <c r="W718" s="5">
        <f t="shared" ref="W718:AH718" si="727">IF(OR((SLOPE($E718:$V718,$E$1:$V$1)*W$1+INTERCEPT($E718:$V718,$E$1:$V$1))&gt;(AVERAGE($E718:$V718)+_xlfn.STDEV.P($E718:$V718)),(SLOPE($E718:$V718,$E$1:$V$1)*W$1+INTERCEPT($E718:$V718,$E$1:$V$1))&lt;(AVERAGE($E718:$V718)-_xlfn.STDEV.P($E718:$V718))),V718,(SLOPE($E718:$V718,$E$1:$V$1)*W$1+INTERCEPT($E718:$V718,$E$1:$V$1)))</f>
        <v>882.91889411764623</v>
      </c>
      <c r="X718" s="5">
        <f t="shared" si="727"/>
        <v>596.91441981424123</v>
      </c>
      <c r="Y718" s="5">
        <f t="shared" si="727"/>
        <v>310.90994551083531</v>
      </c>
      <c r="Z718" s="5">
        <f t="shared" si="727"/>
        <v>24.9054712074294</v>
      </c>
      <c r="AA718" s="5">
        <f t="shared" si="727"/>
        <v>24.9054712074294</v>
      </c>
      <c r="AB718" s="5">
        <f t="shared" si="727"/>
        <v>24.9054712074294</v>
      </c>
      <c r="AC718" s="5">
        <f t="shared" si="727"/>
        <v>24.9054712074294</v>
      </c>
      <c r="AD718" s="5">
        <f t="shared" si="727"/>
        <v>24.9054712074294</v>
      </c>
      <c r="AE718" s="5">
        <f t="shared" si="727"/>
        <v>24.9054712074294</v>
      </c>
      <c r="AF718" s="5">
        <f t="shared" si="727"/>
        <v>24.9054712074294</v>
      </c>
      <c r="AG718" s="5">
        <f t="shared" si="727"/>
        <v>24.9054712074294</v>
      </c>
      <c r="AH718" s="5">
        <f t="shared" si="727"/>
        <v>24.9054712074294</v>
      </c>
    </row>
    <row r="719" spans="1:34" x14ac:dyDescent="0.35">
      <c r="A719" t="s">
        <v>739</v>
      </c>
      <c r="B719" s="3" t="s">
        <v>1265</v>
      </c>
      <c r="C719" s="4" t="s">
        <v>1263</v>
      </c>
      <c r="D719" s="2">
        <f t="shared" si="716"/>
        <v>59162.623744047276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48385.788935652046</v>
      </c>
      <c r="R719" s="5">
        <v>0</v>
      </c>
      <c r="S719" s="5">
        <v>0</v>
      </c>
      <c r="T719" s="5">
        <v>2199.3540425296383</v>
      </c>
      <c r="U719" s="5">
        <v>3518.9664680474216</v>
      </c>
      <c r="V719" s="5">
        <v>5058.5142978181684</v>
      </c>
      <c r="W719" s="5">
        <f t="shared" ref="W719:AH719" si="728">IF(OR((SLOPE($E719:$V719,$E$1:$V$1)*W$1+INTERCEPT($E719:$V719,$E$1:$V$1))&gt;(AVERAGE($E719:$V719)+_xlfn.STDEV.P($E719:$V719)),(SLOPE($E719:$V719,$E$1:$V$1)*W$1+INTERCEPT($E719:$V719,$E$1:$V$1))&lt;(AVERAGE($E719:$V719)-_xlfn.STDEV.P($E719:$V719))),V719,(SLOPE($E719:$V719,$E$1:$V$1)*W$1+INTERCEPT($E719:$V719,$E$1:$V$1)))</f>
        <v>8248.2964026372974</v>
      </c>
      <c r="X719" s="5">
        <f t="shared" si="728"/>
        <v>8770.5578734175542</v>
      </c>
      <c r="Y719" s="5">
        <f t="shared" si="728"/>
        <v>9292.8193441978146</v>
      </c>
      <c r="Z719" s="5">
        <f t="shared" si="728"/>
        <v>9815.0808149780714</v>
      </c>
      <c r="AA719" s="5">
        <f t="shared" si="728"/>
        <v>10337.342285758328</v>
      </c>
      <c r="AB719" s="5">
        <f t="shared" si="728"/>
        <v>10859.603756538589</v>
      </c>
      <c r="AC719" s="5">
        <f t="shared" si="728"/>
        <v>11381.865227318845</v>
      </c>
      <c r="AD719" s="5">
        <f t="shared" si="728"/>
        <v>11904.126698099102</v>
      </c>
      <c r="AE719" s="5">
        <f t="shared" si="728"/>
        <v>12426.388168879359</v>
      </c>
      <c r="AF719" s="5">
        <f t="shared" si="728"/>
        <v>12948.649639659619</v>
      </c>
      <c r="AG719" s="5">
        <f t="shared" si="728"/>
        <v>13470.911110439876</v>
      </c>
      <c r="AH719" s="5">
        <f t="shared" si="728"/>
        <v>13993.172581220133</v>
      </c>
    </row>
    <row r="720" spans="1:34" x14ac:dyDescent="0.35">
      <c r="A720" t="s">
        <v>740</v>
      </c>
      <c r="B720" s="3" t="s">
        <v>1264</v>
      </c>
      <c r="C720" s="4" t="s">
        <v>1263</v>
      </c>
      <c r="D720" s="2">
        <f t="shared" si="716"/>
        <v>63780.589941963379</v>
      </c>
      <c r="E720" s="5">
        <v>1789.6726296631282</v>
      </c>
      <c r="F720" s="5">
        <v>4526.4093746343697</v>
      </c>
      <c r="G720" s="5">
        <v>4937.2680717165676</v>
      </c>
      <c r="H720" s="5">
        <v>3084.922081481579</v>
      </c>
      <c r="I720" s="5">
        <v>2082.1483123318103</v>
      </c>
      <c r="J720" s="5">
        <v>2332.8417546192532</v>
      </c>
      <c r="K720" s="5">
        <v>3001.3576007190982</v>
      </c>
      <c r="L720" s="5">
        <v>5550.0742639747587</v>
      </c>
      <c r="M720" s="5">
        <v>2889.938293035791</v>
      </c>
      <c r="N720" s="5">
        <v>3314.7244035784001</v>
      </c>
      <c r="O720" s="5">
        <v>2116.966845982844</v>
      </c>
      <c r="P720" s="5">
        <v>2082.1483123318103</v>
      </c>
      <c r="Q720" s="5">
        <v>2820.3012257337236</v>
      </c>
      <c r="R720" s="5">
        <v>4045.9136102501061</v>
      </c>
      <c r="S720" s="5">
        <v>5661.493571658063</v>
      </c>
      <c r="T720" s="5">
        <v>5863.4410668340597</v>
      </c>
      <c r="U720" s="5">
        <v>4791.0302303822264</v>
      </c>
      <c r="V720" s="5">
        <v>2889.9382930357906</v>
      </c>
      <c r="W720" s="5">
        <f t="shared" ref="W720:AH720" si="729">IF(OR((SLOPE($E720:$V720,$E$1:$V$1)*W$1+INTERCEPT($E720:$V720,$E$1:$V$1))&gt;(AVERAGE($E720:$V720)+_xlfn.STDEV.P($E720:$V720)),(SLOPE($E720:$V720,$E$1:$V$1)*W$1+INTERCEPT($E720:$V720,$E$1:$V$1))&lt;(AVERAGE($E720:$V720)-_xlfn.STDEV.P($E720:$V720))),V720,(SLOPE($E720:$V720,$E$1:$V$1)*W$1+INTERCEPT($E720:$V720,$E$1:$V$1)))</f>
        <v>4226.4238121586022</v>
      </c>
      <c r="X720" s="5">
        <f t="shared" si="729"/>
        <v>4298.3246231345747</v>
      </c>
      <c r="Y720" s="5">
        <f t="shared" si="729"/>
        <v>4370.2254341105481</v>
      </c>
      <c r="Z720" s="5">
        <f t="shared" si="729"/>
        <v>4442.1262450865215</v>
      </c>
      <c r="AA720" s="5">
        <f t="shared" si="729"/>
        <v>4514.0270560624949</v>
      </c>
      <c r="AB720" s="5">
        <f t="shared" si="729"/>
        <v>4585.9278670384683</v>
      </c>
      <c r="AC720" s="5">
        <f t="shared" si="729"/>
        <v>4657.8286780144417</v>
      </c>
      <c r="AD720" s="5">
        <f t="shared" si="729"/>
        <v>4729.7294889904151</v>
      </c>
      <c r="AE720" s="5">
        <f t="shared" si="729"/>
        <v>4801.6302999663885</v>
      </c>
      <c r="AF720" s="5">
        <f t="shared" si="729"/>
        <v>4801.6302999663885</v>
      </c>
      <c r="AG720" s="5">
        <f t="shared" si="729"/>
        <v>4801.6302999663885</v>
      </c>
      <c r="AH720" s="5">
        <f t="shared" si="729"/>
        <v>4801.6302999663885</v>
      </c>
    </row>
    <row r="721" spans="1:34" x14ac:dyDescent="0.35">
      <c r="A721" t="s">
        <v>741</v>
      </c>
      <c r="B721" s="3" t="s">
        <v>1266</v>
      </c>
      <c r="C721" s="4" t="s">
        <v>1267</v>
      </c>
      <c r="D721" s="2">
        <f t="shared" si="716"/>
        <v>64095.4825554575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64095.4825554575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f t="shared" ref="W721:AH721" si="730">IF(OR((SLOPE($E721:$V721,$E$1:$V$1)*W$1+INTERCEPT($E721:$V721,$E$1:$V$1))&gt;(AVERAGE($E721:$V721)+_xlfn.STDEV.P($E721:$V721)),(SLOPE($E721:$V721,$E$1:$V$1)*W$1+INTERCEPT($E721:$V721,$E$1:$V$1))&lt;(AVERAGE($E721:$V721)-_xlfn.STDEV.P($E721:$V721))),V721,(SLOPE($E721:$V721,$E$1:$V$1)*W$1+INTERCEPT($E721:$V721,$E$1:$V$1)))</f>
        <v>-837.84944516937867</v>
      </c>
      <c r="X721" s="5">
        <f t="shared" si="730"/>
        <v>-1300.8715069735099</v>
      </c>
      <c r="Y721" s="5">
        <f t="shared" si="730"/>
        <v>-1763.8935687776393</v>
      </c>
      <c r="Z721" s="5">
        <f t="shared" si="730"/>
        <v>-2226.9156305817705</v>
      </c>
      <c r="AA721" s="5">
        <f t="shared" si="730"/>
        <v>-2689.9376923859018</v>
      </c>
      <c r="AB721" s="5">
        <f t="shared" si="730"/>
        <v>-3152.9597541900312</v>
      </c>
      <c r="AC721" s="5">
        <f t="shared" si="730"/>
        <v>-3615.9818159941624</v>
      </c>
      <c r="AD721" s="5">
        <f t="shared" si="730"/>
        <v>-4079.0038777982918</v>
      </c>
      <c r="AE721" s="5">
        <f t="shared" si="730"/>
        <v>-4542.025939602423</v>
      </c>
      <c r="AF721" s="5">
        <f t="shared" si="730"/>
        <v>-5005.0480014065542</v>
      </c>
      <c r="AG721" s="5">
        <f t="shared" si="730"/>
        <v>-5468.0700632106837</v>
      </c>
      <c r="AH721" s="5">
        <f t="shared" si="730"/>
        <v>-5931.0921250148149</v>
      </c>
    </row>
    <row r="722" spans="1:34" x14ac:dyDescent="0.35">
      <c r="A722" t="s">
        <v>742</v>
      </c>
      <c r="B722" s="3" t="s">
        <v>1265</v>
      </c>
      <c r="C722" s="4" t="s">
        <v>1263</v>
      </c>
      <c r="D722" s="2">
        <f t="shared" si="716"/>
        <v>63523.698000000004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39415.012000000002</v>
      </c>
      <c r="S722" s="5">
        <v>14572.796</v>
      </c>
      <c r="T722" s="5">
        <v>929.13800000000003</v>
      </c>
      <c r="U722" s="5">
        <v>489.02</v>
      </c>
      <c r="V722" s="5">
        <v>8117.732</v>
      </c>
      <c r="W722" s="5">
        <f t="shared" ref="W722:AH722" si="731">IF(OR((SLOPE($E722:$V722,$E$1:$V$1)*W$1+INTERCEPT($E722:$V722,$E$1:$V$1))&gt;(AVERAGE($E722:$V722)+_xlfn.STDEV.P($E722:$V722)),(SLOPE($E722:$V722,$E$1:$V$1)*W$1+INTERCEPT($E722:$V722,$E$1:$V$1))&lt;(AVERAGE($E722:$V722)-_xlfn.STDEV.P($E722:$V722))),V722,(SLOPE($E722:$V722,$E$1:$V$1)*W$1+INTERCEPT($E722:$V722,$E$1:$V$1)))</f>
        <v>10121.755137254902</v>
      </c>
      <c r="X722" s="5">
        <f t="shared" si="731"/>
        <v>10815.719432404541</v>
      </c>
      <c r="Y722" s="5">
        <f t="shared" si="731"/>
        <v>11509.68372755418</v>
      </c>
      <c r="Z722" s="5">
        <f t="shared" si="731"/>
        <v>12203.648022703819</v>
      </c>
      <c r="AA722" s="5">
        <f t="shared" si="731"/>
        <v>12897.612317853458</v>
      </c>
      <c r="AB722" s="5">
        <f t="shared" si="731"/>
        <v>12897.612317853458</v>
      </c>
      <c r="AC722" s="5">
        <f t="shared" si="731"/>
        <v>12897.612317853458</v>
      </c>
      <c r="AD722" s="5">
        <f t="shared" si="731"/>
        <v>12897.612317853458</v>
      </c>
      <c r="AE722" s="5">
        <f t="shared" si="731"/>
        <v>12897.612317853458</v>
      </c>
      <c r="AF722" s="5">
        <f t="shared" si="731"/>
        <v>12897.612317853458</v>
      </c>
      <c r="AG722" s="5">
        <f t="shared" si="731"/>
        <v>12897.612317853458</v>
      </c>
      <c r="AH722" s="5">
        <f t="shared" si="731"/>
        <v>12897.612317853458</v>
      </c>
    </row>
    <row r="723" spans="1:34" x14ac:dyDescent="0.35">
      <c r="A723" t="s">
        <v>743</v>
      </c>
      <c r="B723" s="3" t="s">
        <v>1265</v>
      </c>
      <c r="C723" s="4" t="s">
        <v>1263</v>
      </c>
      <c r="D723" s="2">
        <f t="shared" si="716"/>
        <v>63254.379689990237</v>
      </c>
      <c r="E723" s="5">
        <v>0</v>
      </c>
      <c r="F723" s="5">
        <v>0</v>
      </c>
      <c r="G723" s="5">
        <v>0</v>
      </c>
      <c r="H723" s="5">
        <v>20494.419019556837</v>
      </c>
      <c r="I723" s="5">
        <v>0</v>
      </c>
      <c r="J723" s="5">
        <v>26946.365747935841</v>
      </c>
      <c r="K723" s="5">
        <v>0</v>
      </c>
      <c r="L723" s="5">
        <v>15813.594922497559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f t="shared" ref="W723:AH723" si="732">IF(OR((SLOPE($E723:$V723,$E$1:$V$1)*W$1+INTERCEPT($E723:$V723,$E$1:$V$1))&gt;(AVERAGE($E723:$V723)+_xlfn.STDEV.P($E723:$V723)),(SLOPE($E723:$V723,$E$1:$V$1)*W$1+INTERCEPT($E723:$V723,$E$1:$V$1))&lt;(AVERAGE($E723:$V723)-_xlfn.STDEV.P($E723:$V723))),V723,(SLOPE($E723:$V723,$E$1:$V$1)*W$1+INTERCEPT($E723:$V723,$E$1:$V$1)))</f>
        <v>-1010.4163657669023</v>
      </c>
      <c r="X723" s="5">
        <f t="shared" si="732"/>
        <v>-1486.6846363738887</v>
      </c>
      <c r="Y723" s="5">
        <f t="shared" si="732"/>
        <v>-1962.9529069808732</v>
      </c>
      <c r="Z723" s="5">
        <f t="shared" si="732"/>
        <v>-2439.2211775878595</v>
      </c>
      <c r="AA723" s="5">
        <f t="shared" si="732"/>
        <v>-2915.489448194844</v>
      </c>
      <c r="AB723" s="5">
        <f t="shared" si="732"/>
        <v>-3391.7577188018286</v>
      </c>
      <c r="AC723" s="5">
        <f t="shared" si="732"/>
        <v>-3868.0259894088149</v>
      </c>
      <c r="AD723" s="5">
        <f t="shared" si="732"/>
        <v>-4344.2942600157994</v>
      </c>
      <c r="AE723" s="5">
        <f t="shared" si="732"/>
        <v>-4344.2942600157994</v>
      </c>
      <c r="AF723" s="5">
        <f t="shared" si="732"/>
        <v>-4344.2942600157994</v>
      </c>
      <c r="AG723" s="5">
        <f t="shared" si="732"/>
        <v>-4344.2942600157994</v>
      </c>
      <c r="AH723" s="5">
        <f t="shared" si="732"/>
        <v>-4344.2942600157994</v>
      </c>
    </row>
    <row r="724" spans="1:34" x14ac:dyDescent="0.35">
      <c r="A724" t="s">
        <v>744</v>
      </c>
      <c r="B724" s="3" t="s">
        <v>1266</v>
      </c>
      <c r="C724" s="4" t="s">
        <v>1263</v>
      </c>
      <c r="D724" s="2">
        <f t="shared" si="716"/>
        <v>62652.233994091192</v>
      </c>
      <c r="E724" s="5">
        <v>0</v>
      </c>
      <c r="F724" s="5">
        <v>0</v>
      </c>
      <c r="G724" s="5">
        <v>37591.340396454718</v>
      </c>
      <c r="H724" s="5">
        <v>0</v>
      </c>
      <c r="I724" s="5">
        <v>0</v>
      </c>
      <c r="J724" s="5">
        <v>0</v>
      </c>
      <c r="K724" s="5">
        <v>25060.893597636477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f t="shared" ref="W724:AH724" si="733">IF(OR((SLOPE($E724:$V724,$E$1:$V$1)*W$1+INTERCEPT($E724:$V724,$E$1:$V$1))&gt;(AVERAGE($E724:$V724)+_xlfn.STDEV.P($E724:$V724)),(SLOPE($E724:$V724,$E$1:$V$1)*W$1+INTERCEPT($E724:$V724,$E$1:$V$1))&lt;(AVERAGE($E724:$V724)-_xlfn.STDEV.P($E724:$V724))),V724,(SLOPE($E724:$V724,$E$1:$V$1)*W$1+INTERCEPT($E724:$V724,$E$1:$V$1)))</f>
        <v>-2538.8486977997745</v>
      </c>
      <c r="X724" s="5">
        <f t="shared" si="733"/>
        <v>-3172.4832624458977</v>
      </c>
      <c r="Y724" s="5">
        <f t="shared" si="733"/>
        <v>-3806.1178270920209</v>
      </c>
      <c r="Z724" s="5">
        <f t="shared" si="733"/>
        <v>-4439.7523917381441</v>
      </c>
      <c r="AA724" s="5">
        <f t="shared" si="733"/>
        <v>-5073.3869563842673</v>
      </c>
      <c r="AB724" s="5">
        <f t="shared" si="733"/>
        <v>-5707.0215210303904</v>
      </c>
      <c r="AC724" s="5">
        <f t="shared" si="733"/>
        <v>-6340.6560856765154</v>
      </c>
      <c r="AD724" s="5">
        <f t="shared" si="733"/>
        <v>-6340.6560856765154</v>
      </c>
      <c r="AE724" s="5">
        <f t="shared" si="733"/>
        <v>-6340.6560856765154</v>
      </c>
      <c r="AF724" s="5">
        <f t="shared" si="733"/>
        <v>-6340.6560856765154</v>
      </c>
      <c r="AG724" s="5">
        <f t="shared" si="733"/>
        <v>-6340.6560856765154</v>
      </c>
      <c r="AH724" s="5">
        <f t="shared" si="733"/>
        <v>-6340.6560856765154</v>
      </c>
    </row>
    <row r="725" spans="1:34" x14ac:dyDescent="0.35">
      <c r="A725" t="s">
        <v>745</v>
      </c>
      <c r="B725" s="3" t="s">
        <v>1266</v>
      </c>
      <c r="C725" s="4" t="s">
        <v>1266</v>
      </c>
      <c r="D725" s="2">
        <f t="shared" si="716"/>
        <v>62199.623613447198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48723.038497200308</v>
      </c>
      <c r="Q725" s="5">
        <v>0</v>
      </c>
      <c r="R725" s="5">
        <v>13476.585116246893</v>
      </c>
      <c r="S725" s="5">
        <v>0</v>
      </c>
      <c r="T725" s="5">
        <v>0</v>
      </c>
      <c r="U725" s="5">
        <v>0</v>
      </c>
      <c r="V725" s="5">
        <v>0</v>
      </c>
      <c r="W725" s="5">
        <f t="shared" ref="W725:AH725" si="734">IF(OR((SLOPE($E725:$V725,$E$1:$V$1)*W$1+INTERCEPT($E725:$V725,$E$1:$V$1))&gt;(AVERAGE($E725:$V725)+_xlfn.STDEV.P($E725:$V725)),(SLOPE($E725:$V725,$E$1:$V$1)*W$1+INTERCEPT($E725:$V725,$E$1:$V$1))&lt;(AVERAGE($E725:$V725)-_xlfn.STDEV.P($E725:$V725))),V725,(SLOPE($E725:$V725,$E$1:$V$1)*W$1+INTERCEPT($E725:$V725,$E$1:$V$1)))</f>
        <v>7033.0293366838996</v>
      </c>
      <c r="X725" s="5">
        <f t="shared" si="734"/>
        <v>7409.6077252620453</v>
      </c>
      <c r="Y725" s="5">
        <f t="shared" si="734"/>
        <v>7786.186113840191</v>
      </c>
      <c r="Z725" s="5">
        <f t="shared" si="734"/>
        <v>8162.7645024183385</v>
      </c>
      <c r="AA725" s="5">
        <f t="shared" si="734"/>
        <v>8539.3428909964841</v>
      </c>
      <c r="AB725" s="5">
        <f t="shared" si="734"/>
        <v>8915.9212795746298</v>
      </c>
      <c r="AC725" s="5">
        <f t="shared" si="734"/>
        <v>9292.4996681527755</v>
      </c>
      <c r="AD725" s="5">
        <f t="shared" si="734"/>
        <v>9669.0780567309212</v>
      </c>
      <c r="AE725" s="5">
        <f t="shared" si="734"/>
        <v>10045.656445309069</v>
      </c>
      <c r="AF725" s="5">
        <f t="shared" si="734"/>
        <v>10422.234833887214</v>
      </c>
      <c r="AG725" s="5">
        <f t="shared" si="734"/>
        <v>10798.81322246536</v>
      </c>
      <c r="AH725" s="5">
        <f t="shared" si="734"/>
        <v>11175.391611043508</v>
      </c>
    </row>
    <row r="726" spans="1:34" x14ac:dyDescent="0.35">
      <c r="A726" t="s">
        <v>746</v>
      </c>
      <c r="B726" s="3" t="s">
        <v>1265</v>
      </c>
      <c r="C726" s="4" t="s">
        <v>1263</v>
      </c>
      <c r="D726" s="2">
        <f t="shared" si="716"/>
        <v>61879.445423068064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9960.8887750491176</v>
      </c>
      <c r="O726" s="5">
        <v>0</v>
      </c>
      <c r="P726" s="5">
        <v>0</v>
      </c>
      <c r="Q726" s="5">
        <v>17173.94616387779</v>
      </c>
      <c r="R726" s="5">
        <v>14135.87508748781</v>
      </c>
      <c r="S726" s="5">
        <v>0</v>
      </c>
      <c r="T726" s="5">
        <v>8586.9730819388951</v>
      </c>
      <c r="U726" s="5">
        <v>0</v>
      </c>
      <c r="V726" s="5">
        <v>12021.762314714453</v>
      </c>
      <c r="W726" s="5">
        <f t="shared" ref="W726:AH726" si="735">IF(OR((SLOPE($E726:$V726,$E$1:$V$1)*W$1+INTERCEPT($E726:$V726,$E$1:$V$1))&gt;(AVERAGE($E726:$V726)+_xlfn.STDEV.P($E726:$V726)),(SLOPE($E726:$V726,$E$1:$V$1)*W$1+INTERCEPT($E726:$V726,$E$1:$V$1))&lt;(AVERAGE($E726:$V726)-_xlfn.STDEV.P($E726:$V726))),V726,(SLOPE($E726:$V726,$E$1:$V$1)*W$1+INTERCEPT($E726:$V726,$E$1:$V$1)))</f>
        <v>9059.3351750554339</v>
      </c>
      <c r="X726" s="5">
        <f t="shared" si="735"/>
        <v>9059.3351750554339</v>
      </c>
      <c r="Y726" s="5">
        <f t="shared" si="735"/>
        <v>9059.3351750554339</v>
      </c>
      <c r="Z726" s="5">
        <f t="shared" si="735"/>
        <v>9059.3351750554339</v>
      </c>
      <c r="AA726" s="5">
        <f t="shared" si="735"/>
        <v>9059.3351750554339</v>
      </c>
      <c r="AB726" s="5">
        <f t="shared" si="735"/>
        <v>9059.3351750554339</v>
      </c>
      <c r="AC726" s="5">
        <f t="shared" si="735"/>
        <v>9059.3351750554339</v>
      </c>
      <c r="AD726" s="5">
        <f t="shared" si="735"/>
        <v>9059.3351750554339</v>
      </c>
      <c r="AE726" s="5">
        <f t="shared" si="735"/>
        <v>9059.3351750554339</v>
      </c>
      <c r="AF726" s="5">
        <f t="shared" si="735"/>
        <v>9059.3351750554339</v>
      </c>
      <c r="AG726" s="5">
        <f t="shared" si="735"/>
        <v>9059.3351750554339</v>
      </c>
      <c r="AH726" s="5">
        <f t="shared" si="735"/>
        <v>9059.3351750554339</v>
      </c>
    </row>
    <row r="727" spans="1:34" x14ac:dyDescent="0.35">
      <c r="A727" t="s">
        <v>747</v>
      </c>
      <c r="B727" s="3" t="s">
        <v>1266</v>
      </c>
      <c r="C727" s="4" t="s">
        <v>1266</v>
      </c>
      <c r="D727" s="2">
        <f t="shared" si="716"/>
        <v>61665.082348524011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61665.082348524011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f t="shared" ref="W727:AH727" si="736">IF(OR((SLOPE($E727:$V727,$E$1:$V$1)*W$1+INTERCEPT($E727:$V727,$E$1:$V$1))&gt;(AVERAGE($E727:$V727)+_xlfn.STDEV.P($E727:$V727)),(SLOPE($E727:$V727,$E$1:$V$1)*W$1+INTERCEPT($E727:$V727,$E$1:$V$1))&lt;(AVERAGE($E727:$V727)-_xlfn.STDEV.P($E727:$V727))),V727,(SLOPE($E727:$V727,$E$1:$V$1)*W$1+INTERCEPT($E727:$V727,$E$1:$V$1)))</f>
        <v>6448.6360625907473</v>
      </c>
      <c r="X727" s="5">
        <f t="shared" si="736"/>
        <v>6766.825341994896</v>
      </c>
      <c r="Y727" s="5">
        <f t="shared" si="736"/>
        <v>7085.0146213990447</v>
      </c>
      <c r="Z727" s="5">
        <f t="shared" si="736"/>
        <v>7403.2039008031934</v>
      </c>
      <c r="AA727" s="5">
        <f t="shared" si="736"/>
        <v>7721.3931802073421</v>
      </c>
      <c r="AB727" s="5">
        <f t="shared" si="736"/>
        <v>8039.5824596114908</v>
      </c>
      <c r="AC727" s="5">
        <f t="shared" si="736"/>
        <v>8357.7717390156395</v>
      </c>
      <c r="AD727" s="5">
        <f t="shared" si="736"/>
        <v>8675.9610184197882</v>
      </c>
      <c r="AE727" s="5">
        <f t="shared" si="736"/>
        <v>8994.1502978239369</v>
      </c>
      <c r="AF727" s="5">
        <f t="shared" si="736"/>
        <v>9312.3395772280855</v>
      </c>
      <c r="AG727" s="5">
        <f t="shared" si="736"/>
        <v>9630.5288566322342</v>
      </c>
      <c r="AH727" s="5">
        <f t="shared" si="736"/>
        <v>9948.7181360363829</v>
      </c>
    </row>
    <row r="728" spans="1:34" x14ac:dyDescent="0.35">
      <c r="A728" t="s">
        <v>748</v>
      </c>
      <c r="B728" s="3" t="s">
        <v>1264</v>
      </c>
      <c r="C728" s="4" t="s">
        <v>1263</v>
      </c>
      <c r="D728" s="2">
        <f t="shared" si="716"/>
        <v>60588.28439999999</v>
      </c>
      <c r="E728" s="5">
        <v>0</v>
      </c>
      <c r="F728" s="5">
        <v>0</v>
      </c>
      <c r="G728" s="5">
        <v>469.92959999999999</v>
      </c>
      <c r="H728" s="5">
        <v>7917.008399999997</v>
      </c>
      <c r="I728" s="5">
        <v>2819.5775999999996</v>
      </c>
      <c r="J728" s="5">
        <v>2584.6127999999999</v>
      </c>
      <c r="K728" s="5">
        <v>2852.2116000000005</v>
      </c>
      <c r="L728" s="5">
        <v>5900.2271999999984</v>
      </c>
      <c r="M728" s="5">
        <v>4647.0815999999995</v>
      </c>
      <c r="N728" s="5">
        <v>2976.2207999999996</v>
      </c>
      <c r="O728" s="5">
        <v>3426.5699999999993</v>
      </c>
      <c r="P728" s="5">
        <v>20239.606800000005</v>
      </c>
      <c r="Q728" s="5">
        <v>939.85919999999999</v>
      </c>
      <c r="R728" s="5">
        <v>52.214399999999998</v>
      </c>
      <c r="S728" s="5">
        <v>2878.3188</v>
      </c>
      <c r="T728" s="5">
        <v>665.7335999999998</v>
      </c>
      <c r="U728" s="5">
        <v>1553.3783999999998</v>
      </c>
      <c r="V728" s="5">
        <v>665.7335999999998</v>
      </c>
      <c r="W728" s="5">
        <f t="shared" ref="W728:AH728" si="737">IF(OR((SLOPE($E728:$V728,$E$1:$V$1)*W$1+INTERCEPT($E728:$V728,$E$1:$V$1))&gt;(AVERAGE($E728:$V728)+_xlfn.STDEV.P($E728:$V728)),(SLOPE($E728:$V728,$E$1:$V$1)*W$1+INTERCEPT($E728:$V728,$E$1:$V$1))&lt;(AVERAGE($E728:$V728)-_xlfn.STDEV.P($E728:$V728))),V728,(SLOPE($E728:$V728,$E$1:$V$1)*W$1+INTERCEPT($E728:$V728,$E$1:$V$1)))</f>
        <v>3593.1100470588235</v>
      </c>
      <c r="X728" s="5">
        <f t="shared" si="737"/>
        <v>3617.0147046439624</v>
      </c>
      <c r="Y728" s="5">
        <f t="shared" si="737"/>
        <v>3640.9193622291023</v>
      </c>
      <c r="Z728" s="5">
        <f t="shared" si="737"/>
        <v>3664.8240198142412</v>
      </c>
      <c r="AA728" s="5">
        <f t="shared" si="737"/>
        <v>3688.728677399381</v>
      </c>
      <c r="AB728" s="5">
        <f t="shared" si="737"/>
        <v>3712.6333349845199</v>
      </c>
      <c r="AC728" s="5">
        <f t="shared" si="737"/>
        <v>3736.5379925696598</v>
      </c>
      <c r="AD728" s="5">
        <f t="shared" si="737"/>
        <v>3760.4426501547987</v>
      </c>
      <c r="AE728" s="5">
        <f t="shared" si="737"/>
        <v>3784.3473077399385</v>
      </c>
      <c r="AF728" s="5">
        <f t="shared" si="737"/>
        <v>3808.2519653250779</v>
      </c>
      <c r="AG728" s="5">
        <f t="shared" si="737"/>
        <v>3832.1566229102173</v>
      </c>
      <c r="AH728" s="5">
        <f t="shared" si="737"/>
        <v>3856.0612804953566</v>
      </c>
    </row>
    <row r="729" spans="1:34" x14ac:dyDescent="0.35">
      <c r="A729" t="s">
        <v>749</v>
      </c>
      <c r="B729" s="3" t="s">
        <v>1264</v>
      </c>
      <c r="C729" s="4" t="s">
        <v>1263</v>
      </c>
      <c r="D729" s="2">
        <f t="shared" si="716"/>
        <v>61222.559999999998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61222.559999999998</v>
      </c>
      <c r="T729" s="5">
        <v>0</v>
      </c>
      <c r="U729" s="5">
        <v>0</v>
      </c>
      <c r="V729" s="5">
        <v>0</v>
      </c>
      <c r="W729" s="5">
        <f t="shared" ref="W729:AH729" si="738">IF(OR((SLOPE($E729:$V729,$E$1:$V$1)*W$1+INTERCEPT($E729:$V729,$E$1:$V$1))&gt;(AVERAGE($E729:$V729)+_xlfn.STDEV.P($E729:$V729)),(SLOPE($E729:$V729,$E$1:$V$1)*W$1+INTERCEPT($E729:$V729,$E$1:$V$1))&lt;(AVERAGE($E729:$V729)-_xlfn.STDEV.P($E729:$V729))),V729,(SLOPE($E729:$V729,$E$1:$V$1)*W$1+INTERCEPT($E729:$V729,$E$1:$V$1)))</f>
        <v>10003.686274509802</v>
      </c>
      <c r="X729" s="5">
        <f t="shared" si="738"/>
        <v>10698.679215686274</v>
      </c>
      <c r="Y729" s="5">
        <f t="shared" si="738"/>
        <v>11393.672156862744</v>
      </c>
      <c r="Z729" s="5">
        <f t="shared" si="738"/>
        <v>12088.665098039215</v>
      </c>
      <c r="AA729" s="5">
        <f t="shared" si="738"/>
        <v>12783.658039215685</v>
      </c>
      <c r="AB729" s="5">
        <f t="shared" si="738"/>
        <v>13478.650980392154</v>
      </c>
      <c r="AC729" s="5">
        <f t="shared" si="738"/>
        <v>14173.643921568626</v>
      </c>
      <c r="AD729" s="5">
        <f t="shared" si="738"/>
        <v>14868.636862745097</v>
      </c>
      <c r="AE729" s="5">
        <f t="shared" si="738"/>
        <v>15563.629803921565</v>
      </c>
      <c r="AF729" s="5">
        <f t="shared" si="738"/>
        <v>16258.622745098037</v>
      </c>
      <c r="AG729" s="5">
        <f t="shared" si="738"/>
        <v>16953.615686274508</v>
      </c>
      <c r="AH729" s="5">
        <f t="shared" si="738"/>
        <v>16953.615686274508</v>
      </c>
    </row>
    <row r="730" spans="1:34" x14ac:dyDescent="0.35">
      <c r="A730" t="s">
        <v>750</v>
      </c>
      <c r="B730" s="3" t="s">
        <v>1266</v>
      </c>
      <c r="C730" s="4" t="s">
        <v>1267</v>
      </c>
      <c r="D730" s="2">
        <f t="shared" si="716"/>
        <v>61062.780348553773</v>
      </c>
      <c r="E730" s="5">
        <v>0</v>
      </c>
      <c r="F730" s="5">
        <v>0</v>
      </c>
      <c r="G730" s="5">
        <v>0</v>
      </c>
      <c r="H730" s="5">
        <v>0</v>
      </c>
      <c r="I730" s="5">
        <v>61062.780348553773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f t="shared" ref="W730:AH730" si="739">IF(OR((SLOPE($E730:$V730,$E$1:$V$1)*W$1+INTERCEPT($E730:$V730,$E$1:$V$1))&gt;(AVERAGE($E730:$V730)+_xlfn.STDEV.P($E730:$V730)),(SLOPE($E730:$V730,$E$1:$V$1)*W$1+INTERCEPT($E730:$V730,$E$1:$V$1))&lt;(AVERAGE($E730:$V730)-_xlfn.STDEV.P($E730:$V730))),V730,(SLOPE($E730:$V730,$E$1:$V$1)*W$1+INTERCEPT($E730:$V730,$E$1:$V$1)))</f>
        <v>-1995.515697665156</v>
      </c>
      <c r="X730" s="5">
        <f t="shared" si="739"/>
        <v>-2562.6622643699902</v>
      </c>
      <c r="Y730" s="5">
        <f t="shared" si="739"/>
        <v>-3129.8088310748244</v>
      </c>
      <c r="Z730" s="5">
        <f t="shared" si="739"/>
        <v>-3696.9553977796586</v>
      </c>
      <c r="AA730" s="5">
        <f t="shared" si="739"/>
        <v>-4264.1019644844928</v>
      </c>
      <c r="AB730" s="5">
        <f t="shared" si="739"/>
        <v>-4831.248531189327</v>
      </c>
      <c r="AC730" s="5">
        <f t="shared" si="739"/>
        <v>-5398.3950978941593</v>
      </c>
      <c r="AD730" s="5">
        <f t="shared" si="739"/>
        <v>-5965.5416645989935</v>
      </c>
      <c r="AE730" s="5">
        <f t="shared" si="739"/>
        <v>-6532.6882313038277</v>
      </c>
      <c r="AF730" s="5">
        <f t="shared" si="739"/>
        <v>-7099.8347980086619</v>
      </c>
      <c r="AG730" s="5">
        <f t="shared" si="739"/>
        <v>-7666.9813647134961</v>
      </c>
      <c r="AH730" s="5">
        <f t="shared" si="739"/>
        <v>-8234.1279314183284</v>
      </c>
    </row>
    <row r="731" spans="1:34" x14ac:dyDescent="0.35">
      <c r="A731" t="s">
        <v>751</v>
      </c>
      <c r="B731" s="3" t="s">
        <v>1264</v>
      </c>
      <c r="C731" s="4" t="s">
        <v>1263</v>
      </c>
      <c r="D731" s="2">
        <f t="shared" si="716"/>
        <v>61023.158745841181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5924.5785190137067</v>
      </c>
      <c r="O731" s="5">
        <v>28270.113833227071</v>
      </c>
      <c r="P731" s="5">
        <v>0</v>
      </c>
      <c r="Q731" s="5">
        <v>0</v>
      </c>
      <c r="R731" s="5">
        <v>0</v>
      </c>
      <c r="S731" s="5">
        <v>4937.1487658447559</v>
      </c>
      <c r="T731" s="5">
        <v>4937.1487658447559</v>
      </c>
      <c r="U731" s="5">
        <v>0</v>
      </c>
      <c r="V731" s="5">
        <v>16954.16886191089</v>
      </c>
      <c r="W731" s="5">
        <f t="shared" ref="W731:AH731" si="740">IF(OR((SLOPE($E731:$V731,$E$1:$V$1)*W$1+INTERCEPT($E731:$V731,$E$1:$V$1))&gt;(AVERAGE($E731:$V731)+_xlfn.STDEV.P($E731:$V731)),(SLOPE($E731:$V731,$E$1:$V$1)*W$1+INTERCEPT($E731:$V731,$E$1:$V$1))&lt;(AVERAGE($E731:$V731)-_xlfn.STDEV.P($E731:$V731))),V731,(SLOPE($E731:$V731,$E$1:$V$1)*W$1+INTERCEPT($E731:$V731,$E$1:$V$1)))</f>
        <v>8267.1103981492251</v>
      </c>
      <c r="X731" s="5">
        <f t="shared" si="740"/>
        <v>8780.4719678617694</v>
      </c>
      <c r="Y731" s="5">
        <f t="shared" si="740"/>
        <v>9293.8335375743118</v>
      </c>
      <c r="Z731" s="5">
        <f t="shared" si="740"/>
        <v>9807.1951072868542</v>
      </c>
      <c r="AA731" s="5">
        <f t="shared" si="740"/>
        <v>10320.556676999398</v>
      </c>
      <c r="AB731" s="5">
        <f t="shared" si="740"/>
        <v>10320.556676999398</v>
      </c>
      <c r="AC731" s="5">
        <f t="shared" si="740"/>
        <v>10320.556676999398</v>
      </c>
      <c r="AD731" s="5">
        <f t="shared" si="740"/>
        <v>10320.556676999398</v>
      </c>
      <c r="AE731" s="5">
        <f t="shared" si="740"/>
        <v>10320.556676999398</v>
      </c>
      <c r="AF731" s="5">
        <f t="shared" si="740"/>
        <v>10320.556676999398</v>
      </c>
      <c r="AG731" s="5">
        <f t="shared" si="740"/>
        <v>10320.556676999398</v>
      </c>
      <c r="AH731" s="5">
        <f t="shared" si="740"/>
        <v>10320.556676999398</v>
      </c>
    </row>
    <row r="732" spans="1:34" x14ac:dyDescent="0.35">
      <c r="A732" t="s">
        <v>752</v>
      </c>
      <c r="B732" s="3" t="s">
        <v>1265</v>
      </c>
      <c r="C732" s="4" t="s">
        <v>1263</v>
      </c>
      <c r="D732" s="2">
        <f t="shared" si="716"/>
        <v>59985.607399140339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25047.225366362309</v>
      </c>
      <c r="M732" s="5">
        <v>9596.3870968867705</v>
      </c>
      <c r="N732" s="5">
        <v>8073.4109876538869</v>
      </c>
      <c r="O732" s="5">
        <v>11790.782781157806</v>
      </c>
      <c r="P732" s="5">
        <v>0</v>
      </c>
      <c r="Q732" s="5">
        <v>0</v>
      </c>
      <c r="R732" s="5">
        <v>57.316305186183769</v>
      </c>
      <c r="S732" s="5">
        <v>466.71848508749645</v>
      </c>
      <c r="T732" s="5">
        <v>302.95761312697135</v>
      </c>
      <c r="U732" s="5">
        <v>2292.652207447351</v>
      </c>
      <c r="V732" s="5">
        <v>2358.1565562315609</v>
      </c>
      <c r="W732" s="5">
        <f t="shared" ref="W732:AH732" si="741">IF(OR((SLOPE($E732:$V732,$E$1:$V$1)*W$1+INTERCEPT($E732:$V732,$E$1:$V$1))&gt;(AVERAGE($E732:$V732)+_xlfn.STDEV.P($E732:$V732)),(SLOPE($E732:$V732,$E$1:$V$1)*W$1+INTERCEPT($E732:$V732,$E$1:$V$1))&lt;(AVERAGE($E732:$V732)-_xlfn.STDEV.P($E732:$V732))),V732,(SLOPE($E732:$V732,$E$1:$V$1)*W$1+INTERCEPT($E732:$V732,$E$1:$V$1)))</f>
        <v>3751.8900165152072</v>
      </c>
      <c r="X732" s="5">
        <f t="shared" si="741"/>
        <v>3796.0327820013672</v>
      </c>
      <c r="Y732" s="5">
        <f t="shared" si="741"/>
        <v>3840.1755474875272</v>
      </c>
      <c r="Z732" s="5">
        <f t="shared" si="741"/>
        <v>3884.3183129736872</v>
      </c>
      <c r="AA732" s="5">
        <f t="shared" si="741"/>
        <v>3928.4610784598476</v>
      </c>
      <c r="AB732" s="5">
        <f t="shared" si="741"/>
        <v>3972.6038439460081</v>
      </c>
      <c r="AC732" s="5">
        <f t="shared" si="741"/>
        <v>4016.746609432168</v>
      </c>
      <c r="AD732" s="5">
        <f t="shared" si="741"/>
        <v>4060.889374918328</v>
      </c>
      <c r="AE732" s="5">
        <f t="shared" si="741"/>
        <v>4105.032140404488</v>
      </c>
      <c r="AF732" s="5">
        <f t="shared" si="741"/>
        <v>4149.174905890648</v>
      </c>
      <c r="AG732" s="5">
        <f t="shared" si="741"/>
        <v>4193.3176713768089</v>
      </c>
      <c r="AH732" s="5">
        <f t="shared" si="741"/>
        <v>4237.4604368629689</v>
      </c>
    </row>
    <row r="733" spans="1:34" x14ac:dyDescent="0.35">
      <c r="A733" t="s">
        <v>753</v>
      </c>
      <c r="B733" s="3" t="s">
        <v>1262</v>
      </c>
      <c r="C733" s="4" t="s">
        <v>1263</v>
      </c>
      <c r="D733" s="2">
        <f t="shared" si="716"/>
        <v>57587.888369728884</v>
      </c>
      <c r="E733" s="5">
        <v>0</v>
      </c>
      <c r="F733" s="5">
        <v>0</v>
      </c>
      <c r="G733" s="5">
        <v>7755.9445615796467</v>
      </c>
      <c r="H733" s="5">
        <v>14563.940343410672</v>
      </c>
      <c r="I733" s="5">
        <v>0</v>
      </c>
      <c r="J733" s="5">
        <v>646.32871346497041</v>
      </c>
      <c r="K733" s="5">
        <v>1034.1259415439529</v>
      </c>
      <c r="L733" s="5">
        <v>0</v>
      </c>
      <c r="M733" s="5">
        <v>2154.4290448832348</v>
      </c>
      <c r="N733" s="5">
        <v>1852.8089785995819</v>
      </c>
      <c r="O733" s="5">
        <v>1034.1259415439526</v>
      </c>
      <c r="P733" s="5">
        <v>2693.0363061040443</v>
      </c>
      <c r="Q733" s="5">
        <v>1766.6318168042526</v>
      </c>
      <c r="R733" s="5">
        <v>7669.7673997843167</v>
      </c>
      <c r="S733" s="5">
        <v>4201.1366375223088</v>
      </c>
      <c r="T733" s="5">
        <v>2930.0235010411998</v>
      </c>
      <c r="U733" s="5">
        <v>8316.0961132492885</v>
      </c>
      <c r="V733" s="5">
        <v>969.49307019745572</v>
      </c>
      <c r="W733" s="5">
        <f t="shared" ref="W733:AH733" si="742">IF(OR((SLOPE($E733:$V733,$E$1:$V$1)*W$1+INTERCEPT($E733:$V733,$E$1:$V$1))&gt;(AVERAGE($E733:$V733)+_xlfn.STDEV.P($E733:$V733)),(SLOPE($E733:$V733,$E$1:$V$1)*W$1+INTERCEPT($E733:$V733,$E$1:$V$1))&lt;(AVERAGE($E733:$V733)-_xlfn.STDEV.P($E733:$V733))),V733,(SLOPE($E733:$V733,$E$1:$V$1)*W$1+INTERCEPT($E733:$V733,$E$1:$V$1)))</f>
        <v>3713.6442614840244</v>
      </c>
      <c r="X733" s="5">
        <f t="shared" si="742"/>
        <v>3767.782906729542</v>
      </c>
      <c r="Y733" s="5">
        <f t="shared" si="742"/>
        <v>3821.9215519750596</v>
      </c>
      <c r="Z733" s="5">
        <f t="shared" si="742"/>
        <v>3876.0601972205777</v>
      </c>
      <c r="AA733" s="5">
        <f t="shared" si="742"/>
        <v>3930.1988424660958</v>
      </c>
      <c r="AB733" s="5">
        <f t="shared" si="742"/>
        <v>3984.3374877116134</v>
      </c>
      <c r="AC733" s="5">
        <f t="shared" si="742"/>
        <v>4038.4761329571311</v>
      </c>
      <c r="AD733" s="5">
        <f t="shared" si="742"/>
        <v>4092.6147782026492</v>
      </c>
      <c r="AE733" s="5">
        <f t="shared" si="742"/>
        <v>4146.7534234481664</v>
      </c>
      <c r="AF733" s="5">
        <f t="shared" si="742"/>
        <v>4200.8920686936845</v>
      </c>
      <c r="AG733" s="5">
        <f t="shared" si="742"/>
        <v>4255.0307139392025</v>
      </c>
      <c r="AH733" s="5">
        <f t="shared" si="742"/>
        <v>4309.1693591847197</v>
      </c>
    </row>
    <row r="734" spans="1:34" x14ac:dyDescent="0.35">
      <c r="A734" t="s">
        <v>754</v>
      </c>
      <c r="B734" s="3" t="s">
        <v>1266</v>
      </c>
      <c r="C734" s="4" t="s">
        <v>1267</v>
      </c>
      <c r="D734" s="2">
        <f t="shared" si="716"/>
        <v>59919.298666977746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59919.298666977746</v>
      </c>
      <c r="W734" s="5">
        <f t="shared" ref="W734:AH734" si="743">IF(OR((SLOPE($E734:$V734,$E$1:$V$1)*W$1+INTERCEPT($E734:$V734,$E$1:$V$1))&gt;(AVERAGE($E734:$V734)+_xlfn.STDEV.P($E734:$V734)),(SLOPE($E734:$V734,$E$1:$V$1)*W$1+INTERCEPT($E734:$V734,$E$1:$V$1))&lt;(AVERAGE($E734:$V734)-_xlfn.STDEV.P($E734:$V734))),V734,(SLOPE($E734:$V734,$E$1:$V$1)*W$1+INTERCEPT($E734:$V734,$E$1:$V$1)))</f>
        <v>13315.399703772831</v>
      </c>
      <c r="X734" s="5">
        <f t="shared" si="743"/>
        <v>14366.615469860162</v>
      </c>
      <c r="Y734" s="5">
        <f t="shared" si="743"/>
        <v>15417.831235947489</v>
      </c>
      <c r="Z734" s="5">
        <f t="shared" si="743"/>
        <v>16469.047002034822</v>
      </c>
      <c r="AA734" s="5">
        <f t="shared" si="743"/>
        <v>16469.047002034822</v>
      </c>
      <c r="AB734" s="5">
        <f t="shared" si="743"/>
        <v>16469.047002034822</v>
      </c>
      <c r="AC734" s="5">
        <f t="shared" si="743"/>
        <v>16469.047002034822</v>
      </c>
      <c r="AD734" s="5">
        <f t="shared" si="743"/>
        <v>16469.047002034822</v>
      </c>
      <c r="AE734" s="5">
        <f t="shared" si="743"/>
        <v>16469.047002034822</v>
      </c>
      <c r="AF734" s="5">
        <f t="shared" si="743"/>
        <v>16469.047002034822</v>
      </c>
      <c r="AG734" s="5">
        <f t="shared" si="743"/>
        <v>16469.047002034822</v>
      </c>
      <c r="AH734" s="5">
        <f t="shared" si="743"/>
        <v>16469.047002034822</v>
      </c>
    </row>
    <row r="735" spans="1:34" x14ac:dyDescent="0.35">
      <c r="A735" t="s">
        <v>755</v>
      </c>
      <c r="B735" s="3" t="s">
        <v>1266</v>
      </c>
      <c r="C735" s="4" t="s">
        <v>1263</v>
      </c>
      <c r="D735" s="2">
        <f t="shared" si="716"/>
        <v>59783.956319388344</v>
      </c>
      <c r="E735" s="5">
        <v>4726.0044521255604</v>
      </c>
      <c r="F735" s="5">
        <v>0</v>
      </c>
      <c r="G735" s="5">
        <v>0</v>
      </c>
      <c r="H735" s="5">
        <v>0</v>
      </c>
      <c r="I735" s="5">
        <v>0</v>
      </c>
      <c r="J735" s="5">
        <v>13199.055291293531</v>
      </c>
      <c r="K735" s="5">
        <v>0</v>
      </c>
      <c r="L735" s="5">
        <v>0</v>
      </c>
      <c r="M735" s="5">
        <v>0</v>
      </c>
      <c r="N735" s="5">
        <v>41858.896575969251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f t="shared" ref="W735:AH735" si="744">IF(OR((SLOPE($E735:$V735,$E$1:$V$1)*W$1+INTERCEPT($E735:$V735,$E$1:$V$1))&gt;(AVERAGE($E735:$V735)+_xlfn.STDEV.P($E735:$V735)),(SLOPE($E735:$V735,$E$1:$V$1)*W$1+INTERCEPT($E735:$V735,$E$1:$V$1))&lt;(AVERAGE($E735:$V735)-_xlfn.STDEV.P($E735:$V735))),V735,(SLOPE($E735:$V735,$E$1:$V$1)*W$1+INTERCEPT($E735:$V735,$E$1:$V$1)))</f>
        <v>2038.2273169344503</v>
      </c>
      <c r="X735" s="5">
        <f t="shared" si="744"/>
        <v>1903.1637811767414</v>
      </c>
      <c r="Y735" s="5">
        <f t="shared" si="744"/>
        <v>1768.100245419032</v>
      </c>
      <c r="Z735" s="5">
        <f t="shared" si="744"/>
        <v>1633.0367096613231</v>
      </c>
      <c r="AA735" s="5">
        <f t="shared" si="744"/>
        <v>1497.9731739036142</v>
      </c>
      <c r="AB735" s="5">
        <f t="shared" si="744"/>
        <v>1362.9096381459053</v>
      </c>
      <c r="AC735" s="5">
        <f t="shared" si="744"/>
        <v>1227.8461023881964</v>
      </c>
      <c r="AD735" s="5">
        <f t="shared" si="744"/>
        <v>1092.7825666304875</v>
      </c>
      <c r="AE735" s="5">
        <f t="shared" si="744"/>
        <v>957.7190308727786</v>
      </c>
      <c r="AF735" s="5">
        <f t="shared" si="744"/>
        <v>822.65549511506924</v>
      </c>
      <c r="AG735" s="5">
        <f t="shared" si="744"/>
        <v>687.59195935736034</v>
      </c>
      <c r="AH735" s="5">
        <f t="shared" si="744"/>
        <v>552.52842359965143</v>
      </c>
    </row>
    <row r="736" spans="1:34" x14ac:dyDescent="0.35">
      <c r="A736" t="s">
        <v>756</v>
      </c>
      <c r="B736" s="3" t="s">
        <v>1266</v>
      </c>
      <c r="C736" s="4" t="s">
        <v>1267</v>
      </c>
      <c r="D736" s="2">
        <f t="shared" si="716"/>
        <v>59755.279925240364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30130.194064442039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29625.085860798328</v>
      </c>
      <c r="U736" s="5">
        <v>0</v>
      </c>
      <c r="V736" s="5">
        <v>0</v>
      </c>
      <c r="W736" s="5">
        <f t="shared" ref="W736:AH736" si="745">IF(OR((SLOPE($E736:$V736,$E$1:$V$1)*W$1+INTERCEPT($E736:$V736,$E$1:$V$1))&gt;(AVERAGE($E736:$V736)+_xlfn.STDEV.P($E736:$V736)),(SLOPE($E736:$V736,$E$1:$V$1)*W$1+INTERCEPT($E736:$V736,$E$1:$V$1))&lt;(AVERAGE($E736:$V736)-_xlfn.STDEV.P($E736:$V736))),V736,(SLOPE($E736:$V736,$E$1:$V$1)*W$1+INTERCEPT($E736:$V736,$E$1:$V$1)))</f>
        <v>5618.513713508466</v>
      </c>
      <c r="X736" s="5">
        <f t="shared" si="745"/>
        <v>5860.4901282330975</v>
      </c>
      <c r="Y736" s="5">
        <f t="shared" si="745"/>
        <v>6102.466542957729</v>
      </c>
      <c r="Z736" s="5">
        <f t="shared" si="745"/>
        <v>6344.4429576823604</v>
      </c>
      <c r="AA736" s="5">
        <f t="shared" si="745"/>
        <v>6586.4193724069919</v>
      </c>
      <c r="AB736" s="5">
        <f t="shared" si="745"/>
        <v>6828.3957871316234</v>
      </c>
      <c r="AC736" s="5">
        <f t="shared" si="745"/>
        <v>7070.3722018562548</v>
      </c>
      <c r="AD736" s="5">
        <f t="shared" si="745"/>
        <v>7312.3486165808881</v>
      </c>
      <c r="AE736" s="5">
        <f t="shared" si="745"/>
        <v>7554.3250313055196</v>
      </c>
      <c r="AF736" s="5">
        <f t="shared" si="745"/>
        <v>7796.3014460301511</v>
      </c>
      <c r="AG736" s="5">
        <f t="shared" si="745"/>
        <v>8038.2778607547825</v>
      </c>
      <c r="AH736" s="5">
        <f t="shared" si="745"/>
        <v>8280.254275479414</v>
      </c>
    </row>
    <row r="737" spans="1:34" x14ac:dyDescent="0.35">
      <c r="A737" t="s">
        <v>757</v>
      </c>
      <c r="B737" s="3" t="s">
        <v>1266</v>
      </c>
      <c r="C737" s="4" t="s">
        <v>1263</v>
      </c>
      <c r="D737" s="2">
        <f t="shared" si="716"/>
        <v>59513.442774162635</v>
      </c>
      <c r="E737" s="5">
        <v>0</v>
      </c>
      <c r="F737" s="5">
        <v>0</v>
      </c>
      <c r="G737" s="5">
        <v>0</v>
      </c>
      <c r="H737" s="5">
        <v>19346.322019203184</v>
      </c>
      <c r="I737" s="5">
        <v>0</v>
      </c>
      <c r="J737" s="5">
        <v>0</v>
      </c>
      <c r="K737" s="5">
        <v>0</v>
      </c>
      <c r="L737" s="5">
        <v>0</v>
      </c>
      <c r="M737" s="5">
        <v>21493.714284250291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18673.40647070916</v>
      </c>
      <c r="V737" s="5">
        <v>0</v>
      </c>
      <c r="W737" s="5">
        <f t="shared" ref="W737:AH737" si="746">IF(OR((SLOPE($E737:$V737,$E$1:$V$1)*W$1+INTERCEPT($E737:$V737,$E$1:$V$1))&gt;(AVERAGE($E737:$V737)+_xlfn.STDEV.P($E737:$V737)),(SLOPE($E737:$V737,$E$1:$V$1)*W$1+INTERCEPT($E737:$V737,$E$1:$V$1))&lt;(AVERAGE($E737:$V737)-_xlfn.STDEV.P($E737:$V737))),V737,(SLOPE($E737:$V737,$E$1:$V$1)*W$1+INTERCEPT($E737:$V737,$E$1:$V$1)))</f>
        <v>3755.3008132556242</v>
      </c>
      <c r="X737" s="5">
        <f t="shared" si="746"/>
        <v>3802.563806614914</v>
      </c>
      <c r="Y737" s="5">
        <f t="shared" si="746"/>
        <v>3849.8267999742038</v>
      </c>
      <c r="Z737" s="5">
        <f t="shared" si="746"/>
        <v>3897.0897933334941</v>
      </c>
      <c r="AA737" s="5">
        <f t="shared" si="746"/>
        <v>3944.3527866927843</v>
      </c>
      <c r="AB737" s="5">
        <f t="shared" si="746"/>
        <v>3991.6157800520741</v>
      </c>
      <c r="AC737" s="5">
        <f t="shared" si="746"/>
        <v>4038.8787734113639</v>
      </c>
      <c r="AD737" s="5">
        <f t="shared" si="746"/>
        <v>4086.1417667706542</v>
      </c>
      <c r="AE737" s="5">
        <f t="shared" si="746"/>
        <v>4133.4047601299444</v>
      </c>
      <c r="AF737" s="5">
        <f t="shared" si="746"/>
        <v>4180.6677534892342</v>
      </c>
      <c r="AG737" s="5">
        <f t="shared" si="746"/>
        <v>4227.930746848524</v>
      </c>
      <c r="AH737" s="5">
        <f t="shared" si="746"/>
        <v>4275.1937402078147</v>
      </c>
    </row>
    <row r="738" spans="1:34" x14ac:dyDescent="0.35">
      <c r="A738" t="s">
        <v>758</v>
      </c>
      <c r="B738" s="3" t="s">
        <v>1266</v>
      </c>
      <c r="C738" s="4" t="s">
        <v>1267</v>
      </c>
      <c r="D738" s="2">
        <f t="shared" si="716"/>
        <v>59293.334446818517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59293.334446818517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f t="shared" ref="W738:AH738" si="747">IF(OR((SLOPE($E738:$V738,$E$1:$V$1)*W$1+INTERCEPT($E738:$V738,$E$1:$V$1))&gt;(AVERAGE($E738:$V738)+_xlfn.STDEV.P($E738:$V738)),(SLOPE($E738:$V738,$E$1:$V$1)*W$1+INTERCEPT($E738:$V738,$E$1:$V$1))&lt;(AVERAGE($E738:$V738)-_xlfn.STDEV.P($E738:$V738))),V738,(SLOPE($E738:$V738,$E$1:$V$1)*W$1+INTERCEPT($E738:$V738,$E$1:$V$1)))</f>
        <v>2712.7669354753571</v>
      </c>
      <c r="X738" s="5">
        <f t="shared" si="747"/>
        <v>2651.5767038480935</v>
      </c>
      <c r="Y738" s="5">
        <f t="shared" si="747"/>
        <v>2590.38647222083</v>
      </c>
      <c r="Z738" s="5">
        <f t="shared" si="747"/>
        <v>2529.196240593566</v>
      </c>
      <c r="AA738" s="5">
        <f t="shared" si="747"/>
        <v>2468.0060089663025</v>
      </c>
      <c r="AB738" s="5">
        <f t="shared" si="747"/>
        <v>2406.8157773390385</v>
      </c>
      <c r="AC738" s="5">
        <f t="shared" si="747"/>
        <v>2345.625545711775</v>
      </c>
      <c r="AD738" s="5">
        <f t="shared" si="747"/>
        <v>2284.4353140845114</v>
      </c>
      <c r="AE738" s="5">
        <f t="shared" si="747"/>
        <v>2223.2450824572479</v>
      </c>
      <c r="AF738" s="5">
        <f t="shared" si="747"/>
        <v>2162.0548508299839</v>
      </c>
      <c r="AG738" s="5">
        <f t="shared" si="747"/>
        <v>2100.8646192027204</v>
      </c>
      <c r="AH738" s="5">
        <f t="shared" si="747"/>
        <v>2039.6743875754566</v>
      </c>
    </row>
    <row r="739" spans="1:34" x14ac:dyDescent="0.35">
      <c r="A739" t="s">
        <v>759</v>
      </c>
      <c r="B739" s="3" t="s">
        <v>1264</v>
      </c>
      <c r="C739" s="4" t="s">
        <v>1263</v>
      </c>
      <c r="D739" s="2">
        <f t="shared" si="716"/>
        <v>56583.303920841165</v>
      </c>
      <c r="E739" s="5">
        <v>1564.6655332887426</v>
      </c>
      <c r="F739" s="5">
        <v>2260.0724369726281</v>
      </c>
      <c r="G739" s="5">
        <v>2738.1646832552997</v>
      </c>
      <c r="H739" s="5">
        <v>782.3327666443713</v>
      </c>
      <c r="I739" s="5">
        <v>1955.8319166109279</v>
      </c>
      <c r="J739" s="5">
        <v>2520.8500258540853</v>
      </c>
      <c r="K739" s="5">
        <v>7649.4759405227414</v>
      </c>
      <c r="L739" s="5">
        <v>9029.4240150204514</v>
      </c>
      <c r="M739" s="5">
        <v>1836.3088550402604</v>
      </c>
      <c r="N739" s="5">
        <v>972.48309187043378</v>
      </c>
      <c r="O739" s="5">
        <v>3455.3030526793063</v>
      </c>
      <c r="P739" s="5">
        <v>2835.9562790858463</v>
      </c>
      <c r="Q739" s="5">
        <v>2488.2528272439031</v>
      </c>
      <c r="R739" s="5">
        <v>4118.1127577530096</v>
      </c>
      <c r="S739" s="5">
        <v>2031.8920467013531</v>
      </c>
      <c r="T739" s="5">
        <v>4672.2651341261062</v>
      </c>
      <c r="U739" s="5">
        <v>5085.1629831884129</v>
      </c>
      <c r="V739" s="5">
        <v>586.74957498327842</v>
      </c>
      <c r="W739" s="5">
        <f t="shared" ref="W739:AH739" si="748">IF(OR((SLOPE($E739:$V739,$E$1:$V$1)*W$1+INTERCEPT($E739:$V739,$E$1:$V$1))&gt;(AVERAGE($E739:$V739)+_xlfn.STDEV.P($E739:$V739)),(SLOPE($E739:$V739,$E$1:$V$1)*W$1+INTERCEPT($E739:$V739,$E$1:$V$1))&lt;(AVERAGE($E739:$V739)-_xlfn.STDEV.P($E739:$V739))),V739,(SLOPE($E739:$V739,$E$1:$V$1)*W$1+INTERCEPT($E739:$V739,$E$1:$V$1)))</f>
        <v>3557.4267380854981</v>
      </c>
      <c r="X739" s="5">
        <f t="shared" si="748"/>
        <v>3600.9961963585847</v>
      </c>
      <c r="Y739" s="5">
        <f t="shared" si="748"/>
        <v>3644.5656546316714</v>
      </c>
      <c r="Z739" s="5">
        <f t="shared" si="748"/>
        <v>3688.135112904758</v>
      </c>
      <c r="AA739" s="5">
        <f t="shared" si="748"/>
        <v>3731.7045711778446</v>
      </c>
      <c r="AB739" s="5">
        <f t="shared" si="748"/>
        <v>3775.2740294509313</v>
      </c>
      <c r="AC739" s="5">
        <f t="shared" si="748"/>
        <v>3818.8434877240179</v>
      </c>
      <c r="AD739" s="5">
        <f t="shared" si="748"/>
        <v>3862.4129459971041</v>
      </c>
      <c r="AE739" s="5">
        <f t="shared" si="748"/>
        <v>3905.9824042701907</v>
      </c>
      <c r="AF739" s="5">
        <f t="shared" si="748"/>
        <v>3949.5518625432774</v>
      </c>
      <c r="AG739" s="5">
        <f t="shared" si="748"/>
        <v>3993.1213208163635</v>
      </c>
      <c r="AH739" s="5">
        <f t="shared" si="748"/>
        <v>4036.6907790894502</v>
      </c>
    </row>
    <row r="740" spans="1:34" x14ac:dyDescent="0.35">
      <c r="A740" t="s">
        <v>760</v>
      </c>
      <c r="B740" s="3" t="s">
        <v>1266</v>
      </c>
      <c r="C740" s="4" t="s">
        <v>1267</v>
      </c>
      <c r="D740" s="2">
        <f t="shared" si="716"/>
        <v>57738.415936981546</v>
      </c>
      <c r="E740" s="5">
        <v>0</v>
      </c>
      <c r="F740" s="5">
        <v>0</v>
      </c>
      <c r="G740" s="5">
        <v>12423.152109215489</v>
      </c>
      <c r="H740" s="5">
        <v>16073.892957287371</v>
      </c>
      <c r="I740" s="5">
        <v>0</v>
      </c>
      <c r="J740" s="5">
        <v>0</v>
      </c>
      <c r="K740" s="5">
        <v>29241.37087047868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f t="shared" ref="W740:AH740" si="749">IF(OR((SLOPE($E740:$V740,$E$1:$V$1)*W$1+INTERCEPT($E740:$V740,$E$1:$V$1))&gt;(AVERAGE($E740:$V740)+_xlfn.STDEV.P($E740:$V740)),(SLOPE($E740:$V740,$E$1:$V$1)*W$1+INTERCEPT($E740:$V740,$E$1:$V$1))&lt;(AVERAGE($E740:$V740)-_xlfn.STDEV.P($E740:$V740))),V740,(SLOPE($E740:$V740,$E$1:$V$1)*W$1+INTERCEPT($E740:$V740,$E$1:$V$1)))</f>
        <v>-1542.5127188835995</v>
      </c>
      <c r="X740" s="5">
        <f t="shared" si="749"/>
        <v>-2042.5340339531103</v>
      </c>
      <c r="Y740" s="5">
        <f t="shared" si="749"/>
        <v>-2542.5553490226212</v>
      </c>
      <c r="Z740" s="5">
        <f t="shared" si="749"/>
        <v>-3042.576664092132</v>
      </c>
      <c r="AA740" s="5">
        <f t="shared" si="749"/>
        <v>-3542.5979791616428</v>
      </c>
      <c r="AB740" s="5">
        <f t="shared" si="749"/>
        <v>-4042.6192942311518</v>
      </c>
      <c r="AC740" s="5">
        <f t="shared" si="749"/>
        <v>-4542.6406093006626</v>
      </c>
      <c r="AD740" s="5">
        <f t="shared" si="749"/>
        <v>-4542.6406093006626</v>
      </c>
      <c r="AE740" s="5">
        <f t="shared" si="749"/>
        <v>-4542.6406093006626</v>
      </c>
      <c r="AF740" s="5">
        <f t="shared" si="749"/>
        <v>-4542.6406093006626</v>
      </c>
      <c r="AG740" s="5">
        <f t="shared" si="749"/>
        <v>-4542.6406093006626</v>
      </c>
      <c r="AH740" s="5">
        <f t="shared" si="749"/>
        <v>-4542.6406093006626</v>
      </c>
    </row>
    <row r="741" spans="1:34" x14ac:dyDescent="0.35">
      <c r="A741" t="s">
        <v>761</v>
      </c>
      <c r="B741" s="3" t="s">
        <v>1264</v>
      </c>
      <c r="C741" s="4" t="s">
        <v>1263</v>
      </c>
      <c r="D741" s="2">
        <f t="shared" si="716"/>
        <v>57722.783999999992</v>
      </c>
      <c r="E741" s="5">
        <v>4515.8399999999992</v>
      </c>
      <c r="F741" s="5">
        <v>2257.9199999999996</v>
      </c>
      <c r="G741" s="5">
        <v>2257.9199999999996</v>
      </c>
      <c r="H741" s="5">
        <v>0</v>
      </c>
      <c r="I741" s="5">
        <v>9031.6799999999985</v>
      </c>
      <c r="J741" s="5">
        <v>225.79199999999997</v>
      </c>
      <c r="K741" s="5">
        <v>2257.9199999999996</v>
      </c>
      <c r="L741" s="5">
        <v>2333.1839999999997</v>
      </c>
      <c r="M741" s="5">
        <v>2709.5039999999999</v>
      </c>
      <c r="N741" s="5">
        <v>282.24</v>
      </c>
      <c r="O741" s="5">
        <v>0</v>
      </c>
      <c r="P741" s="5">
        <v>10687.487999999998</v>
      </c>
      <c r="Q741" s="5">
        <v>1778.1119999999999</v>
      </c>
      <c r="R741" s="5">
        <v>4614.6239999999989</v>
      </c>
      <c r="S741" s="5">
        <v>2257.9199999999996</v>
      </c>
      <c r="T741" s="5">
        <v>2257.9199999999996</v>
      </c>
      <c r="U741" s="5">
        <v>4635.7919999999995</v>
      </c>
      <c r="V741" s="5">
        <v>5618.927999999999</v>
      </c>
      <c r="W741" s="5">
        <f t="shared" ref="W741:AH741" si="750">IF(OR((SLOPE($E741:$V741,$E$1:$V$1)*W$1+INTERCEPT($E741:$V741,$E$1:$V$1))&gt;(AVERAGE($E741:$V741)+_xlfn.STDEV.P($E741:$V741)),(SLOPE($E741:$V741,$E$1:$V$1)*W$1+INTERCEPT($E741:$V741,$E$1:$V$1))&lt;(AVERAGE($E741:$V741)-_xlfn.STDEV.P($E741:$V741))),V741,(SLOPE($E741:$V741,$E$1:$V$1)*W$1+INTERCEPT($E741:$V741,$E$1:$V$1)))</f>
        <v>4021.4434509803914</v>
      </c>
      <c r="X741" s="5">
        <f t="shared" si="750"/>
        <v>4107.1931475748188</v>
      </c>
      <c r="Y741" s="5">
        <f t="shared" si="750"/>
        <v>4192.9428441692462</v>
      </c>
      <c r="Z741" s="5">
        <f t="shared" si="750"/>
        <v>4278.6925407636736</v>
      </c>
      <c r="AA741" s="5">
        <f t="shared" si="750"/>
        <v>4364.4422373581001</v>
      </c>
      <c r="AB741" s="5">
        <f t="shared" si="750"/>
        <v>4450.1919339525275</v>
      </c>
      <c r="AC741" s="5">
        <f t="shared" si="750"/>
        <v>4535.9416305469549</v>
      </c>
      <c r="AD741" s="5">
        <f t="shared" si="750"/>
        <v>4621.6913271413814</v>
      </c>
      <c r="AE741" s="5">
        <f t="shared" si="750"/>
        <v>4707.4410237358097</v>
      </c>
      <c r="AF741" s="5">
        <f t="shared" si="750"/>
        <v>4793.1907203302362</v>
      </c>
      <c r="AG741" s="5">
        <f t="shared" si="750"/>
        <v>4878.9404169246636</v>
      </c>
      <c r="AH741" s="5">
        <f t="shared" si="750"/>
        <v>4964.690113519091</v>
      </c>
    </row>
    <row r="742" spans="1:34" x14ac:dyDescent="0.35">
      <c r="A742" t="s">
        <v>762</v>
      </c>
      <c r="B742" s="3" t="s">
        <v>1266</v>
      </c>
      <c r="C742" s="4" t="s">
        <v>1266</v>
      </c>
      <c r="D742" s="2">
        <f t="shared" si="716"/>
        <v>56985.225698749615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56985.225698749615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f t="shared" ref="W742:AH742" si="751">IF(OR((SLOPE($E742:$V742,$E$1:$V$1)*W$1+INTERCEPT($E742:$V742,$E$1:$V$1))&gt;(AVERAGE($E742:$V742)+_xlfn.STDEV.P($E742:$V742)),(SLOPE($E742:$V742,$E$1:$V$1)*W$1+INTERCEPT($E742:$V742,$E$1:$V$1))&lt;(AVERAGE($E742:$V742)-_xlfn.STDEV.P($E742:$V742))),V742,(SLOPE($E742:$V742,$E$1:$V$1)*W$1+INTERCEPT($E742:$V742,$E$1:$V$1)))</f>
        <v>5959.2392887581291</v>
      </c>
      <c r="X742" s="5">
        <f t="shared" si="751"/>
        <v>6253.2807010323786</v>
      </c>
      <c r="Y742" s="5">
        <f t="shared" si="751"/>
        <v>6547.3221133066281</v>
      </c>
      <c r="Z742" s="5">
        <f t="shared" si="751"/>
        <v>6841.3635255808786</v>
      </c>
      <c r="AA742" s="5">
        <f t="shared" si="751"/>
        <v>7135.4049378551281</v>
      </c>
      <c r="AB742" s="5">
        <f t="shared" si="751"/>
        <v>7429.4463501293776</v>
      </c>
      <c r="AC742" s="5">
        <f t="shared" si="751"/>
        <v>7723.4877624036271</v>
      </c>
      <c r="AD742" s="5">
        <f t="shared" si="751"/>
        <v>8017.5291746778767</v>
      </c>
      <c r="AE742" s="5">
        <f t="shared" si="751"/>
        <v>8311.5705869521262</v>
      </c>
      <c r="AF742" s="5">
        <f t="shared" si="751"/>
        <v>8605.6119992263775</v>
      </c>
      <c r="AG742" s="5">
        <f t="shared" si="751"/>
        <v>8899.653411500627</v>
      </c>
      <c r="AH742" s="5">
        <f t="shared" si="751"/>
        <v>9193.6948237748766</v>
      </c>
    </row>
    <row r="743" spans="1:34" x14ac:dyDescent="0.35">
      <c r="A743" t="s">
        <v>763</v>
      </c>
      <c r="B743" s="3" t="s">
        <v>1266</v>
      </c>
      <c r="C743" s="4" t="s">
        <v>1267</v>
      </c>
      <c r="D743" s="2">
        <f t="shared" si="716"/>
        <v>56942.547200000001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10555.775999999998</v>
      </c>
      <c r="N743" s="5">
        <v>24630.143999999997</v>
      </c>
      <c r="O743" s="5">
        <v>16420.095999999998</v>
      </c>
      <c r="P743" s="5">
        <v>5336.5312000000013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f t="shared" ref="W743:AH743" si="752">IF(OR((SLOPE($E743:$V743,$E$1:$V$1)*W$1+INTERCEPT($E743:$V743,$E$1:$V$1))&gt;(AVERAGE($E743:$V743)+_xlfn.STDEV.P($E743:$V743)),(SLOPE($E743:$V743,$E$1:$V$1)*W$1+INTERCEPT($E743:$V743,$E$1:$V$1))&lt;(AVERAGE($E743:$V743)-_xlfn.STDEV.P($E743:$V743))),V743,(SLOPE($E743:$V743,$E$1:$V$1)*W$1+INTERCEPT($E743:$V743,$E$1:$V$1)))</f>
        <v>4045.9975111111112</v>
      </c>
      <c r="X743" s="5">
        <f t="shared" si="752"/>
        <v>4138.8946339181284</v>
      </c>
      <c r="Y743" s="5">
        <f t="shared" si="752"/>
        <v>4231.7917567251461</v>
      </c>
      <c r="Z743" s="5">
        <f t="shared" si="752"/>
        <v>4324.6888795321638</v>
      </c>
      <c r="AA743" s="5">
        <f t="shared" si="752"/>
        <v>4417.5860023391815</v>
      </c>
      <c r="AB743" s="5">
        <f t="shared" si="752"/>
        <v>4510.4831251461983</v>
      </c>
      <c r="AC743" s="5">
        <f t="shared" si="752"/>
        <v>4603.3802479532169</v>
      </c>
      <c r="AD743" s="5">
        <f t="shared" si="752"/>
        <v>4696.2773707602337</v>
      </c>
      <c r="AE743" s="5">
        <f t="shared" si="752"/>
        <v>4789.1744935672514</v>
      </c>
      <c r="AF743" s="5">
        <f t="shared" si="752"/>
        <v>4882.0716163742691</v>
      </c>
      <c r="AG743" s="5">
        <f t="shared" si="752"/>
        <v>4974.9687391812859</v>
      </c>
      <c r="AH743" s="5">
        <f t="shared" si="752"/>
        <v>5067.8658619883045</v>
      </c>
    </row>
    <row r="744" spans="1:34" x14ac:dyDescent="0.35">
      <c r="A744" t="s">
        <v>764</v>
      </c>
      <c r="B744" s="3" t="s">
        <v>1266</v>
      </c>
      <c r="C744" s="4" t="s">
        <v>1266</v>
      </c>
      <c r="D744" s="2">
        <f t="shared" si="716"/>
        <v>56702.799999999988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56702.799999999988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f t="shared" ref="W744:AH744" si="753">IF(OR((SLOPE($E744:$V744,$E$1:$V$1)*W$1+INTERCEPT($E744:$V744,$E$1:$V$1))&gt;(AVERAGE($E744:$V744)+_xlfn.STDEV.P($E744:$V744)),(SLOPE($E744:$V744,$E$1:$V$1)*W$1+INTERCEPT($E744:$V744,$E$1:$V$1))&lt;(AVERAGE($E744:$V744)-_xlfn.STDEV.P($E744:$V744))),V744,(SLOPE($E744:$V744,$E$1:$V$1)*W$1+INTERCEPT($E744:$V744,$E$1:$V$1)))</f>
        <v>-741.21307189542404</v>
      </c>
      <c r="X744" s="5">
        <f t="shared" si="753"/>
        <v>-1150.8308221534207</v>
      </c>
      <c r="Y744" s="5">
        <f t="shared" si="753"/>
        <v>-1560.4485724114202</v>
      </c>
      <c r="Z744" s="5">
        <f t="shared" si="753"/>
        <v>-1970.0663226694178</v>
      </c>
      <c r="AA744" s="5">
        <f t="shared" si="753"/>
        <v>-2379.6840729274154</v>
      </c>
      <c r="AB744" s="5">
        <f t="shared" si="753"/>
        <v>-2789.301823185413</v>
      </c>
      <c r="AC744" s="5">
        <f t="shared" si="753"/>
        <v>-3198.9195734434106</v>
      </c>
      <c r="AD744" s="5">
        <f t="shared" si="753"/>
        <v>-3608.5373237014082</v>
      </c>
      <c r="AE744" s="5">
        <f t="shared" si="753"/>
        <v>-4018.1550739594059</v>
      </c>
      <c r="AF744" s="5">
        <f t="shared" si="753"/>
        <v>-4427.7728242174053</v>
      </c>
      <c r="AG744" s="5">
        <f t="shared" si="753"/>
        <v>-4837.3905744754029</v>
      </c>
      <c r="AH744" s="5">
        <f t="shared" si="753"/>
        <v>-5247.0083247334005</v>
      </c>
    </row>
    <row r="745" spans="1:34" x14ac:dyDescent="0.35">
      <c r="A745" t="s">
        <v>765</v>
      </c>
      <c r="B745" s="3" t="s">
        <v>1266</v>
      </c>
      <c r="C745" s="4" t="s">
        <v>1267</v>
      </c>
      <c r="D745" s="2">
        <f t="shared" si="716"/>
        <v>56441.673591032028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56441.673591032028</v>
      </c>
      <c r="V745" s="5">
        <v>0</v>
      </c>
      <c r="W745" s="5">
        <f t="shared" ref="W745:AH745" si="754">IF(OR((SLOPE($E745:$V745,$E$1:$V$1)*W$1+INTERCEPT($E745:$V745,$E$1:$V$1))&gt;(AVERAGE($E745:$V745)+_xlfn.STDEV.P($E745:$V745)),(SLOPE($E745:$V745,$E$1:$V$1)*W$1+INTERCEPT($E745:$V745,$E$1:$V$1))&lt;(AVERAGE($E745:$V745)-_xlfn.STDEV.P($E745:$V745))),V745,(SLOPE($E745:$V745,$E$1:$V$1)*W$1+INTERCEPT($E745:$V745,$E$1:$V$1)))</f>
        <v>11435.894649163354</v>
      </c>
      <c r="X745" s="5">
        <f t="shared" si="754"/>
        <v>12309.604766671589</v>
      </c>
      <c r="Y745" s="5">
        <f t="shared" si="754"/>
        <v>13183.314884179825</v>
      </c>
      <c r="Z745" s="5">
        <f t="shared" si="754"/>
        <v>14057.02500168806</v>
      </c>
      <c r="AA745" s="5">
        <f t="shared" si="754"/>
        <v>14930.735119196299</v>
      </c>
      <c r="AB745" s="5">
        <f t="shared" si="754"/>
        <v>15804.445236704534</v>
      </c>
      <c r="AC745" s="5">
        <f t="shared" si="754"/>
        <v>15804.445236704534</v>
      </c>
      <c r="AD745" s="5">
        <f t="shared" si="754"/>
        <v>15804.445236704534</v>
      </c>
      <c r="AE745" s="5">
        <f t="shared" si="754"/>
        <v>15804.445236704534</v>
      </c>
      <c r="AF745" s="5">
        <f t="shared" si="754"/>
        <v>15804.445236704534</v>
      </c>
      <c r="AG745" s="5">
        <f t="shared" si="754"/>
        <v>15804.445236704534</v>
      </c>
      <c r="AH745" s="5">
        <f t="shared" si="754"/>
        <v>15804.445236704534</v>
      </c>
    </row>
    <row r="746" spans="1:34" x14ac:dyDescent="0.35">
      <c r="A746" t="s">
        <v>766</v>
      </c>
      <c r="B746" s="3" t="s">
        <v>1266</v>
      </c>
      <c r="C746" s="4" t="s">
        <v>1267</v>
      </c>
      <c r="D746" s="2">
        <f t="shared" si="716"/>
        <v>56258.602797871354</v>
      </c>
      <c r="E746" s="5">
        <v>0</v>
      </c>
      <c r="F746" s="5">
        <v>15438.694510941645</v>
      </c>
      <c r="G746" s="5">
        <v>0</v>
      </c>
      <c r="H746" s="5">
        <v>12659.729498972149</v>
      </c>
      <c r="I746" s="5">
        <v>0</v>
      </c>
      <c r="J746" s="5">
        <v>28160.17878795756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f t="shared" ref="W746:AH746" si="755">IF(OR((SLOPE($E746:$V746,$E$1:$V$1)*W$1+INTERCEPT($E746:$V746,$E$1:$V$1))&gt;(AVERAGE($E746:$V746)+_xlfn.STDEV.P($E746:$V746)),(SLOPE($E746:$V746,$E$1:$V$1)*W$1+INTERCEPT($E746:$V746,$E$1:$V$1))&lt;(AVERAGE($E746:$V746)-_xlfn.STDEV.P($E746:$V746))),V746,(SLOPE($E746:$V746,$E$1:$V$1)*W$1+INTERCEPT($E746:$V746,$E$1:$V$1)))</f>
        <v>-2442.7445537312124</v>
      </c>
      <c r="X746" s="5">
        <f t="shared" si="755"/>
        <v>-3028.8732365676642</v>
      </c>
      <c r="Y746" s="5">
        <f t="shared" si="755"/>
        <v>-3615.0019194041142</v>
      </c>
      <c r="Z746" s="5">
        <f t="shared" si="755"/>
        <v>-4201.1306022405661</v>
      </c>
      <c r="AA746" s="5">
        <f t="shared" si="755"/>
        <v>-4201.1306022405661</v>
      </c>
      <c r="AB746" s="5">
        <f t="shared" si="755"/>
        <v>-4201.1306022405661</v>
      </c>
      <c r="AC746" s="5">
        <f t="shared" si="755"/>
        <v>-4201.1306022405661</v>
      </c>
      <c r="AD746" s="5">
        <f t="shared" si="755"/>
        <v>-4201.1306022405661</v>
      </c>
      <c r="AE746" s="5">
        <f t="shared" si="755"/>
        <v>-4201.1306022405661</v>
      </c>
      <c r="AF746" s="5">
        <f t="shared" si="755"/>
        <v>-4201.1306022405661</v>
      </c>
      <c r="AG746" s="5">
        <f t="shared" si="755"/>
        <v>-4201.1306022405661</v>
      </c>
      <c r="AH746" s="5">
        <f t="shared" si="755"/>
        <v>-4201.1306022405661</v>
      </c>
    </row>
    <row r="747" spans="1:34" x14ac:dyDescent="0.35">
      <c r="A747" t="s">
        <v>767</v>
      </c>
      <c r="B747" s="3" t="s">
        <v>1265</v>
      </c>
      <c r="C747" s="4" t="s">
        <v>1263</v>
      </c>
      <c r="D747" s="2">
        <f t="shared" si="716"/>
        <v>56201.039999999994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12700.8</v>
      </c>
      <c r="R747" s="5">
        <v>6562.08</v>
      </c>
      <c r="S747" s="5">
        <v>4233.5999999999995</v>
      </c>
      <c r="T747" s="5">
        <v>7408.7999999999993</v>
      </c>
      <c r="U747" s="5">
        <v>25295.760000000002</v>
      </c>
      <c r="V747" s="5">
        <v>0</v>
      </c>
      <c r="W747" s="5">
        <f t="shared" ref="W747:AH747" si="756">IF(OR((SLOPE($E747:$V747,$E$1:$V$1)*W$1+INTERCEPT($E747:$V747,$E$1:$V$1))&gt;(AVERAGE($E747:$V747)+_xlfn.STDEV.P($E747:$V747)),(SLOPE($E747:$V747,$E$1:$V$1)*W$1+INTERCEPT($E747:$V747,$E$1:$V$1))&lt;(AVERAGE($E747:$V747)-_xlfn.STDEV.P($E747:$V747))),V747,(SLOPE($E747:$V747,$E$1:$V$1)*W$1+INTERCEPT($E747:$V747,$E$1:$V$1)))</f>
        <v>0</v>
      </c>
      <c r="X747" s="5">
        <f t="shared" si="756"/>
        <v>0</v>
      </c>
      <c r="Y747" s="5">
        <f t="shared" si="756"/>
        <v>0</v>
      </c>
      <c r="Z747" s="5">
        <f t="shared" si="756"/>
        <v>0</v>
      </c>
      <c r="AA747" s="5">
        <f t="shared" si="756"/>
        <v>0</v>
      </c>
      <c r="AB747" s="5">
        <f t="shared" si="756"/>
        <v>0</v>
      </c>
      <c r="AC747" s="5">
        <f t="shared" si="756"/>
        <v>0</v>
      </c>
      <c r="AD747" s="5">
        <f t="shared" si="756"/>
        <v>0</v>
      </c>
      <c r="AE747" s="5">
        <f t="shared" si="756"/>
        <v>0</v>
      </c>
      <c r="AF747" s="5">
        <f t="shared" si="756"/>
        <v>0</v>
      </c>
      <c r="AG747" s="5">
        <f t="shared" si="756"/>
        <v>0</v>
      </c>
      <c r="AH747" s="5">
        <f t="shared" si="756"/>
        <v>0</v>
      </c>
    </row>
    <row r="748" spans="1:34" x14ac:dyDescent="0.35">
      <c r="A748" t="s">
        <v>768</v>
      </c>
      <c r="B748" s="3" t="s">
        <v>1264</v>
      </c>
      <c r="C748" s="4" t="s">
        <v>1263</v>
      </c>
      <c r="D748" s="2">
        <f t="shared" si="716"/>
        <v>55880.544720000005</v>
      </c>
      <c r="E748" s="5">
        <v>6160.9111200000007</v>
      </c>
      <c r="F748" s="5">
        <v>7077.0700000000006</v>
      </c>
      <c r="G748" s="5">
        <v>3041.8533599999987</v>
      </c>
      <c r="H748" s="5">
        <v>1852.9056000000003</v>
      </c>
      <c r="I748" s="5">
        <v>9007.1800000000057</v>
      </c>
      <c r="J748" s="5">
        <v>2264.6623999999997</v>
      </c>
      <c r="K748" s="5">
        <v>1080.8616</v>
      </c>
      <c r="L748" s="5">
        <v>334.55239999999998</v>
      </c>
      <c r="M748" s="5">
        <v>2419.0711999999999</v>
      </c>
      <c r="N748" s="5">
        <v>3252.8787200000002</v>
      </c>
      <c r="O748" s="5">
        <v>1873.4934400000004</v>
      </c>
      <c r="P748" s="5">
        <v>2995.5307199999993</v>
      </c>
      <c r="Q748" s="5">
        <v>1173.5068800000001</v>
      </c>
      <c r="R748" s="5">
        <v>3705.8111999999992</v>
      </c>
      <c r="S748" s="5">
        <v>5249.8991999999998</v>
      </c>
      <c r="T748" s="5">
        <v>2074.2248800000002</v>
      </c>
      <c r="U748" s="5">
        <v>926.45280000000014</v>
      </c>
      <c r="V748" s="5">
        <v>1389.6792</v>
      </c>
      <c r="W748" s="5">
        <f t="shared" ref="W748:AH748" si="757">IF(OR((SLOPE($E748:$V748,$E$1:$V$1)*W$1+INTERCEPT($E748:$V748,$E$1:$V$1))&gt;(AVERAGE($E748:$V748)+_xlfn.STDEV.P($E748:$V748)),(SLOPE($E748:$V748,$E$1:$V$1)*W$1+INTERCEPT($E748:$V748,$E$1:$V$1))&lt;(AVERAGE($E748:$V748)-_xlfn.STDEV.P($E748:$V748))),V748,(SLOPE($E748:$V748,$E$1:$V$1)*W$1+INTERCEPT($E748:$V748,$E$1:$V$1)))</f>
        <v>1252.4269333333327</v>
      </c>
      <c r="X748" s="5">
        <f t="shared" si="757"/>
        <v>1057.4745361403502</v>
      </c>
      <c r="Y748" s="5">
        <f t="shared" si="757"/>
        <v>862.52213894736769</v>
      </c>
      <c r="Z748" s="5">
        <f t="shared" si="757"/>
        <v>862.52213894736769</v>
      </c>
      <c r="AA748" s="5">
        <f t="shared" si="757"/>
        <v>862.52213894736769</v>
      </c>
      <c r="AB748" s="5">
        <f t="shared" si="757"/>
        <v>862.52213894736769</v>
      </c>
      <c r="AC748" s="5">
        <f t="shared" si="757"/>
        <v>862.52213894736769</v>
      </c>
      <c r="AD748" s="5">
        <f t="shared" si="757"/>
        <v>862.52213894736769</v>
      </c>
      <c r="AE748" s="5">
        <f t="shared" si="757"/>
        <v>862.52213894736769</v>
      </c>
      <c r="AF748" s="5">
        <f t="shared" si="757"/>
        <v>862.52213894736769</v>
      </c>
      <c r="AG748" s="5">
        <f t="shared" si="757"/>
        <v>862.52213894736769</v>
      </c>
      <c r="AH748" s="5">
        <f t="shared" si="757"/>
        <v>862.52213894736769</v>
      </c>
    </row>
    <row r="749" spans="1:34" x14ac:dyDescent="0.35">
      <c r="A749" t="s">
        <v>769</v>
      </c>
      <c r="B749" s="3" t="s">
        <v>1265</v>
      </c>
      <c r="C749" s="4" t="s">
        <v>1268</v>
      </c>
      <c r="D749" s="2">
        <f t="shared" si="716"/>
        <v>55742.400000000001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27871.200000000001</v>
      </c>
      <c r="T749" s="5">
        <v>0</v>
      </c>
      <c r="U749" s="5">
        <v>0</v>
      </c>
      <c r="V749" s="5">
        <v>27871.200000000001</v>
      </c>
      <c r="W749" s="5">
        <f t="shared" ref="W749:AH749" si="758">IF(OR((SLOPE($E749:$V749,$E$1:$V$1)*W$1+INTERCEPT($E749:$V749,$E$1:$V$1))&gt;(AVERAGE($E749:$V749)+_xlfn.STDEV.P($E749:$V749)),(SLOPE($E749:$V749,$E$1:$V$1)*W$1+INTERCEPT($E749:$V749,$E$1:$V$1))&lt;(AVERAGE($E749:$V749)-_xlfn.STDEV.P($E749:$V749))),V749,(SLOPE($E749:$V749,$E$1:$V$1)*W$1+INTERCEPT($E749:$V749,$E$1:$V$1)))</f>
        <v>10747.717647058824</v>
      </c>
      <c r="X749" s="5">
        <f t="shared" si="758"/>
        <v>11553.077399380807</v>
      </c>
      <c r="Y749" s="5">
        <f t="shared" si="758"/>
        <v>11553.077399380807</v>
      </c>
      <c r="Z749" s="5">
        <f t="shared" si="758"/>
        <v>11553.077399380807</v>
      </c>
      <c r="AA749" s="5">
        <f t="shared" si="758"/>
        <v>11553.077399380807</v>
      </c>
      <c r="AB749" s="5">
        <f t="shared" si="758"/>
        <v>11553.077399380807</v>
      </c>
      <c r="AC749" s="5">
        <f t="shared" si="758"/>
        <v>11553.077399380807</v>
      </c>
      <c r="AD749" s="5">
        <f t="shared" si="758"/>
        <v>11553.077399380807</v>
      </c>
      <c r="AE749" s="5">
        <f t="shared" si="758"/>
        <v>11553.077399380807</v>
      </c>
      <c r="AF749" s="5">
        <f t="shared" si="758"/>
        <v>11553.077399380807</v>
      </c>
      <c r="AG749" s="5">
        <f t="shared" si="758"/>
        <v>11553.077399380807</v>
      </c>
      <c r="AH749" s="5">
        <f t="shared" si="758"/>
        <v>11553.077399380807</v>
      </c>
    </row>
    <row r="750" spans="1:34" x14ac:dyDescent="0.35">
      <c r="A750" t="s">
        <v>770</v>
      </c>
      <c r="B750" s="3" t="s">
        <v>1264</v>
      </c>
      <c r="C750" s="4" t="s">
        <v>1263</v>
      </c>
      <c r="D750" s="2">
        <f t="shared" si="716"/>
        <v>55190.784350358197</v>
      </c>
      <c r="E750" s="5">
        <v>985.54972054211066</v>
      </c>
      <c r="F750" s="5">
        <v>0</v>
      </c>
      <c r="G750" s="5">
        <v>24638.743013552768</v>
      </c>
      <c r="H750" s="5">
        <v>0</v>
      </c>
      <c r="I750" s="5">
        <v>985.54972054211066</v>
      </c>
      <c r="J750" s="5">
        <v>0</v>
      </c>
      <c r="K750" s="5">
        <v>0</v>
      </c>
      <c r="L750" s="5">
        <v>3942.1988821684427</v>
      </c>
      <c r="M750" s="5">
        <v>0</v>
      </c>
      <c r="N750" s="5">
        <v>15768.795528673771</v>
      </c>
      <c r="O750" s="5">
        <v>0</v>
      </c>
      <c r="P750" s="5">
        <v>6898.8480437947746</v>
      </c>
      <c r="Q750" s="5">
        <v>0</v>
      </c>
      <c r="R750" s="5">
        <v>0</v>
      </c>
      <c r="S750" s="5">
        <v>1971.0994410842213</v>
      </c>
      <c r="T750" s="5">
        <v>0</v>
      </c>
      <c r="U750" s="5">
        <v>0</v>
      </c>
      <c r="V750" s="5">
        <v>0</v>
      </c>
      <c r="W750" s="5">
        <f t="shared" ref="W750:AH750" si="759">IF(OR((SLOPE($E750:$V750,$E$1:$V$1)*W$1+INTERCEPT($E750:$V750,$E$1:$V$1))&gt;(AVERAGE($E750:$V750)+_xlfn.STDEV.P($E750:$V750)),(SLOPE($E750:$V750,$E$1:$V$1)*W$1+INTERCEPT($E750:$V750,$E$1:$V$1))&lt;(AVERAGE($E750:$V750)-_xlfn.STDEV.P($E750:$V750))),V750,(SLOPE($E750:$V750,$E$1:$V$1)*W$1+INTERCEPT($E750:$V750,$E$1:$V$1)))</f>
        <v>264.10155909952027</v>
      </c>
      <c r="X750" s="5">
        <f t="shared" si="759"/>
        <v>-30.851401640636141</v>
      </c>
      <c r="Y750" s="5">
        <f t="shared" si="759"/>
        <v>-325.80436238079346</v>
      </c>
      <c r="Z750" s="5">
        <f t="shared" si="759"/>
        <v>-620.75732312094988</v>
      </c>
      <c r="AA750" s="5">
        <f t="shared" si="759"/>
        <v>-915.7102838611072</v>
      </c>
      <c r="AB750" s="5">
        <f t="shared" si="759"/>
        <v>-1210.6632446012645</v>
      </c>
      <c r="AC750" s="5">
        <f t="shared" si="759"/>
        <v>-1505.6162053414209</v>
      </c>
      <c r="AD750" s="5">
        <f t="shared" si="759"/>
        <v>-1800.5691660815783</v>
      </c>
      <c r="AE750" s="5">
        <f t="shared" si="759"/>
        <v>-2095.5221268217347</v>
      </c>
      <c r="AF750" s="5">
        <f t="shared" si="759"/>
        <v>-2390.475087561892</v>
      </c>
      <c r="AG750" s="5">
        <f t="shared" si="759"/>
        <v>-2685.4280483020484</v>
      </c>
      <c r="AH750" s="5">
        <f t="shared" si="759"/>
        <v>-2980.3810090422048</v>
      </c>
    </row>
    <row r="751" spans="1:34" x14ac:dyDescent="0.35">
      <c r="A751" t="s">
        <v>771</v>
      </c>
      <c r="B751" s="3" t="s">
        <v>1266</v>
      </c>
      <c r="C751" s="4" t="s">
        <v>1266</v>
      </c>
      <c r="D751" s="2">
        <f t="shared" si="716"/>
        <v>55036.519904323381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55036.519904323381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f t="shared" ref="W751:AH751" si="760">IF(OR((SLOPE($E751:$V751,$E$1:$V$1)*W$1+INTERCEPT($E751:$V751,$E$1:$V$1))&gt;(AVERAGE($E751:$V751)+_xlfn.STDEV.P($E751:$V751)),(SLOPE($E751:$V751,$E$1:$V$1)*W$1+INTERCEPT($E751:$V751,$E$1:$V$1))&lt;(AVERAGE($E751:$V751)-_xlfn.STDEV.P($E751:$V751))),V751,(SLOPE($E751:$V751,$E$1:$V$1)*W$1+INTERCEPT($E751:$V751,$E$1:$V$1)))</f>
        <v>5755.4530618900271</v>
      </c>
      <c r="X751" s="5">
        <f t="shared" si="760"/>
        <v>6039.4392327069691</v>
      </c>
      <c r="Y751" s="5">
        <f t="shared" si="760"/>
        <v>6323.425403523911</v>
      </c>
      <c r="Z751" s="5">
        <f t="shared" si="760"/>
        <v>6607.4115743408538</v>
      </c>
      <c r="AA751" s="5">
        <f t="shared" si="760"/>
        <v>6891.3977451577957</v>
      </c>
      <c r="AB751" s="5">
        <f t="shared" si="760"/>
        <v>7175.3839159747376</v>
      </c>
      <c r="AC751" s="5">
        <f t="shared" si="760"/>
        <v>7459.3700867916796</v>
      </c>
      <c r="AD751" s="5">
        <f t="shared" si="760"/>
        <v>7743.3562576086215</v>
      </c>
      <c r="AE751" s="5">
        <f t="shared" si="760"/>
        <v>8027.3424284255643</v>
      </c>
      <c r="AF751" s="5">
        <f t="shared" si="760"/>
        <v>8311.3285992425062</v>
      </c>
      <c r="AG751" s="5">
        <f t="shared" si="760"/>
        <v>8595.3147700594491</v>
      </c>
      <c r="AH751" s="5">
        <f t="shared" si="760"/>
        <v>8879.3009408763901</v>
      </c>
    </row>
    <row r="752" spans="1:34" x14ac:dyDescent="0.35">
      <c r="A752" t="s">
        <v>772</v>
      </c>
      <c r="B752" s="3" t="s">
        <v>1264</v>
      </c>
      <c r="C752" s="4" t="s">
        <v>1263</v>
      </c>
      <c r="D752" s="2">
        <f t="shared" si="716"/>
        <v>54125.253000000004</v>
      </c>
      <c r="E752" s="5">
        <v>1964.6549999999997</v>
      </c>
      <c r="F752" s="5">
        <v>5250.9870000000001</v>
      </c>
      <c r="G752" s="5">
        <v>2417.1210000000001</v>
      </c>
      <c r="H752" s="5">
        <v>4040.442</v>
      </c>
      <c r="I752" s="5">
        <v>3635.6039999999998</v>
      </c>
      <c r="J752" s="5">
        <v>3072.0059999999999</v>
      </c>
      <c r="K752" s="5">
        <v>6695.7030000000013</v>
      </c>
      <c r="L752" s="5">
        <v>377.05499999999995</v>
      </c>
      <c r="M752" s="5">
        <v>1861.461</v>
      </c>
      <c r="N752" s="5">
        <v>2488.5630000000001</v>
      </c>
      <c r="O752" s="5">
        <v>2325.8339999999994</v>
      </c>
      <c r="P752" s="5">
        <v>2591.7569999999996</v>
      </c>
      <c r="Q752" s="5">
        <v>3159.3240000000001</v>
      </c>
      <c r="R752" s="5">
        <v>508.03199999999998</v>
      </c>
      <c r="S752" s="5">
        <v>5778.8639999999996</v>
      </c>
      <c r="T752" s="5">
        <v>2790.2069999999999</v>
      </c>
      <c r="U752" s="5">
        <v>2186.9190000000003</v>
      </c>
      <c r="V752" s="5">
        <v>2980.7190000000005</v>
      </c>
      <c r="W752" s="5">
        <f t="shared" ref="W752:AH752" si="761">IF(OR((SLOPE($E752:$V752,$E$1:$V$1)*W$1+INTERCEPT($E752:$V752,$E$1:$V$1))&gt;(AVERAGE($E752:$V752)+_xlfn.STDEV.P($E752:$V752)),(SLOPE($E752:$V752,$E$1:$V$1)*W$1+INTERCEPT($E752:$V752,$E$1:$V$1))&lt;(AVERAGE($E752:$V752)-_xlfn.STDEV.P($E752:$V752))),V752,(SLOPE($E752:$V752,$E$1:$V$1)*W$1+INTERCEPT($E752:$V752,$E$1:$V$1)))</f>
        <v>2553.0527647058825</v>
      </c>
      <c r="X752" s="5">
        <f t="shared" si="761"/>
        <v>2505.2732136222912</v>
      </c>
      <c r="Y752" s="5">
        <f t="shared" si="761"/>
        <v>2457.4936625386999</v>
      </c>
      <c r="Z752" s="5">
        <f t="shared" si="761"/>
        <v>2409.7141114551087</v>
      </c>
      <c r="AA752" s="5">
        <f t="shared" si="761"/>
        <v>2361.9345603715174</v>
      </c>
      <c r="AB752" s="5">
        <f t="shared" si="761"/>
        <v>2314.1550092879261</v>
      </c>
      <c r="AC752" s="5">
        <f t="shared" si="761"/>
        <v>2266.3754582043348</v>
      </c>
      <c r="AD752" s="5">
        <f t="shared" si="761"/>
        <v>2218.5959071207435</v>
      </c>
      <c r="AE752" s="5">
        <f t="shared" si="761"/>
        <v>2170.8163560371522</v>
      </c>
      <c r="AF752" s="5">
        <f t="shared" si="761"/>
        <v>2123.0368049535609</v>
      </c>
      <c r="AG752" s="5">
        <f t="shared" si="761"/>
        <v>2075.2572538699696</v>
      </c>
      <c r="AH752" s="5">
        <f t="shared" si="761"/>
        <v>2027.4777027863779</v>
      </c>
    </row>
    <row r="753" spans="1:34" x14ac:dyDescent="0.35">
      <c r="A753" t="s">
        <v>773</v>
      </c>
      <c r="B753" s="3" t="s">
        <v>1264</v>
      </c>
      <c r="C753" s="4" t="s">
        <v>1263</v>
      </c>
      <c r="D753" s="2">
        <f t="shared" si="716"/>
        <v>54607.289598399992</v>
      </c>
      <c r="E753" s="5">
        <v>0</v>
      </c>
      <c r="F753" s="5">
        <v>54607.289598399992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f t="shared" ref="W753:AH753" si="762">IF(OR((SLOPE($E753:$V753,$E$1:$V$1)*W$1+INTERCEPT($E753:$V753,$E$1:$V$1))&gt;(AVERAGE($E753:$V753)+_xlfn.STDEV.P($E753:$V753)),(SLOPE($E753:$V753,$E$1:$V$1)*W$1+INTERCEPT($E753:$V753,$E$1:$V$1))&lt;(AVERAGE($E753:$V753)-_xlfn.STDEV.P($E753:$V753))),V753,(SLOPE($E753:$V753,$E$1:$V$1)*W$1+INTERCEPT($E753:$V753,$E$1:$V$1)))</f>
        <v>-4996.7454534483677</v>
      </c>
      <c r="X753" s="5">
        <f t="shared" si="762"/>
        <v>-5842.0595339189567</v>
      </c>
      <c r="Y753" s="5">
        <f t="shared" si="762"/>
        <v>-6687.3736143895439</v>
      </c>
      <c r="Z753" s="5">
        <f t="shared" si="762"/>
        <v>-7532.6876948601312</v>
      </c>
      <c r="AA753" s="5">
        <f t="shared" si="762"/>
        <v>-8378.0017753307184</v>
      </c>
      <c r="AB753" s="5">
        <f t="shared" si="762"/>
        <v>-9223.3158558013092</v>
      </c>
      <c r="AC753" s="5">
        <f t="shared" si="762"/>
        <v>-9223.3158558013092</v>
      </c>
      <c r="AD753" s="5">
        <f t="shared" si="762"/>
        <v>-9223.3158558013092</v>
      </c>
      <c r="AE753" s="5">
        <f t="shared" si="762"/>
        <v>-9223.3158558013092</v>
      </c>
      <c r="AF753" s="5">
        <f t="shared" si="762"/>
        <v>-9223.3158558013092</v>
      </c>
      <c r="AG753" s="5">
        <f t="shared" si="762"/>
        <v>-9223.3158558013092</v>
      </c>
      <c r="AH753" s="5">
        <f t="shared" si="762"/>
        <v>-9223.3158558013092</v>
      </c>
    </row>
    <row r="754" spans="1:34" x14ac:dyDescent="0.35">
      <c r="A754" t="s">
        <v>774</v>
      </c>
      <c r="B754" s="3" t="s">
        <v>1264</v>
      </c>
      <c r="C754" s="4" t="s">
        <v>1263</v>
      </c>
      <c r="D754" s="2">
        <f t="shared" si="716"/>
        <v>52835.328000000001</v>
      </c>
      <c r="E754" s="5">
        <v>0</v>
      </c>
      <c r="F754" s="5">
        <v>0</v>
      </c>
      <c r="G754" s="5">
        <v>2996.4479999999999</v>
      </c>
      <c r="H754" s="5">
        <v>6390.3839999999991</v>
      </c>
      <c r="I754" s="5">
        <v>733.82399999999996</v>
      </c>
      <c r="J754" s="5">
        <v>2598.96</v>
      </c>
      <c r="K754" s="5">
        <v>6329.2320000000009</v>
      </c>
      <c r="L754" s="5">
        <v>0</v>
      </c>
      <c r="M754" s="5">
        <v>1834.56</v>
      </c>
      <c r="N754" s="5">
        <v>3179.9039999999995</v>
      </c>
      <c r="O754" s="5">
        <v>1895.7119999999998</v>
      </c>
      <c r="P754" s="5">
        <v>3424.5119999999997</v>
      </c>
      <c r="Q754" s="5">
        <v>1956.864</v>
      </c>
      <c r="R754" s="5">
        <v>6726.7199999999993</v>
      </c>
      <c r="S754" s="5">
        <v>3455.0879999999997</v>
      </c>
      <c r="T754" s="5">
        <v>3546.8159999999998</v>
      </c>
      <c r="U754" s="5">
        <v>2660.1120000000001</v>
      </c>
      <c r="V754" s="5">
        <v>5106.192</v>
      </c>
      <c r="W754" s="5">
        <f t="shared" ref="W754:AH754" si="763">IF(OR((SLOPE($E754:$V754,$E$1:$V$1)*W$1+INTERCEPT($E754:$V754,$E$1:$V$1))&gt;(AVERAGE($E754:$V754)+_xlfn.STDEV.P($E754:$V754)),(SLOPE($E754:$V754,$E$1:$V$1)*W$1+INTERCEPT($E754:$V754,$E$1:$V$1))&lt;(AVERAGE($E754:$V754)-_xlfn.STDEV.P($E754:$V754))),V754,(SLOPE($E754:$V754,$E$1:$V$1)*W$1+INTERCEPT($E754:$V754,$E$1:$V$1)))</f>
        <v>4342.3915294117651</v>
      </c>
      <c r="X754" s="5">
        <f t="shared" si="763"/>
        <v>4490.5068482972138</v>
      </c>
      <c r="Y754" s="5">
        <f t="shared" si="763"/>
        <v>4638.6221671826625</v>
      </c>
      <c r="Z754" s="5">
        <f t="shared" si="763"/>
        <v>4786.737486068112</v>
      </c>
      <c r="AA754" s="5">
        <f t="shared" si="763"/>
        <v>4934.8528049535598</v>
      </c>
      <c r="AB754" s="5">
        <f t="shared" si="763"/>
        <v>4934.8528049535598</v>
      </c>
      <c r="AC754" s="5">
        <f t="shared" si="763"/>
        <v>4934.8528049535598</v>
      </c>
      <c r="AD754" s="5">
        <f t="shared" si="763"/>
        <v>4934.8528049535598</v>
      </c>
      <c r="AE754" s="5">
        <f t="shared" si="763"/>
        <v>4934.8528049535598</v>
      </c>
      <c r="AF754" s="5">
        <f t="shared" si="763"/>
        <v>4934.8528049535598</v>
      </c>
      <c r="AG754" s="5">
        <f t="shared" si="763"/>
        <v>4934.8528049535598</v>
      </c>
      <c r="AH754" s="5">
        <f t="shared" si="763"/>
        <v>4934.8528049535598</v>
      </c>
    </row>
    <row r="755" spans="1:34" x14ac:dyDescent="0.35">
      <c r="A755" t="s">
        <v>775</v>
      </c>
      <c r="B755" s="3" t="s">
        <v>1266</v>
      </c>
      <c r="C755" s="4" t="s">
        <v>1267</v>
      </c>
      <c r="D755" s="2">
        <f t="shared" si="716"/>
        <v>54257.817600000002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13257.44</v>
      </c>
      <c r="S755" s="5">
        <v>41000.3776</v>
      </c>
      <c r="T755" s="5">
        <v>0</v>
      </c>
      <c r="U755" s="5">
        <v>0</v>
      </c>
      <c r="V755" s="5">
        <v>0</v>
      </c>
      <c r="W755" s="5">
        <f t="shared" ref="W755:AH755" si="764">IF(OR((SLOPE($E755:$V755,$E$1:$V$1)*W$1+INTERCEPT($E755:$V755,$E$1:$V$1))&gt;(AVERAGE($E755:$V755)+_xlfn.STDEV.P($E755:$V755)),(SLOPE($E755:$V755,$E$1:$V$1)*W$1+INTERCEPT($E755:$V755,$E$1:$V$1))&lt;(AVERAGE($E755:$V755)-_xlfn.STDEV.P($E755:$V755))),V755,(SLOPE($E755:$V755,$E$1:$V$1)*W$1+INTERCEPT($E755:$V755,$E$1:$V$1)))</f>
        <v>8605.7066666666669</v>
      </c>
      <c r="X755" s="5">
        <f t="shared" si="764"/>
        <v>9194.2733473684202</v>
      </c>
      <c r="Y755" s="5">
        <f t="shared" si="764"/>
        <v>9782.8400280701753</v>
      </c>
      <c r="Z755" s="5">
        <f t="shared" si="764"/>
        <v>10371.40670877193</v>
      </c>
      <c r="AA755" s="5">
        <f t="shared" si="764"/>
        <v>10959.973389473684</v>
      </c>
      <c r="AB755" s="5">
        <f t="shared" si="764"/>
        <v>11548.540070175439</v>
      </c>
      <c r="AC755" s="5">
        <f t="shared" si="764"/>
        <v>12137.106750877194</v>
      </c>
      <c r="AD755" s="5">
        <f t="shared" si="764"/>
        <v>12137.106750877194</v>
      </c>
      <c r="AE755" s="5">
        <f t="shared" si="764"/>
        <v>12137.106750877194</v>
      </c>
      <c r="AF755" s="5">
        <f t="shared" si="764"/>
        <v>12137.106750877194</v>
      </c>
      <c r="AG755" s="5">
        <f t="shared" si="764"/>
        <v>12137.106750877194</v>
      </c>
      <c r="AH755" s="5">
        <f t="shared" si="764"/>
        <v>12137.106750877194</v>
      </c>
    </row>
    <row r="756" spans="1:34" x14ac:dyDescent="0.35">
      <c r="A756" t="s">
        <v>776</v>
      </c>
      <c r="B756" s="3" t="s">
        <v>1266</v>
      </c>
      <c r="C756" s="4" t="s">
        <v>1267</v>
      </c>
      <c r="D756" s="2">
        <f t="shared" si="716"/>
        <v>54158.21262579786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54158.21262579786</v>
      </c>
      <c r="T756" s="5">
        <v>0</v>
      </c>
      <c r="U756" s="5">
        <v>0</v>
      </c>
      <c r="V756" s="5">
        <v>0</v>
      </c>
      <c r="W756" s="5">
        <f t="shared" ref="W756:AH756" si="765">IF(OR((SLOPE($E756:$V756,$E$1:$V$1)*W$1+INTERCEPT($E756:$V756,$E$1:$V$1))&gt;(AVERAGE($E756:$V756)+_xlfn.STDEV.P($E756:$V756)),(SLOPE($E756:$V756,$E$1:$V$1)*W$1+INTERCEPT($E756:$V756,$E$1:$V$1))&lt;(AVERAGE($E756:$V756)-_xlfn.STDEV.P($E756:$V756))),V756,(SLOPE($E756:$V756,$E$1:$V$1)*W$1+INTERCEPT($E756:$V756,$E$1:$V$1)))</f>
        <v>8849.3811480061868</v>
      </c>
      <c r="X756" s="5">
        <f t="shared" si="765"/>
        <v>9464.180259341354</v>
      </c>
      <c r="Y756" s="5">
        <f t="shared" si="765"/>
        <v>10078.979370676519</v>
      </c>
      <c r="Z756" s="5">
        <f t="shared" si="765"/>
        <v>10693.778482011687</v>
      </c>
      <c r="AA756" s="5">
        <f t="shared" si="765"/>
        <v>11308.577593346854</v>
      </c>
      <c r="AB756" s="5">
        <f t="shared" si="765"/>
        <v>11923.376704682019</v>
      </c>
      <c r="AC756" s="5">
        <f t="shared" si="765"/>
        <v>12538.175816017187</v>
      </c>
      <c r="AD756" s="5">
        <f t="shared" si="765"/>
        <v>13152.974927352354</v>
      </c>
      <c r="AE756" s="5">
        <f t="shared" si="765"/>
        <v>13767.774038687521</v>
      </c>
      <c r="AF756" s="5">
        <f t="shared" si="765"/>
        <v>14382.573150022688</v>
      </c>
      <c r="AG756" s="5">
        <f t="shared" si="765"/>
        <v>14997.372261357852</v>
      </c>
      <c r="AH756" s="5">
        <f t="shared" si="765"/>
        <v>14997.372261357852</v>
      </c>
    </row>
    <row r="757" spans="1:34" x14ac:dyDescent="0.35">
      <c r="A757" t="s">
        <v>777</v>
      </c>
      <c r="B757" s="3" t="s">
        <v>1266</v>
      </c>
      <c r="C757" s="4" t="s">
        <v>1263</v>
      </c>
      <c r="D757" s="2">
        <f t="shared" si="716"/>
        <v>53558.243609479679</v>
      </c>
      <c r="E757" s="5">
        <v>0</v>
      </c>
      <c r="F757" s="5">
        <v>0</v>
      </c>
      <c r="G757" s="5">
        <v>0</v>
      </c>
      <c r="H757" s="5">
        <v>53558.243609479679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f t="shared" ref="W757:AH757" si="766">IF(OR((SLOPE($E757:$V757,$E$1:$V$1)*W$1+INTERCEPT($E757:$V757,$E$1:$V$1))&gt;(AVERAGE($E757:$V757)+_xlfn.STDEV.P($E757:$V757)),(SLOPE($E757:$V757,$E$1:$V$1)*W$1+INTERCEPT($E757:$V757,$E$1:$V$1))&lt;(AVERAGE($E757:$V757)-_xlfn.STDEV.P($E757:$V757))),V757,(SLOPE($E757:$V757,$E$1:$V$1)*W$1+INTERCEPT($E757:$V757,$E$1:$V$1)))</f>
        <v>-2800.4310384041692</v>
      </c>
      <c r="X757" s="5">
        <f t="shared" si="766"/>
        <v>-3408.4193559524429</v>
      </c>
      <c r="Y757" s="5">
        <f t="shared" si="766"/>
        <v>-4016.4076735007147</v>
      </c>
      <c r="Z757" s="5">
        <f t="shared" si="766"/>
        <v>-4624.3959910489884</v>
      </c>
      <c r="AA757" s="5">
        <f t="shared" si="766"/>
        <v>-5232.3843085972621</v>
      </c>
      <c r="AB757" s="5">
        <f t="shared" si="766"/>
        <v>-5840.372626145534</v>
      </c>
      <c r="AC757" s="5">
        <f t="shared" si="766"/>
        <v>-6448.3609436938077</v>
      </c>
      <c r="AD757" s="5">
        <f t="shared" si="766"/>
        <v>-7056.3492612420814</v>
      </c>
      <c r="AE757" s="5">
        <f t="shared" si="766"/>
        <v>-7664.3375787903533</v>
      </c>
      <c r="AF757" s="5">
        <f t="shared" si="766"/>
        <v>-8272.3258963386288</v>
      </c>
      <c r="AG757" s="5">
        <f t="shared" si="766"/>
        <v>-8880.3142138869007</v>
      </c>
      <c r="AH757" s="5">
        <f t="shared" si="766"/>
        <v>-8880.3142138869007</v>
      </c>
    </row>
    <row r="758" spans="1:34" x14ac:dyDescent="0.35">
      <c r="A758" t="s">
        <v>778</v>
      </c>
      <c r="B758" s="3" t="s">
        <v>1262</v>
      </c>
      <c r="C758" s="4" t="s">
        <v>1263</v>
      </c>
      <c r="D758" s="2">
        <f t="shared" si="716"/>
        <v>45935.618400000007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146.0592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4746.924</v>
      </c>
      <c r="U758" s="5">
        <v>16796.808000000001</v>
      </c>
      <c r="V758" s="5">
        <v>24245.827200000007</v>
      </c>
      <c r="W758" s="5">
        <f t="shared" ref="W758:AH758" si="767">IF(OR((SLOPE($E758:$V758,$E$1:$V$1)*W$1+INTERCEPT($E758:$V758,$E$1:$V$1))&gt;(AVERAGE($E758:$V758)+_xlfn.STDEV.P($E758:$V758)),(SLOPE($E758:$V758,$E$1:$V$1)*W$1+INTERCEPT($E758:$V758,$E$1:$V$1))&lt;(AVERAGE($E758:$V758)-_xlfn.STDEV.P($E758:$V758))),V758,(SLOPE($E758:$V758,$E$1:$V$1)*W$1+INTERCEPT($E758:$V758,$E$1:$V$1)))</f>
        <v>24245.827200000007</v>
      </c>
      <c r="X758" s="5">
        <f t="shared" si="767"/>
        <v>24245.827200000007</v>
      </c>
      <c r="Y758" s="5">
        <f t="shared" si="767"/>
        <v>24245.827200000007</v>
      </c>
      <c r="Z758" s="5">
        <f t="shared" si="767"/>
        <v>24245.827200000007</v>
      </c>
      <c r="AA758" s="5">
        <f t="shared" si="767"/>
        <v>24245.827200000007</v>
      </c>
      <c r="AB758" s="5">
        <f t="shared" si="767"/>
        <v>24245.827200000007</v>
      </c>
      <c r="AC758" s="5">
        <f t="shared" si="767"/>
        <v>24245.827200000007</v>
      </c>
      <c r="AD758" s="5">
        <f t="shared" si="767"/>
        <v>24245.827200000007</v>
      </c>
      <c r="AE758" s="5">
        <f t="shared" si="767"/>
        <v>24245.827200000007</v>
      </c>
      <c r="AF758" s="5">
        <f t="shared" si="767"/>
        <v>24245.827200000007</v>
      </c>
      <c r="AG758" s="5">
        <f t="shared" si="767"/>
        <v>24245.827200000007</v>
      </c>
      <c r="AH758" s="5">
        <f t="shared" si="767"/>
        <v>24245.827200000007</v>
      </c>
    </row>
    <row r="759" spans="1:34" x14ac:dyDescent="0.35">
      <c r="A759" t="s">
        <v>779</v>
      </c>
      <c r="B759" s="3" t="s">
        <v>1266</v>
      </c>
      <c r="C759" s="4" t="s">
        <v>1267</v>
      </c>
      <c r="D759" s="2">
        <f t="shared" si="716"/>
        <v>53090.031375806844</v>
      </c>
      <c r="E759" s="5">
        <v>0</v>
      </c>
      <c r="F759" s="5">
        <v>0</v>
      </c>
      <c r="G759" s="5">
        <v>0</v>
      </c>
      <c r="H759" s="5">
        <v>18306.907370967878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34783.124004838966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f t="shared" ref="W759:AH759" si="768">IF(OR((SLOPE($E759:$V759,$E$1:$V$1)*W$1+INTERCEPT($E759:$V759,$E$1:$V$1))&gt;(AVERAGE($E759:$V759)+_xlfn.STDEV.P($E759:$V759)),(SLOPE($E759:$V759,$E$1:$V$1)*W$1+INTERCEPT($E759:$V759,$E$1:$V$1))&lt;(AVERAGE($E759:$V759)-_xlfn.STDEV.P($E759:$V759))),V759,(SLOPE($E759:$V759,$E$1:$V$1)*W$1+INTERCEPT($E759:$V759,$E$1:$V$1)))</f>
        <v>1316.1828828800435</v>
      </c>
      <c r="X759" s="5">
        <f t="shared" si="768"/>
        <v>1144.2604297574348</v>
      </c>
      <c r="Y759" s="5">
        <f t="shared" si="768"/>
        <v>972.33797663482619</v>
      </c>
      <c r="Z759" s="5">
        <f t="shared" si="768"/>
        <v>800.41552351221799</v>
      </c>
      <c r="AA759" s="5">
        <f t="shared" si="768"/>
        <v>628.49307038960933</v>
      </c>
      <c r="AB759" s="5">
        <f t="shared" si="768"/>
        <v>456.57061726700067</v>
      </c>
      <c r="AC759" s="5">
        <f t="shared" si="768"/>
        <v>284.64816414439247</v>
      </c>
      <c r="AD759" s="5">
        <f t="shared" si="768"/>
        <v>112.72571102178335</v>
      </c>
      <c r="AE759" s="5">
        <f t="shared" si="768"/>
        <v>-59.196742100824849</v>
      </c>
      <c r="AF759" s="5">
        <f t="shared" si="768"/>
        <v>-231.11919522343305</v>
      </c>
      <c r="AG759" s="5">
        <f t="shared" si="768"/>
        <v>-403.04164834604217</v>
      </c>
      <c r="AH759" s="5">
        <f t="shared" si="768"/>
        <v>-574.96410146865037</v>
      </c>
    </row>
    <row r="760" spans="1:34" x14ac:dyDescent="0.35">
      <c r="A760" t="s">
        <v>780</v>
      </c>
      <c r="B760" s="3" t="s">
        <v>1265</v>
      </c>
      <c r="C760" s="4" t="s">
        <v>1263</v>
      </c>
      <c r="D760" s="2">
        <f t="shared" si="716"/>
        <v>52652.655999999995</v>
      </c>
      <c r="E760" s="5">
        <v>0</v>
      </c>
      <c r="F760" s="5">
        <v>0</v>
      </c>
      <c r="G760" s="5">
        <v>0</v>
      </c>
      <c r="H760" s="5">
        <v>4609.4495999999999</v>
      </c>
      <c r="I760" s="5">
        <v>28602.946400000001</v>
      </c>
      <c r="J760" s="5">
        <v>0</v>
      </c>
      <c r="K760" s="5">
        <v>187.376</v>
      </c>
      <c r="L760" s="5">
        <v>449.70239999999984</v>
      </c>
      <c r="M760" s="5">
        <v>543.39039999999989</v>
      </c>
      <c r="N760" s="5">
        <v>1161.7311999999999</v>
      </c>
      <c r="O760" s="5">
        <v>1686.3839999999996</v>
      </c>
      <c r="P760" s="5">
        <v>5668.1240000000007</v>
      </c>
      <c r="Q760" s="5">
        <v>0</v>
      </c>
      <c r="R760" s="5">
        <v>224.85119999999992</v>
      </c>
      <c r="S760" s="5">
        <v>7035.9687999999996</v>
      </c>
      <c r="T760" s="5">
        <v>796.34799999999996</v>
      </c>
      <c r="U760" s="5">
        <v>1302.2631999999999</v>
      </c>
      <c r="V760" s="5">
        <v>384.12080000000003</v>
      </c>
      <c r="W760" s="5">
        <f t="shared" ref="W760:AH760" si="769">IF(OR((SLOPE($E760:$V760,$E$1:$V$1)*W$1+INTERCEPT($E760:$V760,$E$1:$V$1))&gt;(AVERAGE($E760:$V760)+_xlfn.STDEV.P($E760:$V760)),(SLOPE($E760:$V760,$E$1:$V$1)*W$1+INTERCEPT($E760:$V760,$E$1:$V$1))&lt;(AVERAGE($E760:$V760)-_xlfn.STDEV.P($E760:$V760))),V760,(SLOPE($E760:$V760,$E$1:$V$1)*W$1+INTERCEPT($E760:$V760,$E$1:$V$1)))</f>
        <v>1351.0054535947706</v>
      </c>
      <c r="X760" s="5">
        <f t="shared" si="769"/>
        <v>1185.3062849673197</v>
      </c>
      <c r="Y760" s="5">
        <f t="shared" si="769"/>
        <v>1019.6071163398683</v>
      </c>
      <c r="Z760" s="5">
        <f t="shared" si="769"/>
        <v>853.90794771241735</v>
      </c>
      <c r="AA760" s="5">
        <f t="shared" si="769"/>
        <v>688.20877908496641</v>
      </c>
      <c r="AB760" s="5">
        <f t="shared" si="769"/>
        <v>522.50961045751546</v>
      </c>
      <c r="AC760" s="5">
        <f t="shared" si="769"/>
        <v>356.81044183006452</v>
      </c>
      <c r="AD760" s="5">
        <f t="shared" si="769"/>
        <v>191.11127320261312</v>
      </c>
      <c r="AE760" s="5">
        <f t="shared" si="769"/>
        <v>25.41210457516263</v>
      </c>
      <c r="AF760" s="5">
        <f t="shared" si="769"/>
        <v>-140.28706405228877</v>
      </c>
      <c r="AG760" s="5">
        <f t="shared" si="769"/>
        <v>-305.98623267973926</v>
      </c>
      <c r="AH760" s="5">
        <f t="shared" si="769"/>
        <v>-471.68540130719066</v>
      </c>
    </row>
    <row r="761" spans="1:34" x14ac:dyDescent="0.35">
      <c r="A761" t="s">
        <v>781</v>
      </c>
      <c r="B761" s="3" t="s">
        <v>1264</v>
      </c>
      <c r="C761" s="4" t="s">
        <v>1263</v>
      </c>
      <c r="D761" s="2">
        <f t="shared" si="716"/>
        <v>51821.302399999986</v>
      </c>
      <c r="E761" s="5">
        <v>314.22719999999993</v>
      </c>
      <c r="F761" s="5">
        <v>104.74239999999998</v>
      </c>
      <c r="G761" s="5">
        <v>373.14479999999992</v>
      </c>
      <c r="H761" s="5">
        <v>3836.1904</v>
      </c>
      <c r="I761" s="5">
        <v>1191.4447999999995</v>
      </c>
      <c r="J761" s="5">
        <v>2238.8687999999997</v>
      </c>
      <c r="K761" s="5">
        <v>1610.4143999999999</v>
      </c>
      <c r="L761" s="5">
        <v>4824.6967999999997</v>
      </c>
      <c r="M761" s="5">
        <v>2245.4151999999999</v>
      </c>
      <c r="N761" s="5">
        <v>1767.5279999999993</v>
      </c>
      <c r="O761" s="5">
        <v>3057.1688000000004</v>
      </c>
      <c r="P761" s="5">
        <v>25039.979999999992</v>
      </c>
      <c r="Q761" s="5">
        <v>942.68159999999978</v>
      </c>
      <c r="R761" s="5">
        <v>955.77439999999979</v>
      </c>
      <c r="S761" s="5">
        <v>556.44399999999985</v>
      </c>
      <c r="T761" s="5">
        <v>942.68159999999989</v>
      </c>
      <c r="U761" s="5">
        <v>1158.7127999999998</v>
      </c>
      <c r="V761" s="5">
        <v>661.18639999999994</v>
      </c>
      <c r="W761" s="5">
        <f t="shared" ref="W761:AH761" si="770">IF(OR((SLOPE($E761:$V761,$E$1:$V$1)*W$1+INTERCEPT($E761:$V761,$E$1:$V$1))&gt;(AVERAGE($E761:$V761)+_xlfn.STDEV.P($E761:$V761)),(SLOPE($E761:$V761,$E$1:$V$1)*W$1+INTERCEPT($E761:$V761,$E$1:$V$1))&lt;(AVERAGE($E761:$V761)-_xlfn.STDEV.P($E761:$V761))),V761,(SLOPE($E761:$V761,$E$1:$V$1)*W$1+INTERCEPT($E761:$V761,$E$1:$V$1)))</f>
        <v>3792.7616679738549</v>
      </c>
      <c r="X761" s="5">
        <f t="shared" si="770"/>
        <v>3888.9511862401087</v>
      </c>
      <c r="Y761" s="5">
        <f t="shared" si="770"/>
        <v>3985.1407045063625</v>
      </c>
      <c r="Z761" s="5">
        <f t="shared" si="770"/>
        <v>4081.3302227726163</v>
      </c>
      <c r="AA761" s="5">
        <f t="shared" si="770"/>
        <v>4177.5197410388701</v>
      </c>
      <c r="AB761" s="5">
        <f t="shared" si="770"/>
        <v>4273.7092593051239</v>
      </c>
      <c r="AC761" s="5">
        <f t="shared" si="770"/>
        <v>4369.8987775713777</v>
      </c>
      <c r="AD761" s="5">
        <f t="shared" si="770"/>
        <v>4466.0882958376314</v>
      </c>
      <c r="AE761" s="5">
        <f t="shared" si="770"/>
        <v>4562.2778141038852</v>
      </c>
      <c r="AF761" s="5">
        <f t="shared" si="770"/>
        <v>4658.467332370139</v>
      </c>
      <c r="AG761" s="5">
        <f t="shared" si="770"/>
        <v>4754.6568506363928</v>
      </c>
      <c r="AH761" s="5">
        <f t="shared" si="770"/>
        <v>4850.8463689026466</v>
      </c>
    </row>
    <row r="762" spans="1:34" x14ac:dyDescent="0.35">
      <c r="A762" t="s">
        <v>782</v>
      </c>
      <c r="B762" s="3" t="s">
        <v>1266</v>
      </c>
      <c r="C762" s="4" t="s">
        <v>1266</v>
      </c>
      <c r="D762" s="2">
        <f t="shared" si="716"/>
        <v>52545.260291804741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52545.260291804741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f t="shared" ref="W762:AH762" si="771">IF(OR((SLOPE($E762:$V762,$E$1:$V$1)*W$1+INTERCEPT($E762:$V762,$E$1:$V$1))&gt;(AVERAGE($E762:$V762)+_xlfn.STDEV.P($E762:$V762)),(SLOPE($E762:$V762,$E$1:$V$1)*W$1+INTERCEPT($E762:$V762,$E$1:$V$1))&lt;(AVERAGE($E762:$V762)-_xlfn.STDEV.P($E762:$V762))),V762,(SLOPE($E762:$V762,$E$1:$V$1)*W$1+INTERCEPT($E762:$V762,$E$1:$V$1)))</f>
        <v>5494.9291808423259</v>
      </c>
      <c r="X762" s="5">
        <f t="shared" si="771"/>
        <v>5766.0605548970452</v>
      </c>
      <c r="Y762" s="5">
        <f t="shared" si="771"/>
        <v>6037.1919289517646</v>
      </c>
      <c r="Z762" s="5">
        <f t="shared" si="771"/>
        <v>6308.3233030064857</v>
      </c>
      <c r="AA762" s="5">
        <f t="shared" si="771"/>
        <v>6579.4546770612051</v>
      </c>
      <c r="AB762" s="5">
        <f t="shared" si="771"/>
        <v>6850.5860511159244</v>
      </c>
      <c r="AC762" s="5">
        <f t="shared" si="771"/>
        <v>7121.7174251706456</v>
      </c>
      <c r="AD762" s="5">
        <f t="shared" si="771"/>
        <v>7392.8487992253649</v>
      </c>
      <c r="AE762" s="5">
        <f t="shared" si="771"/>
        <v>7663.9801732800861</v>
      </c>
      <c r="AF762" s="5">
        <f t="shared" si="771"/>
        <v>7935.1115473348054</v>
      </c>
      <c r="AG762" s="5">
        <f t="shared" si="771"/>
        <v>8206.2429213895248</v>
      </c>
      <c r="AH762" s="5">
        <f t="shared" si="771"/>
        <v>8477.3742954442459</v>
      </c>
    </row>
    <row r="763" spans="1:34" x14ac:dyDescent="0.35">
      <c r="A763" t="s">
        <v>783</v>
      </c>
      <c r="B763" s="3" t="s">
        <v>1266</v>
      </c>
      <c r="C763" s="4" t="s">
        <v>1268</v>
      </c>
      <c r="D763" s="2">
        <f t="shared" si="716"/>
        <v>52489.559958980812</v>
      </c>
      <c r="E763" s="5">
        <v>0</v>
      </c>
      <c r="F763" s="5">
        <v>0</v>
      </c>
      <c r="G763" s="5">
        <v>0</v>
      </c>
      <c r="H763" s="5">
        <v>17377.758608513755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17653.8788119294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17457.922538537652</v>
      </c>
      <c r="V763" s="5">
        <v>0</v>
      </c>
      <c r="W763" s="5">
        <f t="shared" ref="W763:AH763" si="772">IF(OR((SLOPE($E763:$V763,$E$1:$V$1)*W$1+INTERCEPT($E763:$V763,$E$1:$V$1))&gt;(AVERAGE($E763:$V763)+_xlfn.STDEV.P($E763:$V763)),(SLOPE($E763:$V763,$E$1:$V$1)*W$1+INTERCEPT($E763:$V763,$E$1:$V$1))&lt;(AVERAGE($E763:$V763)-_xlfn.STDEV.P($E763:$V763))),V763,(SLOPE($E763:$V763,$E$1:$V$1)*W$1+INTERCEPT($E763:$V763,$E$1:$V$1)))</f>
        <v>3782.4334506264786</v>
      </c>
      <c r="X763" s="5">
        <f t="shared" si="772"/>
        <v>3873.6278491779162</v>
      </c>
      <c r="Y763" s="5">
        <f t="shared" si="772"/>
        <v>3964.8222477293539</v>
      </c>
      <c r="Z763" s="5">
        <f t="shared" si="772"/>
        <v>4056.0166462807911</v>
      </c>
      <c r="AA763" s="5">
        <f t="shared" si="772"/>
        <v>4147.2110448322292</v>
      </c>
      <c r="AB763" s="5">
        <f t="shared" si="772"/>
        <v>4238.4054433836664</v>
      </c>
      <c r="AC763" s="5">
        <f t="shared" si="772"/>
        <v>4329.5998419351035</v>
      </c>
      <c r="AD763" s="5">
        <f t="shared" si="772"/>
        <v>4420.7942404865407</v>
      </c>
      <c r="AE763" s="5">
        <f t="shared" si="772"/>
        <v>4511.9886390379779</v>
      </c>
      <c r="AF763" s="5">
        <f t="shared" si="772"/>
        <v>4603.183037589416</v>
      </c>
      <c r="AG763" s="5">
        <f t="shared" si="772"/>
        <v>4694.3774361408532</v>
      </c>
      <c r="AH763" s="5">
        <f t="shared" si="772"/>
        <v>4785.5718346922913</v>
      </c>
    </row>
    <row r="764" spans="1:34" x14ac:dyDescent="0.35">
      <c r="A764" t="s">
        <v>784</v>
      </c>
      <c r="B764" s="3" t="s">
        <v>1264</v>
      </c>
      <c r="C764" s="4" t="s">
        <v>1263</v>
      </c>
      <c r="D764" s="2">
        <f t="shared" si="716"/>
        <v>51954.253281614438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10008.98187011373</v>
      </c>
      <c r="K764" s="5">
        <v>0</v>
      </c>
      <c r="L764" s="5">
        <v>0</v>
      </c>
      <c r="M764" s="5">
        <v>10049.178584451534</v>
      </c>
      <c r="N764" s="5">
        <v>0</v>
      </c>
      <c r="O764" s="5">
        <v>0</v>
      </c>
      <c r="P764" s="5">
        <v>11837.932372483909</v>
      </c>
      <c r="Q764" s="5">
        <v>0</v>
      </c>
      <c r="R764" s="5">
        <v>0</v>
      </c>
      <c r="S764" s="5">
        <v>20058.160454565263</v>
      </c>
      <c r="T764" s="5">
        <v>0</v>
      </c>
      <c r="U764" s="5">
        <v>0</v>
      </c>
      <c r="V764" s="5">
        <v>0</v>
      </c>
      <c r="W764" s="5">
        <f t="shared" ref="W764:AH764" si="773">IF(OR((SLOPE($E764:$V764,$E$1:$V$1)*W$1+INTERCEPT($E764:$V764,$E$1:$V$1))&gt;(AVERAGE($E764:$V764)+_xlfn.STDEV.P($E764:$V764)),(SLOPE($E764:$V764,$E$1:$V$1)*W$1+INTERCEPT($E764:$V764,$E$1:$V$1))&lt;(AVERAGE($E764:$V764)-_xlfn.STDEV.P($E764:$V764))),V764,(SLOPE($E764:$V764,$E$1:$V$1)*W$1+INTERCEPT($E764:$V764,$E$1:$V$1)))</f>
        <v>4844.3608867634466</v>
      </c>
      <c r="X764" s="5">
        <f t="shared" si="773"/>
        <v>5050.4675691033754</v>
      </c>
      <c r="Y764" s="5">
        <f t="shared" si="773"/>
        <v>5256.5742514433023</v>
      </c>
      <c r="Z764" s="5">
        <f t="shared" si="773"/>
        <v>5462.6809337832292</v>
      </c>
      <c r="AA764" s="5">
        <f t="shared" si="773"/>
        <v>5668.7876161231579</v>
      </c>
      <c r="AB764" s="5">
        <f t="shared" si="773"/>
        <v>5874.8942984630849</v>
      </c>
      <c r="AC764" s="5">
        <f t="shared" si="773"/>
        <v>6081.0009808030118</v>
      </c>
      <c r="AD764" s="5">
        <f t="shared" si="773"/>
        <v>6287.1076631429405</v>
      </c>
      <c r="AE764" s="5">
        <f t="shared" si="773"/>
        <v>6493.2143454828674</v>
      </c>
      <c r="AF764" s="5">
        <f t="shared" si="773"/>
        <v>6699.3210278227943</v>
      </c>
      <c r="AG764" s="5">
        <f t="shared" si="773"/>
        <v>6905.4277101627231</v>
      </c>
      <c r="AH764" s="5">
        <f t="shared" si="773"/>
        <v>7111.53439250265</v>
      </c>
    </row>
    <row r="765" spans="1:34" x14ac:dyDescent="0.35">
      <c r="A765" t="s">
        <v>785</v>
      </c>
      <c r="B765" s="3" t="s">
        <v>1266</v>
      </c>
      <c r="C765" s="4" t="s">
        <v>1266</v>
      </c>
      <c r="D765" s="2">
        <f t="shared" si="716"/>
        <v>51858.327204882924</v>
      </c>
      <c r="E765" s="5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43908.580469448272</v>
      </c>
      <c r="Q765" s="5">
        <v>0</v>
      </c>
      <c r="R765" s="5">
        <v>7949.7467354346527</v>
      </c>
      <c r="S765" s="5">
        <v>0</v>
      </c>
      <c r="T765" s="5">
        <v>0</v>
      </c>
      <c r="U765" s="5">
        <v>0</v>
      </c>
      <c r="V765" s="5">
        <v>0</v>
      </c>
      <c r="W765" s="5">
        <f t="shared" ref="W765:AH765" si="774">IF(OR((SLOPE($E765:$V765,$E$1:$V$1)*W$1+INTERCEPT($E765:$V765,$E$1:$V$1))&gt;(AVERAGE($E765:$V765)+_xlfn.STDEV.P($E765:$V765)),(SLOPE($E765:$V765,$E$1:$V$1)*W$1+INTERCEPT($E765:$V765,$E$1:$V$1))&lt;(AVERAGE($E765:$V765)-_xlfn.STDEV.P($E765:$V765))),V765,(SLOPE($E765:$V765,$E$1:$V$1)*W$1+INTERCEPT($E765:$V765,$E$1:$V$1)))</f>
        <v>5734.8478149721223</v>
      </c>
      <c r="X765" s="5">
        <f t="shared" si="774"/>
        <v>6035.2509346482348</v>
      </c>
      <c r="Y765" s="5">
        <f t="shared" si="774"/>
        <v>6335.6540543243473</v>
      </c>
      <c r="Z765" s="5">
        <f t="shared" si="774"/>
        <v>6636.0571740004607</v>
      </c>
      <c r="AA765" s="5">
        <f t="shared" si="774"/>
        <v>6936.4602936765732</v>
      </c>
      <c r="AB765" s="5">
        <f t="shared" si="774"/>
        <v>7236.8634133526857</v>
      </c>
      <c r="AC765" s="5">
        <f t="shared" si="774"/>
        <v>7537.2665330287982</v>
      </c>
      <c r="AD765" s="5">
        <f t="shared" si="774"/>
        <v>7837.6696527049107</v>
      </c>
      <c r="AE765" s="5">
        <f t="shared" si="774"/>
        <v>8138.0727723810242</v>
      </c>
      <c r="AF765" s="5">
        <f t="shared" si="774"/>
        <v>8438.4758920571367</v>
      </c>
      <c r="AG765" s="5">
        <f t="shared" si="774"/>
        <v>8738.8790117332501</v>
      </c>
      <c r="AH765" s="5">
        <f t="shared" si="774"/>
        <v>9039.2821314093635</v>
      </c>
    </row>
    <row r="766" spans="1:34" x14ac:dyDescent="0.35">
      <c r="A766" t="s">
        <v>786</v>
      </c>
      <c r="B766" s="3" t="s">
        <v>1266</v>
      </c>
      <c r="C766" s="4" t="s">
        <v>1266</v>
      </c>
      <c r="D766" s="2">
        <f t="shared" si="716"/>
        <v>51596.999999999993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51596.999999999993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f t="shared" ref="W766:AH766" si="775">IF(OR((SLOPE($E766:$V766,$E$1:$V$1)*W$1+INTERCEPT($E766:$V766,$E$1:$V$1))&gt;(AVERAGE($E766:$V766)+_xlfn.STDEV.P($E766:$V766)),(SLOPE($E766:$V766,$E$1:$V$1)*W$1+INTERCEPT($E766:$V766,$E$1:$V$1))&lt;(AVERAGE($E766:$V766)-_xlfn.STDEV.P($E766:$V766))),V766,(SLOPE($E766:$V766,$E$1:$V$1)*W$1+INTERCEPT($E766:$V766,$E$1:$V$1)))</f>
        <v>6407.4705882352928</v>
      </c>
      <c r="X766" s="5">
        <f t="shared" si="775"/>
        <v>6780.2043343653231</v>
      </c>
      <c r="Y766" s="5">
        <f t="shared" si="775"/>
        <v>7152.9380804953544</v>
      </c>
      <c r="Z766" s="5">
        <f t="shared" si="775"/>
        <v>7525.6718266253847</v>
      </c>
      <c r="AA766" s="5">
        <f t="shared" si="775"/>
        <v>7898.4055727554151</v>
      </c>
      <c r="AB766" s="5">
        <f t="shared" si="775"/>
        <v>8271.1393188854472</v>
      </c>
      <c r="AC766" s="5">
        <f t="shared" si="775"/>
        <v>8643.8730650154776</v>
      </c>
      <c r="AD766" s="5">
        <f t="shared" si="775"/>
        <v>9016.6068111455079</v>
      </c>
      <c r="AE766" s="5">
        <f t="shared" si="775"/>
        <v>9389.34055727554</v>
      </c>
      <c r="AF766" s="5">
        <f t="shared" si="775"/>
        <v>9762.0743034055704</v>
      </c>
      <c r="AG766" s="5">
        <f t="shared" si="775"/>
        <v>10134.808049535601</v>
      </c>
      <c r="AH766" s="5">
        <f t="shared" si="775"/>
        <v>10507.541795665631</v>
      </c>
    </row>
    <row r="767" spans="1:34" x14ac:dyDescent="0.35">
      <c r="A767" t="s">
        <v>787</v>
      </c>
      <c r="B767" s="3" t="s">
        <v>1264</v>
      </c>
      <c r="C767" s="4" t="s">
        <v>1263</v>
      </c>
      <c r="D767" s="2">
        <f t="shared" si="716"/>
        <v>51389.034600867388</v>
      </c>
      <c r="E767" s="5">
        <v>0</v>
      </c>
      <c r="F767" s="5">
        <v>0</v>
      </c>
      <c r="G767" s="5">
        <v>18183.812243383847</v>
      </c>
      <c r="H767" s="5">
        <v>3953.0026616051841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4269.2428745335983</v>
      </c>
      <c r="P767" s="5">
        <v>0</v>
      </c>
      <c r="Q767" s="5">
        <v>0</v>
      </c>
      <c r="R767" s="5">
        <v>7906.0053232103683</v>
      </c>
      <c r="S767" s="5">
        <v>3320.5222357483544</v>
      </c>
      <c r="T767" s="5">
        <v>4743.6031939262211</v>
      </c>
      <c r="U767" s="5">
        <v>1423.0809581778663</v>
      </c>
      <c r="V767" s="5">
        <v>7589.7651102819536</v>
      </c>
      <c r="W767" s="5">
        <f t="shared" ref="W767:AH767" si="776">IF(OR((SLOPE($E767:$V767,$E$1:$V$1)*W$1+INTERCEPT($E767:$V767,$E$1:$V$1))&gt;(AVERAGE($E767:$V767)+_xlfn.STDEV.P($E767:$V767)),(SLOPE($E767:$V767,$E$1:$V$1)*W$1+INTERCEPT($E767:$V767,$E$1:$V$1))&lt;(AVERAGE($E767:$V767)-_xlfn.STDEV.P($E767:$V767))),V767,(SLOPE($E767:$V767,$E$1:$V$1)*W$1+INTERCEPT($E767:$V767,$E$1:$V$1)))</f>
        <v>3371.1620084068254</v>
      </c>
      <c r="X767" s="5">
        <f t="shared" si="776"/>
        <v>3425.5004970059808</v>
      </c>
      <c r="Y767" s="5">
        <f t="shared" si="776"/>
        <v>3479.8389856051353</v>
      </c>
      <c r="Z767" s="5">
        <f t="shared" si="776"/>
        <v>3534.1774742042903</v>
      </c>
      <c r="AA767" s="5">
        <f t="shared" si="776"/>
        <v>3588.5159628034453</v>
      </c>
      <c r="AB767" s="5">
        <f t="shared" si="776"/>
        <v>3642.8544514025998</v>
      </c>
      <c r="AC767" s="5">
        <f t="shared" si="776"/>
        <v>3697.1929400017548</v>
      </c>
      <c r="AD767" s="5">
        <f t="shared" si="776"/>
        <v>3751.5314286009097</v>
      </c>
      <c r="AE767" s="5">
        <f t="shared" si="776"/>
        <v>3805.8699172000643</v>
      </c>
      <c r="AF767" s="5">
        <f t="shared" si="776"/>
        <v>3860.2084057992192</v>
      </c>
      <c r="AG767" s="5">
        <f t="shared" si="776"/>
        <v>3914.5468943983742</v>
      </c>
      <c r="AH767" s="5">
        <f t="shared" si="776"/>
        <v>3968.8853829975287</v>
      </c>
    </row>
    <row r="768" spans="1:34" x14ac:dyDescent="0.35">
      <c r="A768" t="s">
        <v>788</v>
      </c>
      <c r="B768" s="3" t="s">
        <v>1264</v>
      </c>
      <c r="C768" s="4" t="s">
        <v>1263</v>
      </c>
      <c r="D768" s="2">
        <f t="shared" si="716"/>
        <v>51367.679999999993</v>
      </c>
      <c r="E768" s="5">
        <v>0</v>
      </c>
      <c r="F768" s="5">
        <v>2054.7071999999998</v>
      </c>
      <c r="G768" s="5">
        <v>2054.7071999999998</v>
      </c>
      <c r="H768" s="5">
        <v>0</v>
      </c>
      <c r="I768" s="5">
        <v>0</v>
      </c>
      <c r="J768" s="5">
        <v>3082.0607999999997</v>
      </c>
      <c r="K768" s="5">
        <v>0</v>
      </c>
      <c r="L768" s="5">
        <v>0</v>
      </c>
      <c r="M768" s="5">
        <v>9246.1823999999997</v>
      </c>
      <c r="N768" s="5">
        <v>3082.0607999999997</v>
      </c>
      <c r="O768" s="5">
        <v>11300.889599999999</v>
      </c>
      <c r="P768" s="5">
        <v>12328.243199999999</v>
      </c>
      <c r="Q768" s="5">
        <v>0</v>
      </c>
      <c r="R768" s="5">
        <v>0</v>
      </c>
      <c r="S768" s="5">
        <v>8218.8287999999993</v>
      </c>
      <c r="T768" s="5">
        <v>0</v>
      </c>
      <c r="U768" s="5">
        <v>0</v>
      </c>
      <c r="V768" s="5">
        <v>0</v>
      </c>
      <c r="W768" s="5">
        <f t="shared" ref="W768:AH768" si="777">IF(OR((SLOPE($E768:$V768,$E$1:$V$1)*W$1+INTERCEPT($E768:$V768,$E$1:$V$1))&gt;(AVERAGE($E768:$V768)+_xlfn.STDEV.P($E768:$V768)),(SLOPE($E768:$V768,$E$1:$V$1)*W$1+INTERCEPT($E768:$V768,$E$1:$V$1))&lt;(AVERAGE($E768:$V768)-_xlfn.STDEV.P($E768:$V768))),V768,(SLOPE($E768:$V768,$E$1:$V$1)*W$1+INTERCEPT($E768:$V768,$E$1:$V$1)))</f>
        <v>3840.8252235294112</v>
      </c>
      <c r="X768" s="5">
        <f t="shared" si="777"/>
        <v>3944.726826006191</v>
      </c>
      <c r="Y768" s="5">
        <f t="shared" si="777"/>
        <v>4048.6284284829708</v>
      </c>
      <c r="Z768" s="5">
        <f t="shared" si="777"/>
        <v>4152.5300309597515</v>
      </c>
      <c r="AA768" s="5">
        <f t="shared" si="777"/>
        <v>4256.4316334365312</v>
      </c>
      <c r="AB768" s="5">
        <f t="shared" si="777"/>
        <v>4360.3332359133119</v>
      </c>
      <c r="AC768" s="5">
        <f t="shared" si="777"/>
        <v>4464.2348383900917</v>
      </c>
      <c r="AD768" s="5">
        <f t="shared" si="777"/>
        <v>4568.1364408668715</v>
      </c>
      <c r="AE768" s="5">
        <f t="shared" si="777"/>
        <v>4672.0380433436521</v>
      </c>
      <c r="AF768" s="5">
        <f t="shared" si="777"/>
        <v>4775.9396458204319</v>
      </c>
      <c r="AG768" s="5">
        <f t="shared" si="777"/>
        <v>4879.8412482972126</v>
      </c>
      <c r="AH768" s="5">
        <f t="shared" si="777"/>
        <v>4983.7428507739924</v>
      </c>
    </row>
    <row r="769" spans="1:34" x14ac:dyDescent="0.35">
      <c r="A769" t="s">
        <v>789</v>
      </c>
      <c r="B769" s="3" t="s">
        <v>1266</v>
      </c>
      <c r="C769" s="4" t="s">
        <v>1267</v>
      </c>
      <c r="D769" s="2">
        <f t="shared" si="716"/>
        <v>51344.954688068778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51344.954688068778</v>
      </c>
      <c r="V769" s="5">
        <v>0</v>
      </c>
      <c r="W769" s="5">
        <f t="shared" ref="W769:AH769" si="778">IF(OR((SLOPE($E769:$V769,$E$1:$V$1)*W$1+INTERCEPT($E769:$V769,$E$1:$V$1))&gt;(AVERAGE($E769:$V769)+_xlfn.STDEV.P($E769:$V769)),(SLOPE($E769:$V769,$E$1:$V$1)*W$1+INTERCEPT($E769:$V769,$E$1:$V$1))&lt;(AVERAGE($E769:$V769)-_xlfn.STDEV.P($E769:$V769))),V769,(SLOPE($E769:$V769,$E$1:$V$1)*W$1+INTERCEPT($E769:$V769,$E$1:$V$1)))</f>
        <v>10403.226113268838</v>
      </c>
      <c r="X769" s="5">
        <f t="shared" si="778"/>
        <v>11198.039653331824</v>
      </c>
      <c r="Y769" s="5">
        <f t="shared" si="778"/>
        <v>11992.853193394809</v>
      </c>
      <c r="Z769" s="5">
        <f t="shared" si="778"/>
        <v>12787.666733457792</v>
      </c>
      <c r="AA769" s="5">
        <f t="shared" si="778"/>
        <v>13582.480273520776</v>
      </c>
      <c r="AB769" s="5">
        <f t="shared" si="778"/>
        <v>14377.293813583759</v>
      </c>
      <c r="AC769" s="5">
        <f t="shared" si="778"/>
        <v>14377.293813583759</v>
      </c>
      <c r="AD769" s="5">
        <f t="shared" si="778"/>
        <v>14377.293813583759</v>
      </c>
      <c r="AE769" s="5">
        <f t="shared" si="778"/>
        <v>14377.293813583759</v>
      </c>
      <c r="AF769" s="5">
        <f t="shared" si="778"/>
        <v>14377.293813583759</v>
      </c>
      <c r="AG769" s="5">
        <f t="shared" si="778"/>
        <v>14377.293813583759</v>
      </c>
      <c r="AH769" s="5">
        <f t="shared" si="778"/>
        <v>14377.293813583759</v>
      </c>
    </row>
    <row r="770" spans="1:34" x14ac:dyDescent="0.35">
      <c r="A770" t="s">
        <v>790</v>
      </c>
      <c r="B770" s="3" t="s">
        <v>1266</v>
      </c>
      <c r="C770" s="4" t="s">
        <v>1266</v>
      </c>
      <c r="D770" s="2">
        <f t="shared" si="716"/>
        <v>51325.447331740645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51325.447331740645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f t="shared" ref="W770:AH770" si="779">IF(OR((SLOPE($E770:$V770,$E$1:$V$1)*W$1+INTERCEPT($E770:$V770,$E$1:$V$1))&gt;(AVERAGE($E770:$V770)+_xlfn.STDEV.P($E770:$V770)),(SLOPE($E770:$V770,$E$1:$V$1)*W$1+INTERCEPT($E770:$V770,$E$1:$V$1))&lt;(AVERAGE($E770:$V770)-_xlfn.STDEV.P($E770:$V770))),V770,(SLOPE($E770:$V770,$E$1:$V$1)*W$1+INTERCEPT($E770:$V770,$E$1:$V$1)))</f>
        <v>5367.3670412277806</v>
      </c>
      <c r="X770" s="5">
        <f t="shared" si="779"/>
        <v>5632.2042307620459</v>
      </c>
      <c r="Y770" s="5">
        <f t="shared" si="779"/>
        <v>5897.041420296312</v>
      </c>
      <c r="Z770" s="5">
        <f t="shared" si="779"/>
        <v>6161.8786098305773</v>
      </c>
      <c r="AA770" s="5">
        <f t="shared" si="779"/>
        <v>6426.7157993648425</v>
      </c>
      <c r="AB770" s="5">
        <f t="shared" si="779"/>
        <v>6691.5529888991086</v>
      </c>
      <c r="AC770" s="5">
        <f t="shared" si="779"/>
        <v>6956.3901784333739</v>
      </c>
      <c r="AD770" s="5">
        <f t="shared" si="779"/>
        <v>7221.2273679676391</v>
      </c>
      <c r="AE770" s="5">
        <f t="shared" si="779"/>
        <v>7486.0645575019043</v>
      </c>
      <c r="AF770" s="5">
        <f t="shared" si="779"/>
        <v>7750.9017470361705</v>
      </c>
      <c r="AG770" s="5">
        <f t="shared" si="779"/>
        <v>8015.7389365704357</v>
      </c>
      <c r="AH770" s="5">
        <f t="shared" si="779"/>
        <v>8280.576126104701</v>
      </c>
    </row>
    <row r="771" spans="1:34" x14ac:dyDescent="0.35">
      <c r="A771" t="s">
        <v>791</v>
      </c>
      <c r="B771" s="3" t="s">
        <v>1266</v>
      </c>
      <c r="C771" s="4" t="s">
        <v>1266</v>
      </c>
      <c r="D771" s="2">
        <f t="shared" si="716"/>
        <v>51101.991424469292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24268.513301968043</v>
      </c>
      <c r="Q771" s="5">
        <v>0</v>
      </c>
      <c r="R771" s="5">
        <v>26833.478122501245</v>
      </c>
      <c r="S771" s="5">
        <v>0</v>
      </c>
      <c r="T771" s="5">
        <v>0</v>
      </c>
      <c r="U771" s="5">
        <v>0</v>
      </c>
      <c r="V771" s="5">
        <v>0</v>
      </c>
      <c r="W771" s="5">
        <f t="shared" ref="W771:AH771" si="780">IF(OR((SLOPE($E771:$V771,$E$1:$V$1)*W$1+INTERCEPT($E771:$V771,$E$1:$V$1))&gt;(AVERAGE($E771:$V771)+_xlfn.STDEV.P($E771:$V771)),(SLOPE($E771:$V771,$E$1:$V$1)*W$1+INTERCEPT($E771:$V771,$E$1:$V$1))&lt;(AVERAGE($E771:$V771)-_xlfn.STDEV.P($E771:$V771))),V771,(SLOPE($E771:$V771,$E$1:$V$1)*W$1+INTERCEPT($E771:$V771,$E$1:$V$1)))</f>
        <v>6396.2923629184061</v>
      </c>
      <c r="X771" s="5">
        <f t="shared" si="780"/>
        <v>6770.74424074333</v>
      </c>
      <c r="Y771" s="5">
        <f t="shared" si="780"/>
        <v>7145.196118568254</v>
      </c>
      <c r="Z771" s="5">
        <f t="shared" si="780"/>
        <v>7519.6479963931779</v>
      </c>
      <c r="AA771" s="5">
        <f t="shared" si="780"/>
        <v>7894.0998742181018</v>
      </c>
      <c r="AB771" s="5">
        <f t="shared" si="780"/>
        <v>8268.5517520430276</v>
      </c>
      <c r="AC771" s="5">
        <f t="shared" si="780"/>
        <v>8643.0036298679515</v>
      </c>
      <c r="AD771" s="5">
        <f t="shared" si="780"/>
        <v>9017.4555076928755</v>
      </c>
      <c r="AE771" s="5">
        <f t="shared" si="780"/>
        <v>9391.9073855177994</v>
      </c>
      <c r="AF771" s="5">
        <f t="shared" si="780"/>
        <v>9766.3592633427234</v>
      </c>
      <c r="AG771" s="5">
        <f t="shared" si="780"/>
        <v>10140.811141167647</v>
      </c>
      <c r="AH771" s="5">
        <f t="shared" si="780"/>
        <v>10515.263018992571</v>
      </c>
    </row>
    <row r="772" spans="1:34" x14ac:dyDescent="0.35">
      <c r="A772" t="s">
        <v>792</v>
      </c>
      <c r="B772" s="3" t="s">
        <v>1266</v>
      </c>
      <c r="C772" s="4" t="s">
        <v>1267</v>
      </c>
      <c r="D772" s="2">
        <f t="shared" ref="D772:D835" si="781">SUM(E772:V772)</f>
        <v>50720.495132998971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9879.1621014982356</v>
      </c>
      <c r="T772" s="5">
        <v>40841.333031500733</v>
      </c>
      <c r="U772" s="5">
        <v>0</v>
      </c>
      <c r="V772" s="5">
        <v>0</v>
      </c>
      <c r="W772" s="5">
        <f t="shared" ref="W772:AH772" si="782">IF(OR((SLOPE($E772:$V772,$E$1:$V$1)*W$1+INTERCEPT($E772:$V772,$E$1:$V$1))&gt;(AVERAGE($E772:$V772)+_xlfn.STDEV.P($E772:$V772)),(SLOPE($E772:$V772,$E$1:$V$1)*W$1+INTERCEPT($E772:$V772,$E$1:$V$1))&lt;(AVERAGE($E772:$V772)-_xlfn.STDEV.P($E772:$V772))),V772,(SLOPE($E772:$V772,$E$1:$V$1)*W$1+INTERCEPT($E772:$V772,$E$1:$V$1)))</f>
        <v>9088.4730550292588</v>
      </c>
      <c r="X772" s="5">
        <f t="shared" si="782"/>
        <v>9748.5433465937476</v>
      </c>
      <c r="Y772" s="5">
        <f t="shared" si="782"/>
        <v>10408.613638158238</v>
      </c>
      <c r="Z772" s="5">
        <f t="shared" si="782"/>
        <v>11068.683929722727</v>
      </c>
      <c r="AA772" s="5">
        <f t="shared" si="782"/>
        <v>11728.754221287216</v>
      </c>
      <c r="AB772" s="5">
        <f t="shared" si="782"/>
        <v>11728.754221287216</v>
      </c>
      <c r="AC772" s="5">
        <f t="shared" si="782"/>
        <v>11728.754221287216</v>
      </c>
      <c r="AD772" s="5">
        <f t="shared" si="782"/>
        <v>11728.754221287216</v>
      </c>
      <c r="AE772" s="5">
        <f t="shared" si="782"/>
        <v>11728.754221287216</v>
      </c>
      <c r="AF772" s="5">
        <f t="shared" si="782"/>
        <v>11728.754221287216</v>
      </c>
      <c r="AG772" s="5">
        <f t="shared" si="782"/>
        <v>11728.754221287216</v>
      </c>
      <c r="AH772" s="5">
        <f t="shared" si="782"/>
        <v>11728.754221287216</v>
      </c>
    </row>
    <row r="773" spans="1:34" x14ac:dyDescent="0.35">
      <c r="A773" t="s">
        <v>793</v>
      </c>
      <c r="B773" s="3" t="s">
        <v>1266</v>
      </c>
      <c r="C773" s="4" t="s">
        <v>1266</v>
      </c>
      <c r="D773" s="2">
        <f t="shared" si="781"/>
        <v>50445.544471473077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24021.687843558608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26423.856627914469</v>
      </c>
      <c r="U773" s="5">
        <v>0</v>
      </c>
      <c r="V773" s="5">
        <v>0</v>
      </c>
      <c r="W773" s="5">
        <f t="shared" ref="W773:AH773" si="783">IF(OR((SLOPE($E773:$V773,$E$1:$V$1)*W$1+INTERCEPT($E773:$V773,$E$1:$V$1))&gt;(AVERAGE($E773:$V773)+_xlfn.STDEV.P($E773:$V773)),(SLOPE($E773:$V773,$E$1:$V$1)*W$1+INTERCEPT($E773:$V773,$E$1:$V$1))&lt;(AVERAGE($E773:$V773)-_xlfn.STDEV.P($E773:$V773))),V773,(SLOPE($E773:$V773,$E$1:$V$1)*W$1+INTERCEPT($E773:$V773,$E$1:$V$1)))</f>
        <v>5934.7699378203615</v>
      </c>
      <c r="X773" s="5">
        <f t="shared" si="783"/>
        <v>6264.4793788103816</v>
      </c>
      <c r="Y773" s="5">
        <f t="shared" si="783"/>
        <v>6594.1888198004017</v>
      </c>
      <c r="Z773" s="5">
        <f t="shared" si="783"/>
        <v>6923.8982607904218</v>
      </c>
      <c r="AA773" s="5">
        <f t="shared" si="783"/>
        <v>7253.6077017804419</v>
      </c>
      <c r="AB773" s="5">
        <f t="shared" si="783"/>
        <v>7583.3171427704619</v>
      </c>
      <c r="AC773" s="5">
        <f t="shared" si="783"/>
        <v>7913.026583760482</v>
      </c>
      <c r="AD773" s="5">
        <f t="shared" si="783"/>
        <v>8242.7360247505021</v>
      </c>
      <c r="AE773" s="5">
        <f t="shared" si="783"/>
        <v>8572.4454657405222</v>
      </c>
      <c r="AF773" s="5">
        <f t="shared" si="783"/>
        <v>8902.1549067305423</v>
      </c>
      <c r="AG773" s="5">
        <f t="shared" si="783"/>
        <v>9231.8643477205624</v>
      </c>
      <c r="AH773" s="5">
        <f t="shared" si="783"/>
        <v>9561.5737887105824</v>
      </c>
    </row>
    <row r="774" spans="1:34" x14ac:dyDescent="0.35">
      <c r="A774" t="s">
        <v>794</v>
      </c>
      <c r="B774" s="3" t="s">
        <v>1264</v>
      </c>
      <c r="C774" s="4" t="s">
        <v>1267</v>
      </c>
      <c r="D774" s="2">
        <f t="shared" si="781"/>
        <v>50214.109086367149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50214.109086367149</v>
      </c>
      <c r="S774" s="5">
        <v>0</v>
      </c>
      <c r="T774" s="5">
        <v>0</v>
      </c>
      <c r="U774" s="5">
        <v>0</v>
      </c>
      <c r="V774" s="5">
        <v>0</v>
      </c>
      <c r="W774" s="5">
        <f t="shared" ref="W774:AH774" si="784">IF(OR((SLOPE($E774:$V774,$E$1:$V$1)*W$1+INTERCEPT($E774:$V774,$E$1:$V$1))&gt;(AVERAGE($E774:$V774)+_xlfn.STDEV.P($E774:$V774)),(SLOPE($E774:$V774,$E$1:$V$1)*W$1+INTERCEPT($E774:$V774,$E$1:$V$1))&lt;(AVERAGE($E774:$V774)-_xlfn.STDEV.P($E774:$V774))),V774,(SLOPE($E774:$V774,$E$1:$V$1)*W$1+INTERCEPT($E774:$V774,$E$1:$V$1)))</f>
        <v>7220.3294111116174</v>
      </c>
      <c r="X774" s="5">
        <f t="shared" si="784"/>
        <v>7686.7143252264814</v>
      </c>
      <c r="Y774" s="5">
        <f t="shared" si="784"/>
        <v>8153.0992393413471</v>
      </c>
      <c r="Z774" s="5">
        <f t="shared" si="784"/>
        <v>8619.4841534562129</v>
      </c>
      <c r="AA774" s="5">
        <f t="shared" si="784"/>
        <v>9085.8690675710786</v>
      </c>
      <c r="AB774" s="5">
        <f t="shared" si="784"/>
        <v>9552.2539816859426</v>
      </c>
      <c r="AC774" s="5">
        <f t="shared" si="784"/>
        <v>10018.638895800808</v>
      </c>
      <c r="AD774" s="5">
        <f t="shared" si="784"/>
        <v>10485.023809915674</v>
      </c>
      <c r="AE774" s="5">
        <f t="shared" si="784"/>
        <v>10951.408724030538</v>
      </c>
      <c r="AF774" s="5">
        <f t="shared" si="784"/>
        <v>11417.793638145404</v>
      </c>
      <c r="AG774" s="5">
        <f t="shared" si="784"/>
        <v>11884.178552260269</v>
      </c>
      <c r="AH774" s="5">
        <f t="shared" si="784"/>
        <v>12350.563466375135</v>
      </c>
    </row>
    <row r="775" spans="1:34" x14ac:dyDescent="0.35">
      <c r="A775" t="s">
        <v>795</v>
      </c>
      <c r="B775" s="3" t="s">
        <v>1264</v>
      </c>
      <c r="C775" s="4" t="s">
        <v>1263</v>
      </c>
      <c r="D775" s="2">
        <f t="shared" si="781"/>
        <v>50083.91196531264</v>
      </c>
      <c r="E775" s="5">
        <v>0</v>
      </c>
      <c r="F775" s="5">
        <v>0</v>
      </c>
      <c r="G775" s="5">
        <v>0</v>
      </c>
      <c r="H775" s="5">
        <v>7255.1461258163163</v>
      </c>
      <c r="I775" s="5">
        <v>0</v>
      </c>
      <c r="J775" s="5">
        <v>29722.695418666848</v>
      </c>
      <c r="K775" s="5">
        <v>0</v>
      </c>
      <c r="L775" s="5">
        <v>13106.070420829476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f t="shared" ref="W775:AH775" si="785">IF(OR((SLOPE($E775:$V775,$E$1:$V$1)*W$1+INTERCEPT($E775:$V775,$E$1:$V$1))&gt;(AVERAGE($E775:$V775)+_xlfn.STDEV.P($E775:$V775)),(SLOPE($E775:$V775,$E$1:$V$1)*W$1+INTERCEPT($E775:$V775,$E$1:$V$1))&lt;(AVERAGE($E775:$V775)-_xlfn.STDEV.P($E775:$V775))),V775,(SLOPE($E775:$V775,$E$1:$V$1)*W$1+INTERCEPT($E775:$V775,$E$1:$V$1)))</f>
        <v>-425.24364810814586</v>
      </c>
      <c r="X775" s="5">
        <f t="shared" si="785"/>
        <v>-762.89451144884333</v>
      </c>
      <c r="Y775" s="5">
        <f t="shared" si="785"/>
        <v>-1100.5453747895408</v>
      </c>
      <c r="Z775" s="5">
        <f t="shared" si="785"/>
        <v>-1438.1962381302383</v>
      </c>
      <c r="AA775" s="5">
        <f t="shared" si="785"/>
        <v>-1775.8471014709357</v>
      </c>
      <c r="AB775" s="5">
        <f t="shared" si="785"/>
        <v>-2113.4979648116332</v>
      </c>
      <c r="AC775" s="5">
        <f t="shared" si="785"/>
        <v>-2451.1488281523307</v>
      </c>
      <c r="AD775" s="5">
        <f t="shared" si="785"/>
        <v>-2788.7996914930281</v>
      </c>
      <c r="AE775" s="5">
        <f t="shared" si="785"/>
        <v>-3126.4505548337256</v>
      </c>
      <c r="AF775" s="5">
        <f t="shared" si="785"/>
        <v>-3464.1014181744231</v>
      </c>
      <c r="AG775" s="5">
        <f t="shared" si="785"/>
        <v>-3801.7522815151206</v>
      </c>
      <c r="AH775" s="5">
        <f t="shared" si="785"/>
        <v>-4139.403144855818</v>
      </c>
    </row>
    <row r="776" spans="1:34" x14ac:dyDescent="0.35">
      <c r="A776" t="s">
        <v>796</v>
      </c>
      <c r="B776" s="3" t="s">
        <v>1266</v>
      </c>
      <c r="C776" s="4" t="s">
        <v>1263</v>
      </c>
      <c r="D776" s="2">
        <f t="shared" si="781"/>
        <v>49906.068289863782</v>
      </c>
      <c r="E776" s="5">
        <v>0</v>
      </c>
      <c r="F776" s="5">
        <v>0</v>
      </c>
      <c r="G776" s="5">
        <v>0</v>
      </c>
      <c r="H776" s="5">
        <v>49906.068289863782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f t="shared" ref="W776:AH776" si="786">IF(OR((SLOPE($E776:$V776,$E$1:$V$1)*W$1+INTERCEPT($E776:$V776,$E$1:$V$1))&gt;(AVERAGE($E776:$V776)+_xlfn.STDEV.P($E776:$V776)),(SLOPE($E776:$V776,$E$1:$V$1)*W$1+INTERCEPT($E776:$V776,$E$1:$V$1))&lt;(AVERAGE($E776:$V776)-_xlfn.STDEV.P($E776:$V776))),V776,(SLOPE($E776:$V776,$E$1:$V$1)*W$1+INTERCEPT($E776:$V776,$E$1:$V$1)))</f>
        <v>-2609.4676229994129</v>
      </c>
      <c r="X776" s="5">
        <f t="shared" si="786"/>
        <v>-3175.9967779927065</v>
      </c>
      <c r="Y776" s="5">
        <f t="shared" si="786"/>
        <v>-3742.525932986</v>
      </c>
      <c r="Z776" s="5">
        <f t="shared" si="786"/>
        <v>-4309.0550879792936</v>
      </c>
      <c r="AA776" s="5">
        <f t="shared" si="786"/>
        <v>-4875.5842429725872</v>
      </c>
      <c r="AB776" s="5">
        <f t="shared" si="786"/>
        <v>-5442.1133979658825</v>
      </c>
      <c r="AC776" s="5">
        <f t="shared" si="786"/>
        <v>-6008.6425529591761</v>
      </c>
      <c r="AD776" s="5">
        <f t="shared" si="786"/>
        <v>-6575.1717079524697</v>
      </c>
      <c r="AE776" s="5">
        <f t="shared" si="786"/>
        <v>-7141.7008629457632</v>
      </c>
      <c r="AF776" s="5">
        <f t="shared" si="786"/>
        <v>-7708.2300179390568</v>
      </c>
      <c r="AG776" s="5">
        <f t="shared" si="786"/>
        <v>-8274.7591729323485</v>
      </c>
      <c r="AH776" s="5">
        <f t="shared" si="786"/>
        <v>-8274.7591729323485</v>
      </c>
    </row>
    <row r="777" spans="1:34" x14ac:dyDescent="0.35">
      <c r="A777" t="s">
        <v>797</v>
      </c>
      <c r="B777" s="3" t="s">
        <v>1265</v>
      </c>
      <c r="C777" s="4" t="s">
        <v>1263</v>
      </c>
      <c r="D777" s="2">
        <f t="shared" si="781"/>
        <v>48970.004159999982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1464.4139999999995</v>
      </c>
      <c r="P777" s="5">
        <v>22903.434959999988</v>
      </c>
      <c r="Q777" s="5">
        <v>8435.0246399999978</v>
      </c>
      <c r="R777" s="5">
        <v>0</v>
      </c>
      <c r="S777" s="5">
        <v>3045.981119999999</v>
      </c>
      <c r="T777" s="5">
        <v>3280.2873599999989</v>
      </c>
      <c r="U777" s="5">
        <v>6033.3856799999976</v>
      </c>
      <c r="V777" s="5">
        <v>3807.4763999999986</v>
      </c>
      <c r="W777" s="5">
        <f t="shared" ref="W777:AH777" si="787">IF(OR((SLOPE($E777:$V777,$E$1:$V$1)*W$1+INTERCEPT($E777:$V777,$E$1:$V$1))&gt;(AVERAGE($E777:$V777)+_xlfn.STDEV.P($E777:$V777)),(SLOPE($E777:$V777,$E$1:$V$1)*W$1+INTERCEPT($E777:$V777,$E$1:$V$1))&lt;(AVERAGE($E777:$V777)-_xlfn.STDEV.P($E777:$V777))),V777,(SLOPE($E777:$V777,$E$1:$V$1)*W$1+INTERCEPT($E777:$V777,$E$1:$V$1)))</f>
        <v>6733.6244266666654</v>
      </c>
      <c r="X777" s="5">
        <f t="shared" si="787"/>
        <v>7156.0527045614017</v>
      </c>
      <c r="Y777" s="5">
        <f t="shared" si="787"/>
        <v>7578.480982456138</v>
      </c>
      <c r="Z777" s="5">
        <f t="shared" si="787"/>
        <v>8000.9092603508761</v>
      </c>
      <c r="AA777" s="5">
        <f t="shared" si="787"/>
        <v>8000.9092603508761</v>
      </c>
      <c r="AB777" s="5">
        <f t="shared" si="787"/>
        <v>8000.9092603508761</v>
      </c>
      <c r="AC777" s="5">
        <f t="shared" si="787"/>
        <v>8000.9092603508761</v>
      </c>
      <c r="AD777" s="5">
        <f t="shared" si="787"/>
        <v>8000.9092603508761</v>
      </c>
      <c r="AE777" s="5">
        <f t="shared" si="787"/>
        <v>8000.9092603508761</v>
      </c>
      <c r="AF777" s="5">
        <f t="shared" si="787"/>
        <v>8000.9092603508761</v>
      </c>
      <c r="AG777" s="5">
        <f t="shared" si="787"/>
        <v>8000.9092603508761</v>
      </c>
      <c r="AH777" s="5">
        <f t="shared" si="787"/>
        <v>8000.9092603508761</v>
      </c>
    </row>
    <row r="778" spans="1:34" x14ac:dyDescent="0.35">
      <c r="A778" t="s">
        <v>798</v>
      </c>
      <c r="B778" s="3" t="s">
        <v>1265</v>
      </c>
      <c r="C778" s="4" t="s">
        <v>1263</v>
      </c>
      <c r="D778" s="2">
        <f t="shared" si="781"/>
        <v>49075.743586629389</v>
      </c>
      <c r="E778" s="5">
        <v>0</v>
      </c>
      <c r="F778" s="5">
        <v>0</v>
      </c>
      <c r="G778" s="5">
        <v>0</v>
      </c>
      <c r="H778" s="5">
        <v>6370.4090232643921</v>
      </c>
      <c r="I778" s="5">
        <v>0</v>
      </c>
      <c r="J778" s="5">
        <v>2123.4696744214639</v>
      </c>
      <c r="K778" s="5">
        <v>7786.055472878701</v>
      </c>
      <c r="L778" s="5">
        <v>3775.0571989714917</v>
      </c>
      <c r="M778" s="5">
        <v>0</v>
      </c>
      <c r="N778" s="5">
        <v>0</v>
      </c>
      <c r="O778" s="5">
        <v>0</v>
      </c>
      <c r="P778" s="5">
        <v>7156.8792730501191</v>
      </c>
      <c r="Q778" s="5">
        <v>0</v>
      </c>
      <c r="R778" s="5">
        <v>2831.2928992286179</v>
      </c>
      <c r="S778" s="5">
        <v>0</v>
      </c>
      <c r="T778" s="5">
        <v>11797.05374678591</v>
      </c>
      <c r="U778" s="5">
        <v>6449.0560482429628</v>
      </c>
      <c r="V778" s="5">
        <v>786.47024978572733</v>
      </c>
      <c r="W778" s="5">
        <f t="shared" ref="W778:AH778" si="788">IF(OR((SLOPE($E778:$V778,$E$1:$V$1)*W$1+INTERCEPT($E778:$V778,$E$1:$V$1))&gt;(AVERAGE($E778:$V778)+_xlfn.STDEV.P($E778:$V778)),(SLOPE($E778:$V778,$E$1:$V$1)*W$1+INTERCEPT($E778:$V778,$E$1:$V$1))&lt;(AVERAGE($E778:$V778)-_xlfn.STDEV.P($E778:$V778))),V778,(SLOPE($E778:$V778,$E$1:$V$1)*W$1+INTERCEPT($E778:$V778,$E$1:$V$1)))</f>
        <v>4584.6589266920928</v>
      </c>
      <c r="X778" s="5">
        <f t="shared" si="788"/>
        <v>4780.2619506326091</v>
      </c>
      <c r="Y778" s="5">
        <f t="shared" si="788"/>
        <v>4975.8649745731254</v>
      </c>
      <c r="Z778" s="5">
        <f t="shared" si="788"/>
        <v>5171.4679985136418</v>
      </c>
      <c r="AA778" s="5">
        <f t="shared" si="788"/>
        <v>5367.0710224541581</v>
      </c>
      <c r="AB778" s="5">
        <f t="shared" si="788"/>
        <v>5562.6740463946735</v>
      </c>
      <c r="AC778" s="5">
        <f t="shared" si="788"/>
        <v>5758.2770703351898</v>
      </c>
      <c r="AD778" s="5">
        <f t="shared" si="788"/>
        <v>5953.8800942757061</v>
      </c>
      <c r="AE778" s="5">
        <f t="shared" si="788"/>
        <v>6149.4831182162225</v>
      </c>
      <c r="AF778" s="5">
        <f t="shared" si="788"/>
        <v>6149.4831182162225</v>
      </c>
      <c r="AG778" s="5">
        <f t="shared" si="788"/>
        <v>6149.4831182162225</v>
      </c>
      <c r="AH778" s="5">
        <f t="shared" si="788"/>
        <v>6149.4831182162225</v>
      </c>
    </row>
    <row r="779" spans="1:34" x14ac:dyDescent="0.35">
      <c r="A779" t="s">
        <v>799</v>
      </c>
      <c r="B779" s="3" t="s">
        <v>1266</v>
      </c>
      <c r="C779" s="4" t="s">
        <v>1267</v>
      </c>
      <c r="D779" s="2">
        <f t="shared" si="781"/>
        <v>49000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20580</v>
      </c>
      <c r="K779" s="5">
        <v>12250</v>
      </c>
      <c r="L779" s="5">
        <v>16170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f t="shared" ref="W779:AH779" si="789">IF(OR((SLOPE($E779:$V779,$E$1:$V$1)*W$1+INTERCEPT($E779:$V779,$E$1:$V$1))&gt;(AVERAGE($E779:$V779)+_xlfn.STDEV.P($E779:$V779)),(SLOPE($E779:$V779,$E$1:$V$1)*W$1+INTERCEPT($E779:$V779,$E$1:$V$1))&lt;(AVERAGE($E779:$V779)-_xlfn.STDEV.P($E779:$V779))),V779,(SLOPE($E779:$V779,$E$1:$V$1)*W$1+INTERCEPT($E779:$V779,$E$1:$V$1)))</f>
        <v>233.7908496732025</v>
      </c>
      <c r="X779" s="5">
        <f t="shared" si="789"/>
        <v>-28.149294805641148</v>
      </c>
      <c r="Y779" s="5">
        <f t="shared" si="789"/>
        <v>-290.08943928448571</v>
      </c>
      <c r="Z779" s="5">
        <f t="shared" si="789"/>
        <v>-552.02958376332936</v>
      </c>
      <c r="AA779" s="5">
        <f t="shared" si="789"/>
        <v>-813.96972824217391</v>
      </c>
      <c r="AB779" s="5">
        <f t="shared" si="789"/>
        <v>-1075.9098727210185</v>
      </c>
      <c r="AC779" s="5">
        <f t="shared" si="789"/>
        <v>-1337.8500171998621</v>
      </c>
      <c r="AD779" s="5">
        <f t="shared" si="789"/>
        <v>-1599.7901616787067</v>
      </c>
      <c r="AE779" s="5">
        <f t="shared" si="789"/>
        <v>-1861.7303061575503</v>
      </c>
      <c r="AF779" s="5">
        <f t="shared" si="789"/>
        <v>-2123.6704506363949</v>
      </c>
      <c r="AG779" s="5">
        <f t="shared" si="789"/>
        <v>-2385.6105951152385</v>
      </c>
      <c r="AH779" s="5">
        <f t="shared" si="789"/>
        <v>-2647.5507395940831</v>
      </c>
    </row>
    <row r="780" spans="1:34" x14ac:dyDescent="0.35">
      <c r="A780" t="s">
        <v>800</v>
      </c>
      <c r="B780" s="3" t="s">
        <v>1266</v>
      </c>
      <c r="C780" s="4" t="s">
        <v>1267</v>
      </c>
      <c r="D780" s="2">
        <f t="shared" si="781"/>
        <v>48374.335530053155</v>
      </c>
      <c r="E780" s="5">
        <v>0</v>
      </c>
      <c r="F780" s="5">
        <v>48374.335530053155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f t="shared" ref="W780:AH780" si="790">IF(OR((SLOPE($E780:$V780,$E$1:$V$1)*W$1+INTERCEPT($E780:$V780,$E$1:$V$1))&gt;(AVERAGE($E780:$V780)+_xlfn.STDEV.P($E780:$V780)),(SLOPE($E780:$V780,$E$1:$V$1)*W$1+INTERCEPT($E780:$V780,$E$1:$V$1))&lt;(AVERAGE($E780:$V780)-_xlfn.STDEV.P($E780:$V780))),V780,(SLOPE($E780:$V780,$E$1:$V$1)*W$1+INTERCEPT($E780:$V780,$E$1:$V$1)))</f>
        <v>-4426.4097870636888</v>
      </c>
      <c r="X780" s="5">
        <f t="shared" si="790"/>
        <v>-5175.2385104391251</v>
      </c>
      <c r="Y780" s="5">
        <f t="shared" si="790"/>
        <v>-5924.0672338145614</v>
      </c>
      <c r="Z780" s="5">
        <f t="shared" si="790"/>
        <v>-6672.8959571899977</v>
      </c>
      <c r="AA780" s="5">
        <f t="shared" si="790"/>
        <v>-7421.7246805654322</v>
      </c>
      <c r="AB780" s="5">
        <f t="shared" si="790"/>
        <v>-8170.5534039408703</v>
      </c>
      <c r="AC780" s="5">
        <f t="shared" si="790"/>
        <v>-8170.5534039408703</v>
      </c>
      <c r="AD780" s="5">
        <f t="shared" si="790"/>
        <v>-8170.5534039408703</v>
      </c>
      <c r="AE780" s="5">
        <f t="shared" si="790"/>
        <v>-8170.5534039408703</v>
      </c>
      <c r="AF780" s="5">
        <f t="shared" si="790"/>
        <v>-8170.5534039408703</v>
      </c>
      <c r="AG780" s="5">
        <f t="shared" si="790"/>
        <v>-8170.5534039408703</v>
      </c>
      <c r="AH780" s="5">
        <f t="shared" si="790"/>
        <v>-8170.5534039408703</v>
      </c>
    </row>
    <row r="781" spans="1:34" x14ac:dyDescent="0.35">
      <c r="A781" t="s">
        <v>801</v>
      </c>
      <c r="B781" s="3" t="s">
        <v>1266</v>
      </c>
      <c r="C781" s="4" t="s">
        <v>1263</v>
      </c>
      <c r="D781" s="2">
        <f t="shared" si="781"/>
        <v>48237.886153898682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48237.886153898682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f t="shared" ref="W781:AH781" si="791">IF(OR((SLOPE($E781:$V781,$E$1:$V$1)*W$1+INTERCEPT($E781:$V781,$E$1:$V$1))&gt;(AVERAGE($E781:$V781)+_xlfn.STDEV.P($E781:$V781)),(SLOPE($E781:$V781,$E$1:$V$1)*W$1+INTERCEPT($E781:$V781,$E$1:$V$1))&lt;(AVERAGE($E781:$V781)-_xlfn.STDEV.P($E781:$V781))),V781,(SLOPE($E781:$V781,$E$1:$V$1)*W$1+INTERCEPT($E781:$V781,$E$1:$V$1)))</f>
        <v>5044.4848265514956</v>
      </c>
      <c r="X781" s="5">
        <f t="shared" si="791"/>
        <v>5293.3903278616035</v>
      </c>
      <c r="Y781" s="5">
        <f t="shared" si="791"/>
        <v>5542.2958291717096</v>
      </c>
      <c r="Z781" s="5">
        <f t="shared" si="791"/>
        <v>5791.2013304818156</v>
      </c>
      <c r="AA781" s="5">
        <f t="shared" si="791"/>
        <v>6040.1068317919235</v>
      </c>
      <c r="AB781" s="5">
        <f t="shared" si="791"/>
        <v>6289.0123331020295</v>
      </c>
      <c r="AC781" s="5">
        <f t="shared" si="791"/>
        <v>6537.9178344121374</v>
      </c>
      <c r="AD781" s="5">
        <f t="shared" si="791"/>
        <v>6786.8233357222434</v>
      </c>
      <c r="AE781" s="5">
        <f t="shared" si="791"/>
        <v>7035.7288370323495</v>
      </c>
      <c r="AF781" s="5">
        <f t="shared" si="791"/>
        <v>7284.6343383424573</v>
      </c>
      <c r="AG781" s="5">
        <f t="shared" si="791"/>
        <v>7533.5398396525634</v>
      </c>
      <c r="AH781" s="5">
        <f t="shared" si="791"/>
        <v>7782.4453409626694</v>
      </c>
    </row>
    <row r="782" spans="1:34" x14ac:dyDescent="0.35">
      <c r="A782" t="s">
        <v>802</v>
      </c>
      <c r="B782" s="3" t="s">
        <v>1266</v>
      </c>
      <c r="C782" s="4" t="s">
        <v>1263</v>
      </c>
      <c r="D782" s="2">
        <f t="shared" si="781"/>
        <v>47805.281999999992</v>
      </c>
      <c r="E782" s="5">
        <v>0</v>
      </c>
      <c r="F782" s="5">
        <v>813.38040000000001</v>
      </c>
      <c r="G782" s="5">
        <v>567.83159999999998</v>
      </c>
      <c r="H782" s="5">
        <v>3161.4407999999999</v>
      </c>
      <c r="I782" s="5">
        <v>153.46799999999999</v>
      </c>
      <c r="J782" s="5">
        <v>675.25919999999996</v>
      </c>
      <c r="K782" s="5">
        <v>1181.7036000000001</v>
      </c>
      <c r="L782" s="5">
        <v>1135.6632000000002</v>
      </c>
      <c r="M782" s="5">
        <v>1795.5755999999997</v>
      </c>
      <c r="N782" s="5">
        <v>4404.5316000000003</v>
      </c>
      <c r="O782" s="5">
        <v>1427.2524000000001</v>
      </c>
      <c r="P782" s="5">
        <v>0</v>
      </c>
      <c r="Q782" s="5">
        <v>9208.0800000000017</v>
      </c>
      <c r="R782" s="5">
        <v>5187.2183999999997</v>
      </c>
      <c r="S782" s="5">
        <v>0</v>
      </c>
      <c r="T782" s="5">
        <v>230.202</v>
      </c>
      <c r="U782" s="5">
        <v>0</v>
      </c>
      <c r="V782" s="5">
        <v>17863.675199999998</v>
      </c>
      <c r="W782" s="5">
        <f t="shared" ref="W782:AH782" si="792">IF(OR((SLOPE($E782:$V782,$E$1:$V$1)*W$1+INTERCEPT($E782:$V782,$E$1:$V$1))&gt;(AVERAGE($E782:$V782)+_xlfn.STDEV.P($E782:$V782)),(SLOPE($E782:$V782,$E$1:$V$1)*W$1+INTERCEPT($E782:$V782,$E$1:$V$1))&lt;(AVERAGE($E782:$V782)-_xlfn.STDEV.P($E782:$V782))),V782,(SLOPE($E782:$V782,$E$1:$V$1)*W$1+INTERCEPT($E782:$V782,$E$1:$V$1)))</f>
        <v>6135.5102117647057</v>
      </c>
      <c r="X782" s="5">
        <f t="shared" si="792"/>
        <v>6501.7903393188853</v>
      </c>
      <c r="Y782" s="5">
        <f t="shared" si="792"/>
        <v>6868.0704668730641</v>
      </c>
      <c r="Z782" s="5">
        <f t="shared" si="792"/>
        <v>6868.0704668730641</v>
      </c>
      <c r="AA782" s="5">
        <f t="shared" si="792"/>
        <v>6868.0704668730641</v>
      </c>
      <c r="AB782" s="5">
        <f t="shared" si="792"/>
        <v>6868.0704668730641</v>
      </c>
      <c r="AC782" s="5">
        <f t="shared" si="792"/>
        <v>6868.0704668730641</v>
      </c>
      <c r="AD782" s="5">
        <f t="shared" si="792"/>
        <v>6868.0704668730641</v>
      </c>
      <c r="AE782" s="5">
        <f t="shared" si="792"/>
        <v>6868.0704668730641</v>
      </c>
      <c r="AF782" s="5">
        <f t="shared" si="792"/>
        <v>6868.0704668730641</v>
      </c>
      <c r="AG782" s="5">
        <f t="shared" si="792"/>
        <v>6868.0704668730641</v>
      </c>
      <c r="AH782" s="5">
        <f t="shared" si="792"/>
        <v>6868.0704668730641</v>
      </c>
    </row>
    <row r="783" spans="1:34" x14ac:dyDescent="0.35">
      <c r="A783" t="s">
        <v>803</v>
      </c>
      <c r="B783" s="3" t="s">
        <v>1264</v>
      </c>
      <c r="C783" s="4" t="s">
        <v>1263</v>
      </c>
      <c r="D783" s="2">
        <f t="shared" si="781"/>
        <v>47629.114028681128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36637.780022062412</v>
      </c>
      <c r="L783" s="5">
        <v>0</v>
      </c>
      <c r="M783" s="5">
        <v>0</v>
      </c>
      <c r="N783" s="5">
        <v>0</v>
      </c>
      <c r="O783" s="5">
        <v>7327.5560044124823</v>
      </c>
      <c r="P783" s="5">
        <v>0</v>
      </c>
      <c r="Q783" s="5">
        <v>0</v>
      </c>
      <c r="R783" s="5">
        <v>0</v>
      </c>
      <c r="S783" s="5">
        <v>1831.8890011031206</v>
      </c>
      <c r="T783" s="5">
        <v>0</v>
      </c>
      <c r="U783" s="5">
        <v>0</v>
      </c>
      <c r="V783" s="5">
        <v>1831.8890011031206</v>
      </c>
      <c r="W783" s="5">
        <f t="shared" ref="W783:AH783" si="793">IF(OR((SLOPE($E783:$V783,$E$1:$V$1)*W$1+INTERCEPT($E783:$V783,$E$1:$V$1))&gt;(AVERAGE($E783:$V783)+_xlfn.STDEV.P($E783:$V783)),(SLOPE($E783:$V783,$E$1:$V$1)*W$1+INTERCEPT($E783:$V783,$E$1:$V$1))&lt;(AVERAGE($E783:$V783)-_xlfn.STDEV.P($E783:$V783))),V783,(SLOPE($E783:$V783,$E$1:$V$1)*W$1+INTERCEPT($E783:$V783,$E$1:$V$1)))</f>
        <v>1568.480125127508</v>
      </c>
      <c r="X783" s="5">
        <f t="shared" si="793"/>
        <v>1455.050465616479</v>
      </c>
      <c r="Y783" s="5">
        <f t="shared" si="793"/>
        <v>1341.6208061054494</v>
      </c>
      <c r="Z783" s="5">
        <f t="shared" si="793"/>
        <v>1228.1911465944204</v>
      </c>
      <c r="AA783" s="5">
        <f t="shared" si="793"/>
        <v>1114.7614870833913</v>
      </c>
      <c r="AB783" s="5">
        <f t="shared" si="793"/>
        <v>1001.3318275723623</v>
      </c>
      <c r="AC783" s="5">
        <f t="shared" si="793"/>
        <v>887.90216806133321</v>
      </c>
      <c r="AD783" s="5">
        <f t="shared" si="793"/>
        <v>774.4725085503037</v>
      </c>
      <c r="AE783" s="5">
        <f t="shared" si="793"/>
        <v>661.04284903927464</v>
      </c>
      <c r="AF783" s="5">
        <f t="shared" si="793"/>
        <v>547.61318952824558</v>
      </c>
      <c r="AG783" s="5">
        <f t="shared" si="793"/>
        <v>434.18353001721653</v>
      </c>
      <c r="AH783" s="5">
        <f t="shared" si="793"/>
        <v>320.75387050618701</v>
      </c>
    </row>
    <row r="784" spans="1:34" x14ac:dyDescent="0.35">
      <c r="A784" t="s">
        <v>804</v>
      </c>
      <c r="B784" s="3" t="s">
        <v>1264</v>
      </c>
      <c r="C784" s="4" t="s">
        <v>1263</v>
      </c>
      <c r="D784" s="2">
        <f t="shared" si="781"/>
        <v>47425.653324000006</v>
      </c>
      <c r="E784" s="5">
        <v>3661.2702000000004</v>
      </c>
      <c r="F784" s="5">
        <v>2562.8891400000002</v>
      </c>
      <c r="G784" s="5">
        <v>3970.4441280000005</v>
      </c>
      <c r="H784" s="5">
        <v>2831.3822880000002</v>
      </c>
      <c r="I784" s="5">
        <v>1846.9074120000002</v>
      </c>
      <c r="J784" s="5">
        <v>4247.0734320000001</v>
      </c>
      <c r="K784" s="5">
        <v>1033.2918119999999</v>
      </c>
      <c r="L784" s="5">
        <v>5914.9854119999991</v>
      </c>
      <c r="M784" s="5">
        <v>10048.152660000002</v>
      </c>
      <c r="N784" s="5">
        <v>2766.2930400000005</v>
      </c>
      <c r="O784" s="5">
        <v>3083.6031240000011</v>
      </c>
      <c r="P784" s="5">
        <v>1114.653372</v>
      </c>
      <c r="Q784" s="5">
        <v>1196.0149319999998</v>
      </c>
      <c r="R784" s="5">
        <v>1659.7758240000003</v>
      </c>
      <c r="S784" s="5">
        <v>366.12702000000002</v>
      </c>
      <c r="T784" s="5">
        <v>374.26317600000004</v>
      </c>
      <c r="U784" s="5">
        <v>480.03320399999996</v>
      </c>
      <c r="V784" s="5">
        <v>268.49314800000002</v>
      </c>
      <c r="W784" s="5">
        <f t="shared" ref="W784:AH784" si="794">IF(OR((SLOPE($E784:$V784,$E$1:$V$1)*W$1+INTERCEPT($E784:$V784,$E$1:$V$1))&gt;(AVERAGE($E784:$V784)+_xlfn.STDEV.P($E784:$V784)),(SLOPE($E784:$V784,$E$1:$V$1)*W$1+INTERCEPT($E784:$V784,$E$1:$V$1))&lt;(AVERAGE($E784:$V784)-_xlfn.STDEV.P($E784:$V784))),V784,(SLOPE($E784:$V784,$E$1:$V$1)*W$1+INTERCEPT($E784:$V784,$E$1:$V$1)))</f>
        <v>662.21928541176521</v>
      </c>
      <c r="X784" s="5">
        <f t="shared" si="794"/>
        <v>454.58357671826616</v>
      </c>
      <c r="Y784" s="5">
        <f t="shared" si="794"/>
        <v>454.58357671826616</v>
      </c>
      <c r="Z784" s="5">
        <f t="shared" si="794"/>
        <v>454.58357671826616</v>
      </c>
      <c r="AA784" s="5">
        <f t="shared" si="794"/>
        <v>454.58357671826616</v>
      </c>
      <c r="AB784" s="5">
        <f t="shared" si="794"/>
        <v>454.58357671826616</v>
      </c>
      <c r="AC784" s="5">
        <f t="shared" si="794"/>
        <v>454.58357671826616</v>
      </c>
      <c r="AD784" s="5">
        <f t="shared" si="794"/>
        <v>454.58357671826616</v>
      </c>
      <c r="AE784" s="5">
        <f t="shared" si="794"/>
        <v>454.58357671826616</v>
      </c>
      <c r="AF784" s="5">
        <f t="shared" si="794"/>
        <v>454.58357671826616</v>
      </c>
      <c r="AG784" s="5">
        <f t="shared" si="794"/>
        <v>454.58357671826616</v>
      </c>
      <c r="AH784" s="5">
        <f t="shared" si="794"/>
        <v>454.58357671826616</v>
      </c>
    </row>
    <row r="785" spans="1:34" x14ac:dyDescent="0.35">
      <c r="A785" t="s">
        <v>805</v>
      </c>
      <c r="B785" s="3" t="s">
        <v>1266</v>
      </c>
      <c r="C785" s="4" t="s">
        <v>1267</v>
      </c>
      <c r="D785" s="2">
        <f t="shared" si="781"/>
        <v>47355.404124512403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47355.404124512403</v>
      </c>
      <c r="U785" s="5">
        <v>0</v>
      </c>
      <c r="V785" s="5">
        <v>0</v>
      </c>
      <c r="W785" s="5">
        <f t="shared" ref="W785:AH785" si="795">IF(OR((SLOPE($E785:$V785,$E$1:$V$1)*W$1+INTERCEPT($E785:$V785,$E$1:$V$1))&gt;(AVERAGE($E785:$V785)+_xlfn.STDEV.P($E785:$V785)),(SLOPE($E785:$V785,$E$1:$V$1)*W$1+INTERCEPT($E785:$V785,$E$1:$V$1))&lt;(AVERAGE($E785:$V785)-_xlfn.STDEV.P($E785:$V785))),V785,(SLOPE($E785:$V785,$E$1:$V$1)*W$1+INTERCEPT($E785:$V785,$E$1:$V$1)))</f>
        <v>8666.348467231026</v>
      </c>
      <c r="X785" s="5">
        <f t="shared" si="795"/>
        <v>9301.6634864453299</v>
      </c>
      <c r="Y785" s="5">
        <f t="shared" si="795"/>
        <v>9936.9785056596356</v>
      </c>
      <c r="Z785" s="5">
        <f t="shared" si="795"/>
        <v>10572.29352487394</v>
      </c>
      <c r="AA785" s="5">
        <f t="shared" si="795"/>
        <v>11207.608544088243</v>
      </c>
      <c r="AB785" s="5">
        <f t="shared" si="795"/>
        <v>11842.923563302549</v>
      </c>
      <c r="AC785" s="5">
        <f t="shared" si="795"/>
        <v>12478.238582516853</v>
      </c>
      <c r="AD785" s="5">
        <f t="shared" si="795"/>
        <v>13113.553601731157</v>
      </c>
      <c r="AE785" s="5">
        <f t="shared" si="795"/>
        <v>13113.553601731157</v>
      </c>
      <c r="AF785" s="5">
        <f t="shared" si="795"/>
        <v>13113.553601731157</v>
      </c>
      <c r="AG785" s="5">
        <f t="shared" si="795"/>
        <v>13113.553601731157</v>
      </c>
      <c r="AH785" s="5">
        <f t="shared" si="795"/>
        <v>13113.553601731157</v>
      </c>
    </row>
    <row r="786" spans="1:34" x14ac:dyDescent="0.35">
      <c r="A786" t="s">
        <v>806</v>
      </c>
      <c r="B786" s="3" t="s">
        <v>1266</v>
      </c>
      <c r="C786" s="4" t="s">
        <v>1263</v>
      </c>
      <c r="D786" s="2">
        <f t="shared" si="781"/>
        <v>47247.328799999996</v>
      </c>
      <c r="E786" s="5">
        <v>2907.9539999999997</v>
      </c>
      <c r="F786" s="5">
        <v>7339.1219999999994</v>
      </c>
      <c r="G786" s="5">
        <v>1984.7939999999999</v>
      </c>
      <c r="H786" s="5">
        <v>0</v>
      </c>
      <c r="I786" s="5">
        <v>1061.634</v>
      </c>
      <c r="J786" s="5">
        <v>19478.675999999996</v>
      </c>
      <c r="K786" s="5">
        <v>323.10599999999999</v>
      </c>
      <c r="L786" s="5">
        <v>2077.11</v>
      </c>
      <c r="M786" s="5">
        <v>6646.7519999999995</v>
      </c>
      <c r="N786" s="5">
        <v>0</v>
      </c>
      <c r="O786" s="5">
        <v>5428.1807999999992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f t="shared" ref="W786:AH786" si="796">IF(OR((SLOPE($E786:$V786,$E$1:$V$1)*W$1+INTERCEPT($E786:$V786,$E$1:$V$1))&gt;(AVERAGE($E786:$V786)+_xlfn.STDEV.P($E786:$V786)),(SLOPE($E786:$V786,$E$1:$V$1)*W$1+INTERCEPT($E786:$V786,$E$1:$V$1))&lt;(AVERAGE($E786:$V786)-_xlfn.STDEV.P($E786:$V786))),V786,(SLOPE($E786:$V786,$E$1:$V$1)*W$1+INTERCEPT($E786:$V786,$E$1:$V$1)))</f>
        <v>-604.9413176470589</v>
      </c>
      <c r="X786" s="5">
        <f t="shared" si="796"/>
        <v>-944.91951950464409</v>
      </c>
      <c r="Y786" s="5">
        <f t="shared" si="796"/>
        <v>-1284.8977213622293</v>
      </c>
      <c r="Z786" s="5">
        <f t="shared" si="796"/>
        <v>-1624.8759232198145</v>
      </c>
      <c r="AA786" s="5">
        <f t="shared" si="796"/>
        <v>-1964.8541250773997</v>
      </c>
      <c r="AB786" s="5">
        <f t="shared" si="796"/>
        <v>-1964.8541250773997</v>
      </c>
      <c r="AC786" s="5">
        <f t="shared" si="796"/>
        <v>-1964.8541250773997</v>
      </c>
      <c r="AD786" s="5">
        <f t="shared" si="796"/>
        <v>-1964.8541250773997</v>
      </c>
      <c r="AE786" s="5">
        <f t="shared" si="796"/>
        <v>-1964.8541250773997</v>
      </c>
      <c r="AF786" s="5">
        <f t="shared" si="796"/>
        <v>-1964.8541250773997</v>
      </c>
      <c r="AG786" s="5">
        <f t="shared" si="796"/>
        <v>-1964.8541250773997</v>
      </c>
      <c r="AH786" s="5">
        <f t="shared" si="796"/>
        <v>-1964.8541250773997</v>
      </c>
    </row>
    <row r="787" spans="1:34" x14ac:dyDescent="0.35">
      <c r="A787" t="s">
        <v>807</v>
      </c>
      <c r="B787" s="3" t="s">
        <v>1266</v>
      </c>
      <c r="C787" s="4" t="s">
        <v>1267</v>
      </c>
      <c r="D787" s="2">
        <f t="shared" si="781"/>
        <v>46987.561519978757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9230.9389692129625</v>
      </c>
      <c r="T787" s="5">
        <v>37756.622550765795</v>
      </c>
      <c r="U787" s="5">
        <v>0</v>
      </c>
      <c r="V787" s="5">
        <v>0</v>
      </c>
      <c r="W787" s="5">
        <f t="shared" ref="W787:AH787" si="797">IF(OR((SLOPE($E787:$V787,$E$1:$V$1)*W$1+INTERCEPT($E787:$V787,$E$1:$V$1))&gt;(AVERAGE($E787:$V787)+_xlfn.STDEV.P($E787:$V787)),(SLOPE($E787:$V787,$E$1:$V$1)*W$1+INTERCEPT($E787:$V787,$E$1:$V$1))&lt;(AVERAGE($E787:$V787)-_xlfn.STDEV.P($E787:$V787))),V787,(SLOPE($E787:$V787,$E$1:$V$1)*W$1+INTERCEPT($E787:$V787,$E$1:$V$1)))</f>
        <v>8418.0320630834394</v>
      </c>
      <c r="X787" s="5">
        <f t="shared" si="797"/>
        <v>9029.3596397824076</v>
      </c>
      <c r="Y787" s="5">
        <f t="shared" si="797"/>
        <v>9640.6872164813722</v>
      </c>
      <c r="Z787" s="5">
        <f t="shared" si="797"/>
        <v>10252.014793180337</v>
      </c>
      <c r="AA787" s="5">
        <f t="shared" si="797"/>
        <v>10863.342369879305</v>
      </c>
      <c r="AB787" s="5">
        <f t="shared" si="797"/>
        <v>10863.342369879305</v>
      </c>
      <c r="AC787" s="5">
        <f t="shared" si="797"/>
        <v>10863.342369879305</v>
      </c>
      <c r="AD787" s="5">
        <f t="shared" si="797"/>
        <v>10863.342369879305</v>
      </c>
      <c r="AE787" s="5">
        <f t="shared" si="797"/>
        <v>10863.342369879305</v>
      </c>
      <c r="AF787" s="5">
        <f t="shared" si="797"/>
        <v>10863.342369879305</v>
      </c>
      <c r="AG787" s="5">
        <f t="shared" si="797"/>
        <v>10863.342369879305</v>
      </c>
      <c r="AH787" s="5">
        <f t="shared" si="797"/>
        <v>10863.342369879305</v>
      </c>
    </row>
    <row r="788" spans="1:34" x14ac:dyDescent="0.35">
      <c r="A788" t="s">
        <v>808</v>
      </c>
      <c r="B788" s="3" t="s">
        <v>1266</v>
      </c>
      <c r="C788" s="4" t="s">
        <v>1266</v>
      </c>
      <c r="D788" s="2">
        <f t="shared" si="781"/>
        <v>46847.92</v>
      </c>
      <c r="E788" s="5">
        <v>0</v>
      </c>
      <c r="F788" s="5">
        <v>0</v>
      </c>
      <c r="G788" s="5">
        <v>0</v>
      </c>
      <c r="H788" s="5">
        <v>46847.92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f t="shared" ref="W788:AH788" si="798">IF(OR((SLOPE($E788:$V788,$E$1:$V$1)*W$1+INTERCEPT($E788:$V788,$E$1:$V$1))&gt;(AVERAGE($E788:$V788)+_xlfn.STDEV.P($E788:$V788)),(SLOPE($E788:$V788,$E$1:$V$1)*W$1+INTERCEPT($E788:$V788,$E$1:$V$1))&lt;(AVERAGE($E788:$V788)-_xlfn.STDEV.P($E788:$V788))),V788,(SLOPE($E788:$V788,$E$1:$V$1)*W$1+INTERCEPT($E788:$V788,$E$1:$V$1)))</f>
        <v>-2449.5644444444451</v>
      </c>
      <c r="X788" s="5">
        <f t="shared" si="798"/>
        <v>-2981.3777777777786</v>
      </c>
      <c r="Y788" s="5">
        <f t="shared" si="798"/>
        <v>-3513.1911111111121</v>
      </c>
      <c r="Z788" s="5">
        <f t="shared" si="798"/>
        <v>-4045.0044444444457</v>
      </c>
      <c r="AA788" s="5">
        <f t="shared" si="798"/>
        <v>-4576.8177777777792</v>
      </c>
      <c r="AB788" s="5">
        <f t="shared" si="798"/>
        <v>-5108.6311111111108</v>
      </c>
      <c r="AC788" s="5">
        <f t="shared" si="798"/>
        <v>-5640.4444444444443</v>
      </c>
      <c r="AD788" s="5">
        <f t="shared" si="798"/>
        <v>-6172.2577777777778</v>
      </c>
      <c r="AE788" s="5">
        <f t="shared" si="798"/>
        <v>-6704.0711111111113</v>
      </c>
      <c r="AF788" s="5">
        <f t="shared" si="798"/>
        <v>-7235.8844444444449</v>
      </c>
      <c r="AG788" s="5">
        <f t="shared" si="798"/>
        <v>-7767.6977777777784</v>
      </c>
      <c r="AH788" s="5">
        <f t="shared" si="798"/>
        <v>-7767.6977777777784</v>
      </c>
    </row>
    <row r="789" spans="1:34" x14ac:dyDescent="0.35">
      <c r="A789" t="s">
        <v>809</v>
      </c>
      <c r="B789" s="3" t="s">
        <v>1264</v>
      </c>
      <c r="C789" s="4" t="s">
        <v>1263</v>
      </c>
      <c r="D789" s="2">
        <f t="shared" si="781"/>
        <v>46770.693043386651</v>
      </c>
      <c r="E789" s="5">
        <v>0</v>
      </c>
      <c r="F789" s="5">
        <v>0</v>
      </c>
      <c r="G789" s="5">
        <v>5906.8821726934393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17236.282179919453</v>
      </c>
      <c r="P789" s="5">
        <v>0</v>
      </c>
      <c r="Q789" s="5">
        <v>0</v>
      </c>
      <c r="R789" s="5">
        <v>0</v>
      </c>
      <c r="S789" s="5">
        <v>23627.528690773757</v>
      </c>
      <c r="T789" s="5">
        <v>0</v>
      </c>
      <c r="U789" s="5">
        <v>0</v>
      </c>
      <c r="V789" s="5">
        <v>0</v>
      </c>
      <c r="W789" s="5">
        <f t="shared" ref="W789:AH789" si="799">IF(OR((SLOPE($E789:$V789,$E$1:$V$1)*W$1+INTERCEPT($E789:$V789,$E$1:$V$1))&gt;(AVERAGE($E789:$V789)+_xlfn.STDEV.P($E789:$V789)),(SLOPE($E789:$V789,$E$1:$V$1)*W$1+INTERCEPT($E789:$V789,$E$1:$V$1))&lt;(AVERAGE($E789:$V789)-_xlfn.STDEV.P($E789:$V789))),V789,(SLOPE($E789:$V789,$E$1:$V$1)*W$1+INTERCEPT($E789:$V789,$E$1:$V$1)))</f>
        <v>4900.5502072462023</v>
      </c>
      <c r="X789" s="5">
        <f t="shared" si="799"/>
        <v>5142.8847726675185</v>
      </c>
      <c r="Y789" s="5">
        <f t="shared" si="799"/>
        <v>5385.2193380888339</v>
      </c>
      <c r="Z789" s="5">
        <f t="shared" si="799"/>
        <v>5627.5539035101501</v>
      </c>
      <c r="AA789" s="5">
        <f t="shared" si="799"/>
        <v>5869.8884689314655</v>
      </c>
      <c r="AB789" s="5">
        <f t="shared" si="799"/>
        <v>6112.2230343527808</v>
      </c>
      <c r="AC789" s="5">
        <f t="shared" si="799"/>
        <v>6354.5575997740971</v>
      </c>
      <c r="AD789" s="5">
        <f t="shared" si="799"/>
        <v>6596.8921651954124</v>
      </c>
      <c r="AE789" s="5">
        <f t="shared" si="799"/>
        <v>6839.2267306167287</v>
      </c>
      <c r="AF789" s="5">
        <f t="shared" si="799"/>
        <v>7081.561296038044</v>
      </c>
      <c r="AG789" s="5">
        <f t="shared" si="799"/>
        <v>7323.8958614593603</v>
      </c>
      <c r="AH789" s="5">
        <f t="shared" si="799"/>
        <v>7566.2304268806756</v>
      </c>
    </row>
    <row r="790" spans="1:34" x14ac:dyDescent="0.35">
      <c r="A790" t="s">
        <v>810</v>
      </c>
      <c r="B790" s="3" t="s">
        <v>1264</v>
      </c>
      <c r="C790" s="4" t="s">
        <v>1267</v>
      </c>
      <c r="D790" s="2">
        <f t="shared" si="781"/>
        <v>46210.602843490124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46210.602843490124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f t="shared" ref="W790:AH790" si="800">IF(OR((SLOPE($E790:$V790,$E$1:$V$1)*W$1+INTERCEPT($E790:$V790,$E$1:$V$1))&gt;(AVERAGE($E790:$V790)+_xlfn.STDEV.P($E790:$V790)),(SLOPE($E790:$V790,$E$1:$V$1)*W$1+INTERCEPT($E790:$V790,$E$1:$V$1))&lt;(AVERAGE($E790:$V790)-_xlfn.STDEV.P($E790:$V790))),V790,(SLOPE($E790:$V790,$E$1:$V$1)*W$1+INTERCEPT($E790:$V790,$E$1:$V$1)))</f>
        <v>3926.3910912769384</v>
      </c>
      <c r="X790" s="5">
        <f t="shared" si="800"/>
        <v>4069.4579731453291</v>
      </c>
      <c r="Y790" s="5">
        <f t="shared" si="800"/>
        <v>4212.5248550137194</v>
      </c>
      <c r="Z790" s="5">
        <f t="shared" si="800"/>
        <v>4355.5917368821101</v>
      </c>
      <c r="AA790" s="5">
        <f t="shared" si="800"/>
        <v>4498.6586187505</v>
      </c>
      <c r="AB790" s="5">
        <f t="shared" si="800"/>
        <v>4641.7255006188907</v>
      </c>
      <c r="AC790" s="5">
        <f t="shared" si="800"/>
        <v>4784.7923824872814</v>
      </c>
      <c r="AD790" s="5">
        <f t="shared" si="800"/>
        <v>4927.8592643556713</v>
      </c>
      <c r="AE790" s="5">
        <f t="shared" si="800"/>
        <v>5070.926146224062</v>
      </c>
      <c r="AF790" s="5">
        <f t="shared" si="800"/>
        <v>5213.9930280924527</v>
      </c>
      <c r="AG790" s="5">
        <f t="shared" si="800"/>
        <v>5357.0599099608426</v>
      </c>
      <c r="AH790" s="5">
        <f t="shared" si="800"/>
        <v>5500.1267918292342</v>
      </c>
    </row>
    <row r="791" spans="1:34" x14ac:dyDescent="0.35">
      <c r="A791" t="s">
        <v>811</v>
      </c>
      <c r="B791" s="3" t="s">
        <v>1265</v>
      </c>
      <c r="C791" s="4" t="s">
        <v>1263</v>
      </c>
      <c r="D791" s="2">
        <f t="shared" si="781"/>
        <v>46019.023534868349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34889.208237413055</v>
      </c>
      <c r="R791" s="5">
        <v>0</v>
      </c>
      <c r="S791" s="5">
        <v>0</v>
      </c>
      <c r="T791" s="5">
        <v>0</v>
      </c>
      <c r="U791" s="5">
        <v>2762.7201092974137</v>
      </c>
      <c r="V791" s="5">
        <v>8367.0951881578821</v>
      </c>
      <c r="W791" s="5">
        <f t="shared" ref="W791:AH791" si="801">IF(OR((SLOPE($E791:$V791,$E$1:$V$1)*W$1+INTERCEPT($E791:$V791,$E$1:$V$1))&gt;(AVERAGE($E791:$V791)+_xlfn.STDEV.P($E791:$V791)),(SLOPE($E791:$V791,$E$1:$V$1)*W$1+INTERCEPT($E791:$V791,$E$1:$V$1))&lt;(AVERAGE($E791:$V791)-_xlfn.STDEV.P($E791:$V791))),V791,(SLOPE($E791:$V791,$E$1:$V$1)*W$1+INTERCEPT($E791:$V791,$E$1:$V$1)))</f>
        <v>6751.7680803688618</v>
      </c>
      <c r="X791" s="5">
        <f t="shared" si="801"/>
        <v>7193.3634131862382</v>
      </c>
      <c r="Y791" s="5">
        <f t="shared" si="801"/>
        <v>7634.9587460036128</v>
      </c>
      <c r="Z791" s="5">
        <f t="shared" si="801"/>
        <v>8076.5540788209873</v>
      </c>
      <c r="AA791" s="5">
        <f t="shared" si="801"/>
        <v>8518.1494116383637</v>
      </c>
      <c r="AB791" s="5">
        <f t="shared" si="801"/>
        <v>8959.7447444557383</v>
      </c>
      <c r="AC791" s="5">
        <f t="shared" si="801"/>
        <v>9401.3400772731129</v>
      </c>
      <c r="AD791" s="5">
        <f t="shared" si="801"/>
        <v>9842.9354100904893</v>
      </c>
      <c r="AE791" s="5">
        <f t="shared" si="801"/>
        <v>10284.530742907864</v>
      </c>
      <c r="AF791" s="5">
        <f t="shared" si="801"/>
        <v>10284.530742907864</v>
      </c>
      <c r="AG791" s="5">
        <f t="shared" si="801"/>
        <v>10284.530742907864</v>
      </c>
      <c r="AH791" s="5">
        <f t="shared" si="801"/>
        <v>10284.530742907864</v>
      </c>
    </row>
    <row r="792" spans="1:34" x14ac:dyDescent="0.35">
      <c r="A792" t="s">
        <v>812</v>
      </c>
      <c r="B792" s="3" t="s">
        <v>1264</v>
      </c>
      <c r="C792" s="4" t="s">
        <v>1263</v>
      </c>
      <c r="D792" s="2">
        <f t="shared" si="781"/>
        <v>45933.354859585525</v>
      </c>
      <c r="E792" s="5">
        <v>2511.9803438835838</v>
      </c>
      <c r="F792" s="5">
        <v>3588.5433484051186</v>
      </c>
      <c r="G792" s="5">
        <v>13636.464723939454</v>
      </c>
      <c r="H792" s="5">
        <v>0</v>
      </c>
      <c r="I792" s="5">
        <v>1076.5630045215357</v>
      </c>
      <c r="J792" s="5">
        <v>0</v>
      </c>
      <c r="K792" s="5">
        <v>0</v>
      </c>
      <c r="L792" s="5">
        <v>1435.4173393620479</v>
      </c>
      <c r="M792" s="5">
        <v>0</v>
      </c>
      <c r="N792" s="5">
        <v>14354.173393620478</v>
      </c>
      <c r="O792" s="5">
        <v>0</v>
      </c>
      <c r="P792" s="5">
        <v>3588.5433484051186</v>
      </c>
      <c r="Q792" s="5">
        <v>2870.8346787240957</v>
      </c>
      <c r="R792" s="5">
        <v>0</v>
      </c>
      <c r="S792" s="5">
        <v>0</v>
      </c>
      <c r="T792" s="5">
        <v>0</v>
      </c>
      <c r="U792" s="5">
        <v>2870.8346787240957</v>
      </c>
      <c r="V792" s="5">
        <v>0</v>
      </c>
      <c r="W792" s="5">
        <f t="shared" ref="W792:AH792" si="802">IF(OR((SLOPE($E792:$V792,$E$1:$V$1)*W$1+INTERCEPT($E792:$V792,$E$1:$V$1))&gt;(AVERAGE($E792:$V792)+_xlfn.STDEV.P($E792:$V792)),(SLOPE($E792:$V792,$E$1:$V$1)*W$1+INTERCEPT($E792:$V792,$E$1:$V$1))&lt;(AVERAGE($E792:$V792)-_xlfn.STDEV.P($E792:$V792))),V792,(SLOPE($E792:$V792,$E$1:$V$1)*W$1+INTERCEPT($E792:$V792,$E$1:$V$1)))</f>
        <v>666.10869996539441</v>
      </c>
      <c r="X792" s="5">
        <f t="shared" si="802"/>
        <v>467.60929493493586</v>
      </c>
      <c r="Y792" s="5">
        <f t="shared" si="802"/>
        <v>269.10988990447731</v>
      </c>
      <c r="Z792" s="5">
        <f t="shared" si="802"/>
        <v>70.610484874018766</v>
      </c>
      <c r="AA792" s="5">
        <f t="shared" si="802"/>
        <v>-127.88892015643978</v>
      </c>
      <c r="AB792" s="5">
        <f t="shared" si="802"/>
        <v>-326.38832518689924</v>
      </c>
      <c r="AC792" s="5">
        <f t="shared" si="802"/>
        <v>-524.88773021735778</v>
      </c>
      <c r="AD792" s="5">
        <f t="shared" si="802"/>
        <v>-723.38713524781633</v>
      </c>
      <c r="AE792" s="5">
        <f t="shared" si="802"/>
        <v>-921.88654027827488</v>
      </c>
      <c r="AF792" s="5">
        <f t="shared" si="802"/>
        <v>-1120.3859453087334</v>
      </c>
      <c r="AG792" s="5">
        <f t="shared" si="802"/>
        <v>-1318.885350339192</v>
      </c>
      <c r="AH792" s="5">
        <f t="shared" si="802"/>
        <v>-1517.3847553696505</v>
      </c>
    </row>
    <row r="793" spans="1:34" x14ac:dyDescent="0.35">
      <c r="A793" t="s">
        <v>813</v>
      </c>
      <c r="B793" s="3" t="s">
        <v>1264</v>
      </c>
      <c r="C793" s="4" t="s">
        <v>1263</v>
      </c>
      <c r="D793" s="2">
        <f t="shared" si="781"/>
        <v>45844.556800000006</v>
      </c>
      <c r="E793" s="5">
        <v>0</v>
      </c>
      <c r="F793" s="5">
        <v>0</v>
      </c>
      <c r="G793" s="5">
        <v>605.87520000000006</v>
      </c>
      <c r="H793" s="5">
        <v>5654.8352000000004</v>
      </c>
      <c r="I793" s="5">
        <v>5503.3663999999999</v>
      </c>
      <c r="J793" s="5">
        <v>1060.2816</v>
      </c>
      <c r="K793" s="5">
        <v>3534.2719999999999</v>
      </c>
      <c r="L793" s="5">
        <v>4039.1680000000001</v>
      </c>
      <c r="M793" s="5">
        <v>11309.670400000001</v>
      </c>
      <c r="N793" s="5">
        <v>8482.2528000000002</v>
      </c>
      <c r="O793" s="5">
        <v>5654.8352000000004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f t="shared" ref="W793:AH793" si="803">IF(OR((SLOPE($E793:$V793,$E$1:$V$1)*W$1+INTERCEPT($E793:$V793,$E$1:$V$1))&gt;(AVERAGE($E793:$V793)+_xlfn.STDEV.P($E793:$V793)),(SLOPE($E793:$V793,$E$1:$V$1)*W$1+INTERCEPT($E793:$V793,$E$1:$V$1))&lt;(AVERAGE($E793:$V793)-_xlfn.STDEV.P($E793:$V793))),V793,(SLOPE($E793:$V793,$E$1:$V$1)*W$1+INTERCEPT($E793:$V793,$E$1:$V$1)))</f>
        <v>1148.0609045751639</v>
      </c>
      <c r="X793" s="5">
        <f t="shared" si="803"/>
        <v>1000.8125974544209</v>
      </c>
      <c r="Y793" s="5">
        <f t="shared" si="803"/>
        <v>853.56429033367795</v>
      </c>
      <c r="Z793" s="5">
        <f t="shared" si="803"/>
        <v>706.31598321293495</v>
      </c>
      <c r="AA793" s="5">
        <f t="shared" si="803"/>
        <v>559.06767609219196</v>
      </c>
      <c r="AB793" s="5">
        <f t="shared" si="803"/>
        <v>411.81936897144851</v>
      </c>
      <c r="AC793" s="5">
        <f t="shared" si="803"/>
        <v>264.57106185070552</v>
      </c>
      <c r="AD793" s="5">
        <f t="shared" si="803"/>
        <v>117.32275472996253</v>
      </c>
      <c r="AE793" s="5">
        <f t="shared" si="803"/>
        <v>-29.925552390780467</v>
      </c>
      <c r="AF793" s="5">
        <f t="shared" si="803"/>
        <v>-177.17385951152346</v>
      </c>
      <c r="AG793" s="5">
        <f t="shared" si="803"/>
        <v>-324.422166632266</v>
      </c>
      <c r="AH793" s="5">
        <f t="shared" si="803"/>
        <v>-471.67047375300945</v>
      </c>
    </row>
    <row r="794" spans="1:34" x14ac:dyDescent="0.35">
      <c r="A794" t="s">
        <v>814</v>
      </c>
      <c r="B794" s="3" t="s">
        <v>1266</v>
      </c>
      <c r="C794" s="4" t="s">
        <v>1263</v>
      </c>
      <c r="D794" s="2">
        <f t="shared" si="781"/>
        <v>45818.920000000006</v>
      </c>
      <c r="E794" s="5">
        <v>6939.380000000001</v>
      </c>
      <c r="F794" s="5">
        <v>7395.6680000000006</v>
      </c>
      <c r="G794" s="5">
        <v>3964.0019999999986</v>
      </c>
      <c r="H794" s="5">
        <v>15665.887999999999</v>
      </c>
      <c r="I794" s="5">
        <v>3498.2079999999983</v>
      </c>
      <c r="J794" s="5">
        <v>1720.5859999999993</v>
      </c>
      <c r="K794" s="5">
        <v>798.50399999999979</v>
      </c>
      <c r="L794" s="5">
        <v>1986.753999999999</v>
      </c>
      <c r="M794" s="5">
        <v>950.5999999999998</v>
      </c>
      <c r="N794" s="5">
        <v>1074.1779999999994</v>
      </c>
      <c r="O794" s="5">
        <v>1825.1519999999991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f t="shared" ref="W794:AH794" si="804">IF(OR((SLOPE($E794:$V794,$E$1:$V$1)*W$1+INTERCEPT($E794:$V794,$E$1:$V$1))&gt;(AVERAGE($E794:$V794)+_xlfn.STDEV.P($E794:$V794)),(SLOPE($E794:$V794,$E$1:$V$1)*W$1+INTERCEPT($E794:$V794,$E$1:$V$1))&lt;(AVERAGE($E794:$V794)-_xlfn.STDEV.P($E794:$V794))),V794,(SLOPE($E794:$V794,$E$1:$V$1)*W$1+INTERCEPT($E794:$V794,$E$1:$V$1)))</f>
        <v>0</v>
      </c>
      <c r="X794" s="5">
        <f t="shared" si="804"/>
        <v>0</v>
      </c>
      <c r="Y794" s="5">
        <f t="shared" si="804"/>
        <v>0</v>
      </c>
      <c r="Z794" s="5">
        <f t="shared" si="804"/>
        <v>0</v>
      </c>
      <c r="AA794" s="5">
        <f t="shared" si="804"/>
        <v>0</v>
      </c>
      <c r="AB794" s="5">
        <f t="shared" si="804"/>
        <v>0</v>
      </c>
      <c r="AC794" s="5">
        <f t="shared" si="804"/>
        <v>0</v>
      </c>
      <c r="AD794" s="5">
        <f t="shared" si="804"/>
        <v>0</v>
      </c>
      <c r="AE794" s="5">
        <f t="shared" si="804"/>
        <v>0</v>
      </c>
      <c r="AF794" s="5">
        <f t="shared" si="804"/>
        <v>0</v>
      </c>
      <c r="AG794" s="5">
        <f t="shared" si="804"/>
        <v>0</v>
      </c>
      <c r="AH794" s="5">
        <f t="shared" si="804"/>
        <v>0</v>
      </c>
    </row>
    <row r="795" spans="1:34" x14ac:dyDescent="0.35">
      <c r="A795" t="s">
        <v>815</v>
      </c>
      <c r="B795" s="3" t="s">
        <v>1262</v>
      </c>
      <c r="C795" s="4" t="s">
        <v>1263</v>
      </c>
      <c r="D795" s="2">
        <f t="shared" si="781"/>
        <v>45577.840000000011</v>
      </c>
      <c r="E795" s="5">
        <v>0</v>
      </c>
      <c r="F795" s="5">
        <v>4527.6000000000004</v>
      </c>
      <c r="G795" s="5">
        <v>5508.5800000000008</v>
      </c>
      <c r="H795" s="5">
        <v>1056.44</v>
      </c>
      <c r="I795" s="5">
        <v>150.91999999999999</v>
      </c>
      <c r="J795" s="5">
        <v>2414.7200000000003</v>
      </c>
      <c r="K795" s="5">
        <v>679.14</v>
      </c>
      <c r="L795" s="5">
        <v>2716.56</v>
      </c>
      <c r="M795" s="5">
        <v>7395.0800000000008</v>
      </c>
      <c r="N795" s="5">
        <v>3923.9199999999996</v>
      </c>
      <c r="O795" s="5">
        <v>4603.0600000000004</v>
      </c>
      <c r="P795" s="5">
        <v>2339.2600000000002</v>
      </c>
      <c r="Q795" s="5">
        <v>1735.58</v>
      </c>
      <c r="R795" s="5">
        <v>6263.18</v>
      </c>
      <c r="S795" s="5">
        <v>2263.7999999999997</v>
      </c>
      <c r="T795" s="5">
        <v>0</v>
      </c>
      <c r="U795" s="5">
        <v>0</v>
      </c>
      <c r="V795" s="5">
        <v>0</v>
      </c>
      <c r="W795" s="5">
        <f t="shared" ref="W795:AH795" si="805">IF(OR((SLOPE($E795:$V795,$E$1:$V$1)*W$1+INTERCEPT($E795:$V795,$E$1:$V$1))&gt;(AVERAGE($E795:$V795)+_xlfn.STDEV.P($E795:$V795)),(SLOPE($E795:$V795,$E$1:$V$1)*W$1+INTERCEPT($E795:$V795,$E$1:$V$1))&lt;(AVERAGE($E795:$V795)-_xlfn.STDEV.P($E795:$V795))),V795,(SLOPE($E795:$V795,$E$1:$V$1)*W$1+INTERCEPT($E795:$V795,$E$1:$V$1)))</f>
        <v>1889.9524183006538</v>
      </c>
      <c r="X795" s="5">
        <f t="shared" si="805"/>
        <v>1822.3577020983835</v>
      </c>
      <c r="Y795" s="5">
        <f t="shared" si="805"/>
        <v>1754.7629858961129</v>
      </c>
      <c r="Z795" s="5">
        <f t="shared" si="805"/>
        <v>1687.1682696938426</v>
      </c>
      <c r="AA795" s="5">
        <f t="shared" si="805"/>
        <v>1619.5735534915723</v>
      </c>
      <c r="AB795" s="5">
        <f t="shared" si="805"/>
        <v>1551.9788372893017</v>
      </c>
      <c r="AC795" s="5">
        <f t="shared" si="805"/>
        <v>1484.3841210870314</v>
      </c>
      <c r="AD795" s="5">
        <f t="shared" si="805"/>
        <v>1416.7894048847611</v>
      </c>
      <c r="AE795" s="5">
        <f t="shared" si="805"/>
        <v>1349.1946886824908</v>
      </c>
      <c r="AF795" s="5">
        <f t="shared" si="805"/>
        <v>1281.5999724802202</v>
      </c>
      <c r="AG795" s="5">
        <f t="shared" si="805"/>
        <v>1214.0052562779499</v>
      </c>
      <c r="AH795" s="5">
        <f t="shared" si="805"/>
        <v>1146.4105400756796</v>
      </c>
    </row>
    <row r="796" spans="1:34" x14ac:dyDescent="0.35">
      <c r="A796" t="s">
        <v>816</v>
      </c>
      <c r="B796" s="3" t="s">
        <v>1266</v>
      </c>
      <c r="C796" s="4" t="s">
        <v>1266</v>
      </c>
      <c r="D796" s="2">
        <f t="shared" si="781"/>
        <v>45574.703999999998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45574.703999999998</v>
      </c>
      <c r="T796" s="5">
        <v>0</v>
      </c>
      <c r="U796" s="5">
        <v>0</v>
      </c>
      <c r="V796" s="5">
        <v>0</v>
      </c>
      <c r="W796" s="5">
        <f t="shared" ref="W796:AH796" si="806">IF(OR((SLOPE($E796:$V796,$E$1:$V$1)*W$1+INTERCEPT($E796:$V796,$E$1:$V$1))&gt;(AVERAGE($E796:$V796)+_xlfn.STDEV.P($E796:$V796)),(SLOPE($E796:$V796,$E$1:$V$1)*W$1+INTERCEPT($E796:$V796,$E$1:$V$1))&lt;(AVERAGE($E796:$V796)-_xlfn.STDEV.P($E796:$V796))),V796,(SLOPE($E796:$V796,$E$1:$V$1)*W$1+INTERCEPT($E796:$V796,$E$1:$V$1)))</f>
        <v>7446.8470588235277</v>
      </c>
      <c r="X796" s="5">
        <f t="shared" si="806"/>
        <v>7964.2069597523196</v>
      </c>
      <c r="Y796" s="5">
        <f t="shared" si="806"/>
        <v>8481.5668606811123</v>
      </c>
      <c r="Z796" s="5">
        <f t="shared" si="806"/>
        <v>8998.926761609906</v>
      </c>
      <c r="AA796" s="5">
        <f t="shared" si="806"/>
        <v>9516.286662538696</v>
      </c>
      <c r="AB796" s="5">
        <f t="shared" si="806"/>
        <v>10033.64656346749</v>
      </c>
      <c r="AC796" s="5">
        <f t="shared" si="806"/>
        <v>10551.006464396283</v>
      </c>
      <c r="AD796" s="5">
        <f t="shared" si="806"/>
        <v>11068.366365325073</v>
      </c>
      <c r="AE796" s="5">
        <f t="shared" si="806"/>
        <v>11585.726266253867</v>
      </c>
      <c r="AF796" s="5">
        <f t="shared" si="806"/>
        <v>12103.086167182661</v>
      </c>
      <c r="AG796" s="5">
        <f t="shared" si="806"/>
        <v>12620.446068111451</v>
      </c>
      <c r="AH796" s="5">
        <f t="shared" si="806"/>
        <v>12620.446068111451</v>
      </c>
    </row>
    <row r="797" spans="1:34" x14ac:dyDescent="0.35">
      <c r="A797" t="s">
        <v>817</v>
      </c>
      <c r="B797" s="3" t="s">
        <v>1264</v>
      </c>
      <c r="C797" s="4" t="s">
        <v>1263</v>
      </c>
      <c r="D797" s="2">
        <f t="shared" si="781"/>
        <v>45339.922434385669</v>
      </c>
      <c r="E797" s="5">
        <v>0</v>
      </c>
      <c r="F797" s="5">
        <v>0</v>
      </c>
      <c r="G797" s="5">
        <v>9830.6763350971469</v>
      </c>
      <c r="H797" s="5">
        <v>0</v>
      </c>
      <c r="I797" s="5">
        <v>0</v>
      </c>
      <c r="J797" s="5">
        <v>4848.2672763734463</v>
      </c>
      <c r="K797" s="5">
        <v>0</v>
      </c>
      <c r="L797" s="5">
        <v>0</v>
      </c>
      <c r="M797" s="5">
        <v>11497.867058593154</v>
      </c>
      <c r="N797" s="5">
        <v>0</v>
      </c>
      <c r="O797" s="5">
        <v>0</v>
      </c>
      <c r="P797" s="5">
        <v>4790.7779410804806</v>
      </c>
      <c r="Q797" s="5">
        <v>0</v>
      </c>
      <c r="R797" s="5">
        <v>0</v>
      </c>
      <c r="S797" s="5">
        <v>9581.5558821609611</v>
      </c>
      <c r="T797" s="5">
        <v>0</v>
      </c>
      <c r="U797" s="5">
        <v>0</v>
      </c>
      <c r="V797" s="5">
        <v>4790.7779410804806</v>
      </c>
      <c r="W797" s="5">
        <f t="shared" ref="W797:AH797" si="807">IF(OR((SLOPE($E797:$V797,$E$1:$V$1)*W$1+INTERCEPT($E797:$V797,$E$1:$V$1))&gt;(AVERAGE($E797:$V797)+_xlfn.STDEV.P($E797:$V797)),(SLOPE($E797:$V797,$E$1:$V$1)*W$1+INTERCEPT($E797:$V797,$E$1:$V$1))&lt;(AVERAGE($E797:$V797)-_xlfn.STDEV.P($E797:$V797))),V797,(SLOPE($E797:$V797,$E$1:$V$1)*W$1+INTERCEPT($E797:$V797,$E$1:$V$1)))</f>
        <v>2887.1169233946703</v>
      </c>
      <c r="X797" s="5">
        <f t="shared" si="807"/>
        <v>2925.8782227322049</v>
      </c>
      <c r="Y797" s="5">
        <f t="shared" si="807"/>
        <v>2964.6395220697395</v>
      </c>
      <c r="Z797" s="5">
        <f t="shared" si="807"/>
        <v>3003.4008214072737</v>
      </c>
      <c r="AA797" s="5">
        <f t="shared" si="807"/>
        <v>3042.1621207448084</v>
      </c>
      <c r="AB797" s="5">
        <f t="shared" si="807"/>
        <v>3080.923420082343</v>
      </c>
      <c r="AC797" s="5">
        <f t="shared" si="807"/>
        <v>3119.6847194198772</v>
      </c>
      <c r="AD797" s="5">
        <f t="shared" si="807"/>
        <v>3158.4460187574118</v>
      </c>
      <c r="AE797" s="5">
        <f t="shared" si="807"/>
        <v>3197.2073180949465</v>
      </c>
      <c r="AF797" s="5">
        <f t="shared" si="807"/>
        <v>3235.9686174324806</v>
      </c>
      <c r="AG797" s="5">
        <f t="shared" si="807"/>
        <v>3274.7299167700157</v>
      </c>
      <c r="AH797" s="5">
        <f t="shared" si="807"/>
        <v>3313.4912161075499</v>
      </c>
    </row>
    <row r="798" spans="1:34" x14ac:dyDescent="0.35">
      <c r="A798" t="s">
        <v>818</v>
      </c>
      <c r="B798" s="3" t="s">
        <v>1264</v>
      </c>
      <c r="C798" s="4" t="s">
        <v>1263</v>
      </c>
      <c r="D798" s="2">
        <f t="shared" si="781"/>
        <v>45194.059814651104</v>
      </c>
      <c r="E798" s="5">
        <v>0</v>
      </c>
      <c r="F798" s="5">
        <v>0</v>
      </c>
      <c r="G798" s="5">
        <v>0</v>
      </c>
      <c r="H798" s="5">
        <v>10893.259754463967</v>
      </c>
      <c r="I798" s="5">
        <v>14913.391330516146</v>
      </c>
      <c r="J798" s="5">
        <v>0</v>
      </c>
      <c r="K798" s="5">
        <v>0</v>
      </c>
      <c r="L798" s="5">
        <v>0</v>
      </c>
      <c r="M798" s="5">
        <v>0</v>
      </c>
      <c r="N798" s="5">
        <v>3242.0415935904666</v>
      </c>
      <c r="O798" s="5">
        <v>2739.5251465839442</v>
      </c>
      <c r="P798" s="5">
        <v>0</v>
      </c>
      <c r="Q798" s="5">
        <v>0</v>
      </c>
      <c r="R798" s="5">
        <v>3825.6090804367504</v>
      </c>
      <c r="S798" s="5">
        <v>2107.3270358338032</v>
      </c>
      <c r="T798" s="5">
        <v>3566.2457529495132</v>
      </c>
      <c r="U798" s="5">
        <v>3906.6601202765119</v>
      </c>
      <c r="V798" s="5">
        <v>0</v>
      </c>
      <c r="W798" s="5">
        <f t="shared" ref="W798:AH798" si="808">IF(OR((SLOPE($E798:$V798,$E$1:$V$1)*W$1+INTERCEPT($E798:$V798,$E$1:$V$1))&gt;(AVERAGE($E798:$V798)+_xlfn.STDEV.P($E798:$V798)),(SLOPE($E798:$V798,$E$1:$V$1)*W$1+INTERCEPT($E798:$V798,$E$1:$V$1))&lt;(AVERAGE($E798:$V798)-_xlfn.STDEV.P($E798:$V798))),V798,(SLOPE($E798:$V798,$E$1:$V$1)*W$1+INTERCEPT($E798:$V798,$E$1:$V$1)))</f>
        <v>1726.3341740510805</v>
      </c>
      <c r="X798" s="5">
        <f t="shared" si="808"/>
        <v>1643.7608133391993</v>
      </c>
      <c r="Y798" s="5">
        <f t="shared" si="808"/>
        <v>1561.1874526273184</v>
      </c>
      <c r="Z798" s="5">
        <f t="shared" si="808"/>
        <v>1478.6140919154373</v>
      </c>
      <c r="AA798" s="5">
        <f t="shared" si="808"/>
        <v>1396.0407312035563</v>
      </c>
      <c r="AB798" s="5">
        <f t="shared" si="808"/>
        <v>1313.4673704916754</v>
      </c>
      <c r="AC798" s="5">
        <f t="shared" si="808"/>
        <v>1230.8940097797945</v>
      </c>
      <c r="AD798" s="5">
        <f t="shared" si="808"/>
        <v>1148.3206490679131</v>
      </c>
      <c r="AE798" s="5">
        <f t="shared" si="808"/>
        <v>1065.7472883560322</v>
      </c>
      <c r="AF798" s="5">
        <f t="shared" si="808"/>
        <v>983.17392764415126</v>
      </c>
      <c r="AG798" s="5">
        <f t="shared" si="808"/>
        <v>900.60056693227034</v>
      </c>
      <c r="AH798" s="5">
        <f t="shared" si="808"/>
        <v>818.02720622038896</v>
      </c>
    </row>
    <row r="799" spans="1:34" x14ac:dyDescent="0.35">
      <c r="A799" t="s">
        <v>819</v>
      </c>
      <c r="B799" s="3" t="s">
        <v>1266</v>
      </c>
      <c r="C799" s="4" t="s">
        <v>1263</v>
      </c>
      <c r="D799" s="2">
        <f t="shared" si="781"/>
        <v>44890.657122111676</v>
      </c>
      <c r="E799" s="5">
        <v>0</v>
      </c>
      <c r="F799" s="5">
        <v>0</v>
      </c>
      <c r="G799" s="5">
        <v>0</v>
      </c>
      <c r="H799" s="5">
        <v>0</v>
      </c>
      <c r="I799" s="5">
        <v>44890.657122111676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f t="shared" ref="W799:AH799" si="809">IF(OR((SLOPE($E799:$V799,$E$1:$V$1)*W$1+INTERCEPT($E799:$V799,$E$1:$V$1))&gt;(AVERAGE($E799:$V799)+_xlfn.STDEV.P($E799:$V799)),(SLOPE($E799:$V799,$E$1:$V$1)*W$1+INTERCEPT($E799:$V799,$E$1:$V$1))&lt;(AVERAGE($E799:$V799)-_xlfn.STDEV.P($E799:$V799))),V799,(SLOPE($E799:$V799,$E$1:$V$1)*W$1+INTERCEPT($E799:$V799,$E$1:$V$1)))</f>
        <v>-1467.0149386311004</v>
      </c>
      <c r="X799" s="5">
        <f t="shared" si="809"/>
        <v>-1883.9560264525717</v>
      </c>
      <c r="Y799" s="5">
        <f t="shared" si="809"/>
        <v>-2300.8971142740411</v>
      </c>
      <c r="Z799" s="5">
        <f t="shared" si="809"/>
        <v>-2717.8382020955123</v>
      </c>
      <c r="AA799" s="5">
        <f t="shared" si="809"/>
        <v>-3134.7792899169835</v>
      </c>
      <c r="AB799" s="5">
        <f t="shared" si="809"/>
        <v>-3551.720377738453</v>
      </c>
      <c r="AC799" s="5">
        <f t="shared" si="809"/>
        <v>-3968.6614655599242</v>
      </c>
      <c r="AD799" s="5">
        <f t="shared" si="809"/>
        <v>-4385.6025533813954</v>
      </c>
      <c r="AE799" s="5">
        <f t="shared" si="809"/>
        <v>-4802.5436412028666</v>
      </c>
      <c r="AF799" s="5">
        <f t="shared" si="809"/>
        <v>-5219.484729024336</v>
      </c>
      <c r="AG799" s="5">
        <f t="shared" si="809"/>
        <v>-5636.4258168458073</v>
      </c>
      <c r="AH799" s="5">
        <f t="shared" si="809"/>
        <v>-6053.3669046672785</v>
      </c>
    </row>
    <row r="800" spans="1:34" x14ac:dyDescent="0.35">
      <c r="A800" t="s">
        <v>820</v>
      </c>
      <c r="B800" s="3" t="s">
        <v>1265</v>
      </c>
      <c r="C800" s="4" t="s">
        <v>1263</v>
      </c>
      <c r="D800" s="2">
        <f t="shared" si="781"/>
        <v>44650.623304380832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18050.251974111401</v>
      </c>
      <c r="S800" s="5">
        <v>0</v>
      </c>
      <c r="T800" s="5">
        <v>0</v>
      </c>
      <c r="U800" s="5">
        <v>19950.278497702075</v>
      </c>
      <c r="V800" s="5">
        <v>6650.0928325673567</v>
      </c>
      <c r="W800" s="5">
        <f t="shared" ref="W800:AH800" si="810">IF(OR((SLOPE($E800:$V800,$E$1:$V$1)*W$1+INTERCEPT($E800:$V800,$E$1:$V$1))&gt;(AVERAGE($E800:$V800)+_xlfn.STDEV.P($E800:$V800)),(SLOPE($E800:$V800,$E$1:$V$1)*W$1+INTERCEPT($E800:$V800,$E$1:$V$1))&lt;(AVERAGE($E800:$V800)-_xlfn.STDEV.P($E800:$V800))),V800,(SLOPE($E800:$V800,$E$1:$V$1)*W$1+INTERCEPT($E800:$V800,$E$1:$V$1)))</f>
        <v>8115.4727657941512</v>
      </c>
      <c r="X800" s="5">
        <f t="shared" si="810"/>
        <v>8115.4727657941512</v>
      </c>
      <c r="Y800" s="5">
        <f t="shared" si="810"/>
        <v>8115.4727657941512</v>
      </c>
      <c r="Z800" s="5">
        <f t="shared" si="810"/>
        <v>8115.4727657941512</v>
      </c>
      <c r="AA800" s="5">
        <f t="shared" si="810"/>
        <v>8115.4727657941512</v>
      </c>
      <c r="AB800" s="5">
        <f t="shared" si="810"/>
        <v>8115.4727657941512</v>
      </c>
      <c r="AC800" s="5">
        <f t="shared" si="810"/>
        <v>8115.4727657941512</v>
      </c>
      <c r="AD800" s="5">
        <f t="shared" si="810"/>
        <v>8115.4727657941512</v>
      </c>
      <c r="AE800" s="5">
        <f t="shared" si="810"/>
        <v>8115.4727657941512</v>
      </c>
      <c r="AF800" s="5">
        <f t="shared" si="810"/>
        <v>8115.4727657941512</v>
      </c>
      <c r="AG800" s="5">
        <f t="shared" si="810"/>
        <v>8115.4727657941512</v>
      </c>
      <c r="AH800" s="5">
        <f t="shared" si="810"/>
        <v>8115.4727657941512</v>
      </c>
    </row>
    <row r="801" spans="1:34" x14ac:dyDescent="0.35">
      <c r="A801" t="s">
        <v>821</v>
      </c>
      <c r="B801" s="3" t="s">
        <v>1266</v>
      </c>
      <c r="C801" s="4" t="s">
        <v>1263</v>
      </c>
      <c r="D801" s="2">
        <f t="shared" si="781"/>
        <v>44107.839999999997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44107.839999999997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f t="shared" ref="W801:AH801" si="811">IF(OR((SLOPE($E801:$V801,$E$1:$V$1)*W$1+INTERCEPT($E801:$V801,$E$1:$V$1))&gt;(AVERAGE($E801:$V801)+_xlfn.STDEV.P($E801:$V801)),(SLOPE($E801:$V801,$E$1:$V$1)*W$1+INTERCEPT($E801:$V801,$E$1:$V$1))&lt;(AVERAGE($E801:$V801)-_xlfn.STDEV.P($E801:$V801))),V801,(SLOPE($E801:$V801,$E$1:$V$1)*W$1+INTERCEPT($E801:$V801,$E$1:$V$1)))</f>
        <v>4612.5845751633988</v>
      </c>
      <c r="X801" s="5">
        <f t="shared" si="811"/>
        <v>4840.1792088063285</v>
      </c>
      <c r="Y801" s="5">
        <f t="shared" si="811"/>
        <v>5067.77384244926</v>
      </c>
      <c r="Z801" s="5">
        <f t="shared" si="811"/>
        <v>5295.3684760921915</v>
      </c>
      <c r="AA801" s="5">
        <f t="shared" si="811"/>
        <v>5522.9631097351212</v>
      </c>
      <c r="AB801" s="5">
        <f t="shared" si="811"/>
        <v>5750.5577433780527</v>
      </c>
      <c r="AC801" s="5">
        <f t="shared" si="811"/>
        <v>5978.1523770209824</v>
      </c>
      <c r="AD801" s="5">
        <f t="shared" si="811"/>
        <v>6205.7470106639139</v>
      </c>
      <c r="AE801" s="5">
        <f t="shared" si="811"/>
        <v>6433.3416443068454</v>
      </c>
      <c r="AF801" s="5">
        <f t="shared" si="811"/>
        <v>6660.9362779497751</v>
      </c>
      <c r="AG801" s="5">
        <f t="shared" si="811"/>
        <v>6888.5309115927066</v>
      </c>
      <c r="AH801" s="5">
        <f t="shared" si="811"/>
        <v>7116.1255452356381</v>
      </c>
    </row>
    <row r="802" spans="1:34" x14ac:dyDescent="0.35">
      <c r="A802" t="s">
        <v>822</v>
      </c>
      <c r="B802" s="3" t="s">
        <v>1266</v>
      </c>
      <c r="C802" s="4" t="s">
        <v>1267</v>
      </c>
      <c r="D802" s="2">
        <f t="shared" si="781"/>
        <v>43657.817952698701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43657.817952698701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f t="shared" ref="W802:AH802" si="812">IF(OR((SLOPE($E802:$V802,$E$1:$V$1)*W$1+INTERCEPT($E802:$V802,$E$1:$V$1))&gt;(AVERAGE($E802:$V802)+_xlfn.STDEV.P($E802:$V802)),(SLOPE($E802:$V802,$E$1:$V$1)*W$1+INTERCEPT($E802:$V802,$E$1:$V$1))&lt;(AVERAGE($E802:$V802)-_xlfn.STDEV.P($E802:$V802))),V802,(SLOPE($E802:$V802,$E$1:$V$1)*W$1+INTERCEPT($E802:$V802,$E$1:$V$1)))</f>
        <v>285.34521537711498</v>
      </c>
      <c r="X802" s="5">
        <f t="shared" si="812"/>
        <v>60.072676921497987</v>
      </c>
      <c r="Y802" s="5">
        <f t="shared" si="812"/>
        <v>-165.19986153411992</v>
      </c>
      <c r="Z802" s="5">
        <f t="shared" si="812"/>
        <v>-390.47239998973782</v>
      </c>
      <c r="AA802" s="5">
        <f t="shared" si="812"/>
        <v>-615.74493844535573</v>
      </c>
      <c r="AB802" s="5">
        <f t="shared" si="812"/>
        <v>-841.01747690097272</v>
      </c>
      <c r="AC802" s="5">
        <f t="shared" si="812"/>
        <v>-1066.2900153565906</v>
      </c>
      <c r="AD802" s="5">
        <f t="shared" si="812"/>
        <v>-1291.5625538122085</v>
      </c>
      <c r="AE802" s="5">
        <f t="shared" si="812"/>
        <v>-1516.8350922678255</v>
      </c>
      <c r="AF802" s="5">
        <f t="shared" si="812"/>
        <v>-1742.1076307234434</v>
      </c>
      <c r="AG802" s="5">
        <f t="shared" si="812"/>
        <v>-1967.3801691790613</v>
      </c>
      <c r="AH802" s="5">
        <f t="shared" si="812"/>
        <v>-2192.6527076346792</v>
      </c>
    </row>
    <row r="803" spans="1:34" x14ac:dyDescent="0.35">
      <c r="A803" t="s">
        <v>823</v>
      </c>
      <c r="B803" s="3" t="s">
        <v>1264</v>
      </c>
      <c r="C803" s="4" t="s">
        <v>1263</v>
      </c>
      <c r="D803" s="2">
        <f t="shared" si="781"/>
        <v>43187.292853103274</v>
      </c>
      <c r="E803" s="5">
        <v>0</v>
      </c>
      <c r="F803" s="5">
        <v>0</v>
      </c>
      <c r="G803" s="5">
        <v>0</v>
      </c>
      <c r="H803" s="5">
        <v>21515.028781794776</v>
      </c>
      <c r="I803" s="5">
        <v>0</v>
      </c>
      <c r="J803" s="5">
        <v>0</v>
      </c>
      <c r="K803" s="5">
        <v>5765.2939488366028</v>
      </c>
      <c r="L803" s="5">
        <v>0</v>
      </c>
      <c r="M803" s="5">
        <v>0</v>
      </c>
      <c r="N803" s="5">
        <v>0</v>
      </c>
      <c r="O803" s="5">
        <v>0</v>
      </c>
      <c r="P803" s="5">
        <v>3773.6469483294122</v>
      </c>
      <c r="Q803" s="5">
        <v>0</v>
      </c>
      <c r="R803" s="5">
        <v>1886.8234741647061</v>
      </c>
      <c r="S803" s="5">
        <v>0</v>
      </c>
      <c r="T803" s="5">
        <v>3930.8822378431382</v>
      </c>
      <c r="U803" s="5">
        <v>3773.6469483294122</v>
      </c>
      <c r="V803" s="5">
        <v>2541.9705138052295</v>
      </c>
      <c r="W803" s="5">
        <f t="shared" ref="W803:AH803" si="813">IF(OR((SLOPE($E803:$V803,$E$1:$V$1)*W$1+INTERCEPT($E803:$V803,$E$1:$V$1))&gt;(AVERAGE($E803:$V803)+_xlfn.STDEV.P($E803:$V803)),(SLOPE($E803:$V803,$E$1:$V$1)*W$1+INTERCEPT($E803:$V803,$E$1:$V$1))&lt;(AVERAGE($E803:$V803)-_xlfn.STDEV.P($E803:$V803))),V803,(SLOPE($E803:$V803,$E$1:$V$1)*W$1+INTERCEPT($E803:$V803,$E$1:$V$1)))</f>
        <v>1627.50514265732</v>
      </c>
      <c r="X803" s="5">
        <f t="shared" si="813"/>
        <v>1546.2642053165509</v>
      </c>
      <c r="Y803" s="5">
        <f t="shared" si="813"/>
        <v>1465.0232679757819</v>
      </c>
      <c r="Z803" s="5">
        <f t="shared" si="813"/>
        <v>1383.7823306350128</v>
      </c>
      <c r="AA803" s="5">
        <f t="shared" si="813"/>
        <v>1302.5413932942438</v>
      </c>
      <c r="AB803" s="5">
        <f t="shared" si="813"/>
        <v>1221.3004559534747</v>
      </c>
      <c r="AC803" s="5">
        <f t="shared" si="813"/>
        <v>1140.0595186127055</v>
      </c>
      <c r="AD803" s="5">
        <f t="shared" si="813"/>
        <v>1058.8185812719366</v>
      </c>
      <c r="AE803" s="5">
        <f t="shared" si="813"/>
        <v>977.57764393116713</v>
      </c>
      <c r="AF803" s="5">
        <f t="shared" si="813"/>
        <v>896.33670659039808</v>
      </c>
      <c r="AG803" s="5">
        <f t="shared" si="813"/>
        <v>815.09576924962903</v>
      </c>
      <c r="AH803" s="5">
        <f t="shared" si="813"/>
        <v>733.85483190885998</v>
      </c>
    </row>
    <row r="804" spans="1:34" x14ac:dyDescent="0.35">
      <c r="A804" t="s">
        <v>824</v>
      </c>
      <c r="B804" s="3" t="s">
        <v>1265</v>
      </c>
      <c r="C804" s="4" t="s">
        <v>1263</v>
      </c>
      <c r="D804" s="2">
        <f t="shared" si="781"/>
        <v>41732.009372927998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12263.945738687999</v>
      </c>
      <c r="P804" s="5">
        <v>11825.194325951999</v>
      </c>
      <c r="Q804" s="5">
        <v>105.46908959999999</v>
      </c>
      <c r="R804" s="5">
        <v>324.84479596799997</v>
      </c>
      <c r="S804" s="5">
        <v>4130.1695487360003</v>
      </c>
      <c r="T804" s="5">
        <v>2100.944264832</v>
      </c>
      <c r="U804" s="5">
        <v>6387.2080661759992</v>
      </c>
      <c r="V804" s="5">
        <v>4594.2335429760005</v>
      </c>
      <c r="W804" s="5">
        <f t="shared" ref="W804:AH804" si="814">IF(OR((SLOPE($E804:$V804,$E$1:$V$1)*W$1+INTERCEPT($E804:$V804,$E$1:$V$1))&gt;(AVERAGE($E804:$V804)+_xlfn.STDEV.P($E804:$V804)),(SLOPE($E804:$V804,$E$1:$V$1)*W$1+INTERCEPT($E804:$V804,$E$1:$V$1))&lt;(AVERAGE($E804:$V804)-_xlfn.STDEV.P($E804:$V804))),V804,(SLOPE($E804:$V804,$E$1:$V$1)*W$1+INTERCEPT($E804:$V804,$E$1:$V$1)))</f>
        <v>5712.8952331909022</v>
      </c>
      <c r="X804" s="5">
        <f t="shared" si="814"/>
        <v>6070.2057877201896</v>
      </c>
      <c r="Y804" s="5">
        <f t="shared" si="814"/>
        <v>6070.2057877201896</v>
      </c>
      <c r="Z804" s="5">
        <f t="shared" si="814"/>
        <v>6070.2057877201896</v>
      </c>
      <c r="AA804" s="5">
        <f t="shared" si="814"/>
        <v>6070.2057877201896</v>
      </c>
      <c r="AB804" s="5">
        <f t="shared" si="814"/>
        <v>6070.2057877201896</v>
      </c>
      <c r="AC804" s="5">
        <f t="shared" si="814"/>
        <v>6070.2057877201896</v>
      </c>
      <c r="AD804" s="5">
        <f t="shared" si="814"/>
        <v>6070.2057877201896</v>
      </c>
      <c r="AE804" s="5">
        <f t="shared" si="814"/>
        <v>6070.2057877201896</v>
      </c>
      <c r="AF804" s="5">
        <f t="shared" si="814"/>
        <v>6070.2057877201896</v>
      </c>
      <c r="AG804" s="5">
        <f t="shared" si="814"/>
        <v>6070.2057877201896</v>
      </c>
      <c r="AH804" s="5">
        <f t="shared" si="814"/>
        <v>6070.2057877201896</v>
      </c>
    </row>
    <row r="805" spans="1:34" x14ac:dyDescent="0.35">
      <c r="A805" t="s">
        <v>825</v>
      </c>
      <c r="B805" s="3" t="s">
        <v>1266</v>
      </c>
      <c r="C805" s="4" t="s">
        <v>1267</v>
      </c>
      <c r="D805" s="2">
        <f t="shared" si="781"/>
        <v>42817.753612388013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8897.9192973248828</v>
      </c>
      <c r="N805" s="5">
        <v>0</v>
      </c>
      <c r="O805" s="5">
        <v>0</v>
      </c>
      <c r="P805" s="5">
        <v>27278.902897957392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6640.9314171057313</v>
      </c>
      <c r="W805" s="5">
        <f t="shared" ref="W805:AH805" si="815">IF(OR((SLOPE($E805:$V805,$E$1:$V$1)*W$1+INTERCEPT($E805:$V805,$E$1:$V$1))&gt;(AVERAGE($E805:$V805)+_xlfn.STDEV.P($E805:$V805)),(SLOPE($E805:$V805,$E$1:$V$1)*W$1+INTERCEPT($E805:$V805,$E$1:$V$1))&lt;(AVERAGE($E805:$V805)-_xlfn.STDEV.P($E805:$V805))),V805,(SLOPE($E805:$V805,$E$1:$V$1)*W$1+INTERCEPT($E805:$V805,$E$1:$V$1)))</f>
        <v>4735.5526119620081</v>
      </c>
      <c r="X805" s="5">
        <f t="shared" si="815"/>
        <v>4983.6356143183129</v>
      </c>
      <c r="Y805" s="5">
        <f t="shared" si="815"/>
        <v>5231.7186166746178</v>
      </c>
      <c r="Z805" s="5">
        <f t="shared" si="815"/>
        <v>5479.8016190309227</v>
      </c>
      <c r="AA805" s="5">
        <f t="shared" si="815"/>
        <v>5727.8846213872275</v>
      </c>
      <c r="AB805" s="5">
        <f t="shared" si="815"/>
        <v>5975.9676237435342</v>
      </c>
      <c r="AC805" s="5">
        <f t="shared" si="815"/>
        <v>6224.0506260998391</v>
      </c>
      <c r="AD805" s="5">
        <f t="shared" si="815"/>
        <v>6472.1336284561439</v>
      </c>
      <c r="AE805" s="5">
        <f t="shared" si="815"/>
        <v>6720.2166308124488</v>
      </c>
      <c r="AF805" s="5">
        <f t="shared" si="815"/>
        <v>6968.2996331687536</v>
      </c>
      <c r="AG805" s="5">
        <f t="shared" si="815"/>
        <v>7216.3826355250585</v>
      </c>
      <c r="AH805" s="5">
        <f t="shared" si="815"/>
        <v>7464.4656378813634</v>
      </c>
    </row>
    <row r="806" spans="1:34" x14ac:dyDescent="0.35">
      <c r="A806" t="s">
        <v>826</v>
      </c>
      <c r="B806" s="3" t="s">
        <v>1266</v>
      </c>
      <c r="C806" s="4" t="s">
        <v>1266</v>
      </c>
      <c r="D806" s="2">
        <f t="shared" si="781"/>
        <v>42544.635180979683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42544.635180979683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f t="shared" ref="W806:AH806" si="816">IF(OR((SLOPE($E806:$V806,$E$1:$V$1)*W$1+INTERCEPT($E806:$V806,$E$1:$V$1))&gt;(AVERAGE($E806:$V806)+_xlfn.STDEV.P($E806:$V806)),(SLOPE($E806:$V806,$E$1:$V$1)*W$1+INTERCEPT($E806:$V806,$E$1:$V$1))&lt;(AVERAGE($E806:$V806)-_xlfn.STDEV.P($E806:$V806))),V806,(SLOPE($E806:$V806,$E$1:$V$1)*W$1+INTERCEPT($E806:$V806,$E$1:$V$1)))</f>
        <v>1946.4865769075673</v>
      </c>
      <c r="X806" s="5">
        <f t="shared" si="816"/>
        <v>1902.5808646464943</v>
      </c>
      <c r="Y806" s="5">
        <f t="shared" si="816"/>
        <v>1858.6751523854214</v>
      </c>
      <c r="Z806" s="5">
        <f t="shared" si="816"/>
        <v>1814.7694401243484</v>
      </c>
      <c r="AA806" s="5">
        <f t="shared" si="816"/>
        <v>1770.8637278632755</v>
      </c>
      <c r="AB806" s="5">
        <f t="shared" si="816"/>
        <v>1726.9580156022023</v>
      </c>
      <c r="AC806" s="5">
        <f t="shared" si="816"/>
        <v>1683.0523033411293</v>
      </c>
      <c r="AD806" s="5">
        <f t="shared" si="816"/>
        <v>1639.1465910800564</v>
      </c>
      <c r="AE806" s="5">
        <f t="shared" si="816"/>
        <v>1595.2408788189834</v>
      </c>
      <c r="AF806" s="5">
        <f t="shared" si="816"/>
        <v>1551.3351665579105</v>
      </c>
      <c r="AG806" s="5">
        <f t="shared" si="816"/>
        <v>1507.4294542968375</v>
      </c>
      <c r="AH806" s="5">
        <f t="shared" si="816"/>
        <v>1463.5237420357646</v>
      </c>
    </row>
    <row r="807" spans="1:34" x14ac:dyDescent="0.35">
      <c r="A807" t="s">
        <v>827</v>
      </c>
      <c r="B807" s="3" t="s">
        <v>1264</v>
      </c>
      <c r="C807" s="4" t="s">
        <v>1263</v>
      </c>
      <c r="D807" s="2">
        <f t="shared" si="781"/>
        <v>42440.364331460638</v>
      </c>
      <c r="E807" s="5">
        <v>0</v>
      </c>
      <c r="F807" s="5">
        <v>0</v>
      </c>
      <c r="G807" s="5">
        <v>13262.613853581448</v>
      </c>
      <c r="H807" s="5">
        <v>29177.750477879188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f t="shared" ref="W807:AH807" si="817">IF(OR((SLOPE($E807:$V807,$E$1:$V$1)*W$1+INTERCEPT($E807:$V807,$E$1:$V$1))&gt;(AVERAGE($E807:$V807)+_xlfn.STDEV.P($E807:$V807)),(SLOPE($E807:$V807,$E$1:$V$1)*W$1+INTERCEPT($E807:$V807,$E$1:$V$1))&lt;(AVERAGE($E807:$V807)-_xlfn.STDEV.P($E807:$V807))),V807,(SLOPE($E807:$V807,$E$1:$V$1)*W$1+INTERCEPT($E807:$V807,$E$1:$V$1)))</f>
        <v>-2479.1552693622834</v>
      </c>
      <c r="X807" s="5">
        <f t="shared" si="817"/>
        <v>-2988.3082470229965</v>
      </c>
      <c r="Y807" s="5">
        <f t="shared" si="817"/>
        <v>-3497.4612246837078</v>
      </c>
      <c r="Z807" s="5">
        <f t="shared" si="817"/>
        <v>-4006.614202344419</v>
      </c>
      <c r="AA807" s="5">
        <f t="shared" si="817"/>
        <v>-4515.7671800051321</v>
      </c>
      <c r="AB807" s="5">
        <f t="shared" si="817"/>
        <v>-4515.7671800051321</v>
      </c>
      <c r="AC807" s="5">
        <f t="shared" si="817"/>
        <v>-4515.7671800051321</v>
      </c>
      <c r="AD807" s="5">
        <f t="shared" si="817"/>
        <v>-4515.7671800051321</v>
      </c>
      <c r="AE807" s="5">
        <f t="shared" si="817"/>
        <v>-4515.7671800051321</v>
      </c>
      <c r="AF807" s="5">
        <f t="shared" si="817"/>
        <v>-4515.7671800051321</v>
      </c>
      <c r="AG807" s="5">
        <f t="shared" si="817"/>
        <v>-4515.7671800051321</v>
      </c>
      <c r="AH807" s="5">
        <f t="shared" si="817"/>
        <v>-4515.7671800051321</v>
      </c>
    </row>
    <row r="808" spans="1:34" x14ac:dyDescent="0.35">
      <c r="A808" t="s">
        <v>828</v>
      </c>
      <c r="B808" s="3" t="s">
        <v>1266</v>
      </c>
      <c r="C808" s="4" t="s">
        <v>1263</v>
      </c>
      <c r="D808" s="2">
        <f t="shared" si="781"/>
        <v>42417.144</v>
      </c>
      <c r="E808" s="5">
        <v>1746.36</v>
      </c>
      <c r="F808" s="5">
        <v>1203.048</v>
      </c>
      <c r="G808" s="5">
        <v>1940.3999999999999</v>
      </c>
      <c r="H808" s="5">
        <v>2328.48</v>
      </c>
      <c r="I808" s="5">
        <v>970.19999999999993</v>
      </c>
      <c r="J808" s="5">
        <v>776.16</v>
      </c>
      <c r="K808" s="5">
        <v>2813.58</v>
      </c>
      <c r="L808" s="5">
        <v>2774.7719999999995</v>
      </c>
      <c r="M808" s="5">
        <v>2328.48</v>
      </c>
      <c r="N808" s="5">
        <v>2755.3679999999999</v>
      </c>
      <c r="O808" s="5">
        <v>1164.24</v>
      </c>
      <c r="P808" s="5">
        <v>2367.288</v>
      </c>
      <c r="Q808" s="5">
        <v>3977.8199999999997</v>
      </c>
      <c r="R808" s="5">
        <v>2910.6</v>
      </c>
      <c r="S808" s="5">
        <v>3686.7599999999998</v>
      </c>
      <c r="T808" s="5">
        <v>3822.5879999999997</v>
      </c>
      <c r="U808" s="5">
        <v>2425.5</v>
      </c>
      <c r="V808" s="5">
        <v>2425.5</v>
      </c>
      <c r="W808" s="5">
        <f t="shared" ref="W808:AH808" si="818">IF(OR((SLOPE($E808:$V808,$E$1:$V$1)*W$1+INTERCEPT($E808:$V808,$E$1:$V$1))&gt;(AVERAGE($E808:$V808)+_xlfn.STDEV.P($E808:$V808)),(SLOPE($E808:$V808,$E$1:$V$1)*W$1+INTERCEPT($E808:$V808,$E$1:$V$1))&lt;(AVERAGE($E808:$V808)-_xlfn.STDEV.P($E808:$V808))),V808,(SLOPE($E808:$V808,$E$1:$V$1)*W$1+INTERCEPT($E808:$V808,$E$1:$V$1)))</f>
        <v>2425.5</v>
      </c>
      <c r="X808" s="5">
        <f t="shared" si="818"/>
        <v>2425.5</v>
      </c>
      <c r="Y808" s="5">
        <f t="shared" si="818"/>
        <v>2425.5</v>
      </c>
      <c r="Z808" s="5">
        <f t="shared" si="818"/>
        <v>2425.5</v>
      </c>
      <c r="AA808" s="5">
        <f t="shared" si="818"/>
        <v>2425.5</v>
      </c>
      <c r="AB808" s="5">
        <f t="shared" si="818"/>
        <v>2425.5</v>
      </c>
      <c r="AC808" s="5">
        <f t="shared" si="818"/>
        <v>2425.5</v>
      </c>
      <c r="AD808" s="5">
        <f t="shared" si="818"/>
        <v>2425.5</v>
      </c>
      <c r="AE808" s="5">
        <f t="shared" si="818"/>
        <v>2425.5</v>
      </c>
      <c r="AF808" s="5">
        <f t="shared" si="818"/>
        <v>2425.5</v>
      </c>
      <c r="AG808" s="5">
        <f t="shared" si="818"/>
        <v>2425.5</v>
      </c>
      <c r="AH808" s="5">
        <f t="shared" si="818"/>
        <v>2425.5</v>
      </c>
    </row>
    <row r="809" spans="1:34" x14ac:dyDescent="0.35">
      <c r="A809" t="s">
        <v>829</v>
      </c>
      <c r="B809" s="3" t="s">
        <v>1264</v>
      </c>
      <c r="C809" s="4" t="s">
        <v>1263</v>
      </c>
      <c r="D809" s="2">
        <f t="shared" si="781"/>
        <v>42330.65110289029</v>
      </c>
      <c r="E809" s="5">
        <v>1971.0502730835838</v>
      </c>
      <c r="F809" s="5">
        <v>2534.2074939646077</v>
      </c>
      <c r="G809" s="5">
        <v>2252.6288835240957</v>
      </c>
      <c r="H809" s="5">
        <v>0</v>
      </c>
      <c r="I809" s="5">
        <v>4880.6959143022068</v>
      </c>
      <c r="J809" s="5">
        <v>0</v>
      </c>
      <c r="K809" s="5">
        <v>3378.9433252861431</v>
      </c>
      <c r="L809" s="5">
        <v>4505.2577670481915</v>
      </c>
      <c r="M809" s="5">
        <v>0</v>
      </c>
      <c r="N809" s="5">
        <v>6757.8866505722872</v>
      </c>
      <c r="O809" s="5">
        <v>0</v>
      </c>
      <c r="P809" s="5">
        <v>0</v>
      </c>
      <c r="Q809" s="5">
        <v>5068.4149879292145</v>
      </c>
      <c r="R809" s="5">
        <v>0</v>
      </c>
      <c r="S809" s="5">
        <v>3378.9433252861431</v>
      </c>
      <c r="T809" s="5">
        <v>1689.4716626430716</v>
      </c>
      <c r="U809" s="5">
        <v>3097.3647148456316</v>
      </c>
      <c r="V809" s="5">
        <v>2815.7861044051192</v>
      </c>
      <c r="W809" s="5">
        <f t="shared" ref="W809:AH809" si="819">IF(OR((SLOPE($E809:$V809,$E$1:$V$1)*W$1+INTERCEPT($E809:$V809,$E$1:$V$1))&gt;(AVERAGE($E809:$V809)+_xlfn.STDEV.P($E809:$V809)),(SLOPE($E809:$V809,$E$1:$V$1)*W$1+INTERCEPT($E809:$V809,$E$1:$V$1))&lt;(AVERAGE($E809:$V809)-_xlfn.STDEV.P($E809:$V809))),V809,(SLOPE($E809:$V809,$E$1:$V$1)*W$1+INTERCEPT($E809:$V809,$E$1:$V$1)))</f>
        <v>2553.2247857372781</v>
      </c>
      <c r="X809" s="5">
        <f t="shared" si="819"/>
        <v>2574.4376222307328</v>
      </c>
      <c r="Y809" s="5">
        <f t="shared" si="819"/>
        <v>2595.650458724187</v>
      </c>
      <c r="Z809" s="5">
        <f t="shared" si="819"/>
        <v>2616.8632952176413</v>
      </c>
      <c r="AA809" s="5">
        <f t="shared" si="819"/>
        <v>2638.076131711096</v>
      </c>
      <c r="AB809" s="5">
        <f t="shared" si="819"/>
        <v>2659.2889682045507</v>
      </c>
      <c r="AC809" s="5">
        <f t="shared" si="819"/>
        <v>2680.5018046980049</v>
      </c>
      <c r="AD809" s="5">
        <f t="shared" si="819"/>
        <v>2701.7146411914591</v>
      </c>
      <c r="AE809" s="5">
        <f t="shared" si="819"/>
        <v>2722.9274776849138</v>
      </c>
      <c r="AF809" s="5">
        <f t="shared" si="819"/>
        <v>2744.140314178368</v>
      </c>
      <c r="AG809" s="5">
        <f t="shared" si="819"/>
        <v>2765.3531506718227</v>
      </c>
      <c r="AH809" s="5">
        <f t="shared" si="819"/>
        <v>2786.565987165277</v>
      </c>
    </row>
    <row r="810" spans="1:34" x14ac:dyDescent="0.35">
      <c r="A810" t="s">
        <v>830</v>
      </c>
      <c r="B810" s="3" t="s">
        <v>1264</v>
      </c>
      <c r="C810" s="4" t="s">
        <v>1263</v>
      </c>
      <c r="D810" s="2">
        <f t="shared" si="781"/>
        <v>42167.494403518765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8892.1464335944129</v>
      </c>
      <c r="K810" s="5">
        <v>8470.9394972662558</v>
      </c>
      <c r="L810" s="5">
        <v>0</v>
      </c>
      <c r="M810" s="5">
        <v>0</v>
      </c>
      <c r="N810" s="5">
        <v>0</v>
      </c>
      <c r="O810" s="5">
        <v>0</v>
      </c>
      <c r="P810" s="5">
        <v>8580.1412955735541</v>
      </c>
      <c r="Q810" s="5">
        <v>0</v>
      </c>
      <c r="R810" s="5">
        <v>6240.1027604171313</v>
      </c>
      <c r="S810" s="5">
        <v>0</v>
      </c>
      <c r="T810" s="5">
        <v>0</v>
      </c>
      <c r="U810" s="5">
        <v>8580.1412955735559</v>
      </c>
      <c r="V810" s="5">
        <v>1404.0231210938546</v>
      </c>
      <c r="W810" s="5">
        <f t="shared" ref="W810:AH810" si="820">IF(OR((SLOPE($E810:$V810,$E$1:$V$1)*W$1+INTERCEPT($E810:$V810,$E$1:$V$1))&gt;(AVERAGE($E810:$V810)+_xlfn.STDEV.P($E810:$V810)),(SLOPE($E810:$V810,$E$1:$V$1)*W$1+INTERCEPT($E810:$V810,$E$1:$V$1))&lt;(AVERAGE($E810:$V810)-_xlfn.STDEV.P($E810:$V810))),V810,(SLOPE($E810:$V810,$E$1:$V$1)*W$1+INTERCEPT($E810:$V810,$E$1:$V$1)))</f>
        <v>3784.1329043686437</v>
      </c>
      <c r="X810" s="5">
        <f t="shared" si="820"/>
        <v>3935.8691492523676</v>
      </c>
      <c r="Y810" s="5">
        <f t="shared" si="820"/>
        <v>4087.6053941360915</v>
      </c>
      <c r="Z810" s="5">
        <f t="shared" si="820"/>
        <v>4239.3416390198163</v>
      </c>
      <c r="AA810" s="5">
        <f t="shared" si="820"/>
        <v>4391.0778839035402</v>
      </c>
      <c r="AB810" s="5">
        <f t="shared" si="820"/>
        <v>4542.8141287872641</v>
      </c>
      <c r="AC810" s="5">
        <f t="shared" si="820"/>
        <v>4694.5503736709879</v>
      </c>
      <c r="AD810" s="5">
        <f t="shared" si="820"/>
        <v>4846.2866185547118</v>
      </c>
      <c r="AE810" s="5">
        <f t="shared" si="820"/>
        <v>4998.0228634384366</v>
      </c>
      <c r="AF810" s="5">
        <f t="shared" si="820"/>
        <v>5149.7591083221605</v>
      </c>
      <c r="AG810" s="5">
        <f t="shared" si="820"/>
        <v>5301.4953532058844</v>
      </c>
      <c r="AH810" s="5">
        <f t="shared" si="820"/>
        <v>5453.2315980896092</v>
      </c>
    </row>
    <row r="811" spans="1:34" x14ac:dyDescent="0.35">
      <c r="A811" t="s">
        <v>831</v>
      </c>
      <c r="B811" s="3" t="s">
        <v>1264</v>
      </c>
      <c r="C811" s="4" t="s">
        <v>1267</v>
      </c>
      <c r="D811" s="2">
        <f t="shared" si="781"/>
        <v>42125.195154903653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42125.195154903653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f t="shared" ref="W811:AH811" si="821">IF(OR((SLOPE($E811:$V811,$E$1:$V$1)*W$1+INTERCEPT($E811:$V811,$E$1:$V$1))&gt;(AVERAGE($E811:$V811)+_xlfn.STDEV.P($E811:$V811)),(SLOPE($E811:$V811,$E$1:$V$1)*W$1+INTERCEPT($E811:$V811,$E$1:$V$1))&lt;(AVERAGE($E811:$V811)-_xlfn.STDEV.P($E811:$V811))),V811,(SLOPE($E811:$V811,$E$1:$V$1)*W$1+INTERCEPT($E811:$V811,$E$1:$V$1)))</f>
        <v>5231.2333852494721</v>
      </c>
      <c r="X811" s="5">
        <f t="shared" si="821"/>
        <v>5535.543360568694</v>
      </c>
      <c r="Y811" s="5">
        <f t="shared" si="821"/>
        <v>5839.8533358879149</v>
      </c>
      <c r="Z811" s="5">
        <f t="shared" si="821"/>
        <v>6144.1633112071368</v>
      </c>
      <c r="AA811" s="5">
        <f t="shared" si="821"/>
        <v>6448.4732865263577</v>
      </c>
      <c r="AB811" s="5">
        <f t="shared" si="821"/>
        <v>6752.7832618455786</v>
      </c>
      <c r="AC811" s="5">
        <f t="shared" si="821"/>
        <v>7057.0932371648005</v>
      </c>
      <c r="AD811" s="5">
        <f t="shared" si="821"/>
        <v>7361.4032124840214</v>
      </c>
      <c r="AE811" s="5">
        <f t="shared" si="821"/>
        <v>7665.7131878032424</v>
      </c>
      <c r="AF811" s="5">
        <f t="shared" si="821"/>
        <v>7970.0231631224642</v>
      </c>
      <c r="AG811" s="5">
        <f t="shared" si="821"/>
        <v>8274.3331384416852</v>
      </c>
      <c r="AH811" s="5">
        <f t="shared" si="821"/>
        <v>8578.643113760907</v>
      </c>
    </row>
    <row r="812" spans="1:34" x14ac:dyDescent="0.35">
      <c r="A812" t="s">
        <v>832</v>
      </c>
      <c r="B812" s="3" t="s">
        <v>1264</v>
      </c>
      <c r="C812" s="4" t="s">
        <v>1263</v>
      </c>
      <c r="D812" s="2">
        <f t="shared" si="781"/>
        <v>40266.838609543462</v>
      </c>
      <c r="E812" s="5">
        <v>0</v>
      </c>
      <c r="F812" s="5">
        <v>0</v>
      </c>
      <c r="G812" s="5">
        <v>4430.443489288522</v>
      </c>
      <c r="H812" s="5">
        <v>3819.3478355935531</v>
      </c>
      <c r="I812" s="5">
        <v>829.34410144317155</v>
      </c>
      <c r="J812" s="5">
        <v>545.62111937050759</v>
      </c>
      <c r="K812" s="5">
        <v>3513.8000087460691</v>
      </c>
      <c r="L812" s="5">
        <v>0</v>
      </c>
      <c r="M812" s="5">
        <v>480.14658504604671</v>
      </c>
      <c r="N812" s="5">
        <v>2837.2298207266394</v>
      </c>
      <c r="O812" s="5">
        <v>1833.2869610849057</v>
      </c>
      <c r="P812" s="5">
        <v>3404.6757848719672</v>
      </c>
      <c r="Q812" s="5">
        <v>4386.7937997388808</v>
      </c>
      <c r="R812" s="5">
        <v>960.29317009209342</v>
      </c>
      <c r="S812" s="5">
        <v>4583.2174027122637</v>
      </c>
      <c r="T812" s="5">
        <v>2880.8795102762801</v>
      </c>
      <c r="U812" s="5">
        <v>2706.2807520777178</v>
      </c>
      <c r="V812" s="5">
        <v>3055.478268474842</v>
      </c>
      <c r="W812" s="5">
        <f t="shared" ref="W812:AH812" si="822">IF(OR((SLOPE($E812:$V812,$E$1:$V$1)*W$1+INTERCEPT($E812:$V812,$E$1:$V$1))&gt;(AVERAGE($E812:$V812)+_xlfn.STDEV.P($E812:$V812)),(SLOPE($E812:$V812,$E$1:$V$1)*W$1+INTERCEPT($E812:$V812,$E$1:$V$1))&lt;(AVERAGE($E812:$V812)-_xlfn.STDEV.P($E812:$V812))),V812,(SLOPE($E812:$V812,$E$1:$V$1)*W$1+INTERCEPT($E812:$V812,$E$1:$V$1)))</f>
        <v>3376.0039299717132</v>
      </c>
      <c r="X812" s="5">
        <f t="shared" si="822"/>
        <v>3495.8941763456746</v>
      </c>
      <c r="Y812" s="5">
        <f t="shared" si="822"/>
        <v>3615.7844227196356</v>
      </c>
      <c r="Z812" s="5">
        <f t="shared" si="822"/>
        <v>3735.674669093597</v>
      </c>
      <c r="AA812" s="5">
        <f t="shared" si="822"/>
        <v>3735.674669093597</v>
      </c>
      <c r="AB812" s="5">
        <f t="shared" si="822"/>
        <v>3735.674669093597</v>
      </c>
      <c r="AC812" s="5">
        <f t="shared" si="822"/>
        <v>3735.674669093597</v>
      </c>
      <c r="AD812" s="5">
        <f t="shared" si="822"/>
        <v>3735.674669093597</v>
      </c>
      <c r="AE812" s="5">
        <f t="shared" si="822"/>
        <v>3735.674669093597</v>
      </c>
      <c r="AF812" s="5">
        <f t="shared" si="822"/>
        <v>3735.674669093597</v>
      </c>
      <c r="AG812" s="5">
        <f t="shared" si="822"/>
        <v>3735.674669093597</v>
      </c>
      <c r="AH812" s="5">
        <f t="shared" si="822"/>
        <v>3735.674669093597</v>
      </c>
    </row>
    <row r="813" spans="1:34" x14ac:dyDescent="0.35">
      <c r="A813" t="s">
        <v>833</v>
      </c>
      <c r="B813" s="3" t="s">
        <v>1264</v>
      </c>
      <c r="C813" s="4" t="s">
        <v>1263</v>
      </c>
      <c r="D813" s="2">
        <f t="shared" si="781"/>
        <v>41633.634000000005</v>
      </c>
      <c r="E813" s="5">
        <v>3019.4975999999997</v>
      </c>
      <c r="F813" s="5">
        <v>2711.3856000000001</v>
      </c>
      <c r="G813" s="5">
        <v>3681.9384000000005</v>
      </c>
      <c r="H813" s="5">
        <v>2665.1687999999999</v>
      </c>
      <c r="I813" s="5">
        <v>3458.5572000000002</v>
      </c>
      <c r="J813" s="5">
        <v>1270.962</v>
      </c>
      <c r="K813" s="5">
        <v>1995.0252000000003</v>
      </c>
      <c r="L813" s="5">
        <v>1787.0495999999998</v>
      </c>
      <c r="M813" s="5">
        <v>4182.6203999999998</v>
      </c>
      <c r="N813" s="5">
        <v>1355.6928</v>
      </c>
      <c r="O813" s="5">
        <v>924.33600000000001</v>
      </c>
      <c r="P813" s="5">
        <v>1887.1859999999999</v>
      </c>
      <c r="Q813" s="5">
        <v>2310.84</v>
      </c>
      <c r="R813" s="5">
        <v>2241.5147999999999</v>
      </c>
      <c r="S813" s="5">
        <v>5006.8199999999988</v>
      </c>
      <c r="T813" s="5">
        <v>1332.5844</v>
      </c>
      <c r="U813" s="5">
        <v>631.62959999999998</v>
      </c>
      <c r="V813" s="5">
        <v>1170.8256000000001</v>
      </c>
      <c r="W813" s="5">
        <f t="shared" ref="W813:AH813" si="823">IF(OR((SLOPE($E813:$V813,$E$1:$V$1)*W$1+INTERCEPT($E813:$V813,$E$1:$V$1))&gt;(AVERAGE($E813:$V813)+_xlfn.STDEV.P($E813:$V813)),(SLOPE($E813:$V813,$E$1:$V$1)*W$1+INTERCEPT($E813:$V813,$E$1:$V$1))&lt;(AVERAGE($E813:$V813)-_xlfn.STDEV.P($E813:$V813))),V813,(SLOPE($E813:$V813,$E$1:$V$1)*W$1+INTERCEPT($E813:$V813,$E$1:$V$1)))</f>
        <v>1557.7276784313726</v>
      </c>
      <c r="X813" s="5">
        <f t="shared" si="823"/>
        <v>1478.227469143447</v>
      </c>
      <c r="Y813" s="5">
        <f t="shared" si="823"/>
        <v>1398.7272598555212</v>
      </c>
      <c r="Z813" s="5">
        <f t="shared" si="823"/>
        <v>1319.2270505675956</v>
      </c>
      <c r="AA813" s="5">
        <f t="shared" si="823"/>
        <v>1239.7268412796698</v>
      </c>
      <c r="AB813" s="5">
        <f t="shared" si="823"/>
        <v>1160.2266319917439</v>
      </c>
      <c r="AC813" s="5">
        <f t="shared" si="823"/>
        <v>1160.2266319917439</v>
      </c>
      <c r="AD813" s="5">
        <f t="shared" si="823"/>
        <v>1160.2266319917439</v>
      </c>
      <c r="AE813" s="5">
        <f t="shared" si="823"/>
        <v>1160.2266319917439</v>
      </c>
      <c r="AF813" s="5">
        <f t="shared" si="823"/>
        <v>1160.2266319917439</v>
      </c>
      <c r="AG813" s="5">
        <f t="shared" si="823"/>
        <v>1160.2266319917439</v>
      </c>
      <c r="AH813" s="5">
        <f t="shared" si="823"/>
        <v>1160.2266319917439</v>
      </c>
    </row>
    <row r="814" spans="1:34" x14ac:dyDescent="0.35">
      <c r="A814" t="s">
        <v>834</v>
      </c>
      <c r="B814" s="3" t="s">
        <v>1266</v>
      </c>
      <c r="C814" s="4" t="s">
        <v>1267</v>
      </c>
      <c r="D814" s="2">
        <f t="shared" si="781"/>
        <v>41460.143248474218</v>
      </c>
      <c r="E814" s="5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13820.047749491407</v>
      </c>
      <c r="R814" s="5">
        <v>27640.095498982813</v>
      </c>
      <c r="S814" s="5">
        <v>0</v>
      </c>
      <c r="T814" s="5">
        <v>0</v>
      </c>
      <c r="U814" s="5">
        <v>0</v>
      </c>
      <c r="V814" s="5">
        <v>0</v>
      </c>
      <c r="W814" s="5">
        <f t="shared" ref="W814:AH814" si="824">IF(OR((SLOPE($E814:$V814,$E$1:$V$1)*W$1+INTERCEPT($E814:$V814,$E$1:$V$1))&gt;(AVERAGE($E814:$V814)+_xlfn.STDEV.P($E814:$V814)),(SLOPE($E814:$V814,$E$1:$V$1)*W$1+INTERCEPT($E814:$V814,$E$1:$V$1))&lt;(AVERAGE($E814:$V814)-_xlfn.STDEV.P($E814:$V814))),V814,(SLOPE($E814:$V814,$E$1:$V$1)*W$1+INTERCEPT($E814:$V814,$E$1:$V$1)))</f>
        <v>5690.6078968494021</v>
      </c>
      <c r="X814" s="5">
        <f t="shared" si="824"/>
        <v>6047.1622763512441</v>
      </c>
      <c r="Y814" s="5">
        <f t="shared" si="824"/>
        <v>6403.7166558530862</v>
      </c>
      <c r="Z814" s="5">
        <f t="shared" si="824"/>
        <v>6760.2710353549301</v>
      </c>
      <c r="AA814" s="5">
        <f t="shared" si="824"/>
        <v>7116.8254148567721</v>
      </c>
      <c r="AB814" s="5">
        <f t="shared" si="824"/>
        <v>7473.3797943586142</v>
      </c>
      <c r="AC814" s="5">
        <f t="shared" si="824"/>
        <v>7829.9341738604562</v>
      </c>
      <c r="AD814" s="5">
        <f t="shared" si="824"/>
        <v>8186.4885533622983</v>
      </c>
      <c r="AE814" s="5">
        <f t="shared" si="824"/>
        <v>8543.0429328641403</v>
      </c>
      <c r="AF814" s="5">
        <f t="shared" si="824"/>
        <v>8899.5973123659842</v>
      </c>
      <c r="AG814" s="5">
        <f t="shared" si="824"/>
        <v>8899.5973123659842</v>
      </c>
      <c r="AH814" s="5">
        <f t="shared" si="824"/>
        <v>8899.5973123659842</v>
      </c>
    </row>
    <row r="815" spans="1:34" x14ac:dyDescent="0.35">
      <c r="A815" t="s">
        <v>835</v>
      </c>
      <c r="B815" s="3" t="s">
        <v>1266</v>
      </c>
      <c r="C815" s="4" t="s">
        <v>1267</v>
      </c>
      <c r="D815" s="2">
        <f t="shared" si="781"/>
        <v>41427.84523674845</v>
      </c>
      <c r="E815" s="5">
        <v>0</v>
      </c>
      <c r="F815" s="5">
        <v>41427.84523674845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f t="shared" ref="W815:AH815" si="825">IF(OR((SLOPE($E815:$V815,$E$1:$V$1)*W$1+INTERCEPT($E815:$V815,$E$1:$V$1))&gt;(AVERAGE($E815:$V815)+_xlfn.STDEV.P($E815:$V815)),(SLOPE($E815:$V815,$E$1:$V$1)*W$1+INTERCEPT($E815:$V815,$E$1:$V$1))&lt;(AVERAGE($E815:$V815)-_xlfn.STDEV.P($E815:$V815))),V815,(SLOPE($E815:$V815,$E$1:$V$1)*W$1+INTERCEPT($E815:$V815,$E$1:$V$1)))</f>
        <v>-3790.7832242776349</v>
      </c>
      <c r="X815" s="5">
        <f t="shared" si="825"/>
        <v>-4432.0811381591902</v>
      </c>
      <c r="Y815" s="5">
        <f t="shared" si="825"/>
        <v>-5073.3790520407456</v>
      </c>
      <c r="Z815" s="5">
        <f t="shared" si="825"/>
        <v>-5714.6769659222991</v>
      </c>
      <c r="AA815" s="5">
        <f t="shared" si="825"/>
        <v>-6355.9748798038545</v>
      </c>
      <c r="AB815" s="5">
        <f t="shared" si="825"/>
        <v>-6997.2727936854099</v>
      </c>
      <c r="AC815" s="5">
        <f t="shared" si="825"/>
        <v>-6997.2727936854099</v>
      </c>
      <c r="AD815" s="5">
        <f t="shared" si="825"/>
        <v>-6997.2727936854099</v>
      </c>
      <c r="AE815" s="5">
        <f t="shared" si="825"/>
        <v>-6997.2727936854099</v>
      </c>
      <c r="AF815" s="5">
        <f t="shared" si="825"/>
        <v>-6997.2727936854099</v>
      </c>
      <c r="AG815" s="5">
        <f t="shared" si="825"/>
        <v>-6997.2727936854099</v>
      </c>
      <c r="AH815" s="5">
        <f t="shared" si="825"/>
        <v>-6997.2727936854099</v>
      </c>
    </row>
    <row r="816" spans="1:34" x14ac:dyDescent="0.35">
      <c r="A816" t="s">
        <v>836</v>
      </c>
      <c r="B816" s="3" t="s">
        <v>1266</v>
      </c>
      <c r="C816" s="4" t="s">
        <v>1263</v>
      </c>
      <c r="D816" s="2">
        <f t="shared" si="781"/>
        <v>41354.085478427536</v>
      </c>
      <c r="E816" s="5">
        <v>0</v>
      </c>
      <c r="F816" s="5">
        <v>0</v>
      </c>
      <c r="G816" s="5">
        <v>10790.857148884126</v>
      </c>
      <c r="H816" s="5">
        <v>30563.22832954341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f t="shared" ref="W816:AH816" si="826">IF(OR((SLOPE($E816:$V816,$E$1:$V$1)*W$1+INTERCEPT($E816:$V816,$E$1:$V$1))&gt;(AVERAGE($E816:$V816)+_xlfn.STDEV.P($E816:$V816)),(SLOPE($E816:$V816,$E$1:$V$1)*W$1+INTERCEPT($E816:$V816,$E$1:$V$1))&lt;(AVERAGE($E816:$V816)-_xlfn.STDEV.P($E816:$V816))),V816,(SLOPE($E816:$V816,$E$1:$V$1)*W$1+INTERCEPT($E816:$V816,$E$1:$V$1)))</f>
        <v>-2373.890557346881</v>
      </c>
      <c r="X816" s="5">
        <f t="shared" si="826"/>
        <v>-2865.6105310934972</v>
      </c>
      <c r="Y816" s="5">
        <f t="shared" si="826"/>
        <v>-3357.3305048401135</v>
      </c>
      <c r="Z816" s="5">
        <f t="shared" si="826"/>
        <v>-3849.0504785867297</v>
      </c>
      <c r="AA816" s="5">
        <f t="shared" si="826"/>
        <v>-4340.7704523333459</v>
      </c>
      <c r="AB816" s="5">
        <f t="shared" si="826"/>
        <v>-4832.4904260799622</v>
      </c>
      <c r="AC816" s="5">
        <f t="shared" si="826"/>
        <v>-4832.4904260799622</v>
      </c>
      <c r="AD816" s="5">
        <f t="shared" si="826"/>
        <v>-4832.4904260799622</v>
      </c>
      <c r="AE816" s="5">
        <f t="shared" si="826"/>
        <v>-4832.4904260799622</v>
      </c>
      <c r="AF816" s="5">
        <f t="shared" si="826"/>
        <v>-4832.4904260799622</v>
      </c>
      <c r="AG816" s="5">
        <f t="shared" si="826"/>
        <v>-4832.4904260799622</v>
      </c>
      <c r="AH816" s="5">
        <f t="shared" si="826"/>
        <v>-4832.4904260799622</v>
      </c>
    </row>
    <row r="817" spans="1:34" x14ac:dyDescent="0.35">
      <c r="A817" t="s">
        <v>837</v>
      </c>
      <c r="B817" s="3" t="s">
        <v>1266</v>
      </c>
      <c r="C817" s="4" t="s">
        <v>1266</v>
      </c>
      <c r="D817" s="2">
        <f t="shared" si="781"/>
        <v>41350.474436100179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41350.474436100179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f t="shared" ref="W817:AH817" si="827">IF(OR((SLOPE($E817:$V817,$E$1:$V$1)*W$1+INTERCEPT($E817:$V817,$E$1:$V$1))&gt;(AVERAGE($E817:$V817)+_xlfn.STDEV.P($E817:$V817)),(SLOPE($E817:$V817,$E$1:$V$1)*W$1+INTERCEPT($E817:$V817,$E$1:$V$1))&lt;(AVERAGE($E817:$V817)-_xlfn.STDEV.P($E817:$V817))),V817,(SLOPE($E817:$V817,$E$1:$V$1)*W$1+INTERCEPT($E817:$V817,$E$1:$V$1)))</f>
        <v>4324.2326207686465</v>
      </c>
      <c r="X817" s="5">
        <f t="shared" si="827"/>
        <v>4537.5993619249939</v>
      </c>
      <c r="Y817" s="5">
        <f t="shared" si="827"/>
        <v>4750.9661030813413</v>
      </c>
      <c r="Z817" s="5">
        <f t="shared" si="827"/>
        <v>4964.3328442376887</v>
      </c>
      <c r="AA817" s="5">
        <f t="shared" si="827"/>
        <v>5177.6995853940361</v>
      </c>
      <c r="AB817" s="5">
        <f t="shared" si="827"/>
        <v>5391.0663265503845</v>
      </c>
      <c r="AC817" s="5">
        <f t="shared" si="827"/>
        <v>5604.4330677067319</v>
      </c>
      <c r="AD817" s="5">
        <f t="shared" si="827"/>
        <v>5817.7998088630793</v>
      </c>
      <c r="AE817" s="5">
        <f t="shared" si="827"/>
        <v>6031.1665500194276</v>
      </c>
      <c r="AF817" s="5">
        <f t="shared" si="827"/>
        <v>6244.533291175775</v>
      </c>
      <c r="AG817" s="5">
        <f t="shared" si="827"/>
        <v>6457.9000323321225</v>
      </c>
      <c r="AH817" s="5">
        <f t="shared" si="827"/>
        <v>6671.2667734884699</v>
      </c>
    </row>
    <row r="818" spans="1:34" x14ac:dyDescent="0.35">
      <c r="A818" t="s">
        <v>838</v>
      </c>
      <c r="B818" s="3" t="s">
        <v>1264</v>
      </c>
      <c r="C818" s="4" t="s">
        <v>1263</v>
      </c>
      <c r="D818" s="2">
        <f t="shared" si="781"/>
        <v>41331.672479999994</v>
      </c>
      <c r="E818" s="5">
        <v>4312.1626800000004</v>
      </c>
      <c r="F818" s="5">
        <v>3132.4200600000004</v>
      </c>
      <c r="G818" s="5">
        <v>2025.9028440000004</v>
      </c>
      <c r="H818" s="5">
        <v>732.25404000000003</v>
      </c>
      <c r="I818" s="5">
        <v>3994.8525960000006</v>
      </c>
      <c r="J818" s="5">
        <v>5988.2108159999989</v>
      </c>
      <c r="K818" s="5">
        <v>1220.4233999999999</v>
      </c>
      <c r="L818" s="5">
        <v>659.02863600000001</v>
      </c>
      <c r="M818" s="5">
        <v>6818.0987279999972</v>
      </c>
      <c r="N818" s="5">
        <v>3864.6741000000006</v>
      </c>
      <c r="O818" s="5">
        <v>2505.9360480000009</v>
      </c>
      <c r="P818" s="5">
        <v>1000.7471880000001</v>
      </c>
      <c r="Q818" s="5">
        <v>325.44623999999999</v>
      </c>
      <c r="R818" s="5">
        <v>1911.9966599999998</v>
      </c>
      <c r="S818" s="5">
        <v>1350.6018960000001</v>
      </c>
      <c r="T818" s="5">
        <v>390.53548799999999</v>
      </c>
      <c r="U818" s="5">
        <v>813.61559999999997</v>
      </c>
      <c r="V818" s="5">
        <v>284.76545999999996</v>
      </c>
      <c r="W818" s="5">
        <f t="shared" ref="W818:AH818" si="828">IF(OR((SLOPE($E818:$V818,$E$1:$V$1)*W$1+INTERCEPT($E818:$V818,$E$1:$V$1))&gt;(AVERAGE($E818:$V818)+_xlfn.STDEV.P($E818:$V818)),(SLOPE($E818:$V818,$E$1:$V$1)*W$1+INTERCEPT($E818:$V818,$E$1:$V$1))&lt;(AVERAGE($E818:$V818)-_xlfn.STDEV.P($E818:$V818))),V818,(SLOPE($E818:$V818,$E$1:$V$1)*W$1+INTERCEPT($E818:$V818,$E$1:$V$1)))</f>
        <v>584.42061725490157</v>
      </c>
      <c r="X818" s="5">
        <f t="shared" si="828"/>
        <v>404.23288994840004</v>
      </c>
      <c r="Y818" s="5">
        <f t="shared" si="828"/>
        <v>404.23288994840004</v>
      </c>
      <c r="Z818" s="5">
        <f t="shared" si="828"/>
        <v>404.23288994840004</v>
      </c>
      <c r="AA818" s="5">
        <f t="shared" si="828"/>
        <v>404.23288994840004</v>
      </c>
      <c r="AB818" s="5">
        <f t="shared" si="828"/>
        <v>404.23288994840004</v>
      </c>
      <c r="AC818" s="5">
        <f t="shared" si="828"/>
        <v>404.23288994840004</v>
      </c>
      <c r="AD818" s="5">
        <f t="shared" si="828"/>
        <v>404.23288994840004</v>
      </c>
      <c r="AE818" s="5">
        <f t="shared" si="828"/>
        <v>404.23288994840004</v>
      </c>
      <c r="AF818" s="5">
        <f t="shared" si="828"/>
        <v>404.23288994840004</v>
      </c>
      <c r="AG818" s="5">
        <f t="shared" si="828"/>
        <v>404.23288994840004</v>
      </c>
      <c r="AH818" s="5">
        <f t="shared" si="828"/>
        <v>404.23288994840004</v>
      </c>
    </row>
    <row r="819" spans="1:34" x14ac:dyDescent="0.35">
      <c r="A819" t="s">
        <v>839</v>
      </c>
      <c r="B819" s="3" t="s">
        <v>1264</v>
      </c>
      <c r="C819" s="4" t="s">
        <v>1263</v>
      </c>
      <c r="D819" s="2">
        <f t="shared" si="781"/>
        <v>41244.684537077512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29787.827721222646</v>
      </c>
      <c r="T819" s="5">
        <v>11456.856815854864</v>
      </c>
      <c r="U819" s="5">
        <v>0</v>
      </c>
      <c r="V819" s="5">
        <v>0</v>
      </c>
      <c r="W819" s="5">
        <f t="shared" ref="W819:AH819" si="829">IF(OR((SLOPE($E819:$V819,$E$1:$V$1)*W$1+INTERCEPT($E819:$V819,$E$1:$V$1))&gt;(AVERAGE($E819:$V819)+_xlfn.STDEV.P($E819:$V819)),(SLOPE($E819:$V819,$E$1:$V$1)*W$1+INTERCEPT($E819:$V819,$E$1:$V$1))&lt;(AVERAGE($E819:$V819)-_xlfn.STDEV.P($E819:$V819))),V819,(SLOPE($E819:$V819,$E$1:$V$1)*W$1+INTERCEPT($E819:$V819,$E$1:$V$1)))</f>
        <v>6963.9717900294272</v>
      </c>
      <c r="X819" s="5">
        <f t="shared" si="829"/>
        <v>7455.8244665408438</v>
      </c>
      <c r="Y819" s="5">
        <f t="shared" si="829"/>
        <v>7947.6771430522604</v>
      </c>
      <c r="Z819" s="5">
        <f t="shared" si="829"/>
        <v>8439.5298195636769</v>
      </c>
      <c r="AA819" s="5">
        <f t="shared" si="829"/>
        <v>8931.3824960750935</v>
      </c>
      <c r="AB819" s="5">
        <f t="shared" si="829"/>
        <v>9423.2351725865101</v>
      </c>
      <c r="AC819" s="5">
        <f t="shared" si="829"/>
        <v>9423.2351725865101</v>
      </c>
      <c r="AD819" s="5">
        <f t="shared" si="829"/>
        <v>9423.2351725865101</v>
      </c>
      <c r="AE819" s="5">
        <f t="shared" si="829"/>
        <v>9423.2351725865101</v>
      </c>
      <c r="AF819" s="5">
        <f t="shared" si="829"/>
        <v>9423.2351725865101</v>
      </c>
      <c r="AG819" s="5">
        <f t="shared" si="829"/>
        <v>9423.2351725865101</v>
      </c>
      <c r="AH819" s="5">
        <f t="shared" si="829"/>
        <v>9423.2351725865101</v>
      </c>
    </row>
    <row r="820" spans="1:34" x14ac:dyDescent="0.35">
      <c r="A820" t="s">
        <v>840</v>
      </c>
      <c r="B820" s="3" t="s">
        <v>1266</v>
      </c>
      <c r="C820" s="4" t="s">
        <v>1267</v>
      </c>
      <c r="D820" s="2">
        <f t="shared" si="781"/>
        <v>41026.398887592761</v>
      </c>
      <c r="E820" s="5">
        <v>0</v>
      </c>
      <c r="F820" s="5">
        <v>12514.65779357728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28511.74109401548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f t="shared" ref="W820:AH820" si="830">IF(OR((SLOPE($E820:$V820,$E$1:$V$1)*W$1+INTERCEPT($E820:$V820,$E$1:$V$1))&gt;(AVERAGE($E820:$V820)+_xlfn.STDEV.P($E820:$V820)),(SLOPE($E820:$V820,$E$1:$V$1)*W$1+INTERCEPT($E820:$V820,$E$1:$V$1))&lt;(AVERAGE($E820:$V820)-_xlfn.STDEV.P($E820:$V820))),V820,(SLOPE($E820:$V820,$E$1:$V$1)*W$1+INTERCEPT($E820:$V820,$E$1:$V$1)))</f>
        <v>-399.72708976483682</v>
      </c>
      <c r="X820" s="5">
        <f t="shared" si="830"/>
        <v>-681.72408686050858</v>
      </c>
      <c r="Y820" s="5">
        <f t="shared" si="830"/>
        <v>-963.72108395618034</v>
      </c>
      <c r="Z820" s="5">
        <f t="shared" si="830"/>
        <v>-1245.7180810518512</v>
      </c>
      <c r="AA820" s="5">
        <f t="shared" si="830"/>
        <v>-1527.7150781475229</v>
      </c>
      <c r="AB820" s="5">
        <f t="shared" si="830"/>
        <v>-1809.7120752431947</v>
      </c>
      <c r="AC820" s="5">
        <f t="shared" si="830"/>
        <v>-2091.7090723388665</v>
      </c>
      <c r="AD820" s="5">
        <f t="shared" si="830"/>
        <v>-2373.7060694345382</v>
      </c>
      <c r="AE820" s="5">
        <f t="shared" si="830"/>
        <v>-2655.7030665302091</v>
      </c>
      <c r="AF820" s="5">
        <f t="shared" si="830"/>
        <v>-2937.7000636258808</v>
      </c>
      <c r="AG820" s="5">
        <f t="shared" si="830"/>
        <v>-3219.6970607215526</v>
      </c>
      <c r="AH820" s="5">
        <f t="shared" si="830"/>
        <v>-3501.6940578172234</v>
      </c>
    </row>
    <row r="821" spans="1:34" x14ac:dyDescent="0.35">
      <c r="A821" t="s">
        <v>841</v>
      </c>
      <c r="B821" s="3" t="s">
        <v>1264</v>
      </c>
      <c r="C821" s="4" t="s">
        <v>1263</v>
      </c>
      <c r="D821" s="2">
        <f t="shared" si="781"/>
        <v>40444.11</v>
      </c>
      <c r="E821" s="5">
        <v>2271.15</v>
      </c>
      <c r="F821" s="5">
        <v>1600.83</v>
      </c>
      <c r="G821" s="5">
        <v>3946.9499999999994</v>
      </c>
      <c r="H821" s="5">
        <v>1517.0400000000004</v>
      </c>
      <c r="I821" s="5">
        <v>3029.6699999999992</v>
      </c>
      <c r="J821" s="5">
        <v>1424.4299999999998</v>
      </c>
      <c r="K821" s="5">
        <v>956.97000000000025</v>
      </c>
      <c r="L821" s="5">
        <v>890.82000000000028</v>
      </c>
      <c r="M821" s="5">
        <v>2641.59</v>
      </c>
      <c r="N821" s="5">
        <v>2187.3599999999997</v>
      </c>
      <c r="O821" s="5">
        <v>2191.7700000000004</v>
      </c>
      <c r="P821" s="5">
        <v>1935.9899999999993</v>
      </c>
      <c r="Q821" s="5">
        <v>2443.14</v>
      </c>
      <c r="R821" s="5">
        <v>2879.73</v>
      </c>
      <c r="S821" s="5">
        <v>5261.13</v>
      </c>
      <c r="T821" s="5">
        <v>1944.81</v>
      </c>
      <c r="U821" s="5">
        <v>1252.4399999999998</v>
      </c>
      <c r="V821" s="5">
        <v>2068.2900000000004</v>
      </c>
      <c r="W821" s="5">
        <f t="shared" ref="W821:AH821" si="831">IF(OR((SLOPE($E821:$V821,$E$1:$V$1)*W$1+INTERCEPT($E821:$V821,$E$1:$V$1))&gt;(AVERAGE($E821:$V821)+_xlfn.STDEV.P($E821:$V821)),(SLOPE($E821:$V821,$E$1:$V$1)*W$1+INTERCEPT($E821:$V821,$E$1:$V$1))&lt;(AVERAGE($E821:$V821)-_xlfn.STDEV.P($E821:$V821))),V821,(SLOPE($E821:$V821,$E$1:$V$1)*W$1+INTERCEPT($E821:$V821,$E$1:$V$1)))</f>
        <v>2448.9335294117645</v>
      </c>
      <c r="X821" s="5">
        <f t="shared" si="831"/>
        <v>2470.2007430340554</v>
      </c>
      <c r="Y821" s="5">
        <f t="shared" si="831"/>
        <v>2491.4679566563468</v>
      </c>
      <c r="Z821" s="5">
        <f t="shared" si="831"/>
        <v>2512.7351702786377</v>
      </c>
      <c r="AA821" s="5">
        <f t="shared" si="831"/>
        <v>2534.0023839009286</v>
      </c>
      <c r="AB821" s="5">
        <f t="shared" si="831"/>
        <v>2555.26959752322</v>
      </c>
      <c r="AC821" s="5">
        <f t="shared" si="831"/>
        <v>2576.5368111455109</v>
      </c>
      <c r="AD821" s="5">
        <f t="shared" si="831"/>
        <v>2597.8040247678018</v>
      </c>
      <c r="AE821" s="5">
        <f t="shared" si="831"/>
        <v>2619.0712383900927</v>
      </c>
      <c r="AF821" s="5">
        <f t="shared" si="831"/>
        <v>2640.3384520123836</v>
      </c>
      <c r="AG821" s="5">
        <f t="shared" si="831"/>
        <v>2661.605665634675</v>
      </c>
      <c r="AH821" s="5">
        <f t="shared" si="831"/>
        <v>2682.8728792569659</v>
      </c>
    </row>
    <row r="822" spans="1:34" x14ac:dyDescent="0.35">
      <c r="A822" t="s">
        <v>842</v>
      </c>
      <c r="B822" s="3" t="s">
        <v>1265</v>
      </c>
      <c r="C822" s="4" t="s">
        <v>1263</v>
      </c>
      <c r="D822" s="2">
        <f t="shared" si="781"/>
        <v>40108.893820921156</v>
      </c>
      <c r="E822" s="5">
        <v>0</v>
      </c>
      <c r="F822" s="5">
        <v>0</v>
      </c>
      <c r="G822" s="5">
        <v>13409.398172134259</v>
      </c>
      <c r="H822" s="5">
        <v>9663.3563340113433</v>
      </c>
      <c r="I822" s="5">
        <v>0</v>
      </c>
      <c r="J822" s="5">
        <v>10832.503149731236</v>
      </c>
      <c r="K822" s="5">
        <v>0</v>
      </c>
      <c r="L822" s="5">
        <v>3221.1187780037812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1908.8111277059445</v>
      </c>
      <c r="V822" s="5">
        <v>1073.7062593345938</v>
      </c>
      <c r="W822" s="5">
        <f t="shared" ref="W822:AH822" si="832">IF(OR((SLOPE($E822:$V822,$E$1:$V$1)*W$1+INTERCEPT($E822:$V822,$E$1:$V$1))&gt;(AVERAGE($E822:$V822)+_xlfn.STDEV.P($E822:$V822)),(SLOPE($E822:$V822,$E$1:$V$1)*W$1+INTERCEPT($E822:$V822,$E$1:$V$1))&lt;(AVERAGE($E822:$V822)-_xlfn.STDEV.P($E822:$V822))),V822,(SLOPE($E822:$V822,$E$1:$V$1)*W$1+INTERCEPT($E822:$V822,$E$1:$V$1)))</f>
        <v>-901.38303252780679</v>
      </c>
      <c r="X822" s="5">
        <f t="shared" si="832"/>
        <v>-1230.8203916296879</v>
      </c>
      <c r="Y822" s="5">
        <f t="shared" si="832"/>
        <v>-1560.2577507315691</v>
      </c>
      <c r="Z822" s="5">
        <f t="shared" si="832"/>
        <v>-1889.6951098334503</v>
      </c>
      <c r="AA822" s="5">
        <f t="shared" si="832"/>
        <v>-1889.6951098334503</v>
      </c>
      <c r="AB822" s="5">
        <f t="shared" si="832"/>
        <v>-1889.6951098334503</v>
      </c>
      <c r="AC822" s="5">
        <f t="shared" si="832"/>
        <v>-1889.6951098334503</v>
      </c>
      <c r="AD822" s="5">
        <f t="shared" si="832"/>
        <v>-1889.6951098334503</v>
      </c>
      <c r="AE822" s="5">
        <f t="shared" si="832"/>
        <v>-1889.6951098334503</v>
      </c>
      <c r="AF822" s="5">
        <f t="shared" si="832"/>
        <v>-1889.6951098334503</v>
      </c>
      <c r="AG822" s="5">
        <f t="shared" si="832"/>
        <v>-1889.6951098334503</v>
      </c>
      <c r="AH822" s="5">
        <f t="shared" si="832"/>
        <v>-1889.6951098334503</v>
      </c>
    </row>
    <row r="823" spans="1:34" x14ac:dyDescent="0.35">
      <c r="A823" t="s">
        <v>843</v>
      </c>
      <c r="B823" s="3" t="s">
        <v>1265</v>
      </c>
      <c r="C823" s="4" t="s">
        <v>1263</v>
      </c>
      <c r="D823" s="2">
        <f t="shared" si="781"/>
        <v>39602.662399999994</v>
      </c>
      <c r="E823" s="5">
        <v>1247.0304000000001</v>
      </c>
      <c r="F823" s="5">
        <v>1180.8999999999999</v>
      </c>
      <c r="G823" s="5">
        <v>869.14240000000007</v>
      </c>
      <c r="H823" s="5">
        <v>6320.1767999999993</v>
      </c>
      <c r="I823" s="5">
        <v>4515.7615999999998</v>
      </c>
      <c r="J823" s="5">
        <v>10146.292799999999</v>
      </c>
      <c r="K823" s="5">
        <v>1360.3968</v>
      </c>
      <c r="L823" s="5">
        <v>1303.7136</v>
      </c>
      <c r="M823" s="5">
        <v>680.19839999999999</v>
      </c>
      <c r="N823" s="5">
        <v>1303.7135999999998</v>
      </c>
      <c r="O823" s="5">
        <v>1927.2288000000001</v>
      </c>
      <c r="P823" s="5">
        <v>6801.9839999999986</v>
      </c>
      <c r="Q823" s="5">
        <v>0</v>
      </c>
      <c r="R823" s="5">
        <v>415.67679999999996</v>
      </c>
      <c r="S823" s="5">
        <v>122.81360000000001</v>
      </c>
      <c r="T823" s="5">
        <v>236.17999999999992</v>
      </c>
      <c r="U823" s="5">
        <v>349.54640000000001</v>
      </c>
      <c r="V823" s="5">
        <v>821.90639999999996</v>
      </c>
      <c r="W823" s="5">
        <f t="shared" ref="W823:AH823" si="833">IF(OR((SLOPE($E823:$V823,$E$1:$V$1)*W$1+INTERCEPT($E823:$V823,$E$1:$V$1))&gt;(AVERAGE($E823:$V823)+_xlfn.STDEV.P($E823:$V823)),(SLOPE($E823:$V823,$E$1:$V$1)*W$1+INTERCEPT($E823:$V823,$E$1:$V$1))&lt;(AVERAGE($E823:$V823)-_xlfn.STDEV.P($E823:$V823))),V823,(SLOPE($E823:$V823,$E$1:$V$1)*W$1+INTERCEPT($E823:$V823,$E$1:$V$1)))</f>
        <v>491.13090718954254</v>
      </c>
      <c r="X823" s="5">
        <f t="shared" si="833"/>
        <v>311.23438046095634</v>
      </c>
      <c r="Y823" s="5">
        <f t="shared" si="833"/>
        <v>131.3378537323706</v>
      </c>
      <c r="Z823" s="5">
        <f t="shared" si="833"/>
        <v>-48.558672996215591</v>
      </c>
      <c r="AA823" s="5">
        <f t="shared" si="833"/>
        <v>-228.45519972480179</v>
      </c>
      <c r="AB823" s="5">
        <f t="shared" si="833"/>
        <v>-408.35172645338753</v>
      </c>
      <c r="AC823" s="5">
        <f t="shared" si="833"/>
        <v>-408.35172645338753</v>
      </c>
      <c r="AD823" s="5">
        <f t="shared" si="833"/>
        <v>-408.35172645338753</v>
      </c>
      <c r="AE823" s="5">
        <f t="shared" si="833"/>
        <v>-408.35172645338753</v>
      </c>
      <c r="AF823" s="5">
        <f t="shared" si="833"/>
        <v>-408.35172645338753</v>
      </c>
      <c r="AG823" s="5">
        <f t="shared" si="833"/>
        <v>-408.35172645338753</v>
      </c>
      <c r="AH823" s="5">
        <f t="shared" si="833"/>
        <v>-408.35172645338753</v>
      </c>
    </row>
    <row r="824" spans="1:34" x14ac:dyDescent="0.35">
      <c r="A824" t="s">
        <v>844</v>
      </c>
      <c r="B824" s="3" t="s">
        <v>1266</v>
      </c>
      <c r="C824" s="4" t="s">
        <v>1267</v>
      </c>
      <c r="D824" s="2">
        <f t="shared" si="781"/>
        <v>39491.549538391424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13192.404834950716</v>
      </c>
      <c r="R824" s="5">
        <v>26299.14470344071</v>
      </c>
      <c r="S824" s="5">
        <v>0</v>
      </c>
      <c r="T824" s="5">
        <v>0</v>
      </c>
      <c r="U824" s="5">
        <v>0</v>
      </c>
      <c r="V824" s="5">
        <v>0</v>
      </c>
      <c r="W824" s="5">
        <f t="shared" ref="W824:AH824" si="834">IF(OR((SLOPE($E824:$V824,$E$1:$V$1)*W$1+INTERCEPT($E824:$V824,$E$1:$V$1))&gt;(AVERAGE($E824:$V824)+_xlfn.STDEV.P($E824:$V824)),(SLOPE($E824:$V824,$E$1:$V$1)*W$1+INTERCEPT($E824:$V824,$E$1:$V$1))&lt;(AVERAGE($E824:$V824)-_xlfn.STDEV.P($E824:$V824))),V824,(SLOPE($E824:$V824,$E$1:$V$1)*W$1+INTERCEPT($E824:$V824,$E$1:$V$1)))</f>
        <v>5419.8488584297993</v>
      </c>
      <c r="X824" s="5">
        <f t="shared" si="834"/>
        <v>5759.4145304376643</v>
      </c>
      <c r="Y824" s="5">
        <f t="shared" si="834"/>
        <v>6098.9802024455294</v>
      </c>
      <c r="Z824" s="5">
        <f t="shared" si="834"/>
        <v>6438.5458744533953</v>
      </c>
      <c r="AA824" s="5">
        <f t="shared" si="834"/>
        <v>6778.1115464612603</v>
      </c>
      <c r="AB824" s="5">
        <f t="shared" si="834"/>
        <v>7117.6772184691254</v>
      </c>
      <c r="AC824" s="5">
        <f t="shared" si="834"/>
        <v>7457.2428904769913</v>
      </c>
      <c r="AD824" s="5">
        <f t="shared" si="834"/>
        <v>7796.8085624848554</v>
      </c>
      <c r="AE824" s="5">
        <f t="shared" si="834"/>
        <v>8136.3742344927214</v>
      </c>
      <c r="AF824" s="5">
        <f t="shared" si="834"/>
        <v>8475.9399065005873</v>
      </c>
      <c r="AG824" s="5">
        <f t="shared" si="834"/>
        <v>8475.9399065005873</v>
      </c>
      <c r="AH824" s="5">
        <f t="shared" si="834"/>
        <v>8475.9399065005873</v>
      </c>
    </row>
    <row r="825" spans="1:34" x14ac:dyDescent="0.35">
      <c r="A825" t="s">
        <v>845</v>
      </c>
      <c r="B825" s="3" t="s">
        <v>1265</v>
      </c>
      <c r="C825" s="4" t="s">
        <v>1263</v>
      </c>
      <c r="D825" s="2">
        <f t="shared" si="781"/>
        <v>39156.335622711347</v>
      </c>
      <c r="E825" s="5">
        <v>0</v>
      </c>
      <c r="F825" s="5">
        <v>0</v>
      </c>
      <c r="G825" s="5">
        <v>0</v>
      </c>
      <c r="H825" s="5">
        <v>0</v>
      </c>
      <c r="I825" s="5">
        <v>1260.3970694005798</v>
      </c>
      <c r="J825" s="5">
        <v>2520.7941388011595</v>
      </c>
      <c r="K825" s="5">
        <v>672.21177034697587</v>
      </c>
      <c r="L825" s="5">
        <v>924.291184227092</v>
      </c>
      <c r="M825" s="5">
        <v>882.2779485804059</v>
      </c>
      <c r="N825" s="5">
        <v>1449.4566298106672</v>
      </c>
      <c r="O825" s="5">
        <v>3214.0125269714786</v>
      </c>
      <c r="P825" s="5">
        <v>2226.7014892743578</v>
      </c>
      <c r="Q825" s="5">
        <v>2730.86031703459</v>
      </c>
      <c r="R825" s="5">
        <v>3087.9728200314203</v>
      </c>
      <c r="S825" s="5">
        <v>5860.8463727126964</v>
      </c>
      <c r="T825" s="5">
        <v>2289.7213427443867</v>
      </c>
      <c r="U825" s="5">
        <v>2730.8603170345896</v>
      </c>
      <c r="V825" s="5">
        <v>9305.9316957409483</v>
      </c>
      <c r="W825" s="5">
        <f t="shared" ref="W825:AH825" si="835">IF(OR((SLOPE($E825:$V825,$E$1:$V$1)*W$1+INTERCEPT($E825:$V825,$E$1:$V$1))&gt;(AVERAGE($E825:$V825)+_xlfn.STDEV.P($E825:$V825)),(SLOPE($E825:$V825,$E$1:$V$1)*W$1+INTERCEPT($E825:$V825,$E$1:$V$1))&lt;(AVERAGE($E825:$V825)-_xlfn.STDEV.P($E825:$V825))),V825,(SLOPE($E825:$V825,$E$1:$V$1)*W$1+INTERCEPT($E825:$V825,$E$1:$V$1)))</f>
        <v>9305.9316957409483</v>
      </c>
      <c r="X825" s="5">
        <f t="shared" si="835"/>
        <v>9305.9316957409483</v>
      </c>
      <c r="Y825" s="5">
        <f t="shared" si="835"/>
        <v>9305.9316957409483</v>
      </c>
      <c r="Z825" s="5">
        <f t="shared" si="835"/>
        <v>9305.9316957409483</v>
      </c>
      <c r="AA825" s="5">
        <f t="shared" si="835"/>
        <v>9305.9316957409483</v>
      </c>
      <c r="AB825" s="5">
        <f t="shared" si="835"/>
        <v>9305.9316957409483</v>
      </c>
      <c r="AC825" s="5">
        <f t="shared" si="835"/>
        <v>9305.9316957409483</v>
      </c>
      <c r="AD825" s="5">
        <f t="shared" si="835"/>
        <v>9305.9316957409483</v>
      </c>
      <c r="AE825" s="5">
        <f t="shared" si="835"/>
        <v>9305.9316957409483</v>
      </c>
      <c r="AF825" s="5">
        <f t="shared" si="835"/>
        <v>9305.9316957409483</v>
      </c>
      <c r="AG825" s="5">
        <f t="shared" si="835"/>
        <v>9305.9316957409483</v>
      </c>
      <c r="AH825" s="5">
        <f t="shared" si="835"/>
        <v>9305.9316957409483</v>
      </c>
    </row>
    <row r="826" spans="1:34" x14ac:dyDescent="0.35">
      <c r="A826" t="s">
        <v>846</v>
      </c>
      <c r="B826" s="3" t="s">
        <v>1266</v>
      </c>
      <c r="C826" s="4" t="s">
        <v>1263</v>
      </c>
      <c r="D826" s="2">
        <f t="shared" si="781"/>
        <v>38915.655023144987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9676.4993841222513</v>
      </c>
      <c r="L826" s="5">
        <v>0</v>
      </c>
      <c r="M826" s="5">
        <v>6450.9995894148342</v>
      </c>
      <c r="N826" s="5">
        <v>0</v>
      </c>
      <c r="O826" s="5">
        <v>0</v>
      </c>
      <c r="P826" s="5">
        <v>19352.998768244503</v>
      </c>
      <c r="Q826" s="5">
        <v>3435.1572813633989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f t="shared" ref="W826:AH826" si="836">IF(OR((SLOPE($E826:$V826,$E$1:$V$1)*W$1+INTERCEPT($E826:$V826,$E$1:$V$1))&gt;(AVERAGE($E826:$V826)+_xlfn.STDEV.P($E826:$V826)),(SLOPE($E826:$V826,$E$1:$V$1)*W$1+INTERCEPT($E826:$V826,$E$1:$V$1))&lt;(AVERAGE($E826:$V826)-_xlfn.STDEV.P($E826:$V826))),V826,(SLOPE($E826:$V826,$E$1:$V$1)*W$1+INTERCEPT($E826:$V826,$E$1:$V$1)))</f>
        <v>2808.8200336460309</v>
      </c>
      <c r="X826" s="5">
        <f t="shared" si="836"/>
        <v>2876.9083703857009</v>
      </c>
      <c r="Y826" s="5">
        <f t="shared" si="836"/>
        <v>2944.9967071253709</v>
      </c>
      <c r="Z826" s="5">
        <f t="shared" si="836"/>
        <v>3013.0850438650409</v>
      </c>
      <c r="AA826" s="5">
        <f t="shared" si="836"/>
        <v>3081.1733806047109</v>
      </c>
      <c r="AB826" s="5">
        <f t="shared" si="836"/>
        <v>3149.2617173443809</v>
      </c>
      <c r="AC826" s="5">
        <f t="shared" si="836"/>
        <v>3217.350054084051</v>
      </c>
      <c r="AD826" s="5">
        <f t="shared" si="836"/>
        <v>3285.438390823721</v>
      </c>
      <c r="AE826" s="5">
        <f t="shared" si="836"/>
        <v>3353.526727563391</v>
      </c>
      <c r="AF826" s="5">
        <f t="shared" si="836"/>
        <v>3421.615064303061</v>
      </c>
      <c r="AG826" s="5">
        <f t="shared" si="836"/>
        <v>3489.703401042731</v>
      </c>
      <c r="AH826" s="5">
        <f t="shared" si="836"/>
        <v>3557.791737782401</v>
      </c>
    </row>
    <row r="827" spans="1:34" x14ac:dyDescent="0.35">
      <c r="A827" t="s">
        <v>847</v>
      </c>
      <c r="B827" s="3" t="s">
        <v>1265</v>
      </c>
      <c r="C827" s="4" t="s">
        <v>1263</v>
      </c>
      <c r="D827" s="2">
        <f t="shared" si="781"/>
        <v>38243.51999999999</v>
      </c>
      <c r="E827" s="5">
        <v>1587.6</v>
      </c>
      <c r="F827" s="5">
        <v>1058.3999999999999</v>
      </c>
      <c r="G827" s="5">
        <v>2734.2</v>
      </c>
      <c r="H827" s="5">
        <v>3774.96</v>
      </c>
      <c r="I827" s="5">
        <v>793.8</v>
      </c>
      <c r="J827" s="5">
        <v>4357.08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14023.8</v>
      </c>
      <c r="R827" s="5">
        <v>5644.7999999999984</v>
      </c>
      <c r="S827" s="5">
        <v>352.79999999999995</v>
      </c>
      <c r="T827" s="5">
        <v>2734.1999999999994</v>
      </c>
      <c r="U827" s="5">
        <v>529.19999999999993</v>
      </c>
      <c r="V827" s="5">
        <v>652.67999999999995</v>
      </c>
      <c r="W827" s="5">
        <f t="shared" ref="W827:AH827" si="837">IF(OR((SLOPE($E827:$V827,$E$1:$V$1)*W$1+INTERCEPT($E827:$V827,$E$1:$V$1))&gt;(AVERAGE($E827:$V827)+_xlfn.STDEV.P($E827:$V827)),(SLOPE($E827:$V827,$E$1:$V$1)*W$1+INTERCEPT($E827:$V827,$E$1:$V$1))&lt;(AVERAGE($E827:$V827)-_xlfn.STDEV.P($E827:$V827))),V827,(SLOPE($E827:$V827,$E$1:$V$1)*W$1+INTERCEPT($E827:$V827,$E$1:$V$1)))</f>
        <v>2613.3717647058811</v>
      </c>
      <c r="X827" s="5">
        <f t="shared" si="837"/>
        <v>2664.8172136222902</v>
      </c>
      <c r="Y827" s="5">
        <f t="shared" si="837"/>
        <v>2716.2626625386984</v>
      </c>
      <c r="Z827" s="5">
        <f t="shared" si="837"/>
        <v>2767.7081114551074</v>
      </c>
      <c r="AA827" s="5">
        <f t="shared" si="837"/>
        <v>2819.1535603715156</v>
      </c>
      <c r="AB827" s="5">
        <f t="shared" si="837"/>
        <v>2870.5990092879247</v>
      </c>
      <c r="AC827" s="5">
        <f t="shared" si="837"/>
        <v>2922.0444582043333</v>
      </c>
      <c r="AD827" s="5">
        <f t="shared" si="837"/>
        <v>2973.4899071207419</v>
      </c>
      <c r="AE827" s="5">
        <f t="shared" si="837"/>
        <v>3024.9353560371505</v>
      </c>
      <c r="AF827" s="5">
        <f t="shared" si="837"/>
        <v>3076.3808049535592</v>
      </c>
      <c r="AG827" s="5">
        <f t="shared" si="837"/>
        <v>3127.8262538699678</v>
      </c>
      <c r="AH827" s="5">
        <f t="shared" si="837"/>
        <v>3179.2717027863764</v>
      </c>
    </row>
    <row r="828" spans="1:34" x14ac:dyDescent="0.35">
      <c r="A828" t="s">
        <v>848</v>
      </c>
      <c r="B828" s="3" t="s">
        <v>1264</v>
      </c>
      <c r="C828" s="4" t="s">
        <v>1263</v>
      </c>
      <c r="D828" s="2">
        <f t="shared" si="781"/>
        <v>38664.147194553858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18634.524549952504</v>
      </c>
      <c r="Q828" s="5">
        <v>0</v>
      </c>
      <c r="R828" s="5">
        <v>0</v>
      </c>
      <c r="S828" s="5">
        <v>13701.856286729781</v>
      </c>
      <c r="T828" s="5">
        <v>99.649863903489319</v>
      </c>
      <c r="U828" s="5">
        <v>0</v>
      </c>
      <c r="V828" s="5">
        <v>6228.1164939680821</v>
      </c>
      <c r="W828" s="5">
        <f t="shared" ref="W828:AH828" si="838">IF(OR((SLOPE($E828:$V828,$E$1:$V$1)*W$1+INTERCEPT($E828:$V828,$E$1:$V$1))&gt;(AVERAGE($E828:$V828)+_xlfn.STDEV.P($E828:$V828)),(SLOPE($E828:$V828,$E$1:$V$1)*W$1+INTERCEPT($E828:$V828,$E$1:$V$1))&lt;(AVERAGE($E828:$V828)-_xlfn.STDEV.P($E828:$V828))),V828,(SLOPE($E828:$V828,$E$1:$V$1)*W$1+INTERCEPT($E828:$V828,$E$1:$V$1)))</f>
        <v>5589.8363199457326</v>
      </c>
      <c r="X828" s="5">
        <f t="shared" si="838"/>
        <v>5952.1340191531554</v>
      </c>
      <c r="Y828" s="5">
        <f t="shared" si="838"/>
        <v>6314.4317183605781</v>
      </c>
      <c r="Z828" s="5">
        <f t="shared" si="838"/>
        <v>6676.7294175680017</v>
      </c>
      <c r="AA828" s="5">
        <f t="shared" si="838"/>
        <v>7039.0271167754236</v>
      </c>
      <c r="AB828" s="5">
        <f t="shared" si="838"/>
        <v>7039.0271167754236</v>
      </c>
      <c r="AC828" s="5">
        <f t="shared" si="838"/>
        <v>7039.0271167754236</v>
      </c>
      <c r="AD828" s="5">
        <f t="shared" si="838"/>
        <v>7039.0271167754236</v>
      </c>
      <c r="AE828" s="5">
        <f t="shared" si="838"/>
        <v>7039.0271167754236</v>
      </c>
      <c r="AF828" s="5">
        <f t="shared" si="838"/>
        <v>7039.0271167754236</v>
      </c>
      <c r="AG828" s="5">
        <f t="shared" si="838"/>
        <v>7039.0271167754236</v>
      </c>
      <c r="AH828" s="5">
        <f t="shared" si="838"/>
        <v>7039.0271167754236</v>
      </c>
    </row>
    <row r="829" spans="1:34" x14ac:dyDescent="0.35">
      <c r="A829" t="s">
        <v>849</v>
      </c>
      <c r="B829" s="3" t="s">
        <v>1266</v>
      </c>
      <c r="C829" s="4" t="s">
        <v>1267</v>
      </c>
      <c r="D829" s="2">
        <f t="shared" si="781"/>
        <v>38440.623088459644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38440.623088459644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f t="shared" ref="W829:AH829" si="839">IF(OR((SLOPE($E829:$V829,$E$1:$V$1)*W$1+INTERCEPT($E829:$V829,$E$1:$V$1))&gt;(AVERAGE($E829:$V829)+_xlfn.STDEV.P($E829:$V829)),(SLOPE($E829:$V829,$E$1:$V$1)*W$1+INTERCEPT($E829:$V829,$E$1:$V$1))&lt;(AVERAGE($E829:$V829)-_xlfn.STDEV.P($E829:$V829))),V829,(SLOPE($E829:$V829,$E$1:$V$1)*W$1+INTERCEPT($E829:$V829,$E$1:$V$1)))</f>
        <v>1004.983610155808</v>
      </c>
      <c r="X829" s="5">
        <f t="shared" si="839"/>
        <v>885.97239316367268</v>
      </c>
      <c r="Y829" s="5">
        <f t="shared" si="839"/>
        <v>766.96117617153777</v>
      </c>
      <c r="Z829" s="5">
        <f t="shared" si="839"/>
        <v>647.94995917940287</v>
      </c>
      <c r="AA829" s="5">
        <f t="shared" si="839"/>
        <v>528.93874218726751</v>
      </c>
      <c r="AB829" s="5">
        <f t="shared" si="839"/>
        <v>409.9275251951326</v>
      </c>
      <c r="AC829" s="5">
        <f t="shared" si="839"/>
        <v>290.9163082029977</v>
      </c>
      <c r="AD829" s="5">
        <f t="shared" si="839"/>
        <v>171.90509121086234</v>
      </c>
      <c r="AE829" s="5">
        <f t="shared" si="839"/>
        <v>52.893874218727433</v>
      </c>
      <c r="AF829" s="5">
        <f t="shared" si="839"/>
        <v>-66.117342773407472</v>
      </c>
      <c r="AG829" s="5">
        <f t="shared" si="839"/>
        <v>-185.12855976554283</v>
      </c>
      <c r="AH829" s="5">
        <f t="shared" si="839"/>
        <v>-304.13977675767774</v>
      </c>
    </row>
    <row r="830" spans="1:34" x14ac:dyDescent="0.35">
      <c r="A830" t="s">
        <v>850</v>
      </c>
      <c r="B830" s="3" t="s">
        <v>1264</v>
      </c>
      <c r="C830" s="4" t="s">
        <v>1263</v>
      </c>
      <c r="D830" s="2">
        <f t="shared" si="781"/>
        <v>38324.026607999986</v>
      </c>
      <c r="E830" s="5">
        <v>3570.1690080000008</v>
      </c>
      <c r="F830" s="5">
        <v>5102.498184</v>
      </c>
      <c r="G830" s="5">
        <v>2622.3365280000007</v>
      </c>
      <c r="H830" s="5">
        <v>1279.573848</v>
      </c>
      <c r="I830" s="5">
        <v>5781.7781279999981</v>
      </c>
      <c r="J830" s="5">
        <v>1398.0529080000001</v>
      </c>
      <c r="K830" s="5">
        <v>442.32182399999999</v>
      </c>
      <c r="L830" s="5">
        <v>379.132992</v>
      </c>
      <c r="M830" s="5">
        <v>2116.8258720000003</v>
      </c>
      <c r="N830" s="5">
        <v>1927.259376</v>
      </c>
      <c r="O830" s="5">
        <v>505.51065599999998</v>
      </c>
      <c r="P830" s="5">
        <v>5236.7744519999997</v>
      </c>
      <c r="Q830" s="5">
        <v>1184.7906</v>
      </c>
      <c r="R830" s="5">
        <v>2132.6230800000003</v>
      </c>
      <c r="S830" s="5">
        <v>2085.2314560000004</v>
      </c>
      <c r="T830" s="5">
        <v>1074.2101439999999</v>
      </c>
      <c r="U830" s="5">
        <v>568.69948799999997</v>
      </c>
      <c r="V830" s="5">
        <v>916.23806399999989</v>
      </c>
      <c r="W830" s="5">
        <f t="shared" ref="W830:AH830" si="840">IF(OR((SLOPE($E830:$V830,$E$1:$V$1)*W$1+INTERCEPT($E830:$V830,$E$1:$V$1))&gt;(AVERAGE($E830:$V830)+_xlfn.STDEV.P($E830:$V830)),(SLOPE($E830:$V830,$E$1:$V$1)*W$1+INTERCEPT($E830:$V830,$E$1:$V$1))&lt;(AVERAGE($E830:$V830)-_xlfn.STDEV.P($E830:$V830))),V830,(SLOPE($E830:$V830,$E$1:$V$1)*W$1+INTERCEPT($E830:$V830,$E$1:$V$1)))</f>
        <v>809.89084674509741</v>
      </c>
      <c r="X830" s="5">
        <f t="shared" si="840"/>
        <v>671.02540015686191</v>
      </c>
      <c r="Y830" s="5">
        <f t="shared" si="840"/>
        <v>532.15995356862641</v>
      </c>
      <c r="Z830" s="5">
        <f t="shared" si="840"/>
        <v>532.15995356862641</v>
      </c>
      <c r="AA830" s="5">
        <f t="shared" si="840"/>
        <v>532.15995356862641</v>
      </c>
      <c r="AB830" s="5">
        <f t="shared" si="840"/>
        <v>532.15995356862641</v>
      </c>
      <c r="AC830" s="5">
        <f t="shared" si="840"/>
        <v>532.15995356862641</v>
      </c>
      <c r="AD830" s="5">
        <f t="shared" si="840"/>
        <v>532.15995356862641</v>
      </c>
      <c r="AE830" s="5">
        <f t="shared" si="840"/>
        <v>532.15995356862641</v>
      </c>
      <c r="AF830" s="5">
        <f t="shared" si="840"/>
        <v>532.15995356862641</v>
      </c>
      <c r="AG830" s="5">
        <f t="shared" si="840"/>
        <v>532.15995356862641</v>
      </c>
      <c r="AH830" s="5">
        <f t="shared" si="840"/>
        <v>532.15995356862641</v>
      </c>
    </row>
    <row r="831" spans="1:34" x14ac:dyDescent="0.35">
      <c r="A831" t="s">
        <v>851</v>
      </c>
      <c r="B831" s="3" t="s">
        <v>1266</v>
      </c>
      <c r="C831" s="4" t="s">
        <v>1267</v>
      </c>
      <c r="D831" s="2">
        <f t="shared" si="781"/>
        <v>37950.202186628667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37950.202186628667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f t="shared" ref="W831:AH831" si="841">IF(OR((SLOPE($E831:$V831,$E$1:$V$1)*W$1+INTERCEPT($E831:$V831,$E$1:$V$1))&gt;(AVERAGE($E831:$V831)+_xlfn.STDEV.P($E831:$V831)),(SLOPE($E831:$V831,$E$1:$V$1)*W$1+INTERCEPT($E831:$V831,$E$1:$V$1))&lt;(AVERAGE($E831:$V831)-_xlfn.STDEV.P($E831:$V831))),V831,(SLOPE($E831:$V831,$E$1:$V$1)*W$1+INTERCEPT($E831:$V831,$E$1:$V$1)))</f>
        <v>3968.6485946801222</v>
      </c>
      <c r="X831" s="5">
        <f t="shared" si="841"/>
        <v>4164.4700713913126</v>
      </c>
      <c r="Y831" s="5">
        <f t="shared" si="841"/>
        <v>4360.2915481025029</v>
      </c>
      <c r="Z831" s="5">
        <f t="shared" si="841"/>
        <v>4556.1130248136933</v>
      </c>
      <c r="AA831" s="5">
        <f t="shared" si="841"/>
        <v>4751.9345015248828</v>
      </c>
      <c r="AB831" s="5">
        <f t="shared" si="841"/>
        <v>4947.7559782360731</v>
      </c>
      <c r="AC831" s="5">
        <f t="shared" si="841"/>
        <v>5143.5774549472635</v>
      </c>
      <c r="AD831" s="5">
        <f t="shared" si="841"/>
        <v>5339.3989316584539</v>
      </c>
      <c r="AE831" s="5">
        <f t="shared" si="841"/>
        <v>5535.2204083696442</v>
      </c>
      <c r="AF831" s="5">
        <f t="shared" si="841"/>
        <v>5731.0418850808346</v>
      </c>
      <c r="AG831" s="5">
        <f t="shared" si="841"/>
        <v>5926.8633617920241</v>
      </c>
      <c r="AH831" s="5">
        <f t="shared" si="841"/>
        <v>6122.6848385032145</v>
      </c>
    </row>
    <row r="832" spans="1:34" x14ac:dyDescent="0.35">
      <c r="A832" t="s">
        <v>852</v>
      </c>
      <c r="B832" s="3" t="s">
        <v>1265</v>
      </c>
      <c r="C832" s="4" t="s">
        <v>1263</v>
      </c>
      <c r="D832" s="2">
        <f t="shared" si="781"/>
        <v>37920.816162742165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7131.4199435601295</v>
      </c>
      <c r="O832" s="5">
        <v>0</v>
      </c>
      <c r="P832" s="5">
        <v>0</v>
      </c>
      <c r="Q832" s="5">
        <v>22639.201997970456</v>
      </c>
      <c r="R832" s="5">
        <v>0</v>
      </c>
      <c r="S832" s="5">
        <v>0</v>
      </c>
      <c r="T832" s="5">
        <v>0</v>
      </c>
      <c r="U832" s="5">
        <v>0</v>
      </c>
      <c r="V832" s="5">
        <v>8150.1942212115764</v>
      </c>
      <c r="W832" s="5">
        <f t="shared" ref="W832:AH832" si="842">IF(OR((SLOPE($E832:$V832,$E$1:$V$1)*W$1+INTERCEPT($E832:$V832,$E$1:$V$1))&gt;(AVERAGE($E832:$V832)+_xlfn.STDEV.P($E832:$V832)),(SLOPE($E832:$V832,$E$1:$V$1)*W$1+INTERCEPT($E832:$V832,$E$1:$V$1))&lt;(AVERAGE($E832:$V832)-_xlfn.STDEV.P($E832:$V832))),V832,(SLOPE($E832:$V832,$E$1:$V$1)*W$1+INTERCEPT($E832:$V832,$E$1:$V$1)))</f>
        <v>5088.6643197270168</v>
      </c>
      <c r="X832" s="5">
        <f t="shared" si="842"/>
        <v>5402.5540366413097</v>
      </c>
      <c r="Y832" s="5">
        <f t="shared" si="842"/>
        <v>5716.4437535556026</v>
      </c>
      <c r="Z832" s="5">
        <f t="shared" si="842"/>
        <v>6030.3334704698955</v>
      </c>
      <c r="AA832" s="5">
        <f t="shared" si="842"/>
        <v>6344.2231873841883</v>
      </c>
      <c r="AB832" s="5">
        <f t="shared" si="842"/>
        <v>6658.112904298483</v>
      </c>
      <c r="AC832" s="5">
        <f t="shared" si="842"/>
        <v>6972.0026212127759</v>
      </c>
      <c r="AD832" s="5">
        <f t="shared" si="842"/>
        <v>7285.8923381270688</v>
      </c>
      <c r="AE832" s="5">
        <f t="shared" si="842"/>
        <v>7599.7820550413617</v>
      </c>
      <c r="AF832" s="5">
        <f t="shared" si="842"/>
        <v>7599.7820550413617</v>
      </c>
      <c r="AG832" s="5">
        <f t="shared" si="842"/>
        <v>7599.7820550413617</v>
      </c>
      <c r="AH832" s="5">
        <f t="shared" si="842"/>
        <v>7599.7820550413617</v>
      </c>
    </row>
    <row r="833" spans="1:34" x14ac:dyDescent="0.35">
      <c r="A833" t="s">
        <v>853</v>
      </c>
      <c r="B833" s="3" t="s">
        <v>1264</v>
      </c>
      <c r="C833" s="4" t="s">
        <v>1267</v>
      </c>
      <c r="D833" s="2">
        <f t="shared" si="781"/>
        <v>37831.4496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28373.587200000002</v>
      </c>
      <c r="V833" s="5">
        <v>9457.8624</v>
      </c>
      <c r="W833" s="5">
        <f t="shared" ref="W833:AH833" si="843">IF(OR((SLOPE($E833:$V833,$E$1:$V$1)*W$1+INTERCEPT($E833:$V833,$E$1:$V$1))&gt;(AVERAGE($E833:$V833)+_xlfn.STDEV.P($E833:$V833)),(SLOPE($E833:$V833,$E$1:$V$1)*W$1+INTERCEPT($E833:$V833,$E$1:$V$1))&lt;(AVERAGE($E833:$V833)-_xlfn.STDEV.P($E833:$V833))),V833,(SLOPE($E833:$V833,$E$1:$V$1)*W$1+INTERCEPT($E833:$V833,$E$1:$V$1)))</f>
        <v>7850.6439529411773</v>
      </c>
      <c r="X833" s="5">
        <f t="shared" si="843"/>
        <v>8455.7909795665655</v>
      </c>
      <c r="Y833" s="5">
        <f t="shared" si="843"/>
        <v>8455.7909795665655</v>
      </c>
      <c r="Z833" s="5">
        <f t="shared" si="843"/>
        <v>8455.7909795665655</v>
      </c>
      <c r="AA833" s="5">
        <f t="shared" si="843"/>
        <v>8455.7909795665655</v>
      </c>
      <c r="AB833" s="5">
        <f t="shared" si="843"/>
        <v>8455.7909795665655</v>
      </c>
      <c r="AC833" s="5">
        <f t="shared" si="843"/>
        <v>8455.7909795665655</v>
      </c>
      <c r="AD833" s="5">
        <f t="shared" si="843"/>
        <v>8455.7909795665655</v>
      </c>
      <c r="AE833" s="5">
        <f t="shared" si="843"/>
        <v>8455.7909795665655</v>
      </c>
      <c r="AF833" s="5">
        <f t="shared" si="843"/>
        <v>8455.7909795665655</v>
      </c>
      <c r="AG833" s="5">
        <f t="shared" si="843"/>
        <v>8455.7909795665655</v>
      </c>
      <c r="AH833" s="5">
        <f t="shared" si="843"/>
        <v>8455.7909795665655</v>
      </c>
    </row>
    <row r="834" spans="1:34" x14ac:dyDescent="0.35">
      <c r="A834" t="s">
        <v>854</v>
      </c>
      <c r="B834" s="3" t="s">
        <v>1266</v>
      </c>
      <c r="C834" s="4" t="s">
        <v>1267</v>
      </c>
      <c r="D834" s="2">
        <f t="shared" si="781"/>
        <v>37688.825773029632</v>
      </c>
      <c r="E834" s="5">
        <v>0</v>
      </c>
      <c r="F834" s="5">
        <v>0</v>
      </c>
      <c r="G834" s="5">
        <v>0</v>
      </c>
      <c r="H834" s="5">
        <v>22793.24211207097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14895.58366095866</v>
      </c>
      <c r="W834" s="5">
        <f t="shared" ref="W834:AH834" si="844">IF(OR((SLOPE($E834:$V834,$E$1:$V$1)*W$1+INTERCEPT($E834:$V834,$E$1:$V$1))&gt;(AVERAGE($E834:$V834)+_xlfn.STDEV.P($E834:$V834)),(SLOPE($E834:$V834,$E$1:$V$1)*W$1+INTERCEPT($E834:$V834,$E$1:$V$1))&lt;(AVERAGE($E834:$V834)-_xlfn.STDEV.P($E834:$V834))),V834,(SLOPE($E834:$V834,$E$1:$V$1)*W$1+INTERCEPT($E834:$V834,$E$1:$V$1)))</f>
        <v>2118.3261933073641</v>
      </c>
      <c r="X834" s="5">
        <f t="shared" si="844"/>
        <v>2120.905407965276</v>
      </c>
      <c r="Y834" s="5">
        <f t="shared" si="844"/>
        <v>2123.484622623188</v>
      </c>
      <c r="Z834" s="5">
        <f t="shared" si="844"/>
        <v>2126.0638372810995</v>
      </c>
      <c r="AA834" s="5">
        <f t="shared" si="844"/>
        <v>2128.6430519390115</v>
      </c>
      <c r="AB834" s="5">
        <f t="shared" si="844"/>
        <v>2131.2222665969234</v>
      </c>
      <c r="AC834" s="5">
        <f t="shared" si="844"/>
        <v>2133.8014812548354</v>
      </c>
      <c r="AD834" s="5">
        <f t="shared" si="844"/>
        <v>2136.3806959127469</v>
      </c>
      <c r="AE834" s="5">
        <f t="shared" si="844"/>
        <v>2138.9599105706588</v>
      </c>
      <c r="AF834" s="5">
        <f t="shared" si="844"/>
        <v>2141.5391252285708</v>
      </c>
      <c r="AG834" s="5">
        <f t="shared" si="844"/>
        <v>2144.1183398864828</v>
      </c>
      <c r="AH834" s="5">
        <f t="shared" si="844"/>
        <v>2146.6975545443943</v>
      </c>
    </row>
    <row r="835" spans="1:34" x14ac:dyDescent="0.35">
      <c r="A835" t="s">
        <v>855</v>
      </c>
      <c r="B835" s="3" t="s">
        <v>1266</v>
      </c>
      <c r="C835" s="4" t="s">
        <v>1267</v>
      </c>
      <c r="D835" s="2">
        <f t="shared" si="781"/>
        <v>37677.303795635504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37677.303795635504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f t="shared" ref="W835:AH835" si="845">IF(OR((SLOPE($E835:$V835,$E$1:$V$1)*W$1+INTERCEPT($E835:$V835,$E$1:$V$1))&gt;(AVERAGE($E835:$V835)+_xlfn.STDEV.P($E835:$V835)),(SLOPE($E835:$V835,$E$1:$V$1)*W$1+INTERCEPT($E835:$V835,$E$1:$V$1))&lt;(AVERAGE($E835:$V835)-_xlfn.STDEV.P($E835:$V835))),V835,(SLOPE($E835:$V835,$E$1:$V$1)*W$1+INTERCEPT($E835:$V835,$E$1:$V$1)))</f>
        <v>2462.5688755317324</v>
      </c>
      <c r="X835" s="5">
        <f t="shared" si="845"/>
        <v>2501.4515419874965</v>
      </c>
      <c r="Y835" s="5">
        <f t="shared" si="845"/>
        <v>2540.3342084432606</v>
      </c>
      <c r="Z835" s="5">
        <f t="shared" si="845"/>
        <v>2579.2168748990248</v>
      </c>
      <c r="AA835" s="5">
        <f t="shared" si="845"/>
        <v>2618.0995413547889</v>
      </c>
      <c r="AB835" s="5">
        <f t="shared" si="845"/>
        <v>2656.9822078105531</v>
      </c>
      <c r="AC835" s="5">
        <f t="shared" si="845"/>
        <v>2695.8648742663172</v>
      </c>
      <c r="AD835" s="5">
        <f t="shared" si="845"/>
        <v>2734.7475407220813</v>
      </c>
      <c r="AE835" s="5">
        <f t="shared" si="845"/>
        <v>2773.6302071778455</v>
      </c>
      <c r="AF835" s="5">
        <f t="shared" si="845"/>
        <v>2812.5128736336101</v>
      </c>
      <c r="AG835" s="5">
        <f t="shared" si="845"/>
        <v>2851.3955400893738</v>
      </c>
      <c r="AH835" s="5">
        <f t="shared" si="845"/>
        <v>2890.2782065451383</v>
      </c>
    </row>
    <row r="836" spans="1:34" x14ac:dyDescent="0.35">
      <c r="A836" t="s">
        <v>856</v>
      </c>
      <c r="B836" s="3" t="s">
        <v>1264</v>
      </c>
      <c r="C836" s="4" t="s">
        <v>1263</v>
      </c>
      <c r="D836" s="2">
        <f t="shared" ref="D836:D899" si="846">SUM(E836:V836)</f>
        <v>37397.975999999988</v>
      </c>
      <c r="E836" s="5">
        <v>2355.5868</v>
      </c>
      <c r="F836" s="5">
        <v>14530.165999999999</v>
      </c>
      <c r="G836" s="5">
        <v>2185.596</v>
      </c>
      <c r="H836" s="5">
        <v>1108.9875999999997</v>
      </c>
      <c r="I836" s="5">
        <v>3237.9200000000005</v>
      </c>
      <c r="J836" s="5">
        <v>1578.4859999999999</v>
      </c>
      <c r="K836" s="5">
        <v>647.58399999999995</v>
      </c>
      <c r="L836" s="5">
        <v>1821.3299999999997</v>
      </c>
      <c r="M836" s="5">
        <v>3108.4032000000002</v>
      </c>
      <c r="N836" s="5">
        <v>679.96320000000003</v>
      </c>
      <c r="O836" s="5">
        <v>161.89599999999999</v>
      </c>
      <c r="P836" s="5">
        <v>404.73999999999995</v>
      </c>
      <c r="Q836" s="5">
        <v>485.68799999999999</v>
      </c>
      <c r="R836" s="5">
        <v>526.16200000000003</v>
      </c>
      <c r="S836" s="5">
        <v>1837.5195999999999</v>
      </c>
      <c r="T836" s="5">
        <v>914.71239999999989</v>
      </c>
      <c r="U836" s="5">
        <v>679.96320000000003</v>
      </c>
      <c r="V836" s="5">
        <v>1133.2719999999999</v>
      </c>
      <c r="W836" s="5">
        <f t="shared" ref="W836:AH836" si="847">IF(OR((SLOPE($E836:$V836,$E$1:$V$1)*W$1+INTERCEPT($E836:$V836,$E$1:$V$1))&gt;(AVERAGE($E836:$V836)+_xlfn.STDEV.P($E836:$V836)),(SLOPE($E836:$V836,$E$1:$V$1)*W$1+INTERCEPT($E836:$V836,$E$1:$V$1))&lt;(AVERAGE($E836:$V836)-_xlfn.STDEV.P($E836:$V836))),V836,(SLOPE($E836:$V836,$E$1:$V$1)*W$1+INTERCEPT($E836:$V836,$E$1:$V$1)))</f>
        <v>-645.04445490196213</v>
      </c>
      <c r="X836" s="5">
        <f t="shared" si="847"/>
        <v>-931.6454852425195</v>
      </c>
      <c r="Y836" s="5">
        <f t="shared" si="847"/>
        <v>-931.6454852425195</v>
      </c>
      <c r="Z836" s="5">
        <f t="shared" si="847"/>
        <v>-931.6454852425195</v>
      </c>
      <c r="AA836" s="5">
        <f t="shared" si="847"/>
        <v>-931.6454852425195</v>
      </c>
      <c r="AB836" s="5">
        <f t="shared" si="847"/>
        <v>-931.6454852425195</v>
      </c>
      <c r="AC836" s="5">
        <f t="shared" si="847"/>
        <v>-931.6454852425195</v>
      </c>
      <c r="AD836" s="5">
        <f t="shared" si="847"/>
        <v>-931.6454852425195</v>
      </c>
      <c r="AE836" s="5">
        <f t="shared" si="847"/>
        <v>-931.6454852425195</v>
      </c>
      <c r="AF836" s="5">
        <f t="shared" si="847"/>
        <v>-931.6454852425195</v>
      </c>
      <c r="AG836" s="5">
        <f t="shared" si="847"/>
        <v>-931.6454852425195</v>
      </c>
      <c r="AH836" s="5">
        <f t="shared" si="847"/>
        <v>-931.6454852425195</v>
      </c>
    </row>
    <row r="837" spans="1:34" x14ac:dyDescent="0.35">
      <c r="A837" t="s">
        <v>857</v>
      </c>
      <c r="B837" s="3" t="s">
        <v>1262</v>
      </c>
      <c r="C837" s="4" t="s">
        <v>1263</v>
      </c>
      <c r="D837" s="2">
        <f t="shared" si="846"/>
        <v>35871.332724535081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19065.780899504436</v>
      </c>
      <c r="U837" s="5">
        <v>2859.1541289084812</v>
      </c>
      <c r="V837" s="5">
        <v>13946.397696122167</v>
      </c>
      <c r="W837" s="5">
        <f t="shared" ref="W837:AH837" si="848">IF(OR((SLOPE($E837:$V837,$E$1:$V$1)*W$1+INTERCEPT($E837:$V837,$E$1:$V$1))&gt;(AVERAGE($E837:$V837)+_xlfn.STDEV.P($E837:$V837)),(SLOPE($E837:$V837,$E$1:$V$1)*W$1+INTERCEPT($E837:$V837,$E$1:$V$1))&lt;(AVERAGE($E837:$V837)-_xlfn.STDEV.P($E837:$V837))),V837,(SLOPE($E837:$V837,$E$1:$V$1)*W$1+INTERCEPT($E837:$V837,$E$1:$V$1)))</f>
        <v>7167.6677441205293</v>
      </c>
      <c r="X837" s="5">
        <f t="shared" si="848"/>
        <v>7167.6677441205293</v>
      </c>
      <c r="Y837" s="5">
        <f t="shared" si="848"/>
        <v>7167.6677441205293</v>
      </c>
      <c r="Z837" s="5">
        <f t="shared" si="848"/>
        <v>7167.6677441205293</v>
      </c>
      <c r="AA837" s="5">
        <f t="shared" si="848"/>
        <v>7167.6677441205293</v>
      </c>
      <c r="AB837" s="5">
        <f t="shared" si="848"/>
        <v>7167.6677441205293</v>
      </c>
      <c r="AC837" s="5">
        <f t="shared" si="848"/>
        <v>7167.6677441205293</v>
      </c>
      <c r="AD837" s="5">
        <f t="shared" si="848"/>
        <v>7167.6677441205293</v>
      </c>
      <c r="AE837" s="5">
        <f t="shared" si="848"/>
        <v>7167.6677441205293</v>
      </c>
      <c r="AF837" s="5">
        <f t="shared" si="848"/>
        <v>7167.6677441205293</v>
      </c>
      <c r="AG837" s="5">
        <f t="shared" si="848"/>
        <v>7167.6677441205293</v>
      </c>
      <c r="AH837" s="5">
        <f t="shared" si="848"/>
        <v>7167.6677441205293</v>
      </c>
    </row>
    <row r="838" spans="1:34" x14ac:dyDescent="0.35">
      <c r="A838" t="s">
        <v>858</v>
      </c>
      <c r="B838" s="3" t="s">
        <v>1264</v>
      </c>
      <c r="C838" s="4" t="s">
        <v>1263</v>
      </c>
      <c r="D838" s="2">
        <f t="shared" si="846"/>
        <v>37107.797999999995</v>
      </c>
      <c r="E838" s="5">
        <v>402.19199999999995</v>
      </c>
      <c r="F838" s="5">
        <v>0</v>
      </c>
      <c r="G838" s="5">
        <v>391.02</v>
      </c>
      <c r="H838" s="5">
        <v>3022.0259999999998</v>
      </c>
      <c r="I838" s="5">
        <v>977.55</v>
      </c>
      <c r="J838" s="5">
        <v>7306.4880000000012</v>
      </c>
      <c r="K838" s="5">
        <v>938.44800000000009</v>
      </c>
      <c r="L838" s="5">
        <v>2284.674</v>
      </c>
      <c r="M838" s="5">
        <v>2770.6560000000004</v>
      </c>
      <c r="N838" s="5">
        <v>2698.038</v>
      </c>
      <c r="O838" s="5">
        <v>2122.6799999999998</v>
      </c>
      <c r="P838" s="5">
        <v>9205.728000000001</v>
      </c>
      <c r="Q838" s="5">
        <v>564.18599999999992</v>
      </c>
      <c r="R838" s="5">
        <v>832.31400000000008</v>
      </c>
      <c r="S838" s="5">
        <v>709.42199999999991</v>
      </c>
      <c r="T838" s="5">
        <v>1608.7679999999996</v>
      </c>
      <c r="U838" s="5">
        <v>508.32599999999996</v>
      </c>
      <c r="V838" s="5">
        <v>765.28199999999993</v>
      </c>
      <c r="W838" s="5">
        <f t="shared" ref="W838:AH838" si="849">IF(OR((SLOPE($E838:$V838,$E$1:$V$1)*W$1+INTERCEPT($E838:$V838,$E$1:$V$1))&gt;(AVERAGE($E838:$V838)+_xlfn.STDEV.P($E838:$V838)),(SLOPE($E838:$V838,$E$1:$V$1)*W$1+INTERCEPT($E838:$V838,$E$1:$V$1))&lt;(AVERAGE($E838:$V838)-_xlfn.STDEV.P($E838:$V838))),V838,(SLOPE($E838:$V838,$E$1:$V$1)*W$1+INTERCEPT($E838:$V838,$E$1:$V$1)))</f>
        <v>2026.878274509804</v>
      </c>
      <c r="X838" s="5">
        <f t="shared" si="849"/>
        <v>2023.2292156862745</v>
      </c>
      <c r="Y838" s="5">
        <f t="shared" si="849"/>
        <v>2019.5801568627451</v>
      </c>
      <c r="Z838" s="5">
        <f t="shared" si="849"/>
        <v>2015.9310980392156</v>
      </c>
      <c r="AA838" s="5">
        <f t="shared" si="849"/>
        <v>2012.2820392156864</v>
      </c>
      <c r="AB838" s="5">
        <f t="shared" si="849"/>
        <v>2008.6329803921569</v>
      </c>
      <c r="AC838" s="5">
        <f t="shared" si="849"/>
        <v>2004.9839215686275</v>
      </c>
      <c r="AD838" s="5">
        <f t="shared" si="849"/>
        <v>2001.334862745098</v>
      </c>
      <c r="AE838" s="5">
        <f t="shared" si="849"/>
        <v>1997.6858039215685</v>
      </c>
      <c r="AF838" s="5">
        <f t="shared" si="849"/>
        <v>1994.0367450980393</v>
      </c>
      <c r="AG838" s="5">
        <f t="shared" si="849"/>
        <v>1990.3876862745099</v>
      </c>
      <c r="AH838" s="5">
        <f t="shared" si="849"/>
        <v>1986.7386274509804</v>
      </c>
    </row>
    <row r="839" spans="1:34" x14ac:dyDescent="0.35">
      <c r="A839" t="s">
        <v>859</v>
      </c>
      <c r="B839" s="3" t="s">
        <v>1264</v>
      </c>
      <c r="C839" s="4" t="s">
        <v>1263</v>
      </c>
      <c r="D839" s="2">
        <f t="shared" si="846"/>
        <v>36686.088358021334</v>
      </c>
      <c r="E839" s="5">
        <v>2585.9833723241168</v>
      </c>
      <c r="F839" s="5">
        <v>3305.7549278920924</v>
      </c>
      <c r="G839" s="5">
        <v>3736.1337961698505</v>
      </c>
      <c r="H839" s="5">
        <v>2526.6207698030466</v>
      </c>
      <c r="I839" s="5">
        <v>1940.4150699074798</v>
      </c>
      <c r="J839" s="5">
        <v>2099.9520641828558</v>
      </c>
      <c r="K839" s="5">
        <v>1636.1817319869956</v>
      </c>
      <c r="L839" s="5">
        <v>1087.0776586670968</v>
      </c>
      <c r="M839" s="5">
        <v>2945.8691501081048</v>
      </c>
      <c r="N839" s="5">
        <v>1469.2244123964861</v>
      </c>
      <c r="O839" s="5">
        <v>1521.1666896024221</v>
      </c>
      <c r="P839" s="5">
        <v>1083.3674960095298</v>
      </c>
      <c r="Q839" s="5">
        <v>3213.0008614529202</v>
      </c>
      <c r="R839" s="5">
        <v>3001.5215899716077</v>
      </c>
      <c r="S839" s="5">
        <v>126.14553035727398</v>
      </c>
      <c r="T839" s="5">
        <v>0</v>
      </c>
      <c r="U839" s="5">
        <v>3105.4061443834803</v>
      </c>
      <c r="V839" s="5">
        <v>1302.2670928059761</v>
      </c>
      <c r="W839" s="5">
        <f t="shared" ref="W839:AH839" si="850">IF(OR((SLOPE($E839:$V839,$E$1:$V$1)*W$1+INTERCEPT($E839:$V839,$E$1:$V$1))&gt;(AVERAGE($E839:$V839)+_xlfn.STDEV.P($E839:$V839)),(SLOPE($E839:$V839,$E$1:$V$1)*W$1+INTERCEPT($E839:$V839,$E$1:$V$1))&lt;(AVERAGE($E839:$V839)-_xlfn.STDEV.P($E839:$V839))),V839,(SLOPE($E839:$V839,$E$1:$V$1)*W$1+INTERCEPT($E839:$V839,$E$1:$V$1)))</f>
        <v>1200.8559801658146</v>
      </c>
      <c r="X839" s="5">
        <f t="shared" si="850"/>
        <v>1112.7233444053663</v>
      </c>
      <c r="Y839" s="5">
        <f t="shared" si="850"/>
        <v>1024.5907086449179</v>
      </c>
      <c r="Z839" s="5">
        <f t="shared" si="850"/>
        <v>1024.5907086449179</v>
      </c>
      <c r="AA839" s="5">
        <f t="shared" si="850"/>
        <v>1024.5907086449179</v>
      </c>
      <c r="AB839" s="5">
        <f t="shared" si="850"/>
        <v>1024.5907086449179</v>
      </c>
      <c r="AC839" s="5">
        <f t="shared" si="850"/>
        <v>1024.5907086449179</v>
      </c>
      <c r="AD839" s="5">
        <f t="shared" si="850"/>
        <v>1024.5907086449179</v>
      </c>
      <c r="AE839" s="5">
        <f t="shared" si="850"/>
        <v>1024.5907086449179</v>
      </c>
      <c r="AF839" s="5">
        <f t="shared" si="850"/>
        <v>1024.5907086449179</v>
      </c>
      <c r="AG839" s="5">
        <f t="shared" si="850"/>
        <v>1024.5907086449179</v>
      </c>
      <c r="AH839" s="5">
        <f t="shared" si="850"/>
        <v>1024.5907086449179</v>
      </c>
    </row>
    <row r="840" spans="1:34" x14ac:dyDescent="0.35">
      <c r="A840" t="s">
        <v>860</v>
      </c>
      <c r="B840" s="3" t="s">
        <v>1266</v>
      </c>
      <c r="C840" s="4" t="s">
        <v>1263</v>
      </c>
      <c r="D840" s="2">
        <f t="shared" si="846"/>
        <v>36364.255043290686</v>
      </c>
      <c r="E840" s="5">
        <v>0</v>
      </c>
      <c r="F840" s="5">
        <v>36364.255043290686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f t="shared" ref="W840:AH840" si="851">IF(OR((SLOPE($E840:$V840,$E$1:$V$1)*W$1+INTERCEPT($E840:$V840,$E$1:$V$1))&gt;(AVERAGE($E840:$V840)+_xlfn.STDEV.P($E840:$V840)),(SLOPE($E840:$V840,$E$1:$V$1)*W$1+INTERCEPT($E840:$V840,$E$1:$V$1))&lt;(AVERAGE($E840:$V840)-_xlfn.STDEV.P($E840:$V840))),V840,(SLOPE($E840:$V840,$E$1:$V$1)*W$1+INTERCEPT($E840:$V840,$E$1:$V$1)))</f>
        <v>-3327.4481738958812</v>
      </c>
      <c r="X840" s="5">
        <f t="shared" si="851"/>
        <v>-3890.3623386527042</v>
      </c>
      <c r="Y840" s="5">
        <f t="shared" si="851"/>
        <v>-4453.2765034095255</v>
      </c>
      <c r="Z840" s="5">
        <f t="shared" si="851"/>
        <v>-5016.1906681663468</v>
      </c>
      <c r="AA840" s="5">
        <f t="shared" si="851"/>
        <v>-5579.1048329231699</v>
      </c>
      <c r="AB840" s="5">
        <f t="shared" si="851"/>
        <v>-6142.0189976799911</v>
      </c>
      <c r="AC840" s="5">
        <f t="shared" si="851"/>
        <v>-6142.0189976799911</v>
      </c>
      <c r="AD840" s="5">
        <f t="shared" si="851"/>
        <v>-6142.0189976799911</v>
      </c>
      <c r="AE840" s="5">
        <f t="shared" si="851"/>
        <v>-6142.0189976799911</v>
      </c>
      <c r="AF840" s="5">
        <f t="shared" si="851"/>
        <v>-6142.0189976799911</v>
      </c>
      <c r="AG840" s="5">
        <f t="shared" si="851"/>
        <v>-6142.0189976799911</v>
      </c>
      <c r="AH840" s="5">
        <f t="shared" si="851"/>
        <v>-6142.0189976799911</v>
      </c>
    </row>
    <row r="841" spans="1:34" x14ac:dyDescent="0.35">
      <c r="A841" t="s">
        <v>861</v>
      </c>
      <c r="B841" s="3" t="s">
        <v>1264</v>
      </c>
      <c r="C841" s="4" t="s">
        <v>1263</v>
      </c>
      <c r="D841" s="2">
        <f t="shared" si="846"/>
        <v>36284.788892213975</v>
      </c>
      <c r="E841" s="5">
        <v>0</v>
      </c>
      <c r="F841" s="5">
        <v>0</v>
      </c>
      <c r="G841" s="5">
        <v>14769.927635907994</v>
      </c>
      <c r="H841" s="5">
        <v>1641.1030706564438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2461.6546059846655</v>
      </c>
      <c r="P841" s="5">
        <v>0</v>
      </c>
      <c r="Q841" s="5">
        <v>0</v>
      </c>
      <c r="R841" s="5">
        <v>11011.801604104738</v>
      </c>
      <c r="S841" s="5">
        <v>0</v>
      </c>
      <c r="T841" s="5">
        <v>4923.309211969331</v>
      </c>
      <c r="U841" s="5">
        <v>1476.9927635907993</v>
      </c>
      <c r="V841" s="5">
        <v>0</v>
      </c>
      <c r="W841" s="5">
        <f t="shared" ref="W841:AH841" si="852">IF(OR((SLOPE($E841:$V841,$E$1:$V$1)*W$1+INTERCEPT($E841:$V841,$E$1:$V$1))&gt;(AVERAGE($E841:$V841)+_xlfn.STDEV.P($E841:$V841)),(SLOPE($E841:$V841,$E$1:$V$1)*W$1+INTERCEPT($E841:$V841,$E$1:$V$1))&lt;(AVERAGE($E841:$V841)-_xlfn.STDEV.P($E841:$V841))),V841,(SLOPE($E841:$V841,$E$1:$V$1)*W$1+INTERCEPT($E841:$V841,$E$1:$V$1)))</f>
        <v>1845.1147072831473</v>
      </c>
      <c r="X841" s="5">
        <f t="shared" si="852"/>
        <v>1827.1455601421101</v>
      </c>
      <c r="Y841" s="5">
        <f t="shared" si="852"/>
        <v>1809.1764130010731</v>
      </c>
      <c r="Z841" s="5">
        <f t="shared" si="852"/>
        <v>1791.2072658600362</v>
      </c>
      <c r="AA841" s="5">
        <f t="shared" si="852"/>
        <v>1773.238118718999</v>
      </c>
      <c r="AB841" s="5">
        <f t="shared" si="852"/>
        <v>1755.268971577962</v>
      </c>
      <c r="AC841" s="5">
        <f t="shared" si="852"/>
        <v>1737.2998244369251</v>
      </c>
      <c r="AD841" s="5">
        <f t="shared" si="852"/>
        <v>1719.3306772958881</v>
      </c>
      <c r="AE841" s="5">
        <f t="shared" si="852"/>
        <v>1701.3615301548512</v>
      </c>
      <c r="AF841" s="5">
        <f t="shared" si="852"/>
        <v>1683.3923830138142</v>
      </c>
      <c r="AG841" s="5">
        <f t="shared" si="852"/>
        <v>1665.423235872777</v>
      </c>
      <c r="AH841" s="5">
        <f t="shared" si="852"/>
        <v>1647.4540887317401</v>
      </c>
    </row>
    <row r="842" spans="1:34" x14ac:dyDescent="0.35">
      <c r="A842" t="s">
        <v>862</v>
      </c>
      <c r="B842" s="3" t="s">
        <v>1266</v>
      </c>
      <c r="C842" s="4" t="s">
        <v>1267</v>
      </c>
      <c r="D842" s="2">
        <f t="shared" si="846"/>
        <v>36127.896000000001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6992.4959999999983</v>
      </c>
      <c r="N842" s="5">
        <v>16315.823999999997</v>
      </c>
      <c r="O842" s="5">
        <v>3884.72</v>
      </c>
      <c r="P842" s="5">
        <v>8934.8560000000016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f t="shared" ref="W842:AH842" si="853">IF(OR((SLOPE($E842:$V842,$E$1:$V$1)*W$1+INTERCEPT($E842:$V842,$E$1:$V$1))&gt;(AVERAGE($E842:$V842)+_xlfn.STDEV.P($E842:$V842)),(SLOPE($E842:$V842,$E$1:$V$1)*W$1+INTERCEPT($E842:$V842,$E$1:$V$1))&lt;(AVERAGE($E842:$V842)-_xlfn.STDEV.P($E842:$V842))),V842,(SLOPE($E842:$V842,$E$1:$V$1)*W$1+INTERCEPT($E842:$V842,$E$1:$V$1)))</f>
        <v>2650.7501176470591</v>
      </c>
      <c r="X842" s="5">
        <f t="shared" si="853"/>
        <v>2718.5022002063988</v>
      </c>
      <c r="Y842" s="5">
        <f t="shared" si="853"/>
        <v>2786.2542827657385</v>
      </c>
      <c r="Z842" s="5">
        <f t="shared" si="853"/>
        <v>2854.0063653250781</v>
      </c>
      <c r="AA842" s="5">
        <f t="shared" si="853"/>
        <v>2921.7584478844174</v>
      </c>
      <c r="AB842" s="5">
        <f t="shared" si="853"/>
        <v>2989.510530443757</v>
      </c>
      <c r="AC842" s="5">
        <f t="shared" si="853"/>
        <v>3057.2626130030967</v>
      </c>
      <c r="AD842" s="5">
        <f t="shared" si="853"/>
        <v>3125.0146955624359</v>
      </c>
      <c r="AE842" s="5">
        <f t="shared" si="853"/>
        <v>3192.7667781217756</v>
      </c>
      <c r="AF842" s="5">
        <f t="shared" si="853"/>
        <v>3260.5188606811153</v>
      </c>
      <c r="AG842" s="5">
        <f t="shared" si="853"/>
        <v>3328.2709432404549</v>
      </c>
      <c r="AH842" s="5">
        <f t="shared" si="853"/>
        <v>3396.0230257997946</v>
      </c>
    </row>
    <row r="843" spans="1:34" x14ac:dyDescent="0.35">
      <c r="A843" t="s">
        <v>863</v>
      </c>
      <c r="B843" s="3" t="s">
        <v>1264</v>
      </c>
      <c r="C843" s="4" t="s">
        <v>1263</v>
      </c>
      <c r="D843" s="2">
        <f t="shared" si="846"/>
        <v>36123.7408</v>
      </c>
      <c r="E843" s="5">
        <v>3990.8736000000004</v>
      </c>
      <c r="F843" s="5">
        <v>2296.3360000000002</v>
      </c>
      <c r="G843" s="5">
        <v>4315.5279999999993</v>
      </c>
      <c r="H843" s="5">
        <v>2082.5392000000002</v>
      </c>
      <c r="I843" s="5">
        <v>5527.0432000000019</v>
      </c>
      <c r="J843" s="5">
        <v>871.02399999999977</v>
      </c>
      <c r="K843" s="5">
        <v>1243.1887999999997</v>
      </c>
      <c r="L843" s="5">
        <v>498.85919999999999</v>
      </c>
      <c r="M843" s="5">
        <v>3064.4207999999999</v>
      </c>
      <c r="N843" s="5">
        <v>1742.048</v>
      </c>
      <c r="O843" s="5">
        <v>530.53280000000007</v>
      </c>
      <c r="P843" s="5">
        <v>1639.1088</v>
      </c>
      <c r="Q843" s="5">
        <v>633.47199999999998</v>
      </c>
      <c r="R843" s="5">
        <v>1837.0688</v>
      </c>
      <c r="S843" s="5">
        <v>3222.7887999999998</v>
      </c>
      <c r="T843" s="5">
        <v>1298.6176</v>
      </c>
      <c r="U843" s="5">
        <v>459.26719999999995</v>
      </c>
      <c r="V843" s="5">
        <v>871.02399999999989</v>
      </c>
      <c r="W843" s="5">
        <f t="shared" ref="W843:AH843" si="854">IF(OR((SLOPE($E843:$V843,$E$1:$V$1)*W$1+INTERCEPT($E843:$V843,$E$1:$V$1))&gt;(AVERAGE($E843:$V843)+_xlfn.STDEV.P($E843:$V843)),(SLOPE($E843:$V843,$E$1:$V$1)*W$1+INTERCEPT($E843:$V843,$E$1:$V$1))&lt;(AVERAGE($E843:$V843)-_xlfn.STDEV.P($E843:$V843))),V843,(SLOPE($E843:$V843,$E$1:$V$1)*W$1+INTERCEPT($E843:$V843,$E$1:$V$1)))</f>
        <v>620.68870065359442</v>
      </c>
      <c r="X843" s="5">
        <f t="shared" si="854"/>
        <v>620.68870065359442</v>
      </c>
      <c r="Y843" s="5">
        <f t="shared" si="854"/>
        <v>620.68870065359442</v>
      </c>
      <c r="Z843" s="5">
        <f t="shared" si="854"/>
        <v>620.68870065359442</v>
      </c>
      <c r="AA843" s="5">
        <f t="shared" si="854"/>
        <v>620.68870065359442</v>
      </c>
      <c r="AB843" s="5">
        <f t="shared" si="854"/>
        <v>620.68870065359442</v>
      </c>
      <c r="AC843" s="5">
        <f t="shared" si="854"/>
        <v>620.68870065359442</v>
      </c>
      <c r="AD843" s="5">
        <f t="shared" si="854"/>
        <v>620.68870065359442</v>
      </c>
      <c r="AE843" s="5">
        <f t="shared" si="854"/>
        <v>620.68870065359442</v>
      </c>
      <c r="AF843" s="5">
        <f t="shared" si="854"/>
        <v>620.68870065359442</v>
      </c>
      <c r="AG843" s="5">
        <f t="shared" si="854"/>
        <v>620.68870065359442</v>
      </c>
      <c r="AH843" s="5">
        <f t="shared" si="854"/>
        <v>620.68870065359442</v>
      </c>
    </row>
    <row r="844" spans="1:34" x14ac:dyDescent="0.35">
      <c r="A844" t="s">
        <v>864</v>
      </c>
      <c r="B844" s="3" t="s">
        <v>1266</v>
      </c>
      <c r="C844" s="4" t="s">
        <v>1263</v>
      </c>
      <c r="D844" s="2">
        <f t="shared" si="846"/>
        <v>35948.620364281873</v>
      </c>
      <c r="E844" s="5">
        <v>0</v>
      </c>
      <c r="F844" s="5">
        <v>0</v>
      </c>
      <c r="G844" s="5">
        <v>0</v>
      </c>
      <c r="H844" s="5">
        <v>35948.620364281873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f t="shared" ref="W844:AH844" si="855">IF(OR((SLOPE($E844:$V844,$E$1:$V$1)*W$1+INTERCEPT($E844:$V844,$E$1:$V$1))&gt;(AVERAGE($E844:$V844)+_xlfn.STDEV.P($E844:$V844)),(SLOPE($E844:$V844,$E$1:$V$1)*W$1+INTERCEPT($E844:$V844,$E$1:$V$1))&lt;(AVERAGE($E844:$V844)-_xlfn.STDEV.P($E844:$V844))),V844,(SLOPE($E844:$V844,$E$1:$V$1)*W$1+INTERCEPT($E844:$V844,$E$1:$V$1)))</f>
        <v>-1879.6664242761763</v>
      </c>
      <c r="X844" s="5">
        <f t="shared" si="855"/>
        <v>-2287.7518979677143</v>
      </c>
      <c r="Y844" s="5">
        <f t="shared" si="855"/>
        <v>-2695.8373716592523</v>
      </c>
      <c r="Z844" s="5">
        <f t="shared" si="855"/>
        <v>-3103.9228453507912</v>
      </c>
      <c r="AA844" s="5">
        <f t="shared" si="855"/>
        <v>-3512.0083190423284</v>
      </c>
      <c r="AB844" s="5">
        <f t="shared" si="855"/>
        <v>-3920.0937927338673</v>
      </c>
      <c r="AC844" s="5">
        <f t="shared" si="855"/>
        <v>-4328.1792664254062</v>
      </c>
      <c r="AD844" s="5">
        <f t="shared" si="855"/>
        <v>-4736.2647401169434</v>
      </c>
      <c r="AE844" s="5">
        <f t="shared" si="855"/>
        <v>-5144.3502138084823</v>
      </c>
      <c r="AF844" s="5">
        <f t="shared" si="855"/>
        <v>-5552.4356875000212</v>
      </c>
      <c r="AG844" s="5">
        <f t="shared" si="855"/>
        <v>-5960.5211611915583</v>
      </c>
      <c r="AH844" s="5">
        <f t="shared" si="855"/>
        <v>-5960.5211611915583</v>
      </c>
    </row>
    <row r="845" spans="1:34" x14ac:dyDescent="0.35">
      <c r="A845" t="s">
        <v>865</v>
      </c>
      <c r="B845" s="3" t="s">
        <v>1264</v>
      </c>
      <c r="C845" s="4" t="s">
        <v>1263</v>
      </c>
      <c r="D845" s="2">
        <f t="shared" si="846"/>
        <v>35647.30594248401</v>
      </c>
      <c r="E845" s="5">
        <v>1156.2850961205786</v>
      </c>
      <c r="F845" s="5">
        <v>3757.9265623918805</v>
      </c>
      <c r="G845" s="5">
        <v>5583.8934433489603</v>
      </c>
      <c r="H845" s="5">
        <v>0</v>
      </c>
      <c r="I845" s="5">
        <v>1252.64218746396</v>
      </c>
      <c r="J845" s="5">
        <v>0</v>
      </c>
      <c r="K845" s="5">
        <v>1927.1418268676309</v>
      </c>
      <c r="L845" s="5">
        <v>867.21382209043395</v>
      </c>
      <c r="M845" s="5">
        <v>0</v>
      </c>
      <c r="N845" s="5">
        <v>3565.2123797051172</v>
      </c>
      <c r="O845" s="5">
        <v>0</v>
      </c>
      <c r="P845" s="5">
        <v>1445.3563701507233</v>
      </c>
      <c r="Q845" s="5">
        <v>11659.208052549167</v>
      </c>
      <c r="R845" s="5">
        <v>0</v>
      </c>
      <c r="S845" s="5">
        <v>1445.3563701507233</v>
      </c>
      <c r="T845" s="5">
        <v>0</v>
      </c>
      <c r="U845" s="5">
        <v>2023.4989182110126</v>
      </c>
      <c r="V845" s="5">
        <v>963.57091343381546</v>
      </c>
      <c r="W845" s="5">
        <f t="shared" ref="W845:AH845" si="856">IF(OR((SLOPE($E845:$V845,$E$1:$V$1)*W$1+INTERCEPT($E845:$V845,$E$1:$V$1))&gt;(AVERAGE($E845:$V845)+_xlfn.STDEV.P($E845:$V845)),(SLOPE($E845:$V845,$E$1:$V$1)*W$1+INTERCEPT($E845:$V845,$E$1:$V$1))&lt;(AVERAGE($E845:$V845)-_xlfn.STDEV.P($E845:$V845))),V845,(SLOPE($E845:$V845,$E$1:$V$1)*W$1+INTERCEPT($E845:$V845,$E$1:$V$1)))</f>
        <v>1812.8673548136671</v>
      </c>
      <c r="X845" s="5">
        <f t="shared" si="856"/>
        <v>1795.231719984205</v>
      </c>
      <c r="Y845" s="5">
        <f t="shared" si="856"/>
        <v>1777.5960851547429</v>
      </c>
      <c r="Z845" s="5">
        <f t="shared" si="856"/>
        <v>1759.9604503252808</v>
      </c>
      <c r="AA845" s="5">
        <f t="shared" si="856"/>
        <v>1742.3248154958189</v>
      </c>
      <c r="AB845" s="5">
        <f t="shared" si="856"/>
        <v>1724.6891806663568</v>
      </c>
      <c r="AC845" s="5">
        <f t="shared" si="856"/>
        <v>1707.053545836895</v>
      </c>
      <c r="AD845" s="5">
        <f t="shared" si="856"/>
        <v>1689.4179110074328</v>
      </c>
      <c r="AE845" s="5">
        <f t="shared" si="856"/>
        <v>1671.7822761779707</v>
      </c>
      <c r="AF845" s="5">
        <f t="shared" si="856"/>
        <v>1654.1466413485086</v>
      </c>
      <c r="AG845" s="5">
        <f t="shared" si="856"/>
        <v>1636.5110065190465</v>
      </c>
      <c r="AH845" s="5">
        <f t="shared" si="856"/>
        <v>1618.8753716895847</v>
      </c>
    </row>
    <row r="846" spans="1:34" x14ac:dyDescent="0.35">
      <c r="A846" t="s">
        <v>866</v>
      </c>
      <c r="B846" s="3" t="s">
        <v>1264</v>
      </c>
      <c r="C846" s="4" t="s">
        <v>1263</v>
      </c>
      <c r="D846" s="2">
        <f t="shared" si="846"/>
        <v>35533.072366597102</v>
      </c>
      <c r="E846" s="5">
        <v>0</v>
      </c>
      <c r="F846" s="5">
        <v>0</v>
      </c>
      <c r="G846" s="5">
        <v>0</v>
      </c>
      <c r="H846" s="5">
        <v>7456.8720221706799</v>
      </c>
      <c r="I846" s="5">
        <v>0</v>
      </c>
      <c r="J846" s="5">
        <v>1459.4064535469179</v>
      </c>
      <c r="K846" s="5">
        <v>10069.904529473733</v>
      </c>
      <c r="L846" s="5">
        <v>1459.4064535469179</v>
      </c>
      <c r="M846" s="5">
        <v>0</v>
      </c>
      <c r="N846" s="5">
        <v>0</v>
      </c>
      <c r="O846" s="5">
        <v>0</v>
      </c>
      <c r="P846" s="5">
        <v>7588.9135584439728</v>
      </c>
      <c r="Q846" s="5">
        <v>875.64387212815075</v>
      </c>
      <c r="R846" s="5">
        <v>1021.5845174828426</v>
      </c>
      <c r="S846" s="5">
        <v>0</v>
      </c>
      <c r="T846" s="5">
        <v>875.64387212815075</v>
      </c>
      <c r="U846" s="5">
        <v>3502.575488512603</v>
      </c>
      <c r="V846" s="5">
        <v>1223.1215991631311</v>
      </c>
      <c r="W846" s="5">
        <f t="shared" ref="W846:AH846" si="857">IF(OR((SLOPE($E846:$V846,$E$1:$V$1)*W$1+INTERCEPT($E846:$V846,$E$1:$V$1))&gt;(AVERAGE($E846:$V846)+_xlfn.STDEV.P($E846:$V846)),(SLOPE($E846:$V846,$E$1:$V$1)*W$1+INTERCEPT($E846:$V846,$E$1:$V$1))&lt;(AVERAGE($E846:$V846)-_xlfn.STDEV.P($E846:$V846))),V846,(SLOPE($E846:$V846,$E$1:$V$1)*W$1+INTERCEPT($E846:$V846,$E$1:$V$1)))</f>
        <v>1885.9637521855459</v>
      </c>
      <c r="X846" s="5">
        <f t="shared" si="857"/>
        <v>1876.6905075817021</v>
      </c>
      <c r="Y846" s="5">
        <f t="shared" si="857"/>
        <v>1867.4172629778584</v>
      </c>
      <c r="Z846" s="5">
        <f t="shared" si="857"/>
        <v>1858.1440183740146</v>
      </c>
      <c r="AA846" s="5">
        <f t="shared" si="857"/>
        <v>1848.8707737701711</v>
      </c>
      <c r="AB846" s="5">
        <f t="shared" si="857"/>
        <v>1839.5975291663274</v>
      </c>
      <c r="AC846" s="5">
        <f t="shared" si="857"/>
        <v>1830.3242845624836</v>
      </c>
      <c r="AD846" s="5">
        <f t="shared" si="857"/>
        <v>1821.0510399586399</v>
      </c>
      <c r="AE846" s="5">
        <f t="shared" si="857"/>
        <v>1811.7777953547961</v>
      </c>
      <c r="AF846" s="5">
        <f t="shared" si="857"/>
        <v>1802.5045507509524</v>
      </c>
      <c r="AG846" s="5">
        <f t="shared" si="857"/>
        <v>1793.2313061471086</v>
      </c>
      <c r="AH846" s="5">
        <f t="shared" si="857"/>
        <v>1783.9580615432649</v>
      </c>
    </row>
    <row r="847" spans="1:34" x14ac:dyDescent="0.35">
      <c r="A847" t="s">
        <v>867</v>
      </c>
      <c r="B847" s="3" t="s">
        <v>1266</v>
      </c>
      <c r="C847" s="4" t="s">
        <v>1267</v>
      </c>
      <c r="D847" s="2">
        <f t="shared" si="846"/>
        <v>35305.927871588472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35305.927871588472</v>
      </c>
      <c r="S847" s="5">
        <v>0</v>
      </c>
      <c r="T847" s="5">
        <v>0</v>
      </c>
      <c r="U847" s="5">
        <v>0</v>
      </c>
      <c r="V847" s="5">
        <v>0</v>
      </c>
      <c r="W847" s="5">
        <f t="shared" ref="W847:AH847" si="858">IF(OR((SLOPE($E847:$V847,$E$1:$V$1)*W$1+INTERCEPT($E847:$V847,$E$1:$V$1))&gt;(AVERAGE($E847:$V847)+_xlfn.STDEV.P($E847:$V847)),(SLOPE($E847:$V847,$E$1:$V$1)*W$1+INTERCEPT($E847:$V847,$E$1:$V$1))&lt;(AVERAGE($E847:$V847)-_xlfn.STDEV.P($E847:$V847))),V847,(SLOPE($E847:$V847,$E$1:$V$1)*W$1+INTERCEPT($E847:$V847,$E$1:$V$1)))</f>
        <v>5076.6693671565126</v>
      </c>
      <c r="X847" s="5">
        <f t="shared" si="858"/>
        <v>5404.5882018771481</v>
      </c>
      <c r="Y847" s="5">
        <f t="shared" si="858"/>
        <v>5732.5070365977845</v>
      </c>
      <c r="Z847" s="5">
        <f t="shared" si="858"/>
        <v>6060.4258713184199</v>
      </c>
      <c r="AA847" s="5">
        <f t="shared" si="858"/>
        <v>6388.3447060390563</v>
      </c>
      <c r="AB847" s="5">
        <f t="shared" si="858"/>
        <v>6716.2635407596927</v>
      </c>
      <c r="AC847" s="5">
        <f t="shared" si="858"/>
        <v>7044.182375480329</v>
      </c>
      <c r="AD847" s="5">
        <f t="shared" si="858"/>
        <v>7372.1012102009636</v>
      </c>
      <c r="AE847" s="5">
        <f t="shared" si="858"/>
        <v>7700.0200449215999</v>
      </c>
      <c r="AF847" s="5">
        <f t="shared" si="858"/>
        <v>8027.9388796422363</v>
      </c>
      <c r="AG847" s="5">
        <f t="shared" si="858"/>
        <v>8355.8577143628718</v>
      </c>
      <c r="AH847" s="5">
        <f t="shared" si="858"/>
        <v>8683.7765490835081</v>
      </c>
    </row>
    <row r="848" spans="1:34" x14ac:dyDescent="0.35">
      <c r="A848" t="s">
        <v>868</v>
      </c>
      <c r="B848" s="3" t="s">
        <v>1264</v>
      </c>
      <c r="C848" s="4" t="s">
        <v>1263</v>
      </c>
      <c r="D848" s="2">
        <f t="shared" si="846"/>
        <v>34966.008000000009</v>
      </c>
      <c r="E848" s="5">
        <v>3783.7799999999997</v>
      </c>
      <c r="F848" s="5">
        <v>1503.81</v>
      </c>
      <c r="G848" s="5">
        <v>2260.5660000000007</v>
      </c>
      <c r="H848" s="5">
        <v>999.30599999999993</v>
      </c>
      <c r="I848" s="5">
        <v>3259.8720000000003</v>
      </c>
      <c r="J848" s="5">
        <v>1649.34</v>
      </c>
      <c r="K848" s="5">
        <v>0</v>
      </c>
      <c r="L848" s="5">
        <v>97.02</v>
      </c>
      <c r="M848" s="5">
        <v>0</v>
      </c>
      <c r="N848" s="5">
        <v>0</v>
      </c>
      <c r="O848" s="5">
        <v>0</v>
      </c>
      <c r="P848" s="5">
        <v>0</v>
      </c>
      <c r="Q848" s="5">
        <v>9236.3040000000001</v>
      </c>
      <c r="R848" s="5">
        <v>5287.590000000002</v>
      </c>
      <c r="S848" s="5">
        <v>1212.75</v>
      </c>
      <c r="T848" s="5">
        <v>1067.22</v>
      </c>
      <c r="U848" s="5">
        <v>2279.9700000000003</v>
      </c>
      <c r="V848" s="5">
        <v>2328.4800000000005</v>
      </c>
      <c r="W848" s="5">
        <f t="shared" ref="W848:AH848" si="859">IF(OR((SLOPE($E848:$V848,$E$1:$V$1)*W$1+INTERCEPT($E848:$V848,$E$1:$V$1))&gt;(AVERAGE($E848:$V848)+_xlfn.STDEV.P($E848:$V848)),(SLOPE($E848:$V848,$E$1:$V$1)*W$1+INTERCEPT($E848:$V848,$E$1:$V$1))&lt;(AVERAGE($E848:$V848)-_xlfn.STDEV.P($E848:$V848))),V848,(SLOPE($E848:$V848,$E$1:$V$1)*W$1+INTERCEPT($E848:$V848,$E$1:$V$1)))</f>
        <v>2381.8092941176474</v>
      </c>
      <c r="X848" s="5">
        <f t="shared" si="859"/>
        <v>2428.0464829721368</v>
      </c>
      <c r="Y848" s="5">
        <f t="shared" si="859"/>
        <v>2474.2836718266262</v>
      </c>
      <c r="Z848" s="5">
        <f t="shared" si="859"/>
        <v>2520.5208606811152</v>
      </c>
      <c r="AA848" s="5">
        <f t="shared" si="859"/>
        <v>2566.7580495356042</v>
      </c>
      <c r="AB848" s="5">
        <f t="shared" si="859"/>
        <v>2612.9952383900936</v>
      </c>
      <c r="AC848" s="5">
        <f t="shared" si="859"/>
        <v>2659.2324272445831</v>
      </c>
      <c r="AD848" s="5">
        <f t="shared" si="859"/>
        <v>2705.469616099072</v>
      </c>
      <c r="AE848" s="5">
        <f t="shared" si="859"/>
        <v>2751.706804953561</v>
      </c>
      <c r="AF848" s="5">
        <f t="shared" si="859"/>
        <v>2797.9439938080504</v>
      </c>
      <c r="AG848" s="5">
        <f t="shared" si="859"/>
        <v>2844.1811826625394</v>
      </c>
      <c r="AH848" s="5">
        <f t="shared" si="859"/>
        <v>2890.4183715170284</v>
      </c>
    </row>
    <row r="849" spans="1:34" x14ac:dyDescent="0.35">
      <c r="A849" t="s">
        <v>869</v>
      </c>
      <c r="B849" s="3" t="s">
        <v>1264</v>
      </c>
      <c r="C849" s="4" t="s">
        <v>1263</v>
      </c>
      <c r="D849" s="2">
        <f t="shared" si="846"/>
        <v>34751.113600000004</v>
      </c>
      <c r="E849" s="5">
        <v>3380.6080000000002</v>
      </c>
      <c r="F849" s="5">
        <v>14674.912000000002</v>
      </c>
      <c r="G849" s="5">
        <v>606.97280000000001</v>
      </c>
      <c r="H849" s="5">
        <v>460.99200000000002</v>
      </c>
      <c r="I849" s="5">
        <v>2228.1279999999997</v>
      </c>
      <c r="J849" s="5">
        <v>322.69440000000003</v>
      </c>
      <c r="K849" s="5">
        <v>1091.0144000000003</v>
      </c>
      <c r="L849" s="5">
        <v>691.48800000000006</v>
      </c>
      <c r="M849" s="5">
        <v>1167.8463999999999</v>
      </c>
      <c r="N849" s="5">
        <v>1959.2160000000003</v>
      </c>
      <c r="O849" s="5">
        <v>476.35840000000007</v>
      </c>
      <c r="P849" s="5">
        <v>806.7360000000001</v>
      </c>
      <c r="Q849" s="5">
        <v>484.04160000000002</v>
      </c>
      <c r="R849" s="5">
        <v>1152.48</v>
      </c>
      <c r="S849" s="5">
        <v>829.78560000000004</v>
      </c>
      <c r="T849" s="5">
        <v>1344.5600000000002</v>
      </c>
      <c r="U849" s="5">
        <v>676.12160000000017</v>
      </c>
      <c r="V849" s="5">
        <v>2397.1584000000003</v>
      </c>
      <c r="W849" s="5">
        <f t="shared" ref="W849:AH849" si="860">IF(OR((SLOPE($E849:$V849,$E$1:$V$1)*W$1+INTERCEPT($E849:$V849,$E$1:$V$1))&gt;(AVERAGE($E849:$V849)+_xlfn.STDEV.P($E849:$V849)),(SLOPE($E849:$V849,$E$1:$V$1)*W$1+INTERCEPT($E849:$V849,$E$1:$V$1))&lt;(AVERAGE($E849:$V849)-_xlfn.STDEV.P($E849:$V849))),V849,(SLOPE($E849:$V849,$E$1:$V$1)*W$1+INTERCEPT($E849:$V849,$E$1:$V$1)))</f>
        <v>-254.4997228758175</v>
      </c>
      <c r="X849" s="5">
        <f t="shared" si="860"/>
        <v>-484.51205393876899</v>
      </c>
      <c r="Y849" s="5">
        <f t="shared" si="860"/>
        <v>-714.52438500172047</v>
      </c>
      <c r="Z849" s="5">
        <f t="shared" si="860"/>
        <v>-944.53671606467196</v>
      </c>
      <c r="AA849" s="5">
        <f t="shared" si="860"/>
        <v>-1174.5490471276235</v>
      </c>
      <c r="AB849" s="5">
        <f t="shared" si="860"/>
        <v>-1174.5490471276235</v>
      </c>
      <c r="AC849" s="5">
        <f t="shared" si="860"/>
        <v>-1174.5490471276235</v>
      </c>
      <c r="AD849" s="5">
        <f t="shared" si="860"/>
        <v>-1174.5490471276235</v>
      </c>
      <c r="AE849" s="5">
        <f t="shared" si="860"/>
        <v>-1174.5490471276235</v>
      </c>
      <c r="AF849" s="5">
        <f t="shared" si="860"/>
        <v>-1174.5490471276235</v>
      </c>
      <c r="AG849" s="5">
        <f t="shared" si="860"/>
        <v>-1174.5490471276235</v>
      </c>
      <c r="AH849" s="5">
        <f t="shared" si="860"/>
        <v>-1174.5490471276235</v>
      </c>
    </row>
    <row r="850" spans="1:34" x14ac:dyDescent="0.35">
      <c r="A850" t="s">
        <v>870</v>
      </c>
      <c r="B850" s="3" t="s">
        <v>1264</v>
      </c>
      <c r="C850" s="4" t="s">
        <v>1263</v>
      </c>
      <c r="D850" s="2">
        <f t="shared" si="846"/>
        <v>34934.037137080617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34934.037137080617</v>
      </c>
      <c r="T850" s="5">
        <v>0</v>
      </c>
      <c r="U850" s="5">
        <v>0</v>
      </c>
      <c r="V850" s="5">
        <v>0</v>
      </c>
      <c r="W850" s="5">
        <f t="shared" ref="W850:AH850" si="861">IF(OR((SLOPE($E850:$V850,$E$1:$V$1)*W$1+INTERCEPT($E850:$V850,$E$1:$V$1))&gt;(AVERAGE($E850:$V850)+_xlfn.STDEV.P($E850:$V850)),(SLOPE($E850:$V850,$E$1:$V$1)*W$1+INTERCEPT($E850:$V850,$E$1:$V$1))&lt;(AVERAGE($E850:$V850)-_xlfn.STDEV.P($E850:$V850))),V850,(SLOPE($E850:$V850,$E$1:$V$1)*W$1+INTERCEPT($E850:$V850,$E$1:$V$1)))</f>
        <v>5708.1760027909513</v>
      </c>
      <c r="X850" s="5">
        <f t="shared" si="861"/>
        <v>6104.7440198269542</v>
      </c>
      <c r="Y850" s="5">
        <f t="shared" si="861"/>
        <v>6501.312036862957</v>
      </c>
      <c r="Z850" s="5">
        <f t="shared" si="861"/>
        <v>6897.8800538989599</v>
      </c>
      <c r="AA850" s="5">
        <f t="shared" si="861"/>
        <v>7294.4480709349627</v>
      </c>
      <c r="AB850" s="5">
        <f t="shared" si="861"/>
        <v>7691.0160879709656</v>
      </c>
      <c r="AC850" s="5">
        <f t="shared" si="861"/>
        <v>8087.5841050069685</v>
      </c>
      <c r="AD850" s="5">
        <f t="shared" si="861"/>
        <v>8484.1521220429713</v>
      </c>
      <c r="AE850" s="5">
        <f t="shared" si="861"/>
        <v>8880.7201390789742</v>
      </c>
      <c r="AF850" s="5">
        <f t="shared" si="861"/>
        <v>9277.288156114977</v>
      </c>
      <c r="AG850" s="5">
        <f t="shared" si="861"/>
        <v>9673.8561731509799</v>
      </c>
      <c r="AH850" s="5">
        <f t="shared" si="861"/>
        <v>9673.8561731509799</v>
      </c>
    </row>
    <row r="851" spans="1:34" x14ac:dyDescent="0.35">
      <c r="A851" t="s">
        <v>871</v>
      </c>
      <c r="B851" s="3" t="s">
        <v>1266</v>
      </c>
      <c r="C851" s="4" t="s">
        <v>1263</v>
      </c>
      <c r="D851" s="2">
        <f t="shared" si="846"/>
        <v>34870.189565666013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5792.3902933000027</v>
      </c>
      <c r="O851" s="5">
        <v>0</v>
      </c>
      <c r="P851" s="5">
        <v>12488.393472354805</v>
      </c>
      <c r="Q851" s="5">
        <v>0</v>
      </c>
      <c r="R851" s="5">
        <v>0</v>
      </c>
      <c r="S851" s="5">
        <v>9267.8244692800035</v>
      </c>
      <c r="T851" s="5">
        <v>0</v>
      </c>
      <c r="U851" s="5">
        <v>0</v>
      </c>
      <c r="V851" s="5">
        <v>7321.5813307312028</v>
      </c>
      <c r="W851" s="5">
        <f t="shared" ref="W851:AH851" si="862">IF(OR((SLOPE($E851:$V851,$E$1:$V$1)*W$1+INTERCEPT($E851:$V851,$E$1:$V$1))&gt;(AVERAGE($E851:$V851)+_xlfn.STDEV.P($E851:$V851)),(SLOPE($E851:$V851,$E$1:$V$1)*W$1+INTERCEPT($E851:$V851,$E$1:$V$1))&lt;(AVERAGE($E851:$V851)-_xlfn.STDEV.P($E851:$V851))),V851,(SLOPE($E851:$V851,$E$1:$V$1)*W$1+INTERCEPT($E851:$V851,$E$1:$V$1)))</f>
        <v>4825.9318658009006</v>
      </c>
      <c r="X851" s="5">
        <f t="shared" si="862"/>
        <v>5130.0054565538258</v>
      </c>
      <c r="Y851" s="5">
        <f t="shared" si="862"/>
        <v>5434.0790473067509</v>
      </c>
      <c r="Z851" s="5">
        <f t="shared" si="862"/>
        <v>5738.1526380596761</v>
      </c>
      <c r="AA851" s="5">
        <f t="shared" si="862"/>
        <v>5738.1526380596761</v>
      </c>
      <c r="AB851" s="5">
        <f t="shared" si="862"/>
        <v>5738.1526380596761</v>
      </c>
      <c r="AC851" s="5">
        <f t="shared" si="862"/>
        <v>5738.1526380596761</v>
      </c>
      <c r="AD851" s="5">
        <f t="shared" si="862"/>
        <v>5738.1526380596761</v>
      </c>
      <c r="AE851" s="5">
        <f t="shared" si="862"/>
        <v>5738.1526380596761</v>
      </c>
      <c r="AF851" s="5">
        <f t="shared" si="862"/>
        <v>5738.1526380596761</v>
      </c>
      <c r="AG851" s="5">
        <f t="shared" si="862"/>
        <v>5738.1526380596761</v>
      </c>
      <c r="AH851" s="5">
        <f t="shared" si="862"/>
        <v>5738.1526380596761</v>
      </c>
    </row>
    <row r="852" spans="1:34" x14ac:dyDescent="0.35">
      <c r="A852" t="s">
        <v>872</v>
      </c>
      <c r="B852" s="3" t="s">
        <v>1264</v>
      </c>
      <c r="C852" s="4" t="s">
        <v>1263</v>
      </c>
      <c r="D852" s="2">
        <f t="shared" si="846"/>
        <v>34826.821658678906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26017.951512937438</v>
      </c>
      <c r="N852" s="5">
        <v>408.65892428697543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1734.5301008624958</v>
      </c>
      <c r="V852" s="5">
        <v>6665.6811205919994</v>
      </c>
      <c r="W852" s="5">
        <f t="shared" ref="W852:AH852" si="863">IF(OR((SLOPE($E852:$V852,$E$1:$V$1)*W$1+INTERCEPT($E852:$V852,$E$1:$V$1))&gt;(AVERAGE($E852:$V852)+_xlfn.STDEV.P($E852:$V852)),(SLOPE($E852:$V852,$E$1:$V$1)*W$1+INTERCEPT($E852:$V852,$E$1:$V$1))&lt;(AVERAGE($E852:$V852)-_xlfn.STDEV.P($E852:$V852))),V852,(SLOPE($E852:$V852,$E$1:$V$1)*W$1+INTERCEPT($E852:$V852,$E$1:$V$1)))</f>
        <v>3049.7767389561905</v>
      </c>
      <c r="X852" s="5">
        <f t="shared" si="863"/>
        <v>3167.1402456376672</v>
      </c>
      <c r="Y852" s="5">
        <f t="shared" si="863"/>
        <v>3284.503752319144</v>
      </c>
      <c r="Z852" s="5">
        <f t="shared" si="863"/>
        <v>3401.8672590006208</v>
      </c>
      <c r="AA852" s="5">
        <f t="shared" si="863"/>
        <v>3519.2307656820976</v>
      </c>
      <c r="AB852" s="5">
        <f t="shared" si="863"/>
        <v>3636.5942723635744</v>
      </c>
      <c r="AC852" s="5">
        <f t="shared" si="863"/>
        <v>3753.9577790450512</v>
      </c>
      <c r="AD852" s="5">
        <f t="shared" si="863"/>
        <v>3871.321285726528</v>
      </c>
      <c r="AE852" s="5">
        <f t="shared" si="863"/>
        <v>3988.6847924080043</v>
      </c>
      <c r="AF852" s="5">
        <f t="shared" si="863"/>
        <v>4106.0482990894816</v>
      </c>
      <c r="AG852" s="5">
        <f t="shared" si="863"/>
        <v>4223.4118057709584</v>
      </c>
      <c r="AH852" s="5">
        <f t="shared" si="863"/>
        <v>4340.7753124524352</v>
      </c>
    </row>
    <row r="853" spans="1:34" x14ac:dyDescent="0.35">
      <c r="A853" t="s">
        <v>873</v>
      </c>
      <c r="B853" s="3" t="s">
        <v>1266</v>
      </c>
      <c r="C853" s="4" t="s">
        <v>1267</v>
      </c>
      <c r="D853" s="2">
        <f t="shared" si="846"/>
        <v>34634.887093429839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34634.887093429839</v>
      </c>
      <c r="U853" s="5">
        <v>0</v>
      </c>
      <c r="V853" s="5">
        <v>0</v>
      </c>
      <c r="W853" s="5">
        <f t="shared" ref="W853:AH853" si="864">IF(OR((SLOPE($E853:$V853,$E$1:$V$1)*W$1+INTERCEPT($E853:$V853,$E$1:$V$1))&gt;(AVERAGE($E853:$V853)+_xlfn.STDEV.P($E853:$V853)),(SLOPE($E853:$V853,$E$1:$V$1)*W$1+INTERCEPT($E853:$V853,$E$1:$V$1))&lt;(AVERAGE($E853:$V853)-_xlfn.STDEV.P($E853:$V853))),V853,(SLOPE($E853:$V853,$E$1:$V$1)*W$1+INTERCEPT($E853:$V853,$E$1:$V$1)))</f>
        <v>6338.4107099087296</v>
      </c>
      <c r="X853" s="5">
        <f t="shared" si="864"/>
        <v>6803.0686378907603</v>
      </c>
      <c r="Y853" s="5">
        <f t="shared" si="864"/>
        <v>7267.7265658727911</v>
      </c>
      <c r="Z853" s="5">
        <f t="shared" si="864"/>
        <v>7732.3844938548218</v>
      </c>
      <c r="AA853" s="5">
        <f t="shared" si="864"/>
        <v>8197.0424218368535</v>
      </c>
      <c r="AB853" s="5">
        <f t="shared" si="864"/>
        <v>8661.7003498188824</v>
      </c>
      <c r="AC853" s="5">
        <f t="shared" si="864"/>
        <v>9126.3582778009149</v>
      </c>
      <c r="AD853" s="5">
        <f t="shared" si="864"/>
        <v>9591.0162057829439</v>
      </c>
      <c r="AE853" s="5">
        <f t="shared" si="864"/>
        <v>9591.0162057829439</v>
      </c>
      <c r="AF853" s="5">
        <f t="shared" si="864"/>
        <v>9591.0162057829439</v>
      </c>
      <c r="AG853" s="5">
        <f t="shared" si="864"/>
        <v>9591.0162057829439</v>
      </c>
      <c r="AH853" s="5">
        <f t="shared" si="864"/>
        <v>9591.0162057829439</v>
      </c>
    </row>
    <row r="854" spans="1:34" x14ac:dyDescent="0.35">
      <c r="A854" t="s">
        <v>874</v>
      </c>
      <c r="B854" s="3" t="s">
        <v>1266</v>
      </c>
      <c r="C854" s="4" t="s">
        <v>1266</v>
      </c>
      <c r="D854" s="2">
        <f t="shared" si="846"/>
        <v>34610.385600000001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34610.385600000001</v>
      </c>
      <c r="T854" s="5">
        <v>0</v>
      </c>
      <c r="U854" s="5">
        <v>0</v>
      </c>
      <c r="V854" s="5">
        <v>0</v>
      </c>
      <c r="W854" s="5">
        <f t="shared" ref="W854:AH854" si="865">IF(OR((SLOPE($E854:$V854,$E$1:$V$1)*W$1+INTERCEPT($E854:$V854,$E$1:$V$1))&gt;(AVERAGE($E854:$V854)+_xlfn.STDEV.P($E854:$V854)),(SLOPE($E854:$V854,$E$1:$V$1)*W$1+INTERCEPT($E854:$V854,$E$1:$V$1))&lt;(AVERAGE($E854:$V854)-_xlfn.STDEV.P($E854:$V854))),V854,(SLOPE($E854:$V854,$E$1:$V$1)*W$1+INTERCEPT($E854:$V854,$E$1:$V$1)))</f>
        <v>5655.2917647058821</v>
      </c>
      <c r="X854" s="5">
        <f t="shared" si="865"/>
        <v>6048.1857188854483</v>
      </c>
      <c r="Y854" s="5">
        <f t="shared" si="865"/>
        <v>6441.0796730650145</v>
      </c>
      <c r="Z854" s="5">
        <f t="shared" si="865"/>
        <v>6833.9736272445807</v>
      </c>
      <c r="AA854" s="5">
        <f t="shared" si="865"/>
        <v>7226.8675814241487</v>
      </c>
      <c r="AB854" s="5">
        <f t="shared" si="865"/>
        <v>7619.7615356037149</v>
      </c>
      <c r="AC854" s="5">
        <f t="shared" si="865"/>
        <v>8012.6554897832812</v>
      </c>
      <c r="AD854" s="5">
        <f t="shared" si="865"/>
        <v>8405.5494439628474</v>
      </c>
      <c r="AE854" s="5">
        <f t="shared" si="865"/>
        <v>8798.4433981424136</v>
      </c>
      <c r="AF854" s="5">
        <f t="shared" si="865"/>
        <v>9191.3373523219798</v>
      </c>
      <c r="AG854" s="5">
        <f t="shared" si="865"/>
        <v>9584.2313065015478</v>
      </c>
      <c r="AH854" s="5">
        <f t="shared" si="865"/>
        <v>9584.2313065015478</v>
      </c>
    </row>
    <row r="855" spans="1:34" x14ac:dyDescent="0.35">
      <c r="A855" t="s">
        <v>875</v>
      </c>
      <c r="B855" s="3" t="s">
        <v>1264</v>
      </c>
      <c r="C855" s="4" t="s">
        <v>1263</v>
      </c>
      <c r="D855" s="2">
        <f t="shared" si="846"/>
        <v>34437.121599999999</v>
      </c>
      <c r="E855" s="5">
        <v>3127.768</v>
      </c>
      <c r="F855" s="5">
        <v>2771.4399999999996</v>
      </c>
      <c r="G855" s="5">
        <v>4149.2415999999994</v>
      </c>
      <c r="H855" s="5">
        <v>1441.1487999999999</v>
      </c>
      <c r="I855" s="5">
        <v>6033.8208000000022</v>
      </c>
      <c r="J855" s="5">
        <v>1797.4767999999999</v>
      </c>
      <c r="K855" s="5">
        <v>728.49279999999999</v>
      </c>
      <c r="L855" s="5">
        <v>791.83999999999992</v>
      </c>
      <c r="M855" s="5">
        <v>2866.4607999999998</v>
      </c>
      <c r="N855" s="5">
        <v>2280.4992000000002</v>
      </c>
      <c r="O855" s="5">
        <v>926.45279999999991</v>
      </c>
      <c r="P855" s="5">
        <v>878.94239999999979</v>
      </c>
      <c r="Q855" s="5">
        <v>847.26879999999994</v>
      </c>
      <c r="R855" s="5">
        <v>1678.7007999999998</v>
      </c>
      <c r="S855" s="5">
        <v>1425.3119999999997</v>
      </c>
      <c r="T855" s="5">
        <v>1385.72</v>
      </c>
      <c r="U855" s="5">
        <v>237.55200000000002</v>
      </c>
      <c r="V855" s="5">
        <v>1068.9839999999999</v>
      </c>
      <c r="W855" s="5">
        <f t="shared" ref="W855:AH855" si="866">IF(OR((SLOPE($E855:$V855,$E$1:$V$1)*W$1+INTERCEPT($E855:$V855,$E$1:$V$1))&gt;(AVERAGE($E855:$V855)+_xlfn.STDEV.P($E855:$V855)),(SLOPE($E855:$V855,$E$1:$V$1)*W$1+INTERCEPT($E855:$V855,$E$1:$V$1))&lt;(AVERAGE($E855:$V855)-_xlfn.STDEV.P($E855:$V855))),V855,(SLOPE($E855:$V855,$E$1:$V$1)*W$1+INTERCEPT($E855:$V855,$E$1:$V$1)))</f>
        <v>1068.9839999999999</v>
      </c>
      <c r="X855" s="5">
        <f t="shared" si="866"/>
        <v>1068.9839999999999</v>
      </c>
      <c r="Y855" s="5">
        <f t="shared" si="866"/>
        <v>1068.9839999999999</v>
      </c>
      <c r="Z855" s="5">
        <f t="shared" si="866"/>
        <v>1068.9839999999999</v>
      </c>
      <c r="AA855" s="5">
        <f t="shared" si="866"/>
        <v>1068.9839999999999</v>
      </c>
      <c r="AB855" s="5">
        <f t="shared" si="866"/>
        <v>1068.9839999999999</v>
      </c>
      <c r="AC855" s="5">
        <f t="shared" si="866"/>
        <v>1068.9839999999999</v>
      </c>
      <c r="AD855" s="5">
        <f t="shared" si="866"/>
        <v>1068.9839999999999</v>
      </c>
      <c r="AE855" s="5">
        <f t="shared" si="866"/>
        <v>1068.9839999999999</v>
      </c>
      <c r="AF855" s="5">
        <f t="shared" si="866"/>
        <v>1068.9839999999999</v>
      </c>
      <c r="AG855" s="5">
        <f t="shared" si="866"/>
        <v>1068.9839999999999</v>
      </c>
      <c r="AH855" s="5">
        <f t="shared" si="866"/>
        <v>1068.9839999999999</v>
      </c>
    </row>
    <row r="856" spans="1:34" x14ac:dyDescent="0.35">
      <c r="A856" t="s">
        <v>876</v>
      </c>
      <c r="B856" s="3" t="s">
        <v>1266</v>
      </c>
      <c r="C856" s="4" t="s">
        <v>1263</v>
      </c>
      <c r="D856" s="2">
        <f t="shared" si="846"/>
        <v>34495.858426957304</v>
      </c>
      <c r="E856" s="5">
        <v>0</v>
      </c>
      <c r="F856" s="5">
        <v>0</v>
      </c>
      <c r="G856" s="5">
        <v>0</v>
      </c>
      <c r="H856" s="5">
        <v>24621.560895267794</v>
      </c>
      <c r="I856" s="5">
        <v>0</v>
      </c>
      <c r="J856" s="5">
        <v>0</v>
      </c>
      <c r="K856" s="5">
        <v>9874.2975316895117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f t="shared" ref="W856:AH856" si="867">IF(OR((SLOPE($E856:$V856,$E$1:$V$1)*W$1+INTERCEPT($E856:$V856,$E$1:$V$1))&gt;(AVERAGE($E856:$V856)+_xlfn.STDEV.P($E856:$V856)),(SLOPE($E856:$V856,$E$1:$V$1)*W$1+INTERCEPT($E856:$V856,$E$1:$V$1))&lt;(AVERAGE($E856:$V856)-_xlfn.STDEV.P($E856:$V856))),V856,(SLOPE($E856:$V856,$E$1:$V$1)*W$1+INTERCEPT($E856:$V856,$E$1:$V$1)))</f>
        <v>-1222.8639845127636</v>
      </c>
      <c r="X856" s="5">
        <f t="shared" si="867"/>
        <v>-1553.3166754378344</v>
      </c>
      <c r="Y856" s="5">
        <f t="shared" si="867"/>
        <v>-1883.7693663629043</v>
      </c>
      <c r="Z856" s="5">
        <f t="shared" si="867"/>
        <v>-2214.2220572879751</v>
      </c>
      <c r="AA856" s="5">
        <f t="shared" si="867"/>
        <v>-2544.6747482130459</v>
      </c>
      <c r="AB856" s="5">
        <f t="shared" si="867"/>
        <v>-2875.1274391381157</v>
      </c>
      <c r="AC856" s="5">
        <f t="shared" si="867"/>
        <v>-3205.5801300631865</v>
      </c>
      <c r="AD856" s="5">
        <f t="shared" si="867"/>
        <v>-3536.0328209882573</v>
      </c>
      <c r="AE856" s="5">
        <f t="shared" si="867"/>
        <v>-3866.4855119133281</v>
      </c>
      <c r="AF856" s="5">
        <f t="shared" si="867"/>
        <v>-3866.4855119133281</v>
      </c>
      <c r="AG856" s="5">
        <f t="shared" si="867"/>
        <v>-3866.4855119133281</v>
      </c>
      <c r="AH856" s="5">
        <f t="shared" si="867"/>
        <v>-3866.4855119133281</v>
      </c>
    </row>
    <row r="857" spans="1:34" x14ac:dyDescent="0.35">
      <c r="A857" t="s">
        <v>877</v>
      </c>
      <c r="B857" s="3" t="s">
        <v>1264</v>
      </c>
      <c r="C857" s="4" t="s">
        <v>1263</v>
      </c>
      <c r="D857" s="2">
        <f t="shared" si="846"/>
        <v>34228.655999999988</v>
      </c>
      <c r="E857" s="5">
        <v>4288.8719999999994</v>
      </c>
      <c r="F857" s="5">
        <v>1481.76</v>
      </c>
      <c r="G857" s="5">
        <v>3556.2239999999997</v>
      </c>
      <c r="H857" s="5">
        <v>2749.4879999999998</v>
      </c>
      <c r="I857" s="5">
        <v>4544.0640000000012</v>
      </c>
      <c r="J857" s="5">
        <v>921.98399999999992</v>
      </c>
      <c r="K857" s="5">
        <v>872.59199999999976</v>
      </c>
      <c r="L857" s="5">
        <v>740.87999999999988</v>
      </c>
      <c r="M857" s="5">
        <v>2831.8079999999986</v>
      </c>
      <c r="N857" s="5">
        <v>1728.7199999999998</v>
      </c>
      <c r="O857" s="5">
        <v>452.76</v>
      </c>
      <c r="P857" s="5">
        <v>1267.7280000000001</v>
      </c>
      <c r="Q857" s="5">
        <v>1136.0159999999998</v>
      </c>
      <c r="R857" s="5">
        <v>2008.6079999999997</v>
      </c>
      <c r="S857" s="5">
        <v>3622.079999999999</v>
      </c>
      <c r="T857" s="5">
        <v>938.44799999999987</v>
      </c>
      <c r="U857" s="5">
        <v>526.84799999999996</v>
      </c>
      <c r="V857" s="5">
        <v>559.77599999999995</v>
      </c>
      <c r="W857" s="5">
        <f t="shared" ref="W857:AH857" si="868">IF(OR((SLOPE($E857:$V857,$E$1:$V$1)*W$1+INTERCEPT($E857:$V857,$E$1:$V$1))&gt;(AVERAGE($E857:$V857)+_xlfn.STDEV.P($E857:$V857)),(SLOPE($E857:$V857,$E$1:$V$1)*W$1+INTERCEPT($E857:$V857,$E$1:$V$1))&lt;(AVERAGE($E857:$V857)-_xlfn.STDEV.P($E857:$V857))),V857,(SLOPE($E857:$V857,$E$1:$V$1)*W$1+INTERCEPT($E857:$V857,$E$1:$V$1)))</f>
        <v>691.16517647058754</v>
      </c>
      <c r="X857" s="5">
        <f t="shared" si="868"/>
        <v>691.16517647058754</v>
      </c>
      <c r="Y857" s="5">
        <f t="shared" si="868"/>
        <v>691.16517647058754</v>
      </c>
      <c r="Z857" s="5">
        <f t="shared" si="868"/>
        <v>691.16517647058754</v>
      </c>
      <c r="AA857" s="5">
        <f t="shared" si="868"/>
        <v>691.16517647058754</v>
      </c>
      <c r="AB857" s="5">
        <f t="shared" si="868"/>
        <v>691.16517647058754</v>
      </c>
      <c r="AC857" s="5">
        <f t="shared" si="868"/>
        <v>691.16517647058754</v>
      </c>
      <c r="AD857" s="5">
        <f t="shared" si="868"/>
        <v>691.16517647058754</v>
      </c>
      <c r="AE857" s="5">
        <f t="shared" si="868"/>
        <v>691.16517647058754</v>
      </c>
      <c r="AF857" s="5">
        <f t="shared" si="868"/>
        <v>691.16517647058754</v>
      </c>
      <c r="AG857" s="5">
        <f t="shared" si="868"/>
        <v>691.16517647058754</v>
      </c>
      <c r="AH857" s="5">
        <f t="shared" si="868"/>
        <v>691.16517647058754</v>
      </c>
    </row>
    <row r="858" spans="1:34" x14ac:dyDescent="0.35">
      <c r="A858" t="s">
        <v>878</v>
      </c>
      <c r="B858" s="3" t="s">
        <v>1264</v>
      </c>
      <c r="C858" s="4" t="s">
        <v>1263</v>
      </c>
      <c r="D858" s="2">
        <f t="shared" si="846"/>
        <v>34281.601788348977</v>
      </c>
      <c r="E858" s="5">
        <v>0</v>
      </c>
      <c r="F858" s="5">
        <v>0</v>
      </c>
      <c r="G858" s="5">
        <v>4050.3947318426017</v>
      </c>
      <c r="H858" s="5">
        <v>4981.2307882287896</v>
      </c>
      <c r="I858" s="5">
        <v>0</v>
      </c>
      <c r="J858" s="5">
        <v>1761.041187757653</v>
      </c>
      <c r="K858" s="5">
        <v>4754.8112069456638</v>
      </c>
      <c r="L858" s="5">
        <v>1761.041187757653</v>
      </c>
      <c r="M858" s="5">
        <v>0</v>
      </c>
      <c r="N858" s="5">
        <v>0</v>
      </c>
      <c r="O858" s="5">
        <v>0</v>
      </c>
      <c r="P858" s="5">
        <v>5635.3318008244896</v>
      </c>
      <c r="Q858" s="5">
        <v>1761.041187757653</v>
      </c>
      <c r="R858" s="5">
        <v>2289.3535440849487</v>
      </c>
      <c r="S858" s="5">
        <v>0</v>
      </c>
      <c r="T858" s="5">
        <v>1584.9370689818879</v>
      </c>
      <c r="U858" s="5">
        <v>4226.4988506183672</v>
      </c>
      <c r="V858" s="5">
        <v>1475.9202335492712</v>
      </c>
      <c r="W858" s="5">
        <f t="shared" ref="W858:AH858" si="869">IF(OR((SLOPE($E858:$V858,$E$1:$V$1)*W$1+INTERCEPT($E858:$V858,$E$1:$V$1))&gt;(AVERAGE($E858:$V858)+_xlfn.STDEV.P($E858:$V858)),(SLOPE($E858:$V858,$E$1:$V$1)*W$1+INTERCEPT($E858:$V858,$E$1:$V$1))&lt;(AVERAGE($E858:$V858)-_xlfn.STDEV.P($E858:$V858))),V858,(SLOPE($E858:$V858,$E$1:$V$1)*W$1+INTERCEPT($E858:$V858,$E$1:$V$1)))</f>
        <v>2114.016763517357</v>
      </c>
      <c r="X858" s="5">
        <f t="shared" si="869"/>
        <v>2136.0676404469677</v>
      </c>
      <c r="Y858" s="5">
        <f t="shared" si="869"/>
        <v>2158.1185173765784</v>
      </c>
      <c r="Z858" s="5">
        <f t="shared" si="869"/>
        <v>2180.1693943061891</v>
      </c>
      <c r="AA858" s="5">
        <f t="shared" si="869"/>
        <v>2202.2202712358003</v>
      </c>
      <c r="AB858" s="5">
        <f t="shared" si="869"/>
        <v>2224.271148165411</v>
      </c>
      <c r="AC858" s="5">
        <f t="shared" si="869"/>
        <v>2246.3220250950217</v>
      </c>
      <c r="AD858" s="5">
        <f t="shared" si="869"/>
        <v>2268.3729020246328</v>
      </c>
      <c r="AE858" s="5">
        <f t="shared" si="869"/>
        <v>2290.4237789542431</v>
      </c>
      <c r="AF858" s="5">
        <f t="shared" si="869"/>
        <v>2312.4746558838542</v>
      </c>
      <c r="AG858" s="5">
        <f t="shared" si="869"/>
        <v>2334.5255328134649</v>
      </c>
      <c r="AH858" s="5">
        <f t="shared" si="869"/>
        <v>2356.5764097430756</v>
      </c>
    </row>
    <row r="859" spans="1:34" x14ac:dyDescent="0.35">
      <c r="A859" t="s">
        <v>879</v>
      </c>
      <c r="B859" s="3" t="s">
        <v>1266</v>
      </c>
      <c r="C859" s="4" t="s">
        <v>1267</v>
      </c>
      <c r="D859" s="2">
        <f t="shared" si="846"/>
        <v>34122.630862611943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18724.158738485967</v>
      </c>
      <c r="R859" s="5">
        <v>15398.472124125979</v>
      </c>
      <c r="S859" s="5">
        <v>0</v>
      </c>
      <c r="T859" s="5">
        <v>0</v>
      </c>
      <c r="U859" s="5">
        <v>0</v>
      </c>
      <c r="V859" s="5">
        <v>0</v>
      </c>
      <c r="W859" s="5">
        <f t="shared" ref="W859:AH859" si="870">IF(OR((SLOPE($E859:$V859,$E$1:$V$1)*W$1+INTERCEPT($E859:$V859,$E$1:$V$1))&gt;(AVERAGE($E859:$V859)+_xlfn.STDEV.P($E859:$V859)),(SLOPE($E859:$V859,$E$1:$V$1)*W$1+INTERCEPT($E859:$V859,$E$1:$V$1))&lt;(AVERAGE($E859:$V859)-_xlfn.STDEV.P($E859:$V859))),V859,(SLOPE($E859:$V859,$E$1:$V$1)*W$1+INTERCEPT($E859:$V859,$E$1:$V$1)))</f>
        <v>4539.3817173987245</v>
      </c>
      <c r="X859" s="5">
        <f t="shared" si="870"/>
        <v>4817.6638229575856</v>
      </c>
      <c r="Y859" s="5">
        <f t="shared" si="870"/>
        <v>5095.9459285164467</v>
      </c>
      <c r="Z859" s="5">
        <f t="shared" si="870"/>
        <v>5374.2280340753059</v>
      </c>
      <c r="AA859" s="5">
        <f t="shared" si="870"/>
        <v>5652.510139634167</v>
      </c>
      <c r="AB859" s="5">
        <f t="shared" si="870"/>
        <v>5930.7922451930262</v>
      </c>
      <c r="AC859" s="5">
        <f t="shared" si="870"/>
        <v>6209.0743507518873</v>
      </c>
      <c r="AD859" s="5">
        <f t="shared" si="870"/>
        <v>6487.3564563107466</v>
      </c>
      <c r="AE859" s="5">
        <f t="shared" si="870"/>
        <v>6765.6385618696077</v>
      </c>
      <c r="AF859" s="5">
        <f t="shared" si="870"/>
        <v>7043.9206674284687</v>
      </c>
      <c r="AG859" s="5">
        <f t="shared" si="870"/>
        <v>7043.9206674284687</v>
      </c>
      <c r="AH859" s="5">
        <f t="shared" si="870"/>
        <v>7043.9206674284687</v>
      </c>
    </row>
    <row r="860" spans="1:34" x14ac:dyDescent="0.35">
      <c r="A860" t="s">
        <v>880</v>
      </c>
      <c r="B860" s="3" t="s">
        <v>1266</v>
      </c>
      <c r="C860" s="4" t="s">
        <v>1267</v>
      </c>
      <c r="D860" s="2">
        <f t="shared" si="846"/>
        <v>34010.415060743282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34010.415060743282</v>
      </c>
      <c r="T860" s="5">
        <v>0</v>
      </c>
      <c r="U860" s="5">
        <v>0</v>
      </c>
      <c r="V860" s="5">
        <v>0</v>
      </c>
      <c r="W860" s="5">
        <f t="shared" ref="W860:AH860" si="871">IF(OR((SLOPE($E860:$V860,$E$1:$V$1)*W$1+INTERCEPT($E860:$V860,$E$1:$V$1))&gt;(AVERAGE($E860:$V860)+_xlfn.STDEV.P($E860:$V860)),(SLOPE($E860:$V860,$E$1:$V$1)*W$1+INTERCEPT($E860:$V860,$E$1:$V$1))&lt;(AVERAGE($E860:$V860)-_xlfn.STDEV.P($E860:$V860))),V860,(SLOPE($E860:$V860,$E$1:$V$1)*W$1+INTERCEPT($E860:$V860,$E$1:$V$1)))</f>
        <v>5557.2573628665486</v>
      </c>
      <c r="X860" s="5">
        <f t="shared" si="871"/>
        <v>5943.3405059709612</v>
      </c>
      <c r="Y860" s="5">
        <f t="shared" si="871"/>
        <v>6329.4236490753747</v>
      </c>
      <c r="Z860" s="5">
        <f t="shared" si="871"/>
        <v>6715.5067921797863</v>
      </c>
      <c r="AA860" s="5">
        <f t="shared" si="871"/>
        <v>7101.5899352841998</v>
      </c>
      <c r="AB860" s="5">
        <f t="shared" si="871"/>
        <v>7487.6730783886132</v>
      </c>
      <c r="AC860" s="5">
        <f t="shared" si="871"/>
        <v>7873.7562214930249</v>
      </c>
      <c r="AD860" s="5">
        <f t="shared" si="871"/>
        <v>8259.8393645974393</v>
      </c>
      <c r="AE860" s="5">
        <f t="shared" si="871"/>
        <v>8645.9225077018527</v>
      </c>
      <c r="AF860" s="5">
        <f t="shared" si="871"/>
        <v>9032.0056508062644</v>
      </c>
      <c r="AG860" s="5">
        <f t="shared" si="871"/>
        <v>9418.0887939106779</v>
      </c>
      <c r="AH860" s="5">
        <f t="shared" si="871"/>
        <v>9418.0887939106779</v>
      </c>
    </row>
    <row r="861" spans="1:34" x14ac:dyDescent="0.35">
      <c r="A861" t="s">
        <v>881</v>
      </c>
      <c r="B861" s="3" t="s">
        <v>1264</v>
      </c>
      <c r="C861" s="4" t="s">
        <v>1267</v>
      </c>
      <c r="D861" s="2">
        <f t="shared" si="846"/>
        <v>33746.456799999993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33746.456799999993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f t="shared" ref="W861:AH861" si="872">IF(OR((SLOPE($E861:$V861,$E$1:$V$1)*W$1+INTERCEPT($E861:$V861,$E$1:$V$1))&gt;(AVERAGE($E861:$V861)+_xlfn.STDEV.P($E861:$V861)),(SLOPE($E861:$V861,$E$1:$V$1)*W$1+INTERCEPT($E861:$V861,$E$1:$V$1))&lt;(AVERAGE($E861:$V861)-_xlfn.STDEV.P($E861:$V861))),V861,(SLOPE($E861:$V861,$E$1:$V$1)*W$1+INTERCEPT($E861:$V861,$E$1:$V$1)))</f>
        <v>-441.13015424836613</v>
      </c>
      <c r="X861" s="5">
        <f t="shared" si="872"/>
        <v>-684.9126079119369</v>
      </c>
      <c r="Y861" s="5">
        <f t="shared" si="872"/>
        <v>-928.69506157550768</v>
      </c>
      <c r="Z861" s="5">
        <f t="shared" si="872"/>
        <v>-1172.4775152390785</v>
      </c>
      <c r="AA861" s="5">
        <f t="shared" si="872"/>
        <v>-1416.2599689026483</v>
      </c>
      <c r="AB861" s="5">
        <f t="shared" si="872"/>
        <v>-1660.0424225662191</v>
      </c>
      <c r="AC861" s="5">
        <f t="shared" si="872"/>
        <v>-1903.8248762297899</v>
      </c>
      <c r="AD861" s="5">
        <f t="shared" si="872"/>
        <v>-2147.6073298933607</v>
      </c>
      <c r="AE861" s="5">
        <f t="shared" si="872"/>
        <v>-2391.3897835569314</v>
      </c>
      <c r="AF861" s="5">
        <f t="shared" si="872"/>
        <v>-2635.1722372205022</v>
      </c>
      <c r="AG861" s="5">
        <f t="shared" si="872"/>
        <v>-2878.9546908840721</v>
      </c>
      <c r="AH861" s="5">
        <f t="shared" si="872"/>
        <v>-3122.7371445476429</v>
      </c>
    </row>
    <row r="862" spans="1:34" x14ac:dyDescent="0.35">
      <c r="A862" t="s">
        <v>882</v>
      </c>
      <c r="B862" s="3" t="s">
        <v>1266</v>
      </c>
      <c r="C862" s="4" t="s">
        <v>1266</v>
      </c>
      <c r="D862" s="2">
        <f t="shared" si="846"/>
        <v>33434.486002698104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15011.401878762412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18423.084123935689</v>
      </c>
      <c r="W862" s="5">
        <f t="shared" ref="W862:AH862" si="873">IF(OR((SLOPE($E862:$V862,$E$1:$V$1)*W$1+INTERCEPT($E862:$V862,$E$1:$V$1))&gt;(AVERAGE($E862:$V862)+_xlfn.STDEV.P($E862:$V862)),(SLOPE($E862:$V862,$E$1:$V$1)*W$1+INTERCEPT($E862:$V862,$E$1:$V$1))&lt;(AVERAGE($E862:$V862)-_xlfn.STDEV.P($E862:$V862))),V862,(SLOPE($E862:$V862,$E$1:$V$1)*W$1+INTERCEPT($E862:$V862,$E$1:$V$1)))</f>
        <v>5075.1560719048211</v>
      </c>
      <c r="X862" s="5">
        <f t="shared" si="873"/>
        <v>5413.8597168848719</v>
      </c>
      <c r="Y862" s="5">
        <f t="shared" si="873"/>
        <v>5752.5633618649226</v>
      </c>
      <c r="Z862" s="5">
        <f t="shared" si="873"/>
        <v>6091.2670068449734</v>
      </c>
      <c r="AA862" s="5">
        <f t="shared" si="873"/>
        <v>6429.9706518250241</v>
      </c>
      <c r="AB862" s="5">
        <f t="shared" si="873"/>
        <v>6768.674296805073</v>
      </c>
      <c r="AC862" s="5">
        <f t="shared" si="873"/>
        <v>7107.3779417851238</v>
      </c>
      <c r="AD862" s="5">
        <f t="shared" si="873"/>
        <v>7107.3779417851238</v>
      </c>
      <c r="AE862" s="5">
        <f t="shared" si="873"/>
        <v>7107.3779417851238</v>
      </c>
      <c r="AF862" s="5">
        <f t="shared" si="873"/>
        <v>7107.3779417851238</v>
      </c>
      <c r="AG862" s="5">
        <f t="shared" si="873"/>
        <v>7107.3779417851238</v>
      </c>
      <c r="AH862" s="5">
        <f t="shared" si="873"/>
        <v>7107.3779417851238</v>
      </c>
    </row>
    <row r="863" spans="1:34" x14ac:dyDescent="0.35">
      <c r="A863" t="s">
        <v>883</v>
      </c>
      <c r="B863" s="3" t="s">
        <v>1266</v>
      </c>
      <c r="C863" s="4" t="s">
        <v>1266</v>
      </c>
      <c r="D863" s="2">
        <f t="shared" si="846"/>
        <v>33307.717373690401</v>
      </c>
      <c r="E863" s="5">
        <v>0</v>
      </c>
      <c r="F863" s="5">
        <v>0</v>
      </c>
      <c r="G863" s="5">
        <v>0</v>
      </c>
      <c r="H863" s="5">
        <v>33307.717373690401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f t="shared" ref="W863:AH863" si="874">IF(OR((SLOPE($E863:$V863,$E$1:$V$1)*W$1+INTERCEPT($E863:$V863,$E$1:$V$1))&gt;(AVERAGE($E863:$V863)+_xlfn.STDEV.P($E863:$V863)),(SLOPE($E863:$V863,$E$1:$V$1)*W$1+INTERCEPT($E863:$V863,$E$1:$V$1))&lt;(AVERAGE($E863:$V863)-_xlfn.STDEV.P($E863:$V863))),V863,(SLOPE($E863:$V863,$E$1:$V$1)*W$1+INTERCEPT($E863:$V863,$E$1:$V$1)))</f>
        <v>-1741.5799933955768</v>
      </c>
      <c r="X863" s="5">
        <f t="shared" si="874"/>
        <v>-2119.6861761722475</v>
      </c>
      <c r="Y863" s="5">
        <f t="shared" si="874"/>
        <v>-2497.7923589489192</v>
      </c>
      <c r="Z863" s="5">
        <f t="shared" si="874"/>
        <v>-2875.8985417255899</v>
      </c>
      <c r="AA863" s="5">
        <f t="shared" si="874"/>
        <v>-3254.0047245022615</v>
      </c>
      <c r="AB863" s="5">
        <f t="shared" si="874"/>
        <v>-3632.1109072789332</v>
      </c>
      <c r="AC863" s="5">
        <f t="shared" si="874"/>
        <v>-4010.2170900556048</v>
      </c>
      <c r="AD863" s="5">
        <f t="shared" si="874"/>
        <v>-4388.3232728322746</v>
      </c>
      <c r="AE863" s="5">
        <f t="shared" si="874"/>
        <v>-4766.4294556089462</v>
      </c>
      <c r="AF863" s="5">
        <f t="shared" si="874"/>
        <v>-5144.5356383856179</v>
      </c>
      <c r="AG863" s="5">
        <f t="shared" si="874"/>
        <v>-5522.6418211622895</v>
      </c>
      <c r="AH863" s="5">
        <f t="shared" si="874"/>
        <v>-5522.6418211622895</v>
      </c>
    </row>
    <row r="864" spans="1:34" x14ac:dyDescent="0.35">
      <c r="A864" t="s">
        <v>884</v>
      </c>
      <c r="B864" s="3" t="s">
        <v>1265</v>
      </c>
      <c r="C864" s="4" t="s">
        <v>1268</v>
      </c>
      <c r="D864" s="2">
        <f t="shared" si="846"/>
        <v>33286.605127999996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33286.605127999996</v>
      </c>
      <c r="S864" s="5">
        <v>0</v>
      </c>
      <c r="T864" s="5">
        <v>0</v>
      </c>
      <c r="U864" s="5">
        <v>0</v>
      </c>
      <c r="V864" s="5">
        <v>0</v>
      </c>
      <c r="W864" s="5">
        <f t="shared" ref="W864:AH864" si="875">IF(OR((SLOPE($E864:$V864,$E$1:$V$1)*W$1+INTERCEPT($E864:$V864,$E$1:$V$1))&gt;(AVERAGE($E864:$V864)+_xlfn.STDEV.P($E864:$V864)),(SLOPE($E864:$V864,$E$1:$V$1)*W$1+INTERCEPT($E864:$V864,$E$1:$V$1))&lt;(AVERAGE($E864:$V864)-_xlfn.STDEV.P($E864:$V864))),V864,(SLOPE($E864:$V864,$E$1:$V$1)*W$1+INTERCEPT($E864:$V864,$E$1:$V$1)))</f>
        <v>4786.3092340915018</v>
      </c>
      <c r="X864" s="5">
        <f t="shared" si="875"/>
        <v>5095.4727492122447</v>
      </c>
      <c r="Y864" s="5">
        <f t="shared" si="875"/>
        <v>5404.6362643329876</v>
      </c>
      <c r="Z864" s="5">
        <f t="shared" si="875"/>
        <v>5713.7997794537305</v>
      </c>
      <c r="AA864" s="5">
        <f t="shared" si="875"/>
        <v>6022.9632945744734</v>
      </c>
      <c r="AB864" s="5">
        <f t="shared" si="875"/>
        <v>6332.1268096952172</v>
      </c>
      <c r="AC864" s="5">
        <f t="shared" si="875"/>
        <v>6641.29032481596</v>
      </c>
      <c r="AD864" s="5">
        <f t="shared" si="875"/>
        <v>6950.4538399367029</v>
      </c>
      <c r="AE864" s="5">
        <f t="shared" si="875"/>
        <v>7259.6173550574458</v>
      </c>
      <c r="AF864" s="5">
        <f t="shared" si="875"/>
        <v>7568.7808701781887</v>
      </c>
      <c r="AG864" s="5">
        <f t="shared" si="875"/>
        <v>7877.9443852989316</v>
      </c>
      <c r="AH864" s="5">
        <f t="shared" si="875"/>
        <v>8187.1079004196745</v>
      </c>
    </row>
    <row r="865" spans="1:34" x14ac:dyDescent="0.35">
      <c r="A865" t="s">
        <v>885</v>
      </c>
      <c r="B865" s="3" t="s">
        <v>1264</v>
      </c>
      <c r="C865" s="4" t="s">
        <v>1263</v>
      </c>
      <c r="D865" s="2">
        <f t="shared" si="846"/>
        <v>33073.806516978999</v>
      </c>
      <c r="E865" s="5">
        <v>668.82813425814288</v>
      </c>
      <c r="F865" s="5">
        <v>4033.3910386559764</v>
      </c>
      <c r="G865" s="5">
        <v>1005.794980525604</v>
      </c>
      <c r="H865" s="5">
        <v>1873.7398875781557</v>
      </c>
      <c r="I865" s="5">
        <v>1572.5119492481526</v>
      </c>
      <c r="J865" s="5">
        <v>2333.2401324883303</v>
      </c>
      <c r="K865" s="5">
        <v>1684.8342313373066</v>
      </c>
      <c r="L865" s="5">
        <v>433.97245352627584</v>
      </c>
      <c r="M865" s="5">
        <v>1174.2784036593348</v>
      </c>
      <c r="N865" s="5">
        <v>4492.8912835661504</v>
      </c>
      <c r="O865" s="5">
        <v>1940.1121451762922</v>
      </c>
      <c r="P865" s="5">
        <v>1031.3227719095025</v>
      </c>
      <c r="Q865" s="5">
        <v>2527.2513470059594</v>
      </c>
      <c r="R865" s="5">
        <v>2297.5012245508724</v>
      </c>
      <c r="S865" s="5">
        <v>1240.650661257471</v>
      </c>
      <c r="T865" s="5">
        <v>1291.706244025268</v>
      </c>
      <c r="U865" s="5">
        <v>1812.4731882567994</v>
      </c>
      <c r="V865" s="5">
        <v>1659.3064399534078</v>
      </c>
      <c r="W865" s="5">
        <f t="shared" ref="W865:AH865" si="876">IF(OR((SLOPE($E865:$V865,$E$1:$V$1)*W$1+INTERCEPT($E865:$V865,$E$1:$V$1))&gt;(AVERAGE($E865:$V865)+_xlfn.STDEV.P($E865:$V865)),(SLOPE($E865:$V865,$E$1:$V$1)*W$1+INTERCEPT($E865:$V865,$E$1:$V$1))&lt;(AVERAGE($E865:$V865)-_xlfn.STDEV.P($E865:$V865))),V865,(SLOPE($E865:$V865,$E$1:$V$1)*W$1+INTERCEPT($E865:$V865,$E$1:$V$1)))</f>
        <v>1766.1560974844444</v>
      </c>
      <c r="X865" s="5">
        <f t="shared" si="876"/>
        <v>1758.6531924419942</v>
      </c>
      <c r="Y865" s="5">
        <f t="shared" si="876"/>
        <v>1751.1502873995437</v>
      </c>
      <c r="Z865" s="5">
        <f t="shared" si="876"/>
        <v>1743.6473823570934</v>
      </c>
      <c r="AA865" s="5">
        <f t="shared" si="876"/>
        <v>1736.1444773146432</v>
      </c>
      <c r="AB865" s="5">
        <f t="shared" si="876"/>
        <v>1728.6415722721929</v>
      </c>
      <c r="AC865" s="5">
        <f t="shared" si="876"/>
        <v>1721.1386672297426</v>
      </c>
      <c r="AD865" s="5">
        <f t="shared" si="876"/>
        <v>1713.6357621872924</v>
      </c>
      <c r="AE865" s="5">
        <f t="shared" si="876"/>
        <v>1706.1328571448421</v>
      </c>
      <c r="AF865" s="5">
        <f t="shared" si="876"/>
        <v>1698.6299521023916</v>
      </c>
      <c r="AG865" s="5">
        <f t="shared" si="876"/>
        <v>1691.1270470599413</v>
      </c>
      <c r="AH865" s="5">
        <f t="shared" si="876"/>
        <v>1683.6241420174911</v>
      </c>
    </row>
    <row r="866" spans="1:34" x14ac:dyDescent="0.35">
      <c r="A866" t="s">
        <v>886</v>
      </c>
      <c r="B866" s="3" t="s">
        <v>1266</v>
      </c>
      <c r="C866" s="4" t="s">
        <v>1267</v>
      </c>
      <c r="D866" s="2">
        <f t="shared" si="846"/>
        <v>32430.003940903654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14413.335084846069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18016.668856057586</v>
      </c>
      <c r="V866" s="5">
        <v>0</v>
      </c>
      <c r="W866" s="5">
        <f t="shared" ref="W866:AH866" si="877">IF(OR((SLOPE($E866:$V866,$E$1:$V$1)*W$1+INTERCEPT($E866:$V866,$E$1:$V$1))&gt;(AVERAGE($E866:$V866)+_xlfn.STDEV.P($E866:$V866)),(SLOPE($E866:$V866,$E$1:$V$1)*W$1+INTERCEPT($E866:$V866,$E$1:$V$1))&lt;(AVERAGE($E866:$V866)-_xlfn.STDEV.P($E866:$V866))),V866,(SLOPE($E866:$V866,$E$1:$V$1)*W$1+INTERCEPT($E866:$V866,$E$1:$V$1)))</f>
        <v>3462.0265644973401</v>
      </c>
      <c r="X866" s="5">
        <f t="shared" si="877"/>
        <v>3636.8012675385594</v>
      </c>
      <c r="Y866" s="5">
        <f t="shared" si="877"/>
        <v>3811.5759705797782</v>
      </c>
      <c r="Z866" s="5">
        <f t="shared" si="877"/>
        <v>3986.3506736209974</v>
      </c>
      <c r="AA866" s="5">
        <f t="shared" si="877"/>
        <v>4161.1253766622167</v>
      </c>
      <c r="AB866" s="5">
        <f t="shared" si="877"/>
        <v>4335.900079703435</v>
      </c>
      <c r="AC866" s="5">
        <f t="shared" si="877"/>
        <v>4510.6747827446543</v>
      </c>
      <c r="AD866" s="5">
        <f t="shared" si="877"/>
        <v>4685.4494857858735</v>
      </c>
      <c r="AE866" s="5">
        <f t="shared" si="877"/>
        <v>4860.2241888270928</v>
      </c>
      <c r="AF866" s="5">
        <f t="shared" si="877"/>
        <v>5034.9988918683121</v>
      </c>
      <c r="AG866" s="5">
        <f t="shared" si="877"/>
        <v>5209.7735949095313</v>
      </c>
      <c r="AH866" s="5">
        <f t="shared" si="877"/>
        <v>5384.5482979507506</v>
      </c>
    </row>
    <row r="867" spans="1:34" x14ac:dyDescent="0.35">
      <c r="A867" t="s">
        <v>887</v>
      </c>
      <c r="B867" s="3" t="s">
        <v>1266</v>
      </c>
      <c r="C867" s="4" t="s">
        <v>1263</v>
      </c>
      <c r="D867" s="2">
        <f t="shared" si="846"/>
        <v>32182.278015999997</v>
      </c>
      <c r="E867" s="5">
        <v>1593.18208</v>
      </c>
      <c r="F867" s="5">
        <v>2230.4549120000001</v>
      </c>
      <c r="G867" s="5">
        <v>1961.6054360000001</v>
      </c>
      <c r="H867" s="5">
        <v>627.31544399999996</v>
      </c>
      <c r="I867" s="5">
        <v>4211.9751239999996</v>
      </c>
      <c r="J867" s="5">
        <v>5058.3531039999998</v>
      </c>
      <c r="K867" s="5">
        <v>1115.2274560000001</v>
      </c>
      <c r="L867" s="5">
        <v>1553.3525279999999</v>
      </c>
      <c r="M867" s="5">
        <v>2240.4123000000004</v>
      </c>
      <c r="N867" s="5">
        <v>2449.5174479999996</v>
      </c>
      <c r="O867" s="5">
        <v>3146.5346079999995</v>
      </c>
      <c r="P867" s="5">
        <v>1304.4178280000001</v>
      </c>
      <c r="Q867" s="5">
        <v>458.03984800000001</v>
      </c>
      <c r="R867" s="5">
        <v>2200.5827479999998</v>
      </c>
      <c r="S867" s="5">
        <v>736.8467119999998</v>
      </c>
      <c r="T867" s="5">
        <v>587.48589199999992</v>
      </c>
      <c r="U867" s="5">
        <v>597.44327999999996</v>
      </c>
      <c r="V867" s="5">
        <v>109.53126800000001</v>
      </c>
      <c r="W867" s="5">
        <f t="shared" ref="W867:AH867" si="878">IF(OR((SLOPE($E867:$V867,$E$1:$V$1)*W$1+INTERCEPT($E867:$V867,$E$1:$V$1))&gt;(AVERAGE($E867:$V867)+_xlfn.STDEV.P($E867:$V867)),(SLOPE($E867:$V867,$E$1:$V$1)*W$1+INTERCEPT($E867:$V867,$E$1:$V$1))&lt;(AVERAGE($E867:$V867)-_xlfn.STDEV.P($E867:$V867))),V867,(SLOPE($E867:$V867,$E$1:$V$1)*W$1+INTERCEPT($E867:$V867,$E$1:$V$1)))</f>
        <v>702.15855641830058</v>
      </c>
      <c r="X867" s="5">
        <f t="shared" si="878"/>
        <v>587.86952717578242</v>
      </c>
      <c r="Y867" s="5">
        <f t="shared" si="878"/>
        <v>587.86952717578242</v>
      </c>
      <c r="Z867" s="5">
        <f t="shared" si="878"/>
        <v>587.86952717578242</v>
      </c>
      <c r="AA867" s="5">
        <f t="shared" si="878"/>
        <v>587.86952717578242</v>
      </c>
      <c r="AB867" s="5">
        <f t="shared" si="878"/>
        <v>587.86952717578242</v>
      </c>
      <c r="AC867" s="5">
        <f t="shared" si="878"/>
        <v>587.86952717578242</v>
      </c>
      <c r="AD867" s="5">
        <f t="shared" si="878"/>
        <v>587.86952717578242</v>
      </c>
      <c r="AE867" s="5">
        <f t="shared" si="878"/>
        <v>587.86952717578242</v>
      </c>
      <c r="AF867" s="5">
        <f t="shared" si="878"/>
        <v>587.86952717578242</v>
      </c>
      <c r="AG867" s="5">
        <f t="shared" si="878"/>
        <v>587.86952717578242</v>
      </c>
      <c r="AH867" s="5">
        <f t="shared" si="878"/>
        <v>587.86952717578242</v>
      </c>
    </row>
    <row r="868" spans="1:34" x14ac:dyDescent="0.35">
      <c r="A868" t="s">
        <v>888</v>
      </c>
      <c r="B868" s="3" t="s">
        <v>1266</v>
      </c>
      <c r="C868" s="4" t="s">
        <v>1267</v>
      </c>
      <c r="D868" s="2">
        <f t="shared" si="846"/>
        <v>32019.293929840002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32019.293929840002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f t="shared" ref="W868:AH868" si="879">IF(OR((SLOPE($E868:$V868,$E$1:$V$1)*W$1+INTERCEPT($E868:$V868,$E$1:$V$1))&gt;(AVERAGE($E868:$V868)+_xlfn.STDEV.P($E868:$V868)),(SLOPE($E868:$V868,$E$1:$V$1)*W$1+INTERCEPT($E868:$V868,$E$1:$V$1))&lt;(AVERAGE($E868:$V868)-_xlfn.STDEV.P($E868:$V868))),V868,(SLOPE($E868:$V868,$E$1:$V$1)*W$1+INTERCEPT($E868:$V868,$E$1:$V$1)))</f>
        <v>3348.4228946237909</v>
      </c>
      <c r="X868" s="5">
        <f t="shared" si="879"/>
        <v>3513.6411295558855</v>
      </c>
      <c r="Y868" s="5">
        <f t="shared" si="879"/>
        <v>3678.8593644879807</v>
      </c>
      <c r="Z868" s="5">
        <f t="shared" si="879"/>
        <v>3844.0775994200753</v>
      </c>
      <c r="AA868" s="5">
        <f t="shared" si="879"/>
        <v>4009.2958343521705</v>
      </c>
      <c r="AB868" s="5">
        <f t="shared" si="879"/>
        <v>4174.5140692842651</v>
      </c>
      <c r="AC868" s="5">
        <f t="shared" si="879"/>
        <v>4339.7323042163607</v>
      </c>
      <c r="AD868" s="5">
        <f t="shared" si="879"/>
        <v>4504.9505391484545</v>
      </c>
      <c r="AE868" s="5">
        <f t="shared" si="879"/>
        <v>4670.1687740805501</v>
      </c>
      <c r="AF868" s="5">
        <f t="shared" si="879"/>
        <v>4835.3870090126456</v>
      </c>
      <c r="AG868" s="5">
        <f t="shared" si="879"/>
        <v>5000.6052439447394</v>
      </c>
      <c r="AH868" s="5">
        <f t="shared" si="879"/>
        <v>5165.823478876835</v>
      </c>
    </row>
    <row r="869" spans="1:34" x14ac:dyDescent="0.35">
      <c r="A869" t="s">
        <v>889</v>
      </c>
      <c r="B869" s="3" t="s">
        <v>1264</v>
      </c>
      <c r="C869" s="4" t="s">
        <v>1263</v>
      </c>
      <c r="D869" s="2">
        <f t="shared" si="846"/>
        <v>31631.991225495418</v>
      </c>
      <c r="E869" s="5">
        <v>2530.0971798332707</v>
      </c>
      <c r="F869" s="5">
        <v>1617.4137222678444</v>
      </c>
      <c r="G869" s="5">
        <v>1940.8964667214132</v>
      </c>
      <c r="H869" s="5">
        <v>808.7068611339223</v>
      </c>
      <c r="I869" s="5">
        <v>2668.732641741944</v>
      </c>
      <c r="J869" s="5">
        <v>1097.530740110323</v>
      </c>
      <c r="K869" s="5">
        <v>1051.3189194740989</v>
      </c>
      <c r="L869" s="5">
        <v>1178.4014262237154</v>
      </c>
      <c r="M869" s="5">
        <v>2056.4260183119736</v>
      </c>
      <c r="N869" s="5">
        <v>3234.8274445356888</v>
      </c>
      <c r="O869" s="5">
        <v>1721.3903186993487</v>
      </c>
      <c r="P869" s="5">
        <v>1270.8250674961635</v>
      </c>
      <c r="Q869" s="5">
        <v>750.94208533864196</v>
      </c>
      <c r="R869" s="5">
        <v>2772.7092381734478</v>
      </c>
      <c r="S869" s="5">
        <v>623.85957858902566</v>
      </c>
      <c r="T869" s="5">
        <v>3200.1685790585211</v>
      </c>
      <c r="U869" s="5">
        <v>2195.0614802206464</v>
      </c>
      <c r="V869" s="5">
        <v>912.68345756542647</v>
      </c>
      <c r="W869" s="5">
        <f t="shared" ref="W869:AH869" si="880">IF(OR((SLOPE($E869:$V869,$E$1:$V$1)*W$1+INTERCEPT($E869:$V869,$E$1:$V$1))&gt;(AVERAGE($E869:$V869)+_xlfn.STDEV.P($E869:$V869)),(SLOPE($E869:$V869,$E$1:$V$1)*W$1+INTERCEPT($E869:$V869,$E$1:$V$1))&lt;(AVERAGE($E869:$V869)-_xlfn.STDEV.P($E869:$V869))),V869,(SLOPE($E869:$V869,$E$1:$V$1)*W$1+INTERCEPT($E869:$V869,$E$1:$V$1)))</f>
        <v>1736.9452779331107</v>
      </c>
      <c r="X869" s="5">
        <f t="shared" si="880"/>
        <v>1734.7992181512427</v>
      </c>
      <c r="Y869" s="5">
        <f t="shared" si="880"/>
        <v>1732.6531583693748</v>
      </c>
      <c r="Z869" s="5">
        <f t="shared" si="880"/>
        <v>1730.5070985875068</v>
      </c>
      <c r="AA869" s="5">
        <f t="shared" si="880"/>
        <v>1728.3610388056388</v>
      </c>
      <c r="AB869" s="5">
        <f t="shared" si="880"/>
        <v>1726.2149790237709</v>
      </c>
      <c r="AC869" s="5">
        <f t="shared" si="880"/>
        <v>1724.0689192419029</v>
      </c>
      <c r="AD869" s="5">
        <f t="shared" si="880"/>
        <v>1721.9228594600347</v>
      </c>
      <c r="AE869" s="5">
        <f t="shared" si="880"/>
        <v>1719.7767996781668</v>
      </c>
      <c r="AF869" s="5">
        <f t="shared" si="880"/>
        <v>1717.6307398962988</v>
      </c>
      <c r="AG869" s="5">
        <f t="shared" si="880"/>
        <v>1715.4846801144308</v>
      </c>
      <c r="AH869" s="5">
        <f t="shared" si="880"/>
        <v>1713.3386203325629</v>
      </c>
    </row>
    <row r="870" spans="1:34" x14ac:dyDescent="0.35">
      <c r="A870" t="s">
        <v>890</v>
      </c>
      <c r="B870" s="3" t="s">
        <v>1262</v>
      </c>
      <c r="C870" s="4" t="s">
        <v>1263</v>
      </c>
      <c r="D870" s="2">
        <f t="shared" si="846"/>
        <v>27893.250000000007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405.72</v>
      </c>
      <c r="M870" s="5">
        <v>202.86</v>
      </c>
      <c r="N870" s="5">
        <v>0</v>
      </c>
      <c r="O870" s="5">
        <v>0</v>
      </c>
      <c r="P870" s="5">
        <v>0</v>
      </c>
      <c r="Q870" s="5">
        <v>0</v>
      </c>
      <c r="R870" s="5">
        <v>608.58000000000004</v>
      </c>
      <c r="S870" s="5">
        <v>0</v>
      </c>
      <c r="T870" s="5">
        <v>5680.08</v>
      </c>
      <c r="U870" s="5">
        <v>10244.430000000004</v>
      </c>
      <c r="V870" s="5">
        <v>10751.580000000004</v>
      </c>
      <c r="W870" s="5">
        <f t="shared" ref="W870:AH870" si="881">IF(OR((SLOPE($E870:$V870,$E$1:$V$1)*W$1+INTERCEPT($E870:$V870,$E$1:$V$1))&gt;(AVERAGE($E870:$V870)+_xlfn.STDEV.P($E870:$V870)),(SLOPE($E870:$V870,$E$1:$V$1)*W$1+INTERCEPT($E870:$V870,$E$1:$V$1))&lt;(AVERAGE($E870:$V870)-_xlfn.STDEV.P($E870:$V870))),V870,(SLOPE($E870:$V870,$E$1:$V$1)*W$1+INTERCEPT($E870:$V870,$E$1:$V$1)))</f>
        <v>10751.580000000004</v>
      </c>
      <c r="X870" s="5">
        <f t="shared" si="881"/>
        <v>10751.580000000004</v>
      </c>
      <c r="Y870" s="5">
        <f t="shared" si="881"/>
        <v>10751.580000000004</v>
      </c>
      <c r="Z870" s="5">
        <f t="shared" si="881"/>
        <v>10751.580000000004</v>
      </c>
      <c r="AA870" s="5">
        <f t="shared" si="881"/>
        <v>10751.580000000004</v>
      </c>
      <c r="AB870" s="5">
        <f t="shared" si="881"/>
        <v>10751.580000000004</v>
      </c>
      <c r="AC870" s="5">
        <f t="shared" si="881"/>
        <v>10751.580000000004</v>
      </c>
      <c r="AD870" s="5">
        <f t="shared" si="881"/>
        <v>10751.580000000004</v>
      </c>
      <c r="AE870" s="5">
        <f t="shared" si="881"/>
        <v>10751.580000000004</v>
      </c>
      <c r="AF870" s="5">
        <f t="shared" si="881"/>
        <v>10751.580000000004</v>
      </c>
      <c r="AG870" s="5">
        <f t="shared" si="881"/>
        <v>10751.580000000004</v>
      </c>
      <c r="AH870" s="5">
        <f t="shared" si="881"/>
        <v>10751.580000000004</v>
      </c>
    </row>
    <row r="871" spans="1:34" x14ac:dyDescent="0.35">
      <c r="A871" t="s">
        <v>891</v>
      </c>
      <c r="B871" s="3" t="s">
        <v>1266</v>
      </c>
      <c r="C871" s="4" t="s">
        <v>1263</v>
      </c>
      <c r="D871" s="2">
        <f t="shared" si="846"/>
        <v>31894.999255611514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31894.999255611514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f t="shared" ref="W871:AH871" si="882">IF(OR((SLOPE($E871:$V871,$E$1:$V$1)*W$1+INTERCEPT($E871:$V871,$E$1:$V$1))&gt;(AVERAGE($E871:$V871)+_xlfn.STDEV.P($E871:$V871)),(SLOPE($E871:$V871,$E$1:$V$1)*W$1+INTERCEPT($E871:$V871,$E$1:$V$1))&lt;(AVERAGE($E871:$V871)-_xlfn.STDEV.P($E871:$V871))),V871,(SLOPE($E871:$V871,$E$1:$V$1)*W$1+INTERCEPT($E871:$V871,$E$1:$V$1)))</f>
        <v>3335.4247587567597</v>
      </c>
      <c r="X871" s="5">
        <f t="shared" si="882"/>
        <v>3500.0016383006787</v>
      </c>
      <c r="Y871" s="5">
        <f t="shared" si="882"/>
        <v>3664.5785178445976</v>
      </c>
      <c r="Z871" s="5">
        <f t="shared" si="882"/>
        <v>3829.155397388517</v>
      </c>
      <c r="AA871" s="5">
        <f t="shared" si="882"/>
        <v>3993.732276932436</v>
      </c>
      <c r="AB871" s="5">
        <f t="shared" si="882"/>
        <v>4158.3091564763545</v>
      </c>
      <c r="AC871" s="5">
        <f t="shared" si="882"/>
        <v>4322.8860360202743</v>
      </c>
      <c r="AD871" s="5">
        <f t="shared" si="882"/>
        <v>4487.4629155641924</v>
      </c>
      <c r="AE871" s="5">
        <f t="shared" si="882"/>
        <v>4652.0397951081122</v>
      </c>
      <c r="AF871" s="5">
        <f t="shared" si="882"/>
        <v>4816.6166746520321</v>
      </c>
      <c r="AG871" s="5">
        <f t="shared" si="882"/>
        <v>4981.1935541959501</v>
      </c>
      <c r="AH871" s="5">
        <f t="shared" si="882"/>
        <v>5145.77043373987</v>
      </c>
    </row>
    <row r="872" spans="1:34" x14ac:dyDescent="0.35">
      <c r="A872" t="s">
        <v>892</v>
      </c>
      <c r="B872" s="3" t="s">
        <v>1264</v>
      </c>
      <c r="C872" s="4" t="s">
        <v>1263</v>
      </c>
      <c r="D872" s="2">
        <f t="shared" si="846"/>
        <v>31515.232</v>
      </c>
      <c r="E872" s="5">
        <v>395.91999999999996</v>
      </c>
      <c r="F872" s="5">
        <v>2890.2159999999994</v>
      </c>
      <c r="G872" s="5">
        <v>5265.7360000000017</v>
      </c>
      <c r="H872" s="5">
        <v>847.26879999999994</v>
      </c>
      <c r="I872" s="5">
        <v>4790.6320000000014</v>
      </c>
      <c r="J872" s="5">
        <v>475.10399999999998</v>
      </c>
      <c r="K872" s="5">
        <v>1076.9023999999999</v>
      </c>
      <c r="L872" s="5">
        <v>332.57279999999997</v>
      </c>
      <c r="M872" s="5">
        <v>2692.2559999999999</v>
      </c>
      <c r="N872" s="5">
        <v>1211.5152000000003</v>
      </c>
      <c r="O872" s="5">
        <v>1164.0047999999999</v>
      </c>
      <c r="P872" s="5">
        <v>1274.8624</v>
      </c>
      <c r="Q872" s="5">
        <v>926.45279999999991</v>
      </c>
      <c r="R872" s="5">
        <v>2692.2559999999999</v>
      </c>
      <c r="S872" s="5">
        <v>3563.2799999999997</v>
      </c>
      <c r="T872" s="5">
        <v>712.65599999999995</v>
      </c>
      <c r="U872" s="5">
        <v>182.1232</v>
      </c>
      <c r="V872" s="5">
        <v>1021.4735999999999</v>
      </c>
      <c r="W872" s="5">
        <f t="shared" ref="W872:AH872" si="883">IF(OR((SLOPE($E872:$V872,$E$1:$V$1)*W$1+INTERCEPT($E872:$V872,$E$1:$V$1))&gt;(AVERAGE($E872:$V872)+_xlfn.STDEV.P($E872:$V872)),(SLOPE($E872:$V872,$E$1:$V$1)*W$1+INTERCEPT($E872:$V872,$E$1:$V$1))&lt;(AVERAGE($E872:$V872)-_xlfn.STDEV.P($E872:$V872))),V872,(SLOPE($E872:$V872,$E$1:$V$1)*W$1+INTERCEPT($E872:$V872,$E$1:$V$1)))</f>
        <v>1034.9297045751628</v>
      </c>
      <c r="X872" s="5">
        <f t="shared" si="883"/>
        <v>959.57007113863028</v>
      </c>
      <c r="Y872" s="5">
        <f t="shared" si="883"/>
        <v>884.21043770209758</v>
      </c>
      <c r="Z872" s="5">
        <f t="shared" si="883"/>
        <v>808.8508042655651</v>
      </c>
      <c r="AA872" s="5">
        <f t="shared" si="883"/>
        <v>733.49117082903263</v>
      </c>
      <c r="AB872" s="5">
        <f t="shared" si="883"/>
        <v>658.13153739249992</v>
      </c>
      <c r="AC872" s="5">
        <f t="shared" si="883"/>
        <v>582.77190395596745</v>
      </c>
      <c r="AD872" s="5">
        <f t="shared" si="883"/>
        <v>507.41227051943497</v>
      </c>
      <c r="AE872" s="5">
        <f t="shared" si="883"/>
        <v>432.05263708290249</v>
      </c>
      <c r="AF872" s="5">
        <f t="shared" si="883"/>
        <v>356.69300364637002</v>
      </c>
      <c r="AG872" s="5">
        <f t="shared" si="883"/>
        <v>281.33337020983708</v>
      </c>
      <c r="AH872" s="5">
        <f t="shared" si="883"/>
        <v>281.33337020983708</v>
      </c>
    </row>
    <row r="873" spans="1:34" x14ac:dyDescent="0.35">
      <c r="A873" t="s">
        <v>893</v>
      </c>
      <c r="B873" s="3" t="s">
        <v>1266</v>
      </c>
      <c r="C873" s="4" t="s">
        <v>1267</v>
      </c>
      <c r="D873" s="2">
        <f t="shared" si="846"/>
        <v>31505.820708933836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31505.820708933836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f t="shared" ref="W873:AH873" si="884">IF(OR((SLOPE($E873:$V873,$E$1:$V$1)*W$1+INTERCEPT($E873:$V873,$E$1:$V$1))&gt;(AVERAGE($E873:$V873)+_xlfn.STDEV.P($E873:$V873)),(SLOPE($E873:$V873,$E$1:$V$1)*W$1+INTERCEPT($E873:$V873,$E$1:$V$1))&lt;(AVERAGE($E873:$V873)-_xlfn.STDEV.P($E873:$V873))),V873,(SLOPE($E873:$V873,$E$1:$V$1)*W$1+INTERCEPT($E873:$V873,$E$1:$V$1)))</f>
        <v>3294.7263486466754</v>
      </c>
      <c r="X873" s="5">
        <f t="shared" si="884"/>
        <v>3457.295082954899</v>
      </c>
      <c r="Y873" s="5">
        <f t="shared" si="884"/>
        <v>3619.8638172631236</v>
      </c>
      <c r="Z873" s="5">
        <f t="shared" si="884"/>
        <v>3782.4325515713472</v>
      </c>
      <c r="AA873" s="5">
        <f t="shared" si="884"/>
        <v>3945.0012858795717</v>
      </c>
      <c r="AB873" s="5">
        <f t="shared" si="884"/>
        <v>4107.5700201877962</v>
      </c>
      <c r="AC873" s="5">
        <f t="shared" si="884"/>
        <v>4270.1387544960198</v>
      </c>
      <c r="AD873" s="5">
        <f t="shared" si="884"/>
        <v>4432.7074888042443</v>
      </c>
      <c r="AE873" s="5">
        <f t="shared" si="884"/>
        <v>4595.276223112468</v>
      </c>
      <c r="AF873" s="5">
        <f t="shared" si="884"/>
        <v>4757.8449574206925</v>
      </c>
      <c r="AG873" s="5">
        <f t="shared" si="884"/>
        <v>4920.4136917289161</v>
      </c>
      <c r="AH873" s="5">
        <f t="shared" si="884"/>
        <v>5082.9824260371406</v>
      </c>
    </row>
    <row r="874" spans="1:34" x14ac:dyDescent="0.35">
      <c r="A874" t="s">
        <v>894</v>
      </c>
      <c r="B874" s="3" t="s">
        <v>1264</v>
      </c>
      <c r="C874" s="4" t="s">
        <v>1263</v>
      </c>
      <c r="D874" s="2">
        <f t="shared" si="846"/>
        <v>31279.855692147048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23105.741270470633</v>
      </c>
      <c r="N874" s="5">
        <v>412.60252268697559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1696.2548154908995</v>
      </c>
      <c r="V874" s="5">
        <v>6065.2570834985418</v>
      </c>
      <c r="W874" s="5">
        <f t="shared" ref="W874:AH874" si="885">IF(OR((SLOPE($E874:$V874,$E$1:$V$1)*W$1+INTERCEPT($E874:$V874,$E$1:$V$1))&gt;(AVERAGE($E874:$V874)+_xlfn.STDEV.P($E874:$V874)),(SLOPE($E874:$V874,$E$1:$V$1)*W$1+INTERCEPT($E874:$V874,$E$1:$V$1))&lt;(AVERAGE($E874:$V874)-_xlfn.STDEV.P($E874:$V874))),V874,(SLOPE($E874:$V874,$E$1:$V$1)*W$1+INTERCEPT($E874:$V874,$E$1:$V$1)))</f>
        <v>2775.613426400866</v>
      </c>
      <c r="X874" s="5">
        <f t="shared" si="885"/>
        <v>2884.8601280562375</v>
      </c>
      <c r="Y874" s="5">
        <f t="shared" si="885"/>
        <v>2994.106829711609</v>
      </c>
      <c r="Z874" s="5">
        <f t="shared" si="885"/>
        <v>3103.3535313669809</v>
      </c>
      <c r="AA874" s="5">
        <f t="shared" si="885"/>
        <v>3212.6002330223523</v>
      </c>
      <c r="AB874" s="5">
        <f t="shared" si="885"/>
        <v>3321.8469346777238</v>
      </c>
      <c r="AC874" s="5">
        <f t="shared" si="885"/>
        <v>3431.0936363330952</v>
      </c>
      <c r="AD874" s="5">
        <f t="shared" si="885"/>
        <v>3540.3403379884667</v>
      </c>
      <c r="AE874" s="5">
        <f t="shared" si="885"/>
        <v>3649.5870396438386</v>
      </c>
      <c r="AF874" s="5">
        <f t="shared" si="885"/>
        <v>3758.83374129921</v>
      </c>
      <c r="AG874" s="5">
        <f t="shared" si="885"/>
        <v>3868.0804429545815</v>
      </c>
      <c r="AH874" s="5">
        <f t="shared" si="885"/>
        <v>3977.3271446099534</v>
      </c>
    </row>
    <row r="875" spans="1:34" x14ac:dyDescent="0.35">
      <c r="A875" t="s">
        <v>895</v>
      </c>
      <c r="B875" s="3" t="s">
        <v>1265</v>
      </c>
      <c r="C875" s="4" t="s">
        <v>1263</v>
      </c>
      <c r="D875" s="2">
        <f t="shared" si="846"/>
        <v>31175.049690758704</v>
      </c>
      <c r="E875" s="5">
        <v>0</v>
      </c>
      <c r="F875" s="5">
        <v>550.7447179213533</v>
      </c>
      <c r="G875" s="5">
        <v>6550.9634868539906</v>
      </c>
      <c r="H875" s="5">
        <v>347.83876921348616</v>
      </c>
      <c r="I875" s="5">
        <v>2173.9923075842889</v>
      </c>
      <c r="J875" s="5">
        <v>1347.8752307022592</v>
      </c>
      <c r="K875" s="5">
        <v>666.69097432584874</v>
      </c>
      <c r="L875" s="5">
        <v>1362.3685127528208</v>
      </c>
      <c r="M875" s="5">
        <v>2768.2168716573287</v>
      </c>
      <c r="N875" s="5">
        <v>1579.76774351125</v>
      </c>
      <c r="O875" s="5">
        <v>1463.8214871067546</v>
      </c>
      <c r="P875" s="5">
        <v>1159.4625640449542</v>
      </c>
      <c r="Q875" s="5">
        <v>1217.4356922472018</v>
      </c>
      <c r="R875" s="5">
        <v>2956.6295383146339</v>
      </c>
      <c r="S875" s="5">
        <v>3130.5489229213758</v>
      </c>
      <c r="T875" s="5">
        <v>1811.6602563202409</v>
      </c>
      <c r="U875" s="5">
        <v>1072.5028717415826</v>
      </c>
      <c r="V875" s="5">
        <v>1014.5297435393347</v>
      </c>
      <c r="W875" s="5">
        <f t="shared" ref="W875:AH875" si="886">IF(OR((SLOPE($E875:$V875,$E$1:$V$1)*W$1+INTERCEPT($E875:$V875,$E$1:$V$1))&gt;(AVERAGE($E875:$V875)+_xlfn.STDEV.P($E875:$V875)),(SLOPE($E875:$V875,$E$1:$V$1)*W$1+INTERCEPT($E875:$V875,$E$1:$V$1))&lt;(AVERAGE($E875:$V875)-_xlfn.STDEV.P($E875:$V875))),V875,(SLOPE($E875:$V875,$E$1:$V$1)*W$1+INTERCEPT($E875:$V875,$E$1:$V$1)))</f>
        <v>1749.424398103122</v>
      </c>
      <c r="X875" s="5">
        <f t="shared" si="886"/>
        <v>1751.2641026358558</v>
      </c>
      <c r="Y875" s="5">
        <f t="shared" si="886"/>
        <v>1753.1038071685898</v>
      </c>
      <c r="Z875" s="5">
        <f t="shared" si="886"/>
        <v>1754.9435117013236</v>
      </c>
      <c r="AA875" s="5">
        <f t="shared" si="886"/>
        <v>1756.7832162340574</v>
      </c>
      <c r="AB875" s="5">
        <f t="shared" si="886"/>
        <v>1758.6229207667914</v>
      </c>
      <c r="AC875" s="5">
        <f t="shared" si="886"/>
        <v>1760.4626252995251</v>
      </c>
      <c r="AD875" s="5">
        <f t="shared" si="886"/>
        <v>1762.3023298322591</v>
      </c>
      <c r="AE875" s="5">
        <f t="shared" si="886"/>
        <v>1764.1420343649929</v>
      </c>
      <c r="AF875" s="5">
        <f t="shared" si="886"/>
        <v>1765.9817388977267</v>
      </c>
      <c r="AG875" s="5">
        <f t="shared" si="886"/>
        <v>1767.8214434304607</v>
      </c>
      <c r="AH875" s="5">
        <f t="shared" si="886"/>
        <v>1769.6611479631945</v>
      </c>
    </row>
    <row r="876" spans="1:34" x14ac:dyDescent="0.35">
      <c r="A876" t="s">
        <v>896</v>
      </c>
      <c r="B876" s="3" t="s">
        <v>1264</v>
      </c>
      <c r="C876" s="4" t="s">
        <v>1263</v>
      </c>
      <c r="D876" s="2">
        <f t="shared" si="846"/>
        <v>31024.92779458841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31024.92779458841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f t="shared" ref="W876:AH876" si="887">IF(OR((SLOPE($E876:$V876,$E$1:$V$1)*W$1+INTERCEPT($E876:$V876,$E$1:$V$1))&gt;(AVERAGE($E876:$V876)+_xlfn.STDEV.P($E876:$V876)),(SLOPE($E876:$V876,$E$1:$V$1)*W$1+INTERCEPT($E876:$V876,$E$1:$V$1))&lt;(AVERAGE($E876:$V876)-_xlfn.STDEV.P($E876:$V876))),V876,(SLOPE($E876:$V876,$E$1:$V$1)*W$1+INTERCEPT($E876:$V876,$E$1:$V$1)))</f>
        <v>3852.7688110926774</v>
      </c>
      <c r="X876" s="5">
        <f t="shared" si="887"/>
        <v>4076.8910965025007</v>
      </c>
      <c r="Y876" s="5">
        <f t="shared" si="887"/>
        <v>4301.0133819123239</v>
      </c>
      <c r="Z876" s="5">
        <f t="shared" si="887"/>
        <v>4525.1356673221471</v>
      </c>
      <c r="AA876" s="5">
        <f t="shared" si="887"/>
        <v>4749.2579527319704</v>
      </c>
      <c r="AB876" s="5">
        <f t="shared" si="887"/>
        <v>4973.3802381417945</v>
      </c>
      <c r="AC876" s="5">
        <f t="shared" si="887"/>
        <v>5197.5025235516177</v>
      </c>
      <c r="AD876" s="5">
        <f t="shared" si="887"/>
        <v>5421.624808961441</v>
      </c>
      <c r="AE876" s="5">
        <f t="shared" si="887"/>
        <v>5645.7470943712642</v>
      </c>
      <c r="AF876" s="5">
        <f t="shared" si="887"/>
        <v>5869.8693797810874</v>
      </c>
      <c r="AG876" s="5">
        <f t="shared" si="887"/>
        <v>6093.9916651909107</v>
      </c>
      <c r="AH876" s="5">
        <f t="shared" si="887"/>
        <v>6318.1139506007339</v>
      </c>
    </row>
    <row r="877" spans="1:34" x14ac:dyDescent="0.35">
      <c r="A877" t="s">
        <v>897</v>
      </c>
      <c r="B877" s="3" t="s">
        <v>1265</v>
      </c>
      <c r="C877" s="4" t="s">
        <v>1263</v>
      </c>
      <c r="D877" s="2">
        <f t="shared" si="846"/>
        <v>30649.003687564142</v>
      </c>
      <c r="E877" s="5">
        <v>0</v>
      </c>
      <c r="F877" s="5">
        <v>0</v>
      </c>
      <c r="G877" s="5">
        <v>0</v>
      </c>
      <c r="H877" s="5">
        <v>6824.5114877642818</v>
      </c>
      <c r="I877" s="5">
        <v>0</v>
      </c>
      <c r="J877" s="5">
        <v>0</v>
      </c>
      <c r="K877" s="5">
        <v>0</v>
      </c>
      <c r="L877" s="5">
        <v>23824.492199799861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f t="shared" ref="W877:AH877" si="888">IF(OR((SLOPE($E877:$V877,$E$1:$V$1)*W$1+INTERCEPT($E877:$V877,$E$1:$V$1))&gt;(AVERAGE($E877:$V877)+_xlfn.STDEV.P($E877:$V877)),(SLOPE($E877:$V877,$E$1:$V$1)*W$1+INTERCEPT($E877:$V877,$E$1:$V$1))&lt;(AVERAGE($E877:$V877)-_xlfn.STDEV.P($E877:$V877))),V877,(SLOPE($E877:$V877,$E$1:$V$1)*W$1+INTERCEPT($E877:$V877,$E$1:$V$1)))</f>
        <v>266.02533919663529</v>
      </c>
      <c r="X877" s="5">
        <f t="shared" si="888"/>
        <v>114.79406678713394</v>
      </c>
      <c r="Y877" s="5">
        <f t="shared" si="888"/>
        <v>-36.437205622367401</v>
      </c>
      <c r="Z877" s="5">
        <f t="shared" si="888"/>
        <v>-187.66847803186829</v>
      </c>
      <c r="AA877" s="5">
        <f t="shared" si="888"/>
        <v>-338.89975044136963</v>
      </c>
      <c r="AB877" s="5">
        <f t="shared" si="888"/>
        <v>-490.13102285087098</v>
      </c>
      <c r="AC877" s="5">
        <f t="shared" si="888"/>
        <v>-641.36229526037232</v>
      </c>
      <c r="AD877" s="5">
        <f t="shared" si="888"/>
        <v>-792.59356766987366</v>
      </c>
      <c r="AE877" s="5">
        <f t="shared" si="888"/>
        <v>-943.82484007937455</v>
      </c>
      <c r="AF877" s="5">
        <f t="shared" si="888"/>
        <v>-1095.0561124888754</v>
      </c>
      <c r="AG877" s="5">
        <f t="shared" si="888"/>
        <v>-1246.2873848983772</v>
      </c>
      <c r="AH877" s="5">
        <f t="shared" si="888"/>
        <v>-1397.5186573078781</v>
      </c>
    </row>
    <row r="878" spans="1:34" x14ac:dyDescent="0.35">
      <c r="A878" t="s">
        <v>898</v>
      </c>
      <c r="B878" s="3" t="s">
        <v>1266</v>
      </c>
      <c r="C878" s="4" t="s">
        <v>1267</v>
      </c>
      <c r="D878" s="2">
        <f t="shared" si="846"/>
        <v>30553.244127772625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30553.244127772625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f t="shared" ref="W878:AH878" si="889">IF(OR((SLOPE($E878:$V878,$E$1:$V$1)*W$1+INTERCEPT($E878:$V878,$E$1:$V$1))&gt;(AVERAGE($E878:$V878)+_xlfn.STDEV.P($E878:$V878)),(SLOPE($E878:$V878,$E$1:$V$1)*W$1+INTERCEPT($E878:$V878,$E$1:$V$1))&lt;(AVERAGE($E878:$V878)-_xlfn.STDEV.P($E878:$V878))),V878,(SLOPE($E878:$V878,$E$1:$V$1)*W$1+INTERCEPT($E878:$V878,$E$1:$V$1)))</f>
        <v>3195.1104970219749</v>
      </c>
      <c r="X878" s="5">
        <f t="shared" si="889"/>
        <v>3352.7639754934535</v>
      </c>
      <c r="Y878" s="5">
        <f t="shared" si="889"/>
        <v>3510.417453964933</v>
      </c>
      <c r="Z878" s="5">
        <f t="shared" si="889"/>
        <v>3668.0709324364116</v>
      </c>
      <c r="AA878" s="5">
        <f t="shared" si="889"/>
        <v>3825.7244109078911</v>
      </c>
      <c r="AB878" s="5">
        <f t="shared" si="889"/>
        <v>3983.3778893793697</v>
      </c>
      <c r="AC878" s="5">
        <f t="shared" si="889"/>
        <v>4141.0313678508492</v>
      </c>
      <c r="AD878" s="5">
        <f t="shared" si="889"/>
        <v>4298.6848463223278</v>
      </c>
      <c r="AE878" s="5">
        <f t="shared" si="889"/>
        <v>4456.3383247938073</v>
      </c>
      <c r="AF878" s="5">
        <f t="shared" si="889"/>
        <v>4613.9918032652859</v>
      </c>
      <c r="AG878" s="5">
        <f t="shared" si="889"/>
        <v>4771.6452817367644</v>
      </c>
      <c r="AH878" s="5">
        <f t="shared" si="889"/>
        <v>4929.2987602082439</v>
      </c>
    </row>
    <row r="879" spans="1:34" x14ac:dyDescent="0.35">
      <c r="A879" t="s">
        <v>899</v>
      </c>
      <c r="B879" s="3" t="s">
        <v>1264</v>
      </c>
      <c r="C879" s="4" t="s">
        <v>1263</v>
      </c>
      <c r="D879" s="2">
        <f t="shared" si="846"/>
        <v>30457.086799999997</v>
      </c>
      <c r="E879" s="5">
        <v>162.09199999999998</v>
      </c>
      <c r="F879" s="5">
        <v>1296.7359999999999</v>
      </c>
      <c r="G879" s="5">
        <v>0</v>
      </c>
      <c r="H879" s="5">
        <v>9320.2900000000009</v>
      </c>
      <c r="I879" s="5">
        <v>226.92879999999997</v>
      </c>
      <c r="J879" s="5">
        <v>5981.1947999999984</v>
      </c>
      <c r="K879" s="5">
        <v>437.64839999999992</v>
      </c>
      <c r="L879" s="5">
        <v>1086.0164</v>
      </c>
      <c r="M879" s="5">
        <v>2690.7271999999998</v>
      </c>
      <c r="N879" s="5">
        <v>1458.828</v>
      </c>
      <c r="O879" s="5">
        <v>5624.5924000000005</v>
      </c>
      <c r="P879" s="5">
        <v>243.13799999999998</v>
      </c>
      <c r="Q879" s="5">
        <v>0</v>
      </c>
      <c r="R879" s="5">
        <v>0</v>
      </c>
      <c r="S879" s="5">
        <v>145.88279999999997</v>
      </c>
      <c r="T879" s="5">
        <v>567.322</v>
      </c>
      <c r="U879" s="5">
        <v>0</v>
      </c>
      <c r="V879" s="5">
        <v>1215.69</v>
      </c>
      <c r="W879" s="5">
        <f t="shared" ref="W879:AH879" si="890">IF(OR((SLOPE($E879:$V879,$E$1:$V$1)*W$1+INTERCEPT($E879:$V879,$E$1:$V$1))&gt;(AVERAGE($E879:$V879)+_xlfn.STDEV.P($E879:$V879)),(SLOPE($E879:$V879,$E$1:$V$1)*W$1+INTERCEPT($E879:$V879,$E$1:$V$1))&lt;(AVERAGE($E879:$V879)-_xlfn.STDEV.P($E879:$V879))),V879,(SLOPE($E879:$V879,$E$1:$V$1)*W$1+INTERCEPT($E879:$V879,$E$1:$V$1)))</f>
        <v>441.25044444444438</v>
      </c>
      <c r="X879" s="5">
        <f t="shared" si="890"/>
        <v>309.58624093567232</v>
      </c>
      <c r="Y879" s="5">
        <f t="shared" si="890"/>
        <v>177.92203742690072</v>
      </c>
      <c r="Z879" s="5">
        <f t="shared" si="890"/>
        <v>46.257833918128654</v>
      </c>
      <c r="AA879" s="5">
        <f t="shared" si="890"/>
        <v>-85.406369590643408</v>
      </c>
      <c r="AB879" s="5">
        <f t="shared" si="890"/>
        <v>-217.07057309941501</v>
      </c>
      <c r="AC879" s="5">
        <f t="shared" si="890"/>
        <v>-348.73477660818708</v>
      </c>
      <c r="AD879" s="5">
        <f t="shared" si="890"/>
        <v>-480.39898011695914</v>
      </c>
      <c r="AE879" s="5">
        <f t="shared" si="890"/>
        <v>-612.0631836257312</v>
      </c>
      <c r="AF879" s="5">
        <f t="shared" si="890"/>
        <v>-743.72738713450281</v>
      </c>
      <c r="AG879" s="5">
        <f t="shared" si="890"/>
        <v>-743.72738713450281</v>
      </c>
      <c r="AH879" s="5">
        <f t="shared" si="890"/>
        <v>-743.72738713450281</v>
      </c>
    </row>
    <row r="880" spans="1:34" x14ac:dyDescent="0.35">
      <c r="A880" t="s">
        <v>900</v>
      </c>
      <c r="B880" s="3" t="s">
        <v>1266</v>
      </c>
      <c r="C880" s="4" t="s">
        <v>1267</v>
      </c>
      <c r="D880" s="2">
        <f t="shared" si="846"/>
        <v>30142.743362399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9697.52415143094</v>
      </c>
      <c r="T880" s="5">
        <v>20445.219210968058</v>
      </c>
      <c r="U880" s="5">
        <v>0</v>
      </c>
      <c r="V880" s="5">
        <v>0</v>
      </c>
      <c r="W880" s="5">
        <f t="shared" ref="W880:AH880" si="891">IF(OR((SLOPE($E880:$V880,$E$1:$V$1)*W$1+INTERCEPT($E880:$V880,$E$1:$V$1))&gt;(AVERAGE($E880:$V880)+_xlfn.STDEV.P($E880:$V880)),(SLOPE($E880:$V880,$E$1:$V$1)*W$1+INTERCEPT($E880:$V880,$E$1:$V$1))&lt;(AVERAGE($E880:$V880)-_xlfn.STDEV.P($E880:$V880))),V880,(SLOPE($E880:$V880,$E$1:$V$1)*W$1+INTERCEPT($E880:$V880,$E$1:$V$1)))</f>
        <v>5326.1715143325437</v>
      </c>
      <c r="X880" s="5">
        <f t="shared" si="891"/>
        <v>5710.5477944236945</v>
      </c>
      <c r="Y880" s="5">
        <f t="shared" si="891"/>
        <v>6094.9240745148445</v>
      </c>
      <c r="Z880" s="5">
        <f t="shared" si="891"/>
        <v>6479.3003546059963</v>
      </c>
      <c r="AA880" s="5">
        <f t="shared" si="891"/>
        <v>6479.3003546059963</v>
      </c>
      <c r="AB880" s="5">
        <f t="shared" si="891"/>
        <v>6479.3003546059963</v>
      </c>
      <c r="AC880" s="5">
        <f t="shared" si="891"/>
        <v>6479.3003546059963</v>
      </c>
      <c r="AD880" s="5">
        <f t="shared" si="891"/>
        <v>6479.3003546059963</v>
      </c>
      <c r="AE880" s="5">
        <f t="shared" si="891"/>
        <v>6479.3003546059963</v>
      </c>
      <c r="AF880" s="5">
        <f t="shared" si="891"/>
        <v>6479.3003546059963</v>
      </c>
      <c r="AG880" s="5">
        <f t="shared" si="891"/>
        <v>6479.3003546059963</v>
      </c>
      <c r="AH880" s="5">
        <f t="shared" si="891"/>
        <v>6479.3003546059963</v>
      </c>
    </row>
    <row r="881" spans="1:34" x14ac:dyDescent="0.35">
      <c r="A881" t="s">
        <v>901</v>
      </c>
      <c r="B881" s="3" t="s">
        <v>1266</v>
      </c>
      <c r="C881" s="4" t="s">
        <v>1266</v>
      </c>
      <c r="D881" s="2">
        <f t="shared" si="846"/>
        <v>29916.572739202762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11059.991931265651</v>
      </c>
      <c r="N881" s="5">
        <v>0</v>
      </c>
      <c r="O881" s="5">
        <v>0</v>
      </c>
      <c r="P881" s="5">
        <v>5066.8626373962443</v>
      </c>
      <c r="Q881" s="5">
        <v>0</v>
      </c>
      <c r="R881" s="5">
        <v>13789.718170540868</v>
      </c>
      <c r="S881" s="5">
        <v>0</v>
      </c>
      <c r="T881" s="5">
        <v>0</v>
      </c>
      <c r="U881" s="5">
        <v>0</v>
      </c>
      <c r="V881" s="5">
        <v>0</v>
      </c>
      <c r="W881" s="5">
        <f t="shared" ref="W881:AH881" si="892">IF(OR((SLOPE($E881:$V881,$E$1:$V$1)*W$1+INTERCEPT($E881:$V881,$E$1:$V$1))&gt;(AVERAGE($E881:$V881)+_xlfn.STDEV.P($E881:$V881)),(SLOPE($E881:$V881,$E$1:$V$1)*W$1+INTERCEPT($E881:$V881,$E$1:$V$1))&lt;(AVERAGE($E881:$V881)-_xlfn.STDEV.P($E881:$V881))),V881,(SLOPE($E881:$V881,$E$1:$V$1)*W$1+INTERCEPT($E881:$V881,$E$1:$V$1)))</f>
        <v>3018.7159834581607</v>
      </c>
      <c r="X881" s="5">
        <f t="shared" si="892"/>
        <v>3161.5248428911673</v>
      </c>
      <c r="Y881" s="5">
        <f t="shared" si="892"/>
        <v>3304.3337023241738</v>
      </c>
      <c r="Z881" s="5">
        <f t="shared" si="892"/>
        <v>3447.1425617571804</v>
      </c>
      <c r="AA881" s="5">
        <f t="shared" si="892"/>
        <v>3589.9514211901869</v>
      </c>
      <c r="AB881" s="5">
        <f t="shared" si="892"/>
        <v>3732.7602806231935</v>
      </c>
      <c r="AC881" s="5">
        <f t="shared" si="892"/>
        <v>3875.5691400562009</v>
      </c>
      <c r="AD881" s="5">
        <f t="shared" si="892"/>
        <v>4018.3779994892075</v>
      </c>
      <c r="AE881" s="5">
        <f t="shared" si="892"/>
        <v>4161.186858922214</v>
      </c>
      <c r="AF881" s="5">
        <f t="shared" si="892"/>
        <v>4303.9957183552206</v>
      </c>
      <c r="AG881" s="5">
        <f t="shared" si="892"/>
        <v>4446.8045777882271</v>
      </c>
      <c r="AH881" s="5">
        <f t="shared" si="892"/>
        <v>4589.6134372212337</v>
      </c>
    </row>
    <row r="882" spans="1:34" x14ac:dyDescent="0.35">
      <c r="A882" t="s">
        <v>902</v>
      </c>
      <c r="B882" s="3" t="s">
        <v>1264</v>
      </c>
      <c r="C882" s="4" t="s">
        <v>1263</v>
      </c>
      <c r="D882" s="2">
        <f t="shared" si="846"/>
        <v>29427.281328641402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29427.281328641402</v>
      </c>
      <c r="S882" s="5">
        <v>0</v>
      </c>
      <c r="T882" s="5">
        <v>0</v>
      </c>
      <c r="U882" s="5">
        <v>0</v>
      </c>
      <c r="V882" s="5">
        <v>0</v>
      </c>
      <c r="W882" s="5">
        <f t="shared" ref="W882:AH882" si="893">IF(OR((SLOPE($E882:$V882,$E$1:$V$1)*W$1+INTERCEPT($E882:$V882,$E$1:$V$1))&gt;(AVERAGE($E882:$V882)+_xlfn.STDEV.P($E882:$V882)),(SLOPE($E882:$V882,$E$1:$V$1)*W$1+INTERCEPT($E882:$V882,$E$1:$V$1))&lt;(AVERAGE($E882:$V882)-_xlfn.STDEV.P($E882:$V882))),V882,(SLOPE($E882:$V882,$E$1:$V$1)*W$1+INTERCEPT($E882:$V882,$E$1:$V$1)))</f>
        <v>4231.3737858177183</v>
      </c>
      <c r="X882" s="5">
        <f t="shared" si="893"/>
        <v>4504.6921882509205</v>
      </c>
      <c r="Y882" s="5">
        <f t="shared" si="893"/>
        <v>4778.0105906841218</v>
      </c>
      <c r="Z882" s="5">
        <f t="shared" si="893"/>
        <v>5051.328993117324</v>
      </c>
      <c r="AA882" s="5">
        <f t="shared" si="893"/>
        <v>5324.6473955505262</v>
      </c>
      <c r="AB882" s="5">
        <f t="shared" si="893"/>
        <v>5597.9657979837275</v>
      </c>
      <c r="AC882" s="5">
        <f t="shared" si="893"/>
        <v>5871.2842004169297</v>
      </c>
      <c r="AD882" s="5">
        <f t="shared" si="893"/>
        <v>6144.6026028501319</v>
      </c>
      <c r="AE882" s="5">
        <f t="shared" si="893"/>
        <v>6417.9210052833341</v>
      </c>
      <c r="AF882" s="5">
        <f t="shared" si="893"/>
        <v>6691.2394077165354</v>
      </c>
      <c r="AG882" s="5">
        <f t="shared" si="893"/>
        <v>6964.5578101497376</v>
      </c>
      <c r="AH882" s="5">
        <f t="shared" si="893"/>
        <v>7237.8762125829389</v>
      </c>
    </row>
    <row r="883" spans="1:34" x14ac:dyDescent="0.35">
      <c r="A883" t="s">
        <v>903</v>
      </c>
      <c r="B883" s="3" t="s">
        <v>1266</v>
      </c>
      <c r="C883" s="4" t="s">
        <v>1267</v>
      </c>
      <c r="D883" s="2">
        <f t="shared" si="846"/>
        <v>29409.114536415025</v>
      </c>
      <c r="E883" s="5">
        <v>0</v>
      </c>
      <c r="F883" s="5">
        <v>0</v>
      </c>
      <c r="G883" s="5">
        <v>29409.114536415025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f t="shared" ref="W883:AH883" si="894">IF(OR((SLOPE($E883:$V883,$E$1:$V$1)*W$1+INTERCEPT($E883:$V883,$E$1:$V$1))&gt;(AVERAGE($E883:$V883)+_xlfn.STDEV.P($E883:$V883)),(SLOPE($E883:$V883,$E$1:$V$1)*W$1+INTERCEPT($E883:$V883,$E$1:$V$1))&lt;(AVERAGE($E883:$V883)-_xlfn.STDEV.P($E883:$V883))),V883,(SLOPE($E883:$V883,$E$1:$V$1)*W$1+INTERCEPT($E883:$V883,$E$1:$V$1)))</f>
        <v>-2114.3807836638252</v>
      </c>
      <c r="X883" s="5">
        <f t="shared" si="894"/>
        <v>-2508.9303078881749</v>
      </c>
      <c r="Y883" s="5">
        <f t="shared" si="894"/>
        <v>-2903.4798321125254</v>
      </c>
      <c r="Z883" s="5">
        <f t="shared" si="894"/>
        <v>-3298.0293563368759</v>
      </c>
      <c r="AA883" s="5">
        <f t="shared" si="894"/>
        <v>-3692.5788805612265</v>
      </c>
      <c r="AB883" s="5">
        <f t="shared" si="894"/>
        <v>-4087.128404785577</v>
      </c>
      <c r="AC883" s="5">
        <f t="shared" si="894"/>
        <v>-4481.6779290099257</v>
      </c>
      <c r="AD883" s="5">
        <f t="shared" si="894"/>
        <v>-4876.2274532342763</v>
      </c>
      <c r="AE883" s="5">
        <f t="shared" si="894"/>
        <v>-4876.2274532342763</v>
      </c>
      <c r="AF883" s="5">
        <f t="shared" si="894"/>
        <v>-4876.2274532342763</v>
      </c>
      <c r="AG883" s="5">
        <f t="shared" si="894"/>
        <v>-4876.2274532342763</v>
      </c>
      <c r="AH883" s="5">
        <f t="shared" si="894"/>
        <v>-4876.2274532342763</v>
      </c>
    </row>
    <row r="884" spans="1:34" x14ac:dyDescent="0.35">
      <c r="A884" t="s">
        <v>904</v>
      </c>
      <c r="B884" s="3" t="s">
        <v>1266</v>
      </c>
      <c r="C884" s="4" t="s">
        <v>1267</v>
      </c>
      <c r="D884" s="2">
        <f t="shared" si="846"/>
        <v>29284.637172191447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19598.95052276288</v>
      </c>
      <c r="S884" s="5">
        <v>0</v>
      </c>
      <c r="T884" s="5">
        <v>0</v>
      </c>
      <c r="U884" s="5">
        <v>0</v>
      </c>
      <c r="V884" s="5">
        <v>9685.6866494285659</v>
      </c>
      <c r="W884" s="5">
        <f t="shared" ref="W884:AH884" si="895">IF(OR((SLOPE($E884:$V884,$E$1:$V$1)*W$1+INTERCEPT($E884:$V884,$E$1:$V$1))&gt;(AVERAGE($E884:$V884)+_xlfn.STDEV.P($E884:$V884)),(SLOPE($E884:$V884,$E$1:$V$1)*W$1+INTERCEPT($E884:$V884,$E$1:$V$1))&lt;(AVERAGE($E884:$V884)-_xlfn.STDEV.P($E884:$V884))),V884,(SLOPE($E884:$V884,$E$1:$V$1)*W$1+INTERCEPT($E884:$V884,$E$1:$V$1)))</f>
        <v>4970.524559355259</v>
      </c>
      <c r="X884" s="5">
        <f t="shared" si="895"/>
        <v>5322.4824827248685</v>
      </c>
      <c r="Y884" s="5">
        <f t="shared" si="895"/>
        <v>5674.4404060944762</v>
      </c>
      <c r="Z884" s="5">
        <f t="shared" si="895"/>
        <v>6026.3983294640857</v>
      </c>
      <c r="AA884" s="5">
        <f t="shared" si="895"/>
        <v>6378.3562528336952</v>
      </c>
      <c r="AB884" s="5">
        <f t="shared" si="895"/>
        <v>6378.3562528336952</v>
      </c>
      <c r="AC884" s="5">
        <f t="shared" si="895"/>
        <v>6378.3562528336952</v>
      </c>
      <c r="AD884" s="5">
        <f t="shared" si="895"/>
        <v>6378.3562528336952</v>
      </c>
      <c r="AE884" s="5">
        <f t="shared" si="895"/>
        <v>6378.3562528336952</v>
      </c>
      <c r="AF884" s="5">
        <f t="shared" si="895"/>
        <v>6378.3562528336952</v>
      </c>
      <c r="AG884" s="5">
        <f t="shared" si="895"/>
        <v>6378.3562528336952</v>
      </c>
      <c r="AH884" s="5">
        <f t="shared" si="895"/>
        <v>6378.3562528336952</v>
      </c>
    </row>
    <row r="885" spans="1:34" x14ac:dyDescent="0.35">
      <c r="A885" t="s">
        <v>905</v>
      </c>
      <c r="B885" s="3" t="s">
        <v>1266</v>
      </c>
      <c r="C885" s="4" t="s">
        <v>1263</v>
      </c>
      <c r="D885" s="2">
        <f t="shared" si="846"/>
        <v>29072.791211687068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11417.503725918697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17655.287485768371</v>
      </c>
      <c r="U885" s="5">
        <v>0</v>
      </c>
      <c r="V885" s="5">
        <v>0</v>
      </c>
      <c r="W885" s="5">
        <f t="shared" ref="W885:AH885" si="896">IF(OR((SLOPE($E885:$V885,$E$1:$V$1)*W$1+INTERCEPT($E885:$V885,$E$1:$V$1))&gt;(AVERAGE($E885:$V885)+_xlfn.STDEV.P($E885:$V885)),(SLOPE($E885:$V885,$E$1:$V$1)*W$1+INTERCEPT($E885:$V885,$E$1:$V$1))&lt;(AVERAGE($E885:$V885)-_xlfn.STDEV.P($E885:$V885))),V885,(SLOPE($E885:$V885,$E$1:$V$1)*W$1+INTERCEPT($E885:$V885,$E$1:$V$1)))</f>
        <v>3753.4024554440866</v>
      </c>
      <c r="X885" s="5">
        <f t="shared" si="896"/>
        <v>3978.4811278786274</v>
      </c>
      <c r="Y885" s="5">
        <f t="shared" si="896"/>
        <v>4203.5598003131681</v>
      </c>
      <c r="Z885" s="5">
        <f t="shared" si="896"/>
        <v>4428.6384727477089</v>
      </c>
      <c r="AA885" s="5">
        <f t="shared" si="896"/>
        <v>4653.7171451822505</v>
      </c>
      <c r="AB885" s="5">
        <f t="shared" si="896"/>
        <v>4878.7958176167913</v>
      </c>
      <c r="AC885" s="5">
        <f t="shared" si="896"/>
        <v>5103.874490051332</v>
      </c>
      <c r="AD885" s="5">
        <f t="shared" si="896"/>
        <v>5328.9531624858728</v>
      </c>
      <c r="AE885" s="5">
        <f t="shared" si="896"/>
        <v>5554.0318349204135</v>
      </c>
      <c r="AF885" s="5">
        <f t="shared" si="896"/>
        <v>5779.1105073549543</v>
      </c>
      <c r="AG885" s="5">
        <f t="shared" si="896"/>
        <v>6004.1891797894959</v>
      </c>
      <c r="AH885" s="5">
        <f t="shared" si="896"/>
        <v>6229.2678522240367</v>
      </c>
    </row>
    <row r="886" spans="1:34" x14ac:dyDescent="0.35">
      <c r="A886" t="s">
        <v>906</v>
      </c>
      <c r="B886" s="3" t="s">
        <v>1264</v>
      </c>
      <c r="C886" s="4" t="s">
        <v>1263</v>
      </c>
      <c r="D886" s="2">
        <f t="shared" si="846"/>
        <v>28968.5648</v>
      </c>
      <c r="E886" s="5">
        <v>3521.924</v>
      </c>
      <c r="F886" s="5">
        <v>1029.9407999999999</v>
      </c>
      <c r="G886" s="5">
        <v>3965.864</v>
      </c>
      <c r="H886" s="5">
        <v>1568.588</v>
      </c>
      <c r="I886" s="5">
        <v>3368.0248000000001</v>
      </c>
      <c r="J886" s="5">
        <v>556.40479999999991</v>
      </c>
      <c r="K886" s="5">
        <v>692.54639999999995</v>
      </c>
      <c r="L886" s="5">
        <v>307.79839999999996</v>
      </c>
      <c r="M886" s="5">
        <v>1651.4567999999999</v>
      </c>
      <c r="N886" s="5">
        <v>905.63760000000002</v>
      </c>
      <c r="O886" s="5">
        <v>1686.972</v>
      </c>
      <c r="P886" s="5">
        <v>1402.8504</v>
      </c>
      <c r="Q886" s="5">
        <v>1095.0519999999999</v>
      </c>
      <c r="R886" s="5">
        <v>2048.0432000000001</v>
      </c>
      <c r="S886" s="5">
        <v>1118.7287999999999</v>
      </c>
      <c r="T886" s="5">
        <v>1509.396</v>
      </c>
      <c r="U886" s="5">
        <v>0</v>
      </c>
      <c r="V886" s="5">
        <v>2539.3367999999996</v>
      </c>
      <c r="W886" s="5">
        <f t="shared" ref="W886:AH886" si="897">IF(OR((SLOPE($E886:$V886,$E$1:$V$1)*W$1+INTERCEPT($E886:$V886,$E$1:$V$1))&gt;(AVERAGE($E886:$V886)+_xlfn.STDEV.P($E886:$V886)),(SLOPE($E886:$V886,$E$1:$V$1)*W$1+INTERCEPT($E886:$V886,$E$1:$V$1))&lt;(AVERAGE($E886:$V886)-_xlfn.STDEV.P($E886:$V886))),V886,(SLOPE($E886:$V886,$E$1:$V$1)*W$1+INTERCEPT($E886:$V886,$E$1:$V$1)))</f>
        <v>921.11263267973845</v>
      </c>
      <c r="X886" s="5">
        <f t="shared" si="897"/>
        <v>848.66504547643603</v>
      </c>
      <c r="Y886" s="5">
        <f t="shared" si="897"/>
        <v>776.21745827313362</v>
      </c>
      <c r="Z886" s="5">
        <f t="shared" si="897"/>
        <v>703.7698710698312</v>
      </c>
      <c r="AA886" s="5">
        <f t="shared" si="897"/>
        <v>631.32228386652878</v>
      </c>
      <c r="AB886" s="5">
        <f t="shared" si="897"/>
        <v>558.87469666322659</v>
      </c>
      <c r="AC886" s="5">
        <f t="shared" si="897"/>
        <v>558.87469666322659</v>
      </c>
      <c r="AD886" s="5">
        <f t="shared" si="897"/>
        <v>558.87469666322659</v>
      </c>
      <c r="AE886" s="5">
        <f t="shared" si="897"/>
        <v>558.87469666322659</v>
      </c>
      <c r="AF886" s="5">
        <f t="shared" si="897"/>
        <v>558.87469666322659</v>
      </c>
      <c r="AG886" s="5">
        <f t="shared" si="897"/>
        <v>558.87469666322659</v>
      </c>
      <c r="AH886" s="5">
        <f t="shared" si="897"/>
        <v>558.87469666322659</v>
      </c>
    </row>
    <row r="887" spans="1:34" x14ac:dyDescent="0.35">
      <c r="A887" t="s">
        <v>907</v>
      </c>
      <c r="B887" s="3" t="s">
        <v>1266</v>
      </c>
      <c r="C887" s="4" t="s">
        <v>1267</v>
      </c>
      <c r="D887" s="2">
        <f t="shared" si="846"/>
        <v>28536.367300815658</v>
      </c>
      <c r="E887" s="5">
        <v>0</v>
      </c>
      <c r="F887" s="5">
        <v>0</v>
      </c>
      <c r="G887" s="5">
        <v>14118.65997290276</v>
      </c>
      <c r="H887" s="5">
        <v>0</v>
      </c>
      <c r="I887" s="5">
        <v>0</v>
      </c>
      <c r="J887" s="5">
        <v>0</v>
      </c>
      <c r="K887" s="5">
        <v>14417.707327912898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f t="shared" ref="W887:AH887" si="898">IF(OR((SLOPE($E887:$V887,$E$1:$V$1)*W$1+INTERCEPT($E887:$V887,$E$1:$V$1))&gt;(AVERAGE($E887:$V887)+_xlfn.STDEV.P($E887:$V887)),(SLOPE($E887:$V887,$E$1:$V$1)*W$1+INTERCEPT($E887:$V887,$E$1:$V$1))&lt;(AVERAGE($E887:$V887)-_xlfn.STDEV.P($E887:$V887))),V887,(SLOPE($E887:$V887,$E$1:$V$1)*W$1+INTERCEPT($E887:$V887,$E$1:$V$1)))</f>
        <v>-920.8336756471731</v>
      </c>
      <c r="X887" s="5">
        <f t="shared" si="898"/>
        <v>-1184.6428771820542</v>
      </c>
      <c r="Y887" s="5">
        <f t="shared" si="898"/>
        <v>-1448.4520787169363</v>
      </c>
      <c r="Z887" s="5">
        <f t="shared" si="898"/>
        <v>-1712.2612802518183</v>
      </c>
      <c r="AA887" s="5">
        <f t="shared" si="898"/>
        <v>-1976.0704817866995</v>
      </c>
      <c r="AB887" s="5">
        <f t="shared" si="898"/>
        <v>-2239.8796833215815</v>
      </c>
      <c r="AC887" s="5">
        <f t="shared" si="898"/>
        <v>-2503.6888848564636</v>
      </c>
      <c r="AD887" s="5">
        <f t="shared" si="898"/>
        <v>-2767.4980863913447</v>
      </c>
      <c r="AE887" s="5">
        <f t="shared" si="898"/>
        <v>-2767.4980863913447</v>
      </c>
      <c r="AF887" s="5">
        <f t="shared" si="898"/>
        <v>-2767.4980863913447</v>
      </c>
      <c r="AG887" s="5">
        <f t="shared" si="898"/>
        <v>-2767.4980863913447</v>
      </c>
      <c r="AH887" s="5">
        <f t="shared" si="898"/>
        <v>-2767.4980863913447</v>
      </c>
    </row>
    <row r="888" spans="1:34" x14ac:dyDescent="0.35">
      <c r="A888" t="s">
        <v>908</v>
      </c>
      <c r="B888" s="3" t="s">
        <v>1266</v>
      </c>
      <c r="C888" s="4" t="s">
        <v>1263</v>
      </c>
      <c r="D888" s="2">
        <f t="shared" si="846"/>
        <v>28139.432044851412</v>
      </c>
      <c r="E888" s="5">
        <v>0</v>
      </c>
      <c r="F888" s="5">
        <v>0</v>
      </c>
      <c r="G888" s="5">
        <v>0</v>
      </c>
      <c r="H888" s="5">
        <v>16554.651458251406</v>
      </c>
      <c r="I888" s="5">
        <v>0</v>
      </c>
      <c r="J888" s="5">
        <v>11584.780586600005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f t="shared" ref="W888:AH888" si="899">IF(OR((SLOPE($E888:$V888,$E$1:$V$1)*W$1+INTERCEPT($E888:$V888,$E$1:$V$1))&gt;(AVERAGE($E888:$V888)+_xlfn.STDEV.P($E888:$V888)),(SLOPE($E888:$V888,$E$1:$V$1)*W$1+INTERCEPT($E888:$V888,$E$1:$V$1))&lt;(AVERAGE($E888:$V888)-_xlfn.STDEV.P($E888:$V888))),V888,(SLOPE($E888:$V888,$E$1:$V$1)*W$1+INTERCEPT($E888:$V888,$E$1:$V$1)))</f>
        <v>-1017.0377309752366</v>
      </c>
      <c r="X888" s="5">
        <f t="shared" si="899"/>
        <v>-1288.6524163694221</v>
      </c>
      <c r="Y888" s="5">
        <f t="shared" si="899"/>
        <v>-1560.2671017636076</v>
      </c>
      <c r="Z888" s="5">
        <f t="shared" si="899"/>
        <v>-1831.8817871577921</v>
      </c>
      <c r="AA888" s="5">
        <f t="shared" si="899"/>
        <v>-2103.4964725519776</v>
      </c>
      <c r="AB888" s="5">
        <f t="shared" si="899"/>
        <v>-2375.1111579461631</v>
      </c>
      <c r="AC888" s="5">
        <f t="shared" si="899"/>
        <v>-2646.7258433403485</v>
      </c>
      <c r="AD888" s="5">
        <f t="shared" si="899"/>
        <v>-2918.340528734534</v>
      </c>
      <c r="AE888" s="5">
        <f t="shared" si="899"/>
        <v>-2918.340528734534</v>
      </c>
      <c r="AF888" s="5">
        <f t="shared" si="899"/>
        <v>-2918.340528734534</v>
      </c>
      <c r="AG888" s="5">
        <f t="shared" si="899"/>
        <v>-2918.340528734534</v>
      </c>
      <c r="AH888" s="5">
        <f t="shared" si="899"/>
        <v>-2918.340528734534</v>
      </c>
    </row>
    <row r="889" spans="1:34" x14ac:dyDescent="0.35">
      <c r="A889" t="s">
        <v>909</v>
      </c>
      <c r="B889" s="3" t="s">
        <v>1266</v>
      </c>
      <c r="C889" s="4" t="s">
        <v>1267</v>
      </c>
      <c r="D889" s="2">
        <f t="shared" si="846"/>
        <v>27827.971368854029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1564.8446345836123</v>
      </c>
      <c r="O889" s="5">
        <v>0</v>
      </c>
      <c r="P889" s="5">
        <v>22980.235892486613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3282.890841783802</v>
      </c>
      <c r="W889" s="5">
        <f t="shared" ref="W889:AH889" si="900">IF(OR((SLOPE($E889:$V889,$E$1:$V$1)*W$1+INTERCEPT($E889:$V889,$E$1:$V$1))&gt;(AVERAGE($E889:$V889)+_xlfn.STDEV.P($E889:$V889)),(SLOPE($E889:$V889,$E$1:$V$1)*W$1+INTERCEPT($E889:$V889,$E$1:$V$1))&lt;(AVERAGE($E889:$V889)-_xlfn.STDEV.P($E889:$V889))),V889,(SLOPE($E889:$V889,$E$1:$V$1)*W$1+INTERCEPT($E889:$V889,$E$1:$V$1)))</f>
        <v>3234.970648668439</v>
      </c>
      <c r="X889" s="5">
        <f t="shared" si="900"/>
        <v>3412.7572001724029</v>
      </c>
      <c r="Y889" s="5">
        <f t="shared" si="900"/>
        <v>3590.5437516763668</v>
      </c>
      <c r="Z889" s="5">
        <f t="shared" si="900"/>
        <v>3768.3303031803307</v>
      </c>
      <c r="AA889" s="5">
        <f t="shared" si="900"/>
        <v>3946.1168546842955</v>
      </c>
      <c r="AB889" s="5">
        <f t="shared" si="900"/>
        <v>4123.9034061882594</v>
      </c>
      <c r="AC889" s="5">
        <f t="shared" si="900"/>
        <v>4301.6899576922233</v>
      </c>
      <c r="AD889" s="5">
        <f t="shared" si="900"/>
        <v>4479.4765091961872</v>
      </c>
      <c r="AE889" s="5">
        <f t="shared" si="900"/>
        <v>4657.263060700152</v>
      </c>
      <c r="AF889" s="5">
        <f t="shared" si="900"/>
        <v>4835.0496122041159</v>
      </c>
      <c r="AG889" s="5">
        <f t="shared" si="900"/>
        <v>5012.8361637080798</v>
      </c>
      <c r="AH889" s="5">
        <f t="shared" si="900"/>
        <v>5190.6227152120437</v>
      </c>
    </row>
    <row r="890" spans="1:34" x14ac:dyDescent="0.35">
      <c r="A890" t="s">
        <v>910</v>
      </c>
      <c r="B890" s="3" t="s">
        <v>1264</v>
      </c>
      <c r="C890" s="4" t="s">
        <v>1263</v>
      </c>
      <c r="D890" s="2">
        <f t="shared" si="846"/>
        <v>25608.474346880765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11881.709668756743</v>
      </c>
      <c r="M890" s="5">
        <v>444.59156852223543</v>
      </c>
      <c r="N890" s="5">
        <v>222.29578426111775</v>
      </c>
      <c r="O890" s="5">
        <v>0</v>
      </c>
      <c r="P890" s="5">
        <v>0</v>
      </c>
      <c r="Q890" s="5">
        <v>0</v>
      </c>
      <c r="R890" s="5">
        <v>77.803524491391215</v>
      </c>
      <c r="S890" s="5">
        <v>1244.8563918622592</v>
      </c>
      <c r="T890" s="5">
        <v>2700.8937787725808</v>
      </c>
      <c r="U890" s="5">
        <v>5323.9840330537691</v>
      </c>
      <c r="V890" s="5">
        <v>3712.339597160666</v>
      </c>
      <c r="W890" s="5">
        <f t="shared" ref="W890:AH890" si="901">IF(OR((SLOPE($E890:$V890,$E$1:$V$1)*W$1+INTERCEPT($E890:$V890,$E$1:$V$1))&gt;(AVERAGE($E890:$V890)+_xlfn.STDEV.P($E890:$V890)),(SLOPE($E890:$V890,$E$1:$V$1)*W$1+INTERCEPT($E890:$V890,$E$1:$V$1))&lt;(AVERAGE($E890:$V890)-_xlfn.STDEV.P($E890:$V890))),V890,(SLOPE($E890:$V890,$E$1:$V$1)*W$1+INTERCEPT($E890:$V890,$E$1:$V$1)))</f>
        <v>2958.0594899766184</v>
      </c>
      <c r="X890" s="5">
        <f t="shared" si="901"/>
        <v>3119.6770132087731</v>
      </c>
      <c r="Y890" s="5">
        <f t="shared" si="901"/>
        <v>3281.294536440927</v>
      </c>
      <c r="Z890" s="5">
        <f t="shared" si="901"/>
        <v>3442.9120596730809</v>
      </c>
      <c r="AA890" s="5">
        <f t="shared" si="901"/>
        <v>3604.5295829052357</v>
      </c>
      <c r="AB890" s="5">
        <f t="shared" si="901"/>
        <v>3766.1471061373895</v>
      </c>
      <c r="AC890" s="5">
        <f t="shared" si="901"/>
        <v>3927.7646293695443</v>
      </c>
      <c r="AD890" s="5">
        <f t="shared" si="901"/>
        <v>4089.3821526016982</v>
      </c>
      <c r="AE890" s="5">
        <f t="shared" si="901"/>
        <v>4250.9996758338521</v>
      </c>
      <c r="AF890" s="5">
        <f t="shared" si="901"/>
        <v>4250.9996758338521</v>
      </c>
      <c r="AG890" s="5">
        <f t="shared" si="901"/>
        <v>4250.9996758338521</v>
      </c>
      <c r="AH890" s="5">
        <f t="shared" si="901"/>
        <v>4250.9996758338521</v>
      </c>
    </row>
    <row r="891" spans="1:34" x14ac:dyDescent="0.35">
      <c r="A891" t="s">
        <v>911</v>
      </c>
      <c r="B891" s="3" t="s">
        <v>1264</v>
      </c>
      <c r="C891" s="4" t="s">
        <v>1263</v>
      </c>
      <c r="D891" s="2">
        <f t="shared" si="846"/>
        <v>27529.490738704193</v>
      </c>
      <c r="E891" s="5">
        <v>0</v>
      </c>
      <c r="F891" s="5">
        <v>0</v>
      </c>
      <c r="G891" s="5">
        <v>0</v>
      </c>
      <c r="H891" s="5">
        <v>8425.2723545404515</v>
      </c>
      <c r="I891" s="5">
        <v>8234.5768897257494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1126.8368375414184</v>
      </c>
      <c r="P891" s="5">
        <v>0</v>
      </c>
      <c r="Q891" s="5">
        <v>0</v>
      </c>
      <c r="R891" s="5">
        <v>2730.4123371195906</v>
      </c>
      <c r="S891" s="5">
        <v>3467.1902693582106</v>
      </c>
      <c r="T891" s="5">
        <v>1083.4969591744407</v>
      </c>
      <c r="U891" s="5">
        <v>1161.5087402350005</v>
      </c>
      <c r="V891" s="5">
        <v>1300.196351009329</v>
      </c>
      <c r="W891" s="5">
        <f t="shared" ref="W891:AH891" si="902">IF(OR((SLOPE($E891:$V891,$E$1:$V$1)*W$1+INTERCEPT($E891:$V891,$E$1:$V$1))&gt;(AVERAGE($E891:$V891)+_xlfn.STDEV.P($E891:$V891)),(SLOPE($E891:$V891,$E$1:$V$1)*W$1+INTERCEPT($E891:$V891,$E$1:$V$1))&lt;(AVERAGE($E891:$V891)-_xlfn.STDEV.P($E891:$V891))),V891,(SLOPE($E891:$V891,$E$1:$V$1)*W$1+INTERCEPT($E891:$V891,$E$1:$V$1)))</f>
        <v>1067.8039574650907</v>
      </c>
      <c r="X891" s="5">
        <f t="shared" si="902"/>
        <v>1019.2132001298127</v>
      </c>
      <c r="Y891" s="5">
        <f t="shared" si="902"/>
        <v>970.62244279453455</v>
      </c>
      <c r="Z891" s="5">
        <f t="shared" si="902"/>
        <v>922.03168545925632</v>
      </c>
      <c r="AA891" s="5">
        <f t="shared" si="902"/>
        <v>873.44092812397821</v>
      </c>
      <c r="AB891" s="5">
        <f t="shared" si="902"/>
        <v>824.8501707887001</v>
      </c>
      <c r="AC891" s="5">
        <f t="shared" si="902"/>
        <v>776.25941345342198</v>
      </c>
      <c r="AD891" s="5">
        <f t="shared" si="902"/>
        <v>727.66865611814387</v>
      </c>
      <c r="AE891" s="5">
        <f t="shared" si="902"/>
        <v>679.07789878286576</v>
      </c>
      <c r="AF891" s="5">
        <f t="shared" si="902"/>
        <v>630.48714144758765</v>
      </c>
      <c r="AG891" s="5">
        <f t="shared" si="902"/>
        <v>581.89638411230953</v>
      </c>
      <c r="AH891" s="5">
        <f t="shared" si="902"/>
        <v>533.30562677703142</v>
      </c>
    </row>
    <row r="892" spans="1:34" x14ac:dyDescent="0.35">
      <c r="A892" t="s">
        <v>912</v>
      </c>
      <c r="B892" s="3" t="s">
        <v>1266</v>
      </c>
      <c r="C892" s="4" t="s">
        <v>1263</v>
      </c>
      <c r="D892" s="2">
        <f t="shared" si="846"/>
        <v>27527.461548255756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9823.439886371998</v>
      </c>
      <c r="Q892" s="5">
        <v>3165.3306300531995</v>
      </c>
      <c r="R892" s="5">
        <v>0</v>
      </c>
      <c r="S892" s="5">
        <v>0</v>
      </c>
      <c r="T892" s="5">
        <v>1309.7919848495997</v>
      </c>
      <c r="U892" s="5">
        <v>0</v>
      </c>
      <c r="V892" s="5">
        <v>13228.899046980958</v>
      </c>
      <c r="W892" s="5">
        <f t="shared" ref="W892:AH892" si="903">IF(OR((SLOPE($E892:$V892,$E$1:$V$1)*W$1+INTERCEPT($E892:$V892,$E$1:$V$1))&gt;(AVERAGE($E892:$V892)+_xlfn.STDEV.P($E892:$V892)),(SLOPE($E892:$V892,$E$1:$V$1)*W$1+INTERCEPT($E892:$V892,$E$1:$V$1))&lt;(AVERAGE($E892:$V892)-_xlfn.STDEV.P($E892:$V892))),V892,(SLOPE($E892:$V892,$E$1:$V$1)*W$1+INTERCEPT($E892:$V892,$E$1:$V$1)))</f>
        <v>4599.8239433078697</v>
      </c>
      <c r="X892" s="5">
        <f t="shared" si="903"/>
        <v>4923.0366300405358</v>
      </c>
      <c r="Y892" s="5">
        <f t="shared" si="903"/>
        <v>4923.0366300405358</v>
      </c>
      <c r="Z892" s="5">
        <f t="shared" si="903"/>
        <v>4923.0366300405358</v>
      </c>
      <c r="AA892" s="5">
        <f t="shared" si="903"/>
        <v>4923.0366300405358</v>
      </c>
      <c r="AB892" s="5">
        <f t="shared" si="903"/>
        <v>4923.0366300405358</v>
      </c>
      <c r="AC892" s="5">
        <f t="shared" si="903"/>
        <v>4923.0366300405358</v>
      </c>
      <c r="AD892" s="5">
        <f t="shared" si="903"/>
        <v>4923.0366300405358</v>
      </c>
      <c r="AE892" s="5">
        <f t="shared" si="903"/>
        <v>4923.0366300405358</v>
      </c>
      <c r="AF892" s="5">
        <f t="shared" si="903"/>
        <v>4923.0366300405358</v>
      </c>
      <c r="AG892" s="5">
        <f t="shared" si="903"/>
        <v>4923.0366300405358</v>
      </c>
      <c r="AH892" s="5">
        <f t="shared" si="903"/>
        <v>4923.0366300405358</v>
      </c>
    </row>
    <row r="893" spans="1:34" x14ac:dyDescent="0.35">
      <c r="A893" t="s">
        <v>913</v>
      </c>
      <c r="B893" s="3" t="s">
        <v>1264</v>
      </c>
      <c r="C893" s="4" t="s">
        <v>1263</v>
      </c>
      <c r="D893" s="2">
        <f t="shared" si="846"/>
        <v>27421.968000000004</v>
      </c>
      <c r="E893" s="5">
        <v>1848.672</v>
      </c>
      <c r="F893" s="5">
        <v>1694.616</v>
      </c>
      <c r="G893" s="5">
        <v>1848.672</v>
      </c>
      <c r="H893" s="5">
        <v>2156.7840000000001</v>
      </c>
      <c r="I893" s="5">
        <v>1848.672</v>
      </c>
      <c r="J893" s="5">
        <v>1848.672</v>
      </c>
      <c r="K893" s="5">
        <v>2002.7280000000001</v>
      </c>
      <c r="L893" s="5">
        <v>462.16800000000001</v>
      </c>
      <c r="M893" s="5">
        <v>2927.0639999999994</v>
      </c>
      <c r="N893" s="5">
        <v>1232.4479999999999</v>
      </c>
      <c r="O893" s="5">
        <v>1848.672</v>
      </c>
      <c r="P893" s="5">
        <v>2618.9519999999993</v>
      </c>
      <c r="Q893" s="5">
        <v>1540.56</v>
      </c>
      <c r="R893" s="5">
        <v>1386.5039999999999</v>
      </c>
      <c r="S893" s="5">
        <v>0</v>
      </c>
      <c r="T893" s="5">
        <v>1386.5039999999999</v>
      </c>
      <c r="U893" s="5">
        <v>770.28</v>
      </c>
      <c r="V893" s="5">
        <v>0</v>
      </c>
      <c r="W893" s="5">
        <f t="shared" ref="W893:AH893" si="904">IF(OR((SLOPE($E893:$V893,$E$1:$V$1)*W$1+INTERCEPT($E893:$V893,$E$1:$V$1))&gt;(AVERAGE($E893:$V893)+_xlfn.STDEV.P($E893:$V893)),(SLOPE($E893:$V893,$E$1:$V$1)*W$1+INTERCEPT($E893:$V893,$E$1:$V$1))&lt;(AVERAGE($E893:$V893)-_xlfn.STDEV.P($E893:$V893))),V893,(SLOPE($E893:$V893,$E$1:$V$1)*W$1+INTERCEPT($E893:$V893,$E$1:$V$1)))</f>
        <v>780.34901960784305</v>
      </c>
      <c r="X893" s="5">
        <f t="shared" si="904"/>
        <v>780.34901960784305</v>
      </c>
      <c r="Y893" s="5">
        <f t="shared" si="904"/>
        <v>780.34901960784305</v>
      </c>
      <c r="Z893" s="5">
        <f t="shared" si="904"/>
        <v>780.34901960784305</v>
      </c>
      <c r="AA893" s="5">
        <f t="shared" si="904"/>
        <v>780.34901960784305</v>
      </c>
      <c r="AB893" s="5">
        <f t="shared" si="904"/>
        <v>780.34901960784305</v>
      </c>
      <c r="AC893" s="5">
        <f t="shared" si="904"/>
        <v>780.34901960784305</v>
      </c>
      <c r="AD893" s="5">
        <f t="shared" si="904"/>
        <v>780.34901960784305</v>
      </c>
      <c r="AE893" s="5">
        <f t="shared" si="904"/>
        <v>780.34901960784305</v>
      </c>
      <c r="AF893" s="5">
        <f t="shared" si="904"/>
        <v>780.34901960784305</v>
      </c>
      <c r="AG893" s="5">
        <f t="shared" si="904"/>
        <v>780.34901960784305</v>
      </c>
      <c r="AH893" s="5">
        <f t="shared" si="904"/>
        <v>780.34901960784305</v>
      </c>
    </row>
    <row r="894" spans="1:34" x14ac:dyDescent="0.35">
      <c r="A894" t="s">
        <v>914</v>
      </c>
      <c r="B894" s="3" t="s">
        <v>1264</v>
      </c>
      <c r="C894" s="4" t="s">
        <v>1263</v>
      </c>
      <c r="D894" s="2">
        <f t="shared" si="846"/>
        <v>27399.588494149408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21600.413053278553</v>
      </c>
      <c r="M894" s="5">
        <v>404.12372410249867</v>
      </c>
      <c r="N894" s="5">
        <v>80.824744820499731</v>
      </c>
      <c r="O894" s="5">
        <v>0</v>
      </c>
      <c r="P894" s="5">
        <v>0</v>
      </c>
      <c r="Q894" s="5">
        <v>101.03093102562467</v>
      </c>
      <c r="R894" s="5">
        <v>101.03093102562467</v>
      </c>
      <c r="S894" s="5">
        <v>121.2371172307496</v>
      </c>
      <c r="T894" s="5">
        <v>727.42270338449759</v>
      </c>
      <c r="U894" s="5">
        <v>2222.6804825637428</v>
      </c>
      <c r="V894" s="5">
        <v>2040.8248067176182</v>
      </c>
      <c r="W894" s="5">
        <f t="shared" ref="W894:AH894" si="905">IF(OR((SLOPE($E894:$V894,$E$1:$V$1)*W$1+INTERCEPT($E894:$V894,$E$1:$V$1))&gt;(AVERAGE($E894:$V894)+_xlfn.STDEV.P($E894:$V894)),(SLOPE($E894:$V894,$E$1:$V$1)*W$1+INTERCEPT($E894:$V894,$E$1:$V$1))&lt;(AVERAGE($E894:$V894)-_xlfn.STDEV.P($E894:$V894))),V894,(SLOPE($E894:$V894,$E$1:$V$1)*W$1+INTERCEPT($E894:$V894,$E$1:$V$1)))</f>
        <v>1672.3590582712225</v>
      </c>
      <c r="X894" s="5">
        <f t="shared" si="905"/>
        <v>1688.165342217027</v>
      </c>
      <c r="Y894" s="5">
        <f t="shared" si="905"/>
        <v>1703.9716261628319</v>
      </c>
      <c r="Z894" s="5">
        <f t="shared" si="905"/>
        <v>1719.7779101086364</v>
      </c>
      <c r="AA894" s="5">
        <f t="shared" si="905"/>
        <v>1735.584194054441</v>
      </c>
      <c r="AB894" s="5">
        <f t="shared" si="905"/>
        <v>1751.3904780002458</v>
      </c>
      <c r="AC894" s="5">
        <f t="shared" si="905"/>
        <v>1767.1967619460504</v>
      </c>
      <c r="AD894" s="5">
        <f t="shared" si="905"/>
        <v>1783.003045891855</v>
      </c>
      <c r="AE894" s="5">
        <f t="shared" si="905"/>
        <v>1798.8093298376598</v>
      </c>
      <c r="AF894" s="5">
        <f t="shared" si="905"/>
        <v>1814.6156137834644</v>
      </c>
      <c r="AG894" s="5">
        <f t="shared" si="905"/>
        <v>1830.4218977292689</v>
      </c>
      <c r="AH894" s="5">
        <f t="shared" si="905"/>
        <v>1846.2281816750738</v>
      </c>
    </row>
    <row r="895" spans="1:34" x14ac:dyDescent="0.35">
      <c r="A895" t="s">
        <v>915</v>
      </c>
      <c r="B895" s="3" t="s">
        <v>1265</v>
      </c>
      <c r="C895" s="4" t="s">
        <v>1263</v>
      </c>
      <c r="D895" s="2">
        <f t="shared" si="846"/>
        <v>27385.120000000003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21516.880000000001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5868.24</v>
      </c>
      <c r="W895" s="5">
        <f t="shared" ref="W895:AH895" si="906">IF(OR((SLOPE($E895:$V895,$E$1:$V$1)*W$1+INTERCEPT($E895:$V895,$E$1:$V$1))&gt;(AVERAGE($E895:$V895)+_xlfn.STDEV.P($E895:$V895)),(SLOPE($E895:$V895,$E$1:$V$1)*W$1+INTERCEPT($E895:$V895,$E$1:$V$1))&lt;(AVERAGE($E895:$V895)-_xlfn.STDEV.P($E895:$V895))),V895,(SLOPE($E895:$V895,$E$1:$V$1)*W$1+INTERCEPT($E895:$V895,$E$1:$V$1)))</f>
        <v>3554.1845751633991</v>
      </c>
      <c r="X895" s="5">
        <f t="shared" si="906"/>
        <v>3768.1623667010663</v>
      </c>
      <c r="Y895" s="5">
        <f t="shared" si="906"/>
        <v>3982.1401582387343</v>
      </c>
      <c r="Z895" s="5">
        <f t="shared" si="906"/>
        <v>4196.1179497764024</v>
      </c>
      <c r="AA895" s="5">
        <f t="shared" si="906"/>
        <v>4410.0957413140695</v>
      </c>
      <c r="AB895" s="5">
        <f t="shared" si="906"/>
        <v>4624.0735328517376</v>
      </c>
      <c r="AC895" s="5">
        <f t="shared" si="906"/>
        <v>4838.0513243894056</v>
      </c>
      <c r="AD895" s="5">
        <f t="shared" si="906"/>
        <v>5052.0291159270728</v>
      </c>
      <c r="AE895" s="5">
        <f t="shared" si="906"/>
        <v>5266.0069074647408</v>
      </c>
      <c r="AF895" s="5">
        <f t="shared" si="906"/>
        <v>5479.9846990024089</v>
      </c>
      <c r="AG895" s="5">
        <f t="shared" si="906"/>
        <v>5693.962490540076</v>
      </c>
      <c r="AH895" s="5">
        <f t="shared" si="906"/>
        <v>5907.9402820777441</v>
      </c>
    </row>
    <row r="896" spans="1:34" x14ac:dyDescent="0.35">
      <c r="A896" t="s">
        <v>916</v>
      </c>
      <c r="B896" s="3" t="s">
        <v>1266</v>
      </c>
      <c r="C896" s="4" t="s">
        <v>1267</v>
      </c>
      <c r="D896" s="2">
        <f t="shared" si="846"/>
        <v>27364.817758594229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27364.817758594229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f t="shared" ref="W896:AH896" si="907">IF(OR((SLOPE($E896:$V896,$E$1:$V$1)*W$1+INTERCEPT($E896:$V896,$E$1:$V$1))&gt;(AVERAGE($E896:$V896)+_xlfn.STDEV.P($E896:$V896)),(SLOPE($E896:$V896,$E$1:$V$1)*W$1+INTERCEPT($E896:$V896,$E$1:$V$1))&lt;(AVERAGE($E896:$V896)-_xlfn.STDEV.P($E896:$V896))),V896,(SLOPE($E896:$V896,$E$1:$V$1)*W$1+INTERCEPT($E896:$V896,$E$1:$V$1)))</f>
        <v>178.85501803002762</v>
      </c>
      <c r="X896" s="5">
        <f t="shared" si="907"/>
        <v>37.653688006321318</v>
      </c>
      <c r="Y896" s="5">
        <f t="shared" si="907"/>
        <v>-103.54764201738453</v>
      </c>
      <c r="Z896" s="5">
        <f t="shared" si="907"/>
        <v>-244.74897204109038</v>
      </c>
      <c r="AA896" s="5">
        <f t="shared" si="907"/>
        <v>-385.95030206479669</v>
      </c>
      <c r="AB896" s="5">
        <f t="shared" si="907"/>
        <v>-527.15163208850254</v>
      </c>
      <c r="AC896" s="5">
        <f t="shared" si="907"/>
        <v>-668.35296211220839</v>
      </c>
      <c r="AD896" s="5">
        <f t="shared" si="907"/>
        <v>-809.55429213591469</v>
      </c>
      <c r="AE896" s="5">
        <f t="shared" si="907"/>
        <v>-950.75562215962054</v>
      </c>
      <c r="AF896" s="5">
        <f t="shared" si="907"/>
        <v>-1091.9569521833264</v>
      </c>
      <c r="AG896" s="5">
        <f t="shared" si="907"/>
        <v>-1233.1582822070327</v>
      </c>
      <c r="AH896" s="5">
        <f t="shared" si="907"/>
        <v>-1374.359612230739</v>
      </c>
    </row>
    <row r="897" spans="1:34" x14ac:dyDescent="0.35">
      <c r="A897" t="s">
        <v>917</v>
      </c>
      <c r="B897" s="3" t="s">
        <v>1266</v>
      </c>
      <c r="C897" s="4" t="s">
        <v>1267</v>
      </c>
      <c r="D897" s="2">
        <f t="shared" si="846"/>
        <v>27186.210205143179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18261.784722425688</v>
      </c>
      <c r="S897" s="5">
        <v>0</v>
      </c>
      <c r="T897" s="5">
        <v>0</v>
      </c>
      <c r="U897" s="5">
        <v>8924.42548271749</v>
      </c>
      <c r="V897" s="5">
        <v>0</v>
      </c>
      <c r="W897" s="5">
        <f t="shared" ref="W897:AH897" si="908">IF(OR((SLOPE($E897:$V897,$E$1:$V$1)*W$1+INTERCEPT($E897:$V897,$E$1:$V$1))&gt;(AVERAGE($E897:$V897)+_xlfn.STDEV.P($E897:$V897)),(SLOPE($E897:$V897,$E$1:$V$1)*W$1+INTERCEPT($E897:$V897,$E$1:$V$1))&lt;(AVERAGE($E897:$V897)-_xlfn.STDEV.P($E897:$V897))),V897,(SLOPE($E897:$V897,$E$1:$V$1)*W$1+INTERCEPT($E897:$V897,$E$1:$V$1)))</f>
        <v>4434.0944696575643</v>
      </c>
      <c r="X897" s="5">
        <f t="shared" si="908"/>
        <v>4741.8575705271141</v>
      </c>
      <c r="Y897" s="5">
        <f t="shared" si="908"/>
        <v>5049.6206713966621</v>
      </c>
      <c r="Z897" s="5">
        <f t="shared" si="908"/>
        <v>5357.383772266212</v>
      </c>
      <c r="AA897" s="5">
        <f t="shared" si="908"/>
        <v>5665.1468731357618</v>
      </c>
      <c r="AB897" s="5">
        <f t="shared" si="908"/>
        <v>5972.9099740053116</v>
      </c>
      <c r="AC897" s="5">
        <f t="shared" si="908"/>
        <v>5972.9099740053116</v>
      </c>
      <c r="AD897" s="5">
        <f t="shared" si="908"/>
        <v>5972.9099740053116</v>
      </c>
      <c r="AE897" s="5">
        <f t="shared" si="908"/>
        <v>5972.9099740053116</v>
      </c>
      <c r="AF897" s="5">
        <f t="shared" si="908"/>
        <v>5972.9099740053116</v>
      </c>
      <c r="AG897" s="5">
        <f t="shared" si="908"/>
        <v>5972.9099740053116</v>
      </c>
      <c r="AH897" s="5">
        <f t="shared" si="908"/>
        <v>5972.9099740053116</v>
      </c>
    </row>
    <row r="898" spans="1:34" x14ac:dyDescent="0.35">
      <c r="A898" t="s">
        <v>918</v>
      </c>
      <c r="B898" s="3" t="s">
        <v>1265</v>
      </c>
      <c r="C898" s="4" t="s">
        <v>1263</v>
      </c>
      <c r="D898" s="2">
        <f t="shared" si="846"/>
        <v>27034.909535600731</v>
      </c>
      <c r="E898" s="5">
        <v>0</v>
      </c>
      <c r="F898" s="5">
        <v>0</v>
      </c>
      <c r="G898" s="5">
        <v>0</v>
      </c>
      <c r="H898" s="5">
        <v>8143.0450408435945</v>
      </c>
      <c r="I898" s="5">
        <v>0</v>
      </c>
      <c r="J898" s="5">
        <v>2714.3483469478647</v>
      </c>
      <c r="K898" s="5">
        <v>977.16540490123134</v>
      </c>
      <c r="L898" s="5">
        <v>4885.8270245061558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2931.496214703694</v>
      </c>
      <c r="S898" s="5">
        <v>0</v>
      </c>
      <c r="T898" s="5">
        <v>977.16540490123134</v>
      </c>
      <c r="U898" s="5">
        <v>4885.8270245061558</v>
      </c>
      <c r="V898" s="5">
        <v>1520.0350742908042</v>
      </c>
      <c r="W898" s="5">
        <f t="shared" ref="W898:AH898" si="909">IF(OR((SLOPE($E898:$V898,$E$1:$V$1)*W$1+INTERCEPT($E898:$V898,$E$1:$V$1))&gt;(AVERAGE($E898:$V898)+_xlfn.STDEV.P($E898:$V898)),(SLOPE($E898:$V898,$E$1:$V$1)*W$1+INTERCEPT($E898:$V898,$E$1:$V$1))&lt;(AVERAGE($E898:$V898)-_xlfn.STDEV.P($E898:$V898))),V898,(SLOPE($E898:$V898,$E$1:$V$1)*W$1+INTERCEPT($E898:$V898,$E$1:$V$1)))</f>
        <v>1600.933299533172</v>
      </c>
      <c r="X898" s="5">
        <f t="shared" si="909"/>
        <v>1611.3537080477704</v>
      </c>
      <c r="Y898" s="5">
        <f t="shared" si="909"/>
        <v>1621.774116562369</v>
      </c>
      <c r="Z898" s="5">
        <f t="shared" si="909"/>
        <v>1632.1945250769677</v>
      </c>
      <c r="AA898" s="5">
        <f t="shared" si="909"/>
        <v>1642.6149335915663</v>
      </c>
      <c r="AB898" s="5">
        <f t="shared" si="909"/>
        <v>1653.0353421061648</v>
      </c>
      <c r="AC898" s="5">
        <f t="shared" si="909"/>
        <v>1663.4557506207634</v>
      </c>
      <c r="AD898" s="5">
        <f t="shared" si="909"/>
        <v>1673.8761591353621</v>
      </c>
      <c r="AE898" s="5">
        <f t="shared" si="909"/>
        <v>1684.2965676499607</v>
      </c>
      <c r="AF898" s="5">
        <f t="shared" si="909"/>
        <v>1694.7169761645591</v>
      </c>
      <c r="AG898" s="5">
        <f t="shared" si="909"/>
        <v>1705.1373846791578</v>
      </c>
      <c r="AH898" s="5">
        <f t="shared" si="909"/>
        <v>1715.5577931937564</v>
      </c>
    </row>
    <row r="899" spans="1:34" x14ac:dyDescent="0.35">
      <c r="A899" t="s">
        <v>919</v>
      </c>
      <c r="B899" s="3" t="s">
        <v>1266</v>
      </c>
      <c r="C899" s="4" t="s">
        <v>1267</v>
      </c>
      <c r="D899" s="2">
        <f t="shared" si="846"/>
        <v>26802.015471490002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26802.015471490002</v>
      </c>
      <c r="S899" s="5">
        <v>0</v>
      </c>
      <c r="T899" s="5">
        <v>0</v>
      </c>
      <c r="U899" s="5">
        <v>0</v>
      </c>
      <c r="V899" s="5">
        <v>0</v>
      </c>
      <c r="W899" s="5">
        <f t="shared" ref="W899:AH899" si="910">IF(OR((SLOPE($E899:$V899,$E$1:$V$1)*W$1+INTERCEPT($E899:$V899,$E$1:$V$1))&gt;(AVERAGE($E899:$V899)+_xlfn.STDEV.P($E899:$V899)),(SLOPE($E899:$V899,$E$1:$V$1)*W$1+INTERCEPT($E899:$V899,$E$1:$V$1))&lt;(AVERAGE($E899:$V899)-_xlfn.STDEV.P($E899:$V899))),V899,(SLOPE($E899:$V899,$E$1:$V$1)*W$1+INTERCEPT($E899:$V899,$E$1:$V$1)))</f>
        <v>3853.8845775998689</v>
      </c>
      <c r="X899" s="5">
        <f t="shared" si="910"/>
        <v>4102.8197058180422</v>
      </c>
      <c r="Y899" s="5">
        <f t="shared" si="910"/>
        <v>4351.7548340362155</v>
      </c>
      <c r="Z899" s="5">
        <f t="shared" si="910"/>
        <v>4600.6899622543888</v>
      </c>
      <c r="AA899" s="5">
        <f t="shared" si="910"/>
        <v>4849.6250904725621</v>
      </c>
      <c r="AB899" s="5">
        <f t="shared" si="910"/>
        <v>5098.5602186907354</v>
      </c>
      <c r="AC899" s="5">
        <f t="shared" si="910"/>
        <v>5347.4953469089087</v>
      </c>
      <c r="AD899" s="5">
        <f t="shared" si="910"/>
        <v>5596.430475127082</v>
      </c>
      <c r="AE899" s="5">
        <f t="shared" si="910"/>
        <v>5845.3656033452553</v>
      </c>
      <c r="AF899" s="5">
        <f t="shared" si="910"/>
        <v>6094.3007315634286</v>
      </c>
      <c r="AG899" s="5">
        <f t="shared" si="910"/>
        <v>6343.2358597816019</v>
      </c>
      <c r="AH899" s="5">
        <f t="shared" si="910"/>
        <v>6592.1709879997752</v>
      </c>
    </row>
    <row r="900" spans="1:34" x14ac:dyDescent="0.35">
      <c r="A900" t="s">
        <v>920</v>
      </c>
      <c r="B900" s="3" t="s">
        <v>1266</v>
      </c>
      <c r="C900" s="4" t="s">
        <v>1266</v>
      </c>
      <c r="D900" s="2">
        <f t="shared" ref="D900:D963" si="911">SUM(E900:V900)</f>
        <v>26796.392073876301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26796.392073876301</v>
      </c>
      <c r="V900" s="5">
        <v>0</v>
      </c>
      <c r="W900" s="5">
        <f t="shared" ref="W900:AH900" si="912">IF(OR((SLOPE($E900:$V900,$E$1:$V$1)*W$1+INTERCEPT($E900:$V900,$E$1:$V$1))&gt;(AVERAGE($E900:$V900)+_xlfn.STDEV.P($E900:$V900)),(SLOPE($E900:$V900,$E$1:$V$1)*W$1+INTERCEPT($E900:$V900,$E$1:$V$1))&lt;(AVERAGE($E900:$V900)-_xlfn.STDEV.P($E900:$V900))),V900,(SLOPE($E900:$V900,$E$1:$V$1)*W$1+INTERCEPT($E900:$V900,$E$1:$V$1)))</f>
        <v>5429.334341765787</v>
      </c>
      <c r="X900" s="5">
        <f t="shared" si="912"/>
        <v>5844.1391726307447</v>
      </c>
      <c r="Y900" s="5">
        <f t="shared" si="912"/>
        <v>6258.9440034957042</v>
      </c>
      <c r="Z900" s="5">
        <f t="shared" si="912"/>
        <v>6673.7488343606619</v>
      </c>
      <c r="AA900" s="5">
        <f t="shared" si="912"/>
        <v>7088.5536652256196</v>
      </c>
      <c r="AB900" s="5">
        <f t="shared" si="912"/>
        <v>7503.3584960905791</v>
      </c>
      <c r="AC900" s="5">
        <f t="shared" si="912"/>
        <v>7503.3584960905791</v>
      </c>
      <c r="AD900" s="5">
        <f t="shared" si="912"/>
        <v>7503.3584960905791</v>
      </c>
      <c r="AE900" s="5">
        <f t="shared" si="912"/>
        <v>7503.3584960905791</v>
      </c>
      <c r="AF900" s="5">
        <f t="shared" si="912"/>
        <v>7503.3584960905791</v>
      </c>
      <c r="AG900" s="5">
        <f t="shared" si="912"/>
        <v>7503.3584960905791</v>
      </c>
      <c r="AH900" s="5">
        <f t="shared" si="912"/>
        <v>7503.3584960905791</v>
      </c>
    </row>
    <row r="901" spans="1:34" x14ac:dyDescent="0.35">
      <c r="A901" t="s">
        <v>921</v>
      </c>
      <c r="B901" s="3" t="s">
        <v>1266</v>
      </c>
      <c r="C901" s="4" t="s">
        <v>1267</v>
      </c>
      <c r="D901" s="2">
        <f t="shared" si="911"/>
        <v>26784.732800000002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4544.0640000000003</v>
      </c>
      <c r="N901" s="5">
        <v>11612.608</v>
      </c>
      <c r="O901" s="5">
        <v>4367.3504000000003</v>
      </c>
      <c r="P901" s="5">
        <v>6260.7104000000008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f t="shared" ref="W901:AH901" si="913">IF(OR((SLOPE($E901:$V901,$E$1:$V$1)*W$1+INTERCEPT($E901:$V901,$E$1:$V$1))&gt;(AVERAGE($E901:$V901)+_xlfn.STDEV.P($E901:$V901)),(SLOPE($E901:$V901,$E$1:$V$1)*W$1+INTERCEPT($E901:$V901,$E$1:$V$1))&lt;(AVERAGE($E901:$V901)-_xlfn.STDEV.P($E901:$V901))),V901,(SLOPE($E901:$V901,$E$1:$V$1)*W$1+INTERCEPT($E901:$V901,$E$1:$V$1)))</f>
        <v>1992.6892130718957</v>
      </c>
      <c r="X901" s="5">
        <f t="shared" si="913"/>
        <v>2045.8101080151362</v>
      </c>
      <c r="Y901" s="5">
        <f t="shared" si="913"/>
        <v>2098.9310029583767</v>
      </c>
      <c r="Z901" s="5">
        <f t="shared" si="913"/>
        <v>2152.0518979016169</v>
      </c>
      <c r="AA901" s="5">
        <f t="shared" si="913"/>
        <v>2205.1727928448572</v>
      </c>
      <c r="AB901" s="5">
        <f t="shared" si="913"/>
        <v>2258.2936877880979</v>
      </c>
      <c r="AC901" s="5">
        <f t="shared" si="913"/>
        <v>2311.4145827313387</v>
      </c>
      <c r="AD901" s="5">
        <f t="shared" si="913"/>
        <v>2364.5354776745789</v>
      </c>
      <c r="AE901" s="5">
        <f t="shared" si="913"/>
        <v>2417.6563726178192</v>
      </c>
      <c r="AF901" s="5">
        <f t="shared" si="913"/>
        <v>2470.7772675610599</v>
      </c>
      <c r="AG901" s="5">
        <f t="shared" si="913"/>
        <v>2523.8981625043002</v>
      </c>
      <c r="AH901" s="5">
        <f t="shared" si="913"/>
        <v>2577.0190574475409</v>
      </c>
    </row>
    <row r="902" spans="1:34" x14ac:dyDescent="0.35">
      <c r="A902" t="s">
        <v>922</v>
      </c>
      <c r="B902" s="3" t="s">
        <v>1264</v>
      </c>
      <c r="C902" s="4" t="s">
        <v>1263</v>
      </c>
      <c r="D902" s="2">
        <f t="shared" si="911"/>
        <v>26719.268799999994</v>
      </c>
      <c r="E902" s="5">
        <v>1183.8399999999999</v>
      </c>
      <c r="F902" s="5">
        <v>1775.7599999999998</v>
      </c>
      <c r="G902" s="5">
        <v>1183.8399999999999</v>
      </c>
      <c r="H902" s="5">
        <v>1894.1439999999998</v>
      </c>
      <c r="I902" s="5">
        <v>2130.9119999999998</v>
      </c>
      <c r="J902" s="5">
        <v>1538.992</v>
      </c>
      <c r="K902" s="5">
        <v>2722.8319999999999</v>
      </c>
      <c r="L902" s="5">
        <v>0</v>
      </c>
      <c r="M902" s="5">
        <v>2367.6799999999998</v>
      </c>
      <c r="N902" s="5">
        <v>947.07199999999989</v>
      </c>
      <c r="O902" s="5">
        <v>1065.4559999999999</v>
      </c>
      <c r="P902" s="5">
        <v>1538.992</v>
      </c>
      <c r="Q902" s="5">
        <v>0</v>
      </c>
      <c r="R902" s="5">
        <v>2841.2159999999999</v>
      </c>
      <c r="S902" s="5">
        <v>2012.5279999999993</v>
      </c>
      <c r="T902" s="5">
        <v>2130.9119999999998</v>
      </c>
      <c r="U902" s="5">
        <v>692.54640000000006</v>
      </c>
      <c r="V902" s="5">
        <v>692.54640000000006</v>
      </c>
      <c r="W902" s="5">
        <f t="shared" ref="W902:AH902" si="914">IF(OR((SLOPE($E902:$V902,$E$1:$V$1)*W$1+INTERCEPT($E902:$V902,$E$1:$V$1))&gt;(AVERAGE($E902:$V902)+_xlfn.STDEV.P($E902:$V902)),(SLOPE($E902:$V902,$E$1:$V$1)*W$1+INTERCEPT($E902:$V902,$E$1:$V$1))&lt;(AVERAGE($E902:$V902)-_xlfn.STDEV.P($E902:$V902))),V902,(SLOPE($E902:$V902,$E$1:$V$1)*W$1+INTERCEPT($E902:$V902,$E$1:$V$1)))</f>
        <v>1293.1324183006534</v>
      </c>
      <c r="X902" s="5">
        <f t="shared" si="914"/>
        <v>1272.9985863089094</v>
      </c>
      <c r="Y902" s="5">
        <f t="shared" si="914"/>
        <v>1252.8647543171653</v>
      </c>
      <c r="Z902" s="5">
        <f t="shared" si="914"/>
        <v>1232.730922325421</v>
      </c>
      <c r="AA902" s="5">
        <f t="shared" si="914"/>
        <v>1212.597090333677</v>
      </c>
      <c r="AB902" s="5">
        <f t="shared" si="914"/>
        <v>1192.4632583419329</v>
      </c>
      <c r="AC902" s="5">
        <f t="shared" si="914"/>
        <v>1172.3294263501889</v>
      </c>
      <c r="AD902" s="5">
        <f t="shared" si="914"/>
        <v>1152.1955943584449</v>
      </c>
      <c r="AE902" s="5">
        <f t="shared" si="914"/>
        <v>1132.0617623667008</v>
      </c>
      <c r="AF902" s="5">
        <f t="shared" si="914"/>
        <v>1111.9279303749568</v>
      </c>
      <c r="AG902" s="5">
        <f t="shared" si="914"/>
        <v>1091.7940983832127</v>
      </c>
      <c r="AH902" s="5">
        <f t="shared" si="914"/>
        <v>1071.6602663914687</v>
      </c>
    </row>
    <row r="903" spans="1:34" x14ac:dyDescent="0.35">
      <c r="A903" t="s">
        <v>923</v>
      </c>
      <c r="B903" s="3" t="s">
        <v>1264</v>
      </c>
      <c r="C903" s="4" t="s">
        <v>1263</v>
      </c>
      <c r="D903" s="2">
        <f t="shared" si="911"/>
        <v>26697.895195999998</v>
      </c>
      <c r="E903" s="5">
        <v>1932.6042959999997</v>
      </c>
      <c r="F903" s="5">
        <v>2187.85392</v>
      </c>
      <c r="G903" s="5">
        <v>2430.9487999999992</v>
      </c>
      <c r="H903" s="5">
        <v>662.43354799999997</v>
      </c>
      <c r="I903" s="5">
        <v>4314.9341199999981</v>
      </c>
      <c r="J903" s="5">
        <v>3530.9531319999987</v>
      </c>
      <c r="K903" s="5">
        <v>486.18975999999992</v>
      </c>
      <c r="L903" s="5">
        <v>467.95764399999996</v>
      </c>
      <c r="M903" s="5">
        <v>1944.7590400000001</v>
      </c>
      <c r="N903" s="5">
        <v>1002.7663799999996</v>
      </c>
      <c r="O903" s="5">
        <v>589.5050839999999</v>
      </c>
      <c r="P903" s="5">
        <v>1039.2306119999996</v>
      </c>
      <c r="Q903" s="5">
        <v>948.07003199999963</v>
      </c>
      <c r="R903" s="5">
        <v>1865.7532039999999</v>
      </c>
      <c r="S903" s="5">
        <v>2193.9312920000002</v>
      </c>
      <c r="T903" s="5">
        <v>1100.0043319999995</v>
      </c>
      <c r="U903" s="5">
        <v>0</v>
      </c>
      <c r="V903" s="5">
        <v>0</v>
      </c>
      <c r="W903" s="5">
        <f t="shared" ref="W903:AH903" si="915">IF(OR((SLOPE($E903:$V903,$E$1:$V$1)*W$1+INTERCEPT($E903:$V903,$E$1:$V$1))&gt;(AVERAGE($E903:$V903)+_xlfn.STDEV.P($E903:$V903)),(SLOPE($E903:$V903,$E$1:$V$1)*W$1+INTERCEPT($E903:$V903,$E$1:$V$1))&lt;(AVERAGE($E903:$V903)-_xlfn.STDEV.P($E903:$V903))),V903,(SLOPE($E903:$V903,$E$1:$V$1)*W$1+INTERCEPT($E903:$V903,$E$1:$V$1)))</f>
        <v>462.99247079738598</v>
      </c>
      <c r="X903" s="5">
        <f t="shared" si="915"/>
        <v>355.60047827313429</v>
      </c>
      <c r="Y903" s="5">
        <f t="shared" si="915"/>
        <v>355.60047827313429</v>
      </c>
      <c r="Z903" s="5">
        <f t="shared" si="915"/>
        <v>355.60047827313429</v>
      </c>
      <c r="AA903" s="5">
        <f t="shared" si="915"/>
        <v>355.60047827313429</v>
      </c>
      <c r="AB903" s="5">
        <f t="shared" si="915"/>
        <v>355.60047827313429</v>
      </c>
      <c r="AC903" s="5">
        <f t="shared" si="915"/>
        <v>355.60047827313429</v>
      </c>
      <c r="AD903" s="5">
        <f t="shared" si="915"/>
        <v>355.60047827313429</v>
      </c>
      <c r="AE903" s="5">
        <f t="shared" si="915"/>
        <v>355.60047827313429</v>
      </c>
      <c r="AF903" s="5">
        <f t="shared" si="915"/>
        <v>355.60047827313429</v>
      </c>
      <c r="AG903" s="5">
        <f t="shared" si="915"/>
        <v>355.60047827313429</v>
      </c>
      <c r="AH903" s="5">
        <f t="shared" si="915"/>
        <v>355.60047827313429</v>
      </c>
    </row>
    <row r="904" spans="1:34" x14ac:dyDescent="0.35">
      <c r="A904" t="s">
        <v>924</v>
      </c>
      <c r="B904" s="3" t="s">
        <v>1266</v>
      </c>
      <c r="C904" s="4" t="s">
        <v>1267</v>
      </c>
      <c r="D904" s="2">
        <f t="shared" si="911"/>
        <v>26658.764917484288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26658.764917484288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f t="shared" ref="W904:AH904" si="916">IF(OR((SLOPE($E904:$V904,$E$1:$V$1)*W$1+INTERCEPT($E904:$V904,$E$1:$V$1))&gt;(AVERAGE($E904:$V904)+_xlfn.STDEV.P($E904:$V904)),(SLOPE($E904:$V904,$E$1:$V$1)*W$1+INTERCEPT($E904:$V904,$E$1:$V$1))&lt;(AVERAGE($E904:$V904)-_xlfn.STDEV.P($E904:$V904))),V904,(SLOPE($E904:$V904,$E$1:$V$1)*W$1+INTERCEPT($E904:$V904,$E$1:$V$1)))</f>
        <v>174.24029357832842</v>
      </c>
      <c r="X904" s="5">
        <f t="shared" si="916"/>
        <v>36.682167069121533</v>
      </c>
      <c r="Y904" s="5">
        <f t="shared" si="916"/>
        <v>-100.87595944008535</v>
      </c>
      <c r="Z904" s="5">
        <f t="shared" si="916"/>
        <v>-238.43408594929224</v>
      </c>
      <c r="AA904" s="5">
        <f t="shared" si="916"/>
        <v>-375.99221245849913</v>
      </c>
      <c r="AB904" s="5">
        <f t="shared" si="916"/>
        <v>-513.55033896770601</v>
      </c>
      <c r="AC904" s="5">
        <f t="shared" si="916"/>
        <v>-651.1084654769129</v>
      </c>
      <c r="AD904" s="5">
        <f t="shared" si="916"/>
        <v>-788.66659198611978</v>
      </c>
      <c r="AE904" s="5">
        <f t="shared" si="916"/>
        <v>-926.22471849532667</v>
      </c>
      <c r="AF904" s="5">
        <f t="shared" si="916"/>
        <v>-1063.7828450045336</v>
      </c>
      <c r="AG904" s="5">
        <f t="shared" si="916"/>
        <v>-1201.3409715137404</v>
      </c>
      <c r="AH904" s="5">
        <f t="shared" si="916"/>
        <v>-1338.8990980229473</v>
      </c>
    </row>
    <row r="905" spans="1:34" x14ac:dyDescent="0.35">
      <c r="A905" t="s">
        <v>925</v>
      </c>
      <c r="B905" s="3" t="s">
        <v>1266</v>
      </c>
      <c r="C905" s="4" t="s">
        <v>1266</v>
      </c>
      <c r="D905" s="2">
        <f t="shared" si="911"/>
        <v>26595.868665258589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26595.868665258589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f t="shared" ref="W905:AH905" si="917">IF(OR((SLOPE($E905:$V905,$E$1:$V$1)*W$1+INTERCEPT($E905:$V905,$E$1:$V$1))&gt;(AVERAGE($E905:$V905)+_xlfn.STDEV.P($E905:$V905)),(SLOPE($E905:$V905,$E$1:$V$1)*W$1+INTERCEPT($E905:$V905,$E$1:$V$1))&lt;(AVERAGE($E905:$V905)-_xlfn.STDEV.P($E905:$V905))),V905,(SLOPE($E905:$V905,$E$1:$V$1)*W$1+INTERCEPT($E905:$V905,$E$1:$V$1)))</f>
        <v>1738.2920696247443</v>
      </c>
      <c r="X905" s="5">
        <f t="shared" si="917"/>
        <v>1765.7387865135561</v>
      </c>
      <c r="Y905" s="5">
        <f t="shared" si="917"/>
        <v>1793.1855034023679</v>
      </c>
      <c r="Z905" s="5">
        <f t="shared" si="917"/>
        <v>1820.6322202911797</v>
      </c>
      <c r="AA905" s="5">
        <f t="shared" si="917"/>
        <v>1848.0789371799915</v>
      </c>
      <c r="AB905" s="5">
        <f t="shared" si="917"/>
        <v>1875.5256540688031</v>
      </c>
      <c r="AC905" s="5">
        <f t="shared" si="917"/>
        <v>1902.9723709576149</v>
      </c>
      <c r="AD905" s="5">
        <f t="shared" si="917"/>
        <v>1930.4190878464265</v>
      </c>
      <c r="AE905" s="5">
        <f t="shared" si="917"/>
        <v>1957.8658047352383</v>
      </c>
      <c r="AF905" s="5">
        <f t="shared" si="917"/>
        <v>1985.3125216240501</v>
      </c>
      <c r="AG905" s="5">
        <f t="shared" si="917"/>
        <v>2012.7592385128619</v>
      </c>
      <c r="AH905" s="5">
        <f t="shared" si="917"/>
        <v>2040.2059554016737</v>
      </c>
    </row>
    <row r="906" spans="1:34" x14ac:dyDescent="0.35">
      <c r="A906" t="s">
        <v>926</v>
      </c>
      <c r="B906" s="3" t="s">
        <v>1264</v>
      </c>
      <c r="C906" s="4" t="s">
        <v>1263</v>
      </c>
      <c r="D906" s="2">
        <f t="shared" si="911"/>
        <v>26277.408360000001</v>
      </c>
      <c r="E906" s="5">
        <v>3007.0124000000001</v>
      </c>
      <c r="F906" s="5">
        <v>2667.5109999999995</v>
      </c>
      <c r="G906" s="5">
        <v>223.10092</v>
      </c>
      <c r="H906" s="5">
        <v>475.30196000000001</v>
      </c>
      <c r="I906" s="5">
        <v>2861.5117999999998</v>
      </c>
      <c r="J906" s="5">
        <v>2328.0095999999999</v>
      </c>
      <c r="K906" s="5">
        <v>300.70123999999998</v>
      </c>
      <c r="L906" s="5">
        <v>805.10331999999994</v>
      </c>
      <c r="M906" s="5">
        <v>2551.1105199999997</v>
      </c>
      <c r="N906" s="5">
        <v>2250.4092800000003</v>
      </c>
      <c r="O906" s="5">
        <v>533.50220000000002</v>
      </c>
      <c r="P906" s="5">
        <v>640.20263999999997</v>
      </c>
      <c r="Q906" s="5">
        <v>1231.90508</v>
      </c>
      <c r="R906" s="5">
        <v>3676.3151600000006</v>
      </c>
      <c r="S906" s="5">
        <v>1319.2054400000002</v>
      </c>
      <c r="T906" s="5">
        <v>291.00120000000004</v>
      </c>
      <c r="U906" s="5">
        <v>194.00080000000003</v>
      </c>
      <c r="V906" s="5">
        <v>921.50380000000018</v>
      </c>
      <c r="W906" s="5">
        <f t="shared" ref="W906:AH906" si="918">IF(OR((SLOPE($E906:$V906,$E$1:$V$1)*W$1+INTERCEPT($E906:$V906,$E$1:$V$1))&gt;(AVERAGE($E906:$V906)+_xlfn.STDEV.P($E906:$V906)),(SLOPE($E906:$V906,$E$1:$V$1)*W$1+INTERCEPT($E906:$V906,$E$1:$V$1))&lt;(AVERAGE($E906:$V906)-_xlfn.STDEV.P($E906:$V906))),V906,(SLOPE($E906:$V906,$E$1:$V$1)*W$1+INTERCEPT($E906:$V906,$E$1:$V$1)))</f>
        <v>850.56037019607857</v>
      </c>
      <c r="X906" s="5">
        <f t="shared" si="918"/>
        <v>786.42398600619208</v>
      </c>
      <c r="Y906" s="5">
        <f t="shared" si="918"/>
        <v>722.28760181630582</v>
      </c>
      <c r="Z906" s="5">
        <f t="shared" si="918"/>
        <v>658.15121762641934</v>
      </c>
      <c r="AA906" s="5">
        <f t="shared" si="918"/>
        <v>594.01483343653285</v>
      </c>
      <c r="AB906" s="5">
        <f t="shared" si="918"/>
        <v>529.87844924664637</v>
      </c>
      <c r="AC906" s="5">
        <f t="shared" si="918"/>
        <v>465.74206505675988</v>
      </c>
      <c r="AD906" s="5">
        <f t="shared" si="918"/>
        <v>401.6056808668734</v>
      </c>
      <c r="AE906" s="5">
        <f t="shared" si="918"/>
        <v>401.6056808668734</v>
      </c>
      <c r="AF906" s="5">
        <f t="shared" si="918"/>
        <v>401.6056808668734</v>
      </c>
      <c r="AG906" s="5">
        <f t="shared" si="918"/>
        <v>401.6056808668734</v>
      </c>
      <c r="AH906" s="5">
        <f t="shared" si="918"/>
        <v>401.6056808668734</v>
      </c>
    </row>
    <row r="907" spans="1:34" x14ac:dyDescent="0.35">
      <c r="A907" t="s">
        <v>927</v>
      </c>
      <c r="B907" s="3" t="s">
        <v>1265</v>
      </c>
      <c r="C907" s="4" t="s">
        <v>1263</v>
      </c>
      <c r="D907" s="2">
        <f t="shared" si="911"/>
        <v>26116.019999999997</v>
      </c>
      <c r="E907" s="5">
        <v>740.87999999999988</v>
      </c>
      <c r="F907" s="5">
        <v>246.95999999999995</v>
      </c>
      <c r="G907" s="5">
        <v>716.18399999999986</v>
      </c>
      <c r="H907" s="5">
        <v>3877.2719999999995</v>
      </c>
      <c r="I907" s="5">
        <v>0</v>
      </c>
      <c r="J907" s="5">
        <v>14385.419999999995</v>
      </c>
      <c r="K907" s="5">
        <v>234.61199999999994</v>
      </c>
      <c r="L907" s="5">
        <v>111.13199999999998</v>
      </c>
      <c r="M907" s="5">
        <v>3222.8279999999991</v>
      </c>
      <c r="N907" s="5">
        <v>1234.7999999999997</v>
      </c>
      <c r="O907" s="5">
        <v>0</v>
      </c>
      <c r="P907" s="5">
        <v>1247.1479999999997</v>
      </c>
      <c r="Q907" s="5">
        <v>0</v>
      </c>
      <c r="R907" s="5">
        <v>0</v>
      </c>
      <c r="S907" s="5">
        <v>12.347999999999997</v>
      </c>
      <c r="T907" s="5">
        <v>0</v>
      </c>
      <c r="U907" s="5">
        <v>0</v>
      </c>
      <c r="V907" s="5">
        <v>86.435999999999979</v>
      </c>
      <c r="W907" s="5">
        <f t="shared" ref="W907:AH907" si="919">IF(OR((SLOPE($E907:$V907,$E$1:$V$1)*W$1+INTERCEPT($E907:$V907,$E$1:$V$1))&gt;(AVERAGE($E907:$V907)+_xlfn.STDEV.P($E907:$V907)),(SLOPE($E907:$V907,$E$1:$V$1)*W$1+INTERCEPT($E907:$V907,$E$1:$V$1))&lt;(AVERAGE($E907:$V907)-_xlfn.STDEV.P($E907:$V907))),V907,(SLOPE($E907:$V907,$E$1:$V$1)*W$1+INTERCEPT($E907:$V907,$E$1:$V$1)))</f>
        <v>-162.94517647058774</v>
      </c>
      <c r="X907" s="5">
        <f t="shared" si="919"/>
        <v>-332.82256346749182</v>
      </c>
      <c r="Y907" s="5">
        <f t="shared" si="919"/>
        <v>-502.6999504643959</v>
      </c>
      <c r="Z907" s="5">
        <f t="shared" si="919"/>
        <v>-672.57733746129998</v>
      </c>
      <c r="AA907" s="5">
        <f t="shared" si="919"/>
        <v>-842.45472445820405</v>
      </c>
      <c r="AB907" s="5">
        <f t="shared" si="919"/>
        <v>-1012.3321114551081</v>
      </c>
      <c r="AC907" s="5">
        <f t="shared" si="919"/>
        <v>-1182.2094984520118</v>
      </c>
      <c r="AD907" s="5">
        <f t="shared" si="919"/>
        <v>-1352.0868854489163</v>
      </c>
      <c r="AE907" s="5">
        <f t="shared" si="919"/>
        <v>-1521.9642724458199</v>
      </c>
      <c r="AF907" s="5">
        <f t="shared" si="919"/>
        <v>-1691.8416594427235</v>
      </c>
      <c r="AG907" s="5">
        <f t="shared" si="919"/>
        <v>-1861.7190464396281</v>
      </c>
      <c r="AH907" s="5">
        <f t="shared" si="919"/>
        <v>-1861.7190464396281</v>
      </c>
    </row>
    <row r="908" spans="1:34" x14ac:dyDescent="0.35">
      <c r="A908" t="s">
        <v>928</v>
      </c>
      <c r="B908" s="3" t="s">
        <v>1264</v>
      </c>
      <c r="C908" s="4" t="s">
        <v>1263</v>
      </c>
      <c r="D908" s="2">
        <f t="shared" si="911"/>
        <v>25567.263719788898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21072.787136819068</v>
      </c>
      <c r="M908" s="5">
        <v>689.94158071905269</v>
      </c>
      <c r="N908" s="5">
        <v>197.12616591972935</v>
      </c>
      <c r="O908" s="5">
        <v>0</v>
      </c>
      <c r="P908" s="5">
        <v>1655.8597937257264</v>
      </c>
      <c r="Q908" s="5">
        <v>0</v>
      </c>
      <c r="R908" s="5">
        <v>39.425233183945863</v>
      </c>
      <c r="S908" s="5">
        <v>177.41354932775639</v>
      </c>
      <c r="T908" s="5">
        <v>19.712616591972932</v>
      </c>
      <c r="U908" s="5">
        <v>118.27569955183759</v>
      </c>
      <c r="V908" s="5">
        <v>1596.7219439498076</v>
      </c>
      <c r="W908" s="5">
        <f t="shared" ref="W908:AH908" si="920">IF(OR((SLOPE($E908:$V908,$E$1:$V$1)*W$1+INTERCEPT($E908:$V908,$E$1:$V$1))&gt;(AVERAGE($E908:$V908)+_xlfn.STDEV.P($E908:$V908)),(SLOPE($E908:$V908,$E$1:$V$1)*W$1+INTERCEPT($E908:$V908,$E$1:$V$1))&lt;(AVERAGE($E908:$V908)-_xlfn.STDEV.P($E908:$V908))),V908,(SLOPE($E908:$V908,$E$1:$V$1)*W$1+INTERCEPT($E908:$V908,$E$1:$V$1)))</f>
        <v>1185.5914894074178</v>
      </c>
      <c r="X908" s="5">
        <f t="shared" si="920"/>
        <v>1160.8744314515384</v>
      </c>
      <c r="Y908" s="5">
        <f t="shared" si="920"/>
        <v>1136.1573734956592</v>
      </c>
      <c r="Z908" s="5">
        <f t="shared" si="920"/>
        <v>1111.4403155397797</v>
      </c>
      <c r="AA908" s="5">
        <f t="shared" si="920"/>
        <v>1086.7232575839002</v>
      </c>
      <c r="AB908" s="5">
        <f t="shared" si="920"/>
        <v>1062.006199628021</v>
      </c>
      <c r="AC908" s="5">
        <f t="shared" si="920"/>
        <v>1037.2891416721416</v>
      </c>
      <c r="AD908" s="5">
        <f t="shared" si="920"/>
        <v>1012.5720837162621</v>
      </c>
      <c r="AE908" s="5">
        <f t="shared" si="920"/>
        <v>987.85502576038277</v>
      </c>
      <c r="AF908" s="5">
        <f t="shared" si="920"/>
        <v>963.13796780450343</v>
      </c>
      <c r="AG908" s="5">
        <f t="shared" si="920"/>
        <v>938.42090984862398</v>
      </c>
      <c r="AH908" s="5">
        <f t="shared" si="920"/>
        <v>913.70385189274464</v>
      </c>
    </row>
    <row r="909" spans="1:34" x14ac:dyDescent="0.35">
      <c r="A909" t="s">
        <v>929</v>
      </c>
      <c r="B909" s="3" t="s">
        <v>1264</v>
      </c>
      <c r="C909" s="4" t="s">
        <v>1263</v>
      </c>
      <c r="D909" s="2">
        <f t="shared" si="911"/>
        <v>26047.325404984429</v>
      </c>
      <c r="E909" s="5">
        <v>0</v>
      </c>
      <c r="F909" s="5">
        <v>9756.1953747002008</v>
      </c>
      <c r="G909" s="5">
        <v>0</v>
      </c>
      <c r="H909" s="5">
        <v>3300.4720482747634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2970.424843447287</v>
      </c>
      <c r="P909" s="5">
        <v>0</v>
      </c>
      <c r="Q909" s="5">
        <v>0</v>
      </c>
      <c r="R909" s="5">
        <v>2640.377638619811</v>
      </c>
      <c r="S909" s="5">
        <v>0</v>
      </c>
      <c r="T909" s="5">
        <v>2376.3398747578294</v>
      </c>
      <c r="U909" s="5">
        <v>2033.0907817372542</v>
      </c>
      <c r="V909" s="5">
        <v>2970.424843447287</v>
      </c>
      <c r="W909" s="5">
        <f t="shared" ref="W909:AH909" si="921">IF(OR((SLOPE($E909:$V909,$E$1:$V$1)*W$1+INTERCEPT($E909:$V909,$E$1:$V$1))&gt;(AVERAGE($E909:$V909)+_xlfn.STDEV.P($E909:$V909)),(SLOPE($E909:$V909,$E$1:$V$1)*W$1+INTERCEPT($E909:$V909,$E$1:$V$1))&lt;(AVERAGE($E909:$V909)-_xlfn.STDEV.P($E909:$V909))),V909,(SLOPE($E909:$V909,$E$1:$V$1)*W$1+INTERCEPT($E909:$V909,$E$1:$V$1)))</f>
        <v>1073.667286187788</v>
      </c>
      <c r="X909" s="5">
        <f t="shared" si="921"/>
        <v>1034.3613548801609</v>
      </c>
      <c r="Y909" s="5">
        <f t="shared" si="921"/>
        <v>995.05542357253364</v>
      </c>
      <c r="Z909" s="5">
        <f t="shared" si="921"/>
        <v>955.74949226490639</v>
      </c>
      <c r="AA909" s="5">
        <f t="shared" si="921"/>
        <v>916.44356095727926</v>
      </c>
      <c r="AB909" s="5">
        <f t="shared" si="921"/>
        <v>877.13762964965213</v>
      </c>
      <c r="AC909" s="5">
        <f t="shared" si="921"/>
        <v>837.83169834202488</v>
      </c>
      <c r="AD909" s="5">
        <f t="shared" si="921"/>
        <v>798.52576703439775</v>
      </c>
      <c r="AE909" s="5">
        <f t="shared" si="921"/>
        <v>759.2198357267705</v>
      </c>
      <c r="AF909" s="5">
        <f t="shared" si="921"/>
        <v>719.91390441914336</v>
      </c>
      <c r="AG909" s="5">
        <f t="shared" si="921"/>
        <v>680.60797311151623</v>
      </c>
      <c r="AH909" s="5">
        <f t="shared" si="921"/>
        <v>641.30204180388887</v>
      </c>
    </row>
    <row r="910" spans="1:34" x14ac:dyDescent="0.35">
      <c r="A910" t="s">
        <v>930</v>
      </c>
      <c r="B910" s="3" t="s">
        <v>1264</v>
      </c>
      <c r="C910" s="4" t="s">
        <v>1263</v>
      </c>
      <c r="D910" s="2">
        <f t="shared" si="911"/>
        <v>26035.463999999996</v>
      </c>
      <c r="E910" s="5">
        <v>1386.5039999999999</v>
      </c>
      <c r="F910" s="5">
        <v>1848.672</v>
      </c>
      <c r="G910" s="5">
        <v>1694.616</v>
      </c>
      <c r="H910" s="5">
        <v>1694.616</v>
      </c>
      <c r="I910" s="5">
        <v>1540.56</v>
      </c>
      <c r="J910" s="5">
        <v>1694.616</v>
      </c>
      <c r="K910" s="5">
        <v>1848.672</v>
      </c>
      <c r="L910" s="5">
        <v>0</v>
      </c>
      <c r="M910" s="5">
        <v>2464.8959999999997</v>
      </c>
      <c r="N910" s="5">
        <v>1078.3920000000001</v>
      </c>
      <c r="O910" s="5">
        <v>1540.56</v>
      </c>
      <c r="P910" s="5">
        <v>924.33600000000001</v>
      </c>
      <c r="Q910" s="5">
        <v>2002.7279999999998</v>
      </c>
      <c r="R910" s="5">
        <v>770.28</v>
      </c>
      <c r="S910" s="5">
        <v>1386.5039999999999</v>
      </c>
      <c r="T910" s="5">
        <v>0</v>
      </c>
      <c r="U910" s="5">
        <v>4159.5119999999997</v>
      </c>
      <c r="V910" s="5">
        <v>0</v>
      </c>
      <c r="W910" s="5">
        <f t="shared" ref="W910:AH910" si="922">IF(OR((SLOPE($E910:$V910,$E$1:$V$1)*W$1+INTERCEPT($E910:$V910,$E$1:$V$1))&gt;(AVERAGE($E910:$V910)+_xlfn.STDEV.P($E910:$V910)),(SLOPE($E910:$V910,$E$1:$V$1)*W$1+INTERCEPT($E910:$V910,$E$1:$V$1))&lt;(AVERAGE($E910:$V910)-_xlfn.STDEV.P($E910:$V910))),V910,(SLOPE($E910:$V910,$E$1:$V$1)*W$1+INTERCEPT($E910:$V910,$E$1:$V$1)))</f>
        <v>1245.537725490196</v>
      </c>
      <c r="X910" s="5">
        <f t="shared" si="922"/>
        <v>1224.3927843137253</v>
      </c>
      <c r="Y910" s="5">
        <f t="shared" si="922"/>
        <v>1203.2478431372547</v>
      </c>
      <c r="Z910" s="5">
        <f t="shared" si="922"/>
        <v>1182.1029019607843</v>
      </c>
      <c r="AA910" s="5">
        <f t="shared" si="922"/>
        <v>1160.9579607843136</v>
      </c>
      <c r="AB910" s="5">
        <f t="shared" si="922"/>
        <v>1139.813019607843</v>
      </c>
      <c r="AC910" s="5">
        <f t="shared" si="922"/>
        <v>1118.6680784313726</v>
      </c>
      <c r="AD910" s="5">
        <f t="shared" si="922"/>
        <v>1097.5231372549019</v>
      </c>
      <c r="AE910" s="5">
        <f t="shared" si="922"/>
        <v>1076.3781960784313</v>
      </c>
      <c r="AF910" s="5">
        <f t="shared" si="922"/>
        <v>1055.2332549019607</v>
      </c>
      <c r="AG910" s="5">
        <f t="shared" si="922"/>
        <v>1034.08831372549</v>
      </c>
      <c r="AH910" s="5">
        <f t="shared" si="922"/>
        <v>1012.9433725490195</v>
      </c>
    </row>
    <row r="911" spans="1:34" x14ac:dyDescent="0.35">
      <c r="A911" t="s">
        <v>931</v>
      </c>
      <c r="B911" s="3" t="s">
        <v>1264</v>
      </c>
      <c r="C911" s="4" t="s">
        <v>1263</v>
      </c>
      <c r="D911" s="2">
        <f t="shared" si="911"/>
        <v>25410.669525199752</v>
      </c>
      <c r="E911" s="5">
        <v>767.98555294988512</v>
      </c>
      <c r="F911" s="5">
        <v>1120.5035116809797</v>
      </c>
      <c r="G911" s="5">
        <v>1435.2516891194575</v>
      </c>
      <c r="H911" s="5">
        <v>402.87766712125125</v>
      </c>
      <c r="I911" s="5">
        <v>1023.9807372665134</v>
      </c>
      <c r="J911" s="5">
        <v>205.63547592647197</v>
      </c>
      <c r="K911" s="5">
        <v>318.94481980432386</v>
      </c>
      <c r="L911" s="5">
        <v>486.81051443817859</v>
      </c>
      <c r="M911" s="5">
        <v>344.12467399940209</v>
      </c>
      <c r="N911" s="5">
        <v>986.21095597389603</v>
      </c>
      <c r="O911" s="5">
        <v>503.59708390156402</v>
      </c>
      <c r="P911" s="5">
        <v>356.71460109694118</v>
      </c>
      <c r="Q911" s="5">
        <v>1783.5730054847054</v>
      </c>
      <c r="R911" s="5">
        <v>3273.3810453601664</v>
      </c>
      <c r="S911" s="5">
        <v>3281.7743300918587</v>
      </c>
      <c r="T911" s="5">
        <v>3139.0884896530824</v>
      </c>
      <c r="U911" s="5">
        <v>4490.4073314556135</v>
      </c>
      <c r="V911" s="5">
        <v>1489.8080398754601</v>
      </c>
      <c r="W911" s="5">
        <f t="shared" ref="W911:AH911" si="923">IF(OR((SLOPE($E911:$V911,$E$1:$V$1)*W$1+INTERCEPT($E911:$V911,$E$1:$V$1))&gt;(AVERAGE($E911:$V911)+_xlfn.STDEV.P($E911:$V911)),(SLOPE($E911:$V911,$E$1:$V$1)*W$1+INTERCEPT($E911:$V911,$E$1:$V$1))&lt;(AVERAGE($E911:$V911)-_xlfn.STDEV.P($E911:$V911))),V911,(SLOPE($E911:$V911,$E$1:$V$1)*W$1+INTERCEPT($E911:$V911,$E$1:$V$1)))</f>
        <v>1489.8080398754601</v>
      </c>
      <c r="X911" s="5">
        <f t="shared" si="923"/>
        <v>1489.8080398754601</v>
      </c>
      <c r="Y911" s="5">
        <f t="shared" si="923"/>
        <v>1489.8080398754601</v>
      </c>
      <c r="Z911" s="5">
        <f t="shared" si="923"/>
        <v>1489.8080398754601</v>
      </c>
      <c r="AA911" s="5">
        <f t="shared" si="923"/>
        <v>1489.8080398754601</v>
      </c>
      <c r="AB911" s="5">
        <f t="shared" si="923"/>
        <v>1489.8080398754601</v>
      </c>
      <c r="AC911" s="5">
        <f t="shared" si="923"/>
        <v>1489.8080398754601</v>
      </c>
      <c r="AD911" s="5">
        <f t="shared" si="923"/>
        <v>1489.8080398754601</v>
      </c>
      <c r="AE911" s="5">
        <f t="shared" si="923"/>
        <v>1489.8080398754601</v>
      </c>
      <c r="AF911" s="5">
        <f t="shared" si="923"/>
        <v>1489.8080398754601</v>
      </c>
      <c r="AG911" s="5">
        <f t="shared" si="923"/>
        <v>1489.8080398754601</v>
      </c>
      <c r="AH911" s="5">
        <f t="shared" si="923"/>
        <v>1489.8080398754601</v>
      </c>
    </row>
    <row r="912" spans="1:34" x14ac:dyDescent="0.35">
      <c r="A912" t="s">
        <v>932</v>
      </c>
      <c r="B912" s="3" t="s">
        <v>1265</v>
      </c>
      <c r="C912" s="4" t="s">
        <v>1263</v>
      </c>
      <c r="D912" s="2">
        <f t="shared" si="911"/>
        <v>25886.7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25886.7</v>
      </c>
      <c r="T912" s="5">
        <v>0</v>
      </c>
      <c r="U912" s="5">
        <v>0</v>
      </c>
      <c r="V912" s="5">
        <v>0</v>
      </c>
      <c r="W912" s="5">
        <f t="shared" ref="W912:AH912" si="924">IF(OR((SLOPE($E912:$V912,$E$1:$V$1)*W$1+INTERCEPT($E912:$V912,$E$1:$V$1))&gt;(AVERAGE($E912:$V912)+_xlfn.STDEV.P($E912:$V912)),(SLOPE($E912:$V912,$E$1:$V$1)*W$1+INTERCEPT($E912:$V912,$E$1:$V$1))&lt;(AVERAGE($E912:$V912)-_xlfn.STDEV.P($E912:$V912))),V912,(SLOPE($E912:$V912,$E$1:$V$1)*W$1+INTERCEPT($E912:$V912,$E$1:$V$1)))</f>
        <v>4229.8529411764703</v>
      </c>
      <c r="X912" s="5">
        <f t="shared" si="924"/>
        <v>4523.7164086687299</v>
      </c>
      <c r="Y912" s="5">
        <f t="shared" si="924"/>
        <v>4817.5798761609894</v>
      </c>
      <c r="Z912" s="5">
        <f t="shared" si="924"/>
        <v>5111.4433436532508</v>
      </c>
      <c r="AA912" s="5">
        <f t="shared" si="924"/>
        <v>5405.3068111455104</v>
      </c>
      <c r="AB912" s="5">
        <f t="shared" si="924"/>
        <v>5699.17027863777</v>
      </c>
      <c r="AC912" s="5">
        <f t="shared" si="924"/>
        <v>5993.0337461300296</v>
      </c>
      <c r="AD912" s="5">
        <f t="shared" si="924"/>
        <v>6286.8972136222892</v>
      </c>
      <c r="AE912" s="5">
        <f t="shared" si="924"/>
        <v>6580.7606811145506</v>
      </c>
      <c r="AF912" s="5">
        <f t="shared" si="924"/>
        <v>6874.6241486068102</v>
      </c>
      <c r="AG912" s="5">
        <f t="shared" si="924"/>
        <v>7168.4876160990698</v>
      </c>
      <c r="AH912" s="5">
        <f t="shared" si="924"/>
        <v>7168.4876160990698</v>
      </c>
    </row>
    <row r="913" spans="1:34" x14ac:dyDescent="0.35">
      <c r="A913" t="s">
        <v>933</v>
      </c>
      <c r="B913" s="3" t="s">
        <v>1266</v>
      </c>
      <c r="C913" s="4" t="s">
        <v>1267</v>
      </c>
      <c r="D913" s="2">
        <f t="shared" si="911"/>
        <v>25601.820286449121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11800.968163024321</v>
      </c>
      <c r="Q913" s="5">
        <v>0</v>
      </c>
      <c r="R913" s="5">
        <v>13800.8521234248</v>
      </c>
      <c r="S913" s="5">
        <v>0</v>
      </c>
      <c r="T913" s="5">
        <v>0</v>
      </c>
      <c r="U913" s="5">
        <v>0</v>
      </c>
      <c r="V913" s="5">
        <v>0</v>
      </c>
      <c r="W913" s="5">
        <f t="shared" ref="W913:AH913" si="925">IF(OR((SLOPE($E913:$V913,$E$1:$V$1)*W$1+INTERCEPT($E913:$V913,$E$1:$V$1))&gt;(AVERAGE($E913:$V913)+_xlfn.STDEV.P($E913:$V913)),(SLOPE($E913:$V913,$E$1:$V$1)*W$1+INTERCEPT($E913:$V913,$E$1:$V$1))&lt;(AVERAGE($E913:$V913)-_xlfn.STDEV.P($E913:$V913))),V913,(SLOPE($E913:$V913,$E$1:$V$1)*W$1+INTERCEPT($E913:$V913,$E$1:$V$1)))</f>
        <v>3218.5244269525147</v>
      </c>
      <c r="X913" s="5">
        <f t="shared" si="925"/>
        <v>3407.5982246057092</v>
      </c>
      <c r="Y913" s="5">
        <f t="shared" si="925"/>
        <v>3596.6720222589029</v>
      </c>
      <c r="Z913" s="5">
        <f t="shared" si="925"/>
        <v>3785.7458199120965</v>
      </c>
      <c r="AA913" s="5">
        <f t="shared" si="925"/>
        <v>3974.8196175652902</v>
      </c>
      <c r="AB913" s="5">
        <f t="shared" si="925"/>
        <v>4163.8934152184838</v>
      </c>
      <c r="AC913" s="5">
        <f t="shared" si="925"/>
        <v>4352.9672128716775</v>
      </c>
      <c r="AD913" s="5">
        <f t="shared" si="925"/>
        <v>4542.041010524872</v>
      </c>
      <c r="AE913" s="5">
        <f t="shared" si="925"/>
        <v>4731.1148081780657</v>
      </c>
      <c r="AF913" s="5">
        <f t="shared" si="925"/>
        <v>4920.1886058312593</v>
      </c>
      <c r="AG913" s="5">
        <f t="shared" si="925"/>
        <v>5109.262403484453</v>
      </c>
      <c r="AH913" s="5">
        <f t="shared" si="925"/>
        <v>5298.3362011376475</v>
      </c>
    </row>
    <row r="914" spans="1:34" x14ac:dyDescent="0.35">
      <c r="A914" t="s">
        <v>934</v>
      </c>
      <c r="B914" s="3" t="s">
        <v>1265</v>
      </c>
      <c r="C914" s="4" t="s">
        <v>1267</v>
      </c>
      <c r="D914" s="2">
        <f t="shared" si="911"/>
        <v>25593.685719658122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13799.360503225807</v>
      </c>
      <c r="R914" s="5">
        <v>0</v>
      </c>
      <c r="S914" s="5">
        <v>0</v>
      </c>
      <c r="T914" s="5">
        <v>0</v>
      </c>
      <c r="U914" s="5">
        <v>0</v>
      </c>
      <c r="V914" s="5">
        <v>11794.325216432315</v>
      </c>
      <c r="W914" s="5">
        <f t="shared" ref="W914:AH914" si="926">IF(OR((SLOPE($E914:$V914,$E$1:$V$1)*W$1+INTERCEPT($E914:$V914,$E$1:$V$1))&gt;(AVERAGE($E914:$V914)+_xlfn.STDEV.P($E914:$V914)),(SLOPE($E914:$V914,$E$1:$V$1)*W$1+INTERCEPT($E914:$V914,$E$1:$V$1))&lt;(AVERAGE($E914:$V914)-_xlfn.STDEV.P($E914:$V914))),V914,(SLOPE($E914:$V914,$E$1:$V$1)*W$1+INTERCEPT($E914:$V914,$E$1:$V$1)))</f>
        <v>4334.6072347711706</v>
      </c>
      <c r="X914" s="5">
        <f t="shared" si="926"/>
        <v>4641.2110038134106</v>
      </c>
      <c r="Y914" s="5">
        <f t="shared" si="926"/>
        <v>4947.8147728556487</v>
      </c>
      <c r="Z914" s="5">
        <f t="shared" si="926"/>
        <v>5254.4185418978886</v>
      </c>
      <c r="AA914" s="5">
        <f t="shared" si="926"/>
        <v>5254.4185418978886</v>
      </c>
      <c r="AB914" s="5">
        <f t="shared" si="926"/>
        <v>5254.4185418978886</v>
      </c>
      <c r="AC914" s="5">
        <f t="shared" si="926"/>
        <v>5254.4185418978886</v>
      </c>
      <c r="AD914" s="5">
        <f t="shared" si="926"/>
        <v>5254.4185418978886</v>
      </c>
      <c r="AE914" s="5">
        <f t="shared" si="926"/>
        <v>5254.4185418978886</v>
      </c>
      <c r="AF914" s="5">
        <f t="shared" si="926"/>
        <v>5254.4185418978886</v>
      </c>
      <c r="AG914" s="5">
        <f t="shared" si="926"/>
        <v>5254.4185418978886</v>
      </c>
      <c r="AH914" s="5">
        <f t="shared" si="926"/>
        <v>5254.4185418978886</v>
      </c>
    </row>
    <row r="915" spans="1:34" x14ac:dyDescent="0.35">
      <c r="A915" t="s">
        <v>935</v>
      </c>
      <c r="B915" s="3" t="s">
        <v>1266</v>
      </c>
      <c r="C915" s="4" t="s">
        <v>1267</v>
      </c>
      <c r="D915" s="2">
        <f t="shared" si="911"/>
        <v>25592.852237073177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25592.852237073177</v>
      </c>
      <c r="W915" s="5">
        <f t="shared" ref="W915:AH915" si="927">IF(OR((SLOPE($E915:$V915,$E$1:$V$1)*W$1+INTERCEPT($E915:$V915,$E$1:$V$1))&gt;(AVERAGE($E915:$V915)+_xlfn.STDEV.P($E915:$V915)),(SLOPE($E915:$V915,$E$1:$V$1)*W$1+INTERCEPT($E915:$V915,$E$1:$V$1))&lt;(AVERAGE($E915:$V915)-_xlfn.STDEV.P($E915:$V915))),V915,(SLOPE($E915:$V915,$E$1:$V$1)*W$1+INTERCEPT($E915:$V915,$E$1:$V$1)))</f>
        <v>5687.3004971273722</v>
      </c>
      <c r="X915" s="5">
        <f t="shared" si="927"/>
        <v>6136.2979047953222</v>
      </c>
      <c r="Y915" s="5">
        <f t="shared" si="927"/>
        <v>6585.2953124632741</v>
      </c>
      <c r="Z915" s="5">
        <f t="shared" si="927"/>
        <v>7034.2927201312241</v>
      </c>
      <c r="AA915" s="5">
        <f t="shared" si="927"/>
        <v>7034.2927201312241</v>
      </c>
      <c r="AB915" s="5">
        <f t="shared" si="927"/>
        <v>7034.2927201312241</v>
      </c>
      <c r="AC915" s="5">
        <f t="shared" si="927"/>
        <v>7034.2927201312241</v>
      </c>
      <c r="AD915" s="5">
        <f t="shared" si="927"/>
        <v>7034.2927201312241</v>
      </c>
      <c r="AE915" s="5">
        <f t="shared" si="927"/>
        <v>7034.2927201312241</v>
      </c>
      <c r="AF915" s="5">
        <f t="shared" si="927"/>
        <v>7034.2927201312241</v>
      </c>
      <c r="AG915" s="5">
        <f t="shared" si="927"/>
        <v>7034.2927201312241</v>
      </c>
      <c r="AH915" s="5">
        <f t="shared" si="927"/>
        <v>7034.2927201312241</v>
      </c>
    </row>
    <row r="916" spans="1:34" x14ac:dyDescent="0.35">
      <c r="A916" t="s">
        <v>936</v>
      </c>
      <c r="B916" s="3" t="s">
        <v>1266</v>
      </c>
      <c r="C916" s="4" t="s">
        <v>1263</v>
      </c>
      <c r="D916" s="2">
        <f t="shared" si="911"/>
        <v>25527.276612886486</v>
      </c>
      <c r="E916" s="5">
        <v>0</v>
      </c>
      <c r="F916" s="5">
        <v>0</v>
      </c>
      <c r="G916" s="5">
        <v>0</v>
      </c>
      <c r="H916" s="5">
        <v>0</v>
      </c>
      <c r="I916" s="5">
        <v>3197.6031238197634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22329.673489066721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f t="shared" ref="W916:AH916" si="928">IF(OR((SLOPE($E916:$V916,$E$1:$V$1)*W$1+INTERCEPT($E916:$V916,$E$1:$V$1))&gt;(AVERAGE($E916:$V916)+_xlfn.STDEV.P($E916:$V916)),(SLOPE($E916:$V916,$E$1:$V$1)*W$1+INTERCEPT($E916:$V916,$E$1:$V$1))&lt;(AVERAGE($E916:$V916)-_xlfn.STDEV.P($E916:$V916))),V916,(SLOPE($E916:$V916,$E$1:$V$1)*W$1+INTERCEPT($E916:$V916,$E$1:$V$1)))</f>
        <v>2230.6324196468549</v>
      </c>
      <c r="X916" s="5">
        <f t="shared" si="928"/>
        <v>2316.1535128676555</v>
      </c>
      <c r="Y916" s="5">
        <f t="shared" si="928"/>
        <v>2401.6746060884561</v>
      </c>
      <c r="Z916" s="5">
        <f t="shared" si="928"/>
        <v>2487.1956993092567</v>
      </c>
      <c r="AA916" s="5">
        <f t="shared" si="928"/>
        <v>2572.7167925300573</v>
      </c>
      <c r="AB916" s="5">
        <f t="shared" si="928"/>
        <v>2658.2378857508575</v>
      </c>
      <c r="AC916" s="5">
        <f t="shared" si="928"/>
        <v>2743.7589789716581</v>
      </c>
      <c r="AD916" s="5">
        <f t="shared" si="928"/>
        <v>2829.2800721924586</v>
      </c>
      <c r="AE916" s="5">
        <f t="shared" si="928"/>
        <v>2914.8011654132592</v>
      </c>
      <c r="AF916" s="5">
        <f t="shared" si="928"/>
        <v>3000.3222586340598</v>
      </c>
      <c r="AG916" s="5">
        <f t="shared" si="928"/>
        <v>3085.8433518548604</v>
      </c>
      <c r="AH916" s="5">
        <f t="shared" si="928"/>
        <v>3171.364445075661</v>
      </c>
    </row>
    <row r="917" spans="1:34" x14ac:dyDescent="0.35">
      <c r="A917" t="s">
        <v>937</v>
      </c>
      <c r="B917" s="3" t="s">
        <v>1266</v>
      </c>
      <c r="C917" s="4" t="s">
        <v>1266</v>
      </c>
      <c r="D917" s="2">
        <f t="shared" si="911"/>
        <v>25513.264877617188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25513.264877617188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f t="shared" ref="W917:AH917" si="929">IF(OR((SLOPE($E917:$V917,$E$1:$V$1)*W$1+INTERCEPT($E917:$V917,$E$1:$V$1))&gt;(AVERAGE($E917:$V917)+_xlfn.STDEV.P($E917:$V917)),(SLOPE($E917:$V917,$E$1:$V$1)*W$1+INTERCEPT($E917:$V917,$E$1:$V$1))&lt;(AVERAGE($E917:$V917)-_xlfn.STDEV.P($E917:$V917))),V917,(SLOPE($E917:$V917,$E$1:$V$1)*W$1+INTERCEPT($E917:$V917,$E$1:$V$1)))</f>
        <v>2167.7937477713945</v>
      </c>
      <c r="X917" s="5">
        <f t="shared" si="929"/>
        <v>2246.7821839250082</v>
      </c>
      <c r="Y917" s="5">
        <f t="shared" si="929"/>
        <v>2325.770620078622</v>
      </c>
      <c r="Z917" s="5">
        <f t="shared" si="929"/>
        <v>2404.7590562322353</v>
      </c>
      <c r="AA917" s="5">
        <f t="shared" si="929"/>
        <v>2483.747492385849</v>
      </c>
      <c r="AB917" s="5">
        <f t="shared" si="929"/>
        <v>2562.7359285394623</v>
      </c>
      <c r="AC917" s="5">
        <f t="shared" si="929"/>
        <v>2641.724364693076</v>
      </c>
      <c r="AD917" s="5">
        <f t="shared" si="929"/>
        <v>2720.7128008466898</v>
      </c>
      <c r="AE917" s="5">
        <f t="shared" si="929"/>
        <v>2799.7012370003031</v>
      </c>
      <c r="AF917" s="5">
        <f t="shared" si="929"/>
        <v>2878.6896731539168</v>
      </c>
      <c r="AG917" s="5">
        <f t="shared" si="929"/>
        <v>2957.6781093075301</v>
      </c>
      <c r="AH917" s="5">
        <f t="shared" si="929"/>
        <v>3036.6665454611439</v>
      </c>
    </row>
    <row r="918" spans="1:34" x14ac:dyDescent="0.35">
      <c r="A918" t="s">
        <v>938</v>
      </c>
      <c r="B918" s="3" t="s">
        <v>1265</v>
      </c>
      <c r="C918" s="4" t="s">
        <v>1263</v>
      </c>
      <c r="D918" s="2">
        <f t="shared" si="911"/>
        <v>25291.833918716558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4683.6729479104733</v>
      </c>
      <c r="U918" s="5">
        <v>8742.8561694328837</v>
      </c>
      <c r="V918" s="5">
        <v>11865.3048013732</v>
      </c>
      <c r="W918" s="5">
        <f t="shared" ref="W918:AH918" si="930">IF(OR((SLOPE($E918:$V918,$E$1:$V$1)*W$1+INTERCEPT($E918:$V918,$E$1:$V$1))&gt;(AVERAGE($E918:$V918)+_xlfn.STDEV.P($E918:$V918)),(SLOPE($E918:$V918,$E$1:$V$1)*W$1+INTERCEPT($E918:$V918,$E$1:$V$1))&lt;(AVERAGE($E918:$V918)-_xlfn.STDEV.P($E918:$V918))),V918,(SLOPE($E918:$V918,$E$1:$V$1)*W$1+INTERCEPT($E918:$V918,$E$1:$V$1)))</f>
        <v>11865.3048013732</v>
      </c>
      <c r="X918" s="5">
        <f t="shared" si="930"/>
        <v>11865.3048013732</v>
      </c>
      <c r="Y918" s="5">
        <f t="shared" si="930"/>
        <v>11865.3048013732</v>
      </c>
      <c r="Z918" s="5">
        <f t="shared" si="930"/>
        <v>11865.3048013732</v>
      </c>
      <c r="AA918" s="5">
        <f t="shared" si="930"/>
        <v>11865.3048013732</v>
      </c>
      <c r="AB918" s="5">
        <f t="shared" si="930"/>
        <v>11865.3048013732</v>
      </c>
      <c r="AC918" s="5">
        <f t="shared" si="930"/>
        <v>11865.3048013732</v>
      </c>
      <c r="AD918" s="5">
        <f t="shared" si="930"/>
        <v>11865.3048013732</v>
      </c>
      <c r="AE918" s="5">
        <f t="shared" si="930"/>
        <v>11865.3048013732</v>
      </c>
      <c r="AF918" s="5">
        <f t="shared" si="930"/>
        <v>11865.3048013732</v>
      </c>
      <c r="AG918" s="5">
        <f t="shared" si="930"/>
        <v>11865.3048013732</v>
      </c>
      <c r="AH918" s="5">
        <f t="shared" si="930"/>
        <v>11865.3048013732</v>
      </c>
    </row>
    <row r="919" spans="1:34" x14ac:dyDescent="0.35">
      <c r="A919" t="s">
        <v>939</v>
      </c>
      <c r="B919" s="3" t="s">
        <v>1266</v>
      </c>
      <c r="C919" s="4" t="s">
        <v>1263</v>
      </c>
      <c r="D919" s="2">
        <f t="shared" si="911"/>
        <v>25044.683999999997</v>
      </c>
      <c r="E919" s="5">
        <v>1861.9608000000001</v>
      </c>
      <c r="F919" s="5">
        <v>13077.433599999995</v>
      </c>
      <c r="G919" s="5">
        <v>3968.6864</v>
      </c>
      <c r="H919" s="5">
        <v>5035.1615999999985</v>
      </c>
      <c r="I919" s="5">
        <v>227.2816</v>
      </c>
      <c r="J919" s="5">
        <v>620.65359999999998</v>
      </c>
      <c r="K919" s="5">
        <v>218.54</v>
      </c>
      <c r="L919" s="5">
        <v>34.966399999999993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f t="shared" ref="W919:AH919" si="931">IF(OR((SLOPE($E919:$V919,$E$1:$V$1)*W$1+INTERCEPT($E919:$V919,$E$1:$V$1))&gt;(AVERAGE($E919:$V919)+_xlfn.STDEV.P($E919:$V919)),(SLOPE($E919:$V919,$E$1:$V$1)*W$1+INTERCEPT($E919:$V919,$E$1:$V$1))&lt;(AVERAGE($E919:$V919)-_xlfn.STDEV.P($E919:$V919))),V919,(SLOPE($E919:$V919,$E$1:$V$1)*W$1+INTERCEPT($E919:$V919,$E$1:$V$1)))</f>
        <v>0</v>
      </c>
      <c r="X919" s="5">
        <f t="shared" si="931"/>
        <v>0</v>
      </c>
      <c r="Y919" s="5">
        <f t="shared" si="931"/>
        <v>0</v>
      </c>
      <c r="Z919" s="5">
        <f t="shared" si="931"/>
        <v>0</v>
      </c>
      <c r="AA919" s="5">
        <f t="shared" si="931"/>
        <v>0</v>
      </c>
      <c r="AB919" s="5">
        <f t="shared" si="931"/>
        <v>0</v>
      </c>
      <c r="AC919" s="5">
        <f t="shared" si="931"/>
        <v>0</v>
      </c>
      <c r="AD919" s="5">
        <f t="shared" si="931"/>
        <v>0</v>
      </c>
      <c r="AE919" s="5">
        <f t="shared" si="931"/>
        <v>0</v>
      </c>
      <c r="AF919" s="5">
        <f t="shared" si="931"/>
        <v>0</v>
      </c>
      <c r="AG919" s="5">
        <f t="shared" si="931"/>
        <v>0</v>
      </c>
      <c r="AH919" s="5">
        <f t="shared" si="931"/>
        <v>0</v>
      </c>
    </row>
    <row r="920" spans="1:34" x14ac:dyDescent="0.35">
      <c r="A920" t="s">
        <v>940</v>
      </c>
      <c r="B920" s="3" t="s">
        <v>1264</v>
      </c>
      <c r="C920" s="4" t="s">
        <v>1263</v>
      </c>
      <c r="D920" s="2">
        <f t="shared" si="911"/>
        <v>24803.251199999999</v>
      </c>
      <c r="E920" s="5">
        <v>0</v>
      </c>
      <c r="F920" s="5">
        <v>0</v>
      </c>
      <c r="G920" s="5">
        <v>0</v>
      </c>
      <c r="H920" s="5">
        <v>1377.9584</v>
      </c>
      <c r="I920" s="5">
        <v>5776.8255999999992</v>
      </c>
      <c r="J920" s="5">
        <v>635.98080000000004</v>
      </c>
      <c r="K920" s="5">
        <v>3921.8816000000002</v>
      </c>
      <c r="L920" s="5">
        <v>1218.9631999999999</v>
      </c>
      <c r="M920" s="5">
        <v>11871.641600000001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f t="shared" ref="W920:AH920" si="932">IF(OR((SLOPE($E920:$V920,$E$1:$V$1)*W$1+INTERCEPT($E920:$V920,$E$1:$V$1))&gt;(AVERAGE($E920:$V920)+_xlfn.STDEV.P($E920:$V920)),(SLOPE($E920:$V920,$E$1:$V$1)*W$1+INTERCEPT($E920:$V920,$E$1:$V$1))&lt;(AVERAGE($E920:$V920)-_xlfn.STDEV.P($E920:$V920))),V920,(SLOPE($E920:$V920,$E$1:$V$1)*W$1+INTERCEPT($E920:$V920,$E$1:$V$1)))</f>
        <v>331.49979607843125</v>
      </c>
      <c r="X920" s="5">
        <f t="shared" si="932"/>
        <v>221.3462588235293</v>
      </c>
      <c r="Y920" s="5">
        <f t="shared" si="932"/>
        <v>111.19272156862735</v>
      </c>
      <c r="Z920" s="5">
        <f t="shared" si="932"/>
        <v>1.0391843137254</v>
      </c>
      <c r="AA920" s="5">
        <f t="shared" si="932"/>
        <v>-109.11435294117655</v>
      </c>
      <c r="AB920" s="5">
        <f t="shared" si="932"/>
        <v>-219.2678901960785</v>
      </c>
      <c r="AC920" s="5">
        <f t="shared" si="932"/>
        <v>-329.42142745098045</v>
      </c>
      <c r="AD920" s="5">
        <f t="shared" si="932"/>
        <v>-439.57496470588239</v>
      </c>
      <c r="AE920" s="5">
        <f t="shared" si="932"/>
        <v>-549.72850196078434</v>
      </c>
      <c r="AF920" s="5">
        <f t="shared" si="932"/>
        <v>-659.88203921568629</v>
      </c>
      <c r="AG920" s="5">
        <f t="shared" si="932"/>
        <v>-770.03557647058824</v>
      </c>
      <c r="AH920" s="5">
        <f t="shared" si="932"/>
        <v>-880.18911372549019</v>
      </c>
    </row>
    <row r="921" spans="1:34" x14ac:dyDescent="0.35">
      <c r="A921" t="s">
        <v>941</v>
      </c>
      <c r="B921" s="3" t="s">
        <v>1266</v>
      </c>
      <c r="C921" s="4" t="s">
        <v>1267</v>
      </c>
      <c r="D921" s="2">
        <f t="shared" si="911"/>
        <v>24784.64700902922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24784.64700902922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f t="shared" ref="W921:AH921" si="933">IF(OR((SLOPE($E921:$V921,$E$1:$V$1)*W$1+INTERCEPT($E921:$V921,$E$1:$V$1))&gt;(AVERAGE($E921:$V921)+_xlfn.STDEV.P($E921:$V921)),(SLOPE($E921:$V921,$E$1:$V$1)*W$1+INTERCEPT($E921:$V921,$E$1:$V$1))&lt;(AVERAGE($E921:$V921)-_xlfn.STDEV.P($E921:$V921))),V921,(SLOPE($E921:$V921,$E$1:$V$1)*W$1+INTERCEPT($E921:$V921,$E$1:$V$1)))</f>
        <v>161.99115692175974</v>
      </c>
      <c r="X921" s="5">
        <f t="shared" si="933"/>
        <v>34.103401457212385</v>
      </c>
      <c r="Y921" s="5">
        <f t="shared" si="933"/>
        <v>-93.784354007334514</v>
      </c>
      <c r="Z921" s="5">
        <f t="shared" si="933"/>
        <v>-221.67210947188141</v>
      </c>
      <c r="AA921" s="5">
        <f t="shared" si="933"/>
        <v>-349.55986493642877</v>
      </c>
      <c r="AB921" s="5">
        <f t="shared" si="933"/>
        <v>-477.44762040097567</v>
      </c>
      <c r="AC921" s="5">
        <f t="shared" si="933"/>
        <v>-605.33537586552256</v>
      </c>
      <c r="AD921" s="5">
        <f t="shared" si="933"/>
        <v>-733.22313133006992</v>
      </c>
      <c r="AE921" s="5">
        <f t="shared" si="933"/>
        <v>-861.11088679461682</v>
      </c>
      <c r="AF921" s="5">
        <f t="shared" si="933"/>
        <v>-988.99864225916372</v>
      </c>
      <c r="AG921" s="5">
        <f t="shared" si="933"/>
        <v>-1116.8863977237111</v>
      </c>
      <c r="AH921" s="5">
        <f t="shared" si="933"/>
        <v>-1244.774153188258</v>
      </c>
    </row>
    <row r="922" spans="1:34" x14ac:dyDescent="0.35">
      <c r="A922" t="s">
        <v>942</v>
      </c>
      <c r="B922" s="3" t="s">
        <v>1266</v>
      </c>
      <c r="C922" s="4" t="s">
        <v>1263</v>
      </c>
      <c r="D922" s="2">
        <f t="shared" si="911"/>
        <v>24687.692133535991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24687.692133535991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f t="shared" ref="W922:AH922" si="934">IF(OR((SLOPE($E922:$V922,$E$1:$V$1)*W$1+INTERCEPT($E922:$V922,$E$1:$V$1))&gt;(AVERAGE($E922:$V922)+_xlfn.STDEV.P($E922:$V922)),(SLOPE($E922:$V922,$E$1:$V$1)*W$1+INTERCEPT($E922:$V922,$E$1:$V$1))&lt;(AVERAGE($E922:$V922)-_xlfn.STDEV.P($E922:$V922))),V922,(SLOPE($E922:$V922,$E$1:$V$1)*W$1+INTERCEPT($E922:$V922,$E$1:$V$1)))</f>
        <v>-322.71492985014356</v>
      </c>
      <c r="X922" s="5">
        <f t="shared" si="934"/>
        <v>-501.05739108311764</v>
      </c>
      <c r="Y922" s="5">
        <f t="shared" si="934"/>
        <v>-679.39985231609216</v>
      </c>
      <c r="Z922" s="5">
        <f t="shared" si="934"/>
        <v>-857.74231354906624</v>
      </c>
      <c r="AA922" s="5">
        <f t="shared" si="934"/>
        <v>-1036.0847747820403</v>
      </c>
      <c r="AB922" s="5">
        <f t="shared" si="934"/>
        <v>-1214.4272360150148</v>
      </c>
      <c r="AC922" s="5">
        <f t="shared" si="934"/>
        <v>-1392.7696972479885</v>
      </c>
      <c r="AD922" s="5">
        <f t="shared" si="934"/>
        <v>-1571.112158480963</v>
      </c>
      <c r="AE922" s="5">
        <f t="shared" si="934"/>
        <v>-1749.4546197139366</v>
      </c>
      <c r="AF922" s="5">
        <f t="shared" si="934"/>
        <v>-1927.7970809469111</v>
      </c>
      <c r="AG922" s="5">
        <f t="shared" si="934"/>
        <v>-2106.1395421798848</v>
      </c>
      <c r="AH922" s="5">
        <f t="shared" si="934"/>
        <v>-2284.4820034128593</v>
      </c>
    </row>
    <row r="923" spans="1:34" x14ac:dyDescent="0.35">
      <c r="A923" t="s">
        <v>943</v>
      </c>
      <c r="B923" s="3" t="s">
        <v>1264</v>
      </c>
      <c r="C923" s="4" t="s">
        <v>1263</v>
      </c>
      <c r="D923" s="2">
        <f t="shared" si="911"/>
        <v>24466.483999999997</v>
      </c>
      <c r="E923" s="5">
        <v>3725.1759999999995</v>
      </c>
      <c r="F923" s="5">
        <v>1137.7800000000002</v>
      </c>
      <c r="G923" s="5">
        <v>463.53999999999996</v>
      </c>
      <c r="H923" s="5">
        <v>1896.3</v>
      </c>
      <c r="I923" s="5">
        <v>2334.5559999999996</v>
      </c>
      <c r="J923" s="5">
        <v>775.37599999999998</v>
      </c>
      <c r="K923" s="5">
        <v>581.53200000000004</v>
      </c>
      <c r="L923" s="5">
        <v>33.711999999999996</v>
      </c>
      <c r="M923" s="5">
        <v>1820.4479999999999</v>
      </c>
      <c r="N923" s="5">
        <v>1045.0720000000001</v>
      </c>
      <c r="O923" s="5">
        <v>1222.06</v>
      </c>
      <c r="P923" s="5">
        <v>1306.3399999999999</v>
      </c>
      <c r="Q923" s="5">
        <v>927.07999999999981</v>
      </c>
      <c r="R923" s="5">
        <v>3109.9320000000002</v>
      </c>
      <c r="S923" s="5">
        <v>1871.0159999999996</v>
      </c>
      <c r="T923" s="5">
        <v>775.37599999999998</v>
      </c>
      <c r="U923" s="5">
        <v>345.548</v>
      </c>
      <c r="V923" s="5">
        <v>1095.6400000000001</v>
      </c>
      <c r="W923" s="5">
        <f t="shared" ref="W923:AH923" si="935">IF(OR((SLOPE($E923:$V923,$E$1:$V$1)*W$1+INTERCEPT($E923:$V923,$E$1:$V$1))&gt;(AVERAGE($E923:$V923)+_xlfn.STDEV.P($E923:$V923)),(SLOPE($E923:$V923,$E$1:$V$1)*W$1+INTERCEPT($E923:$V923,$E$1:$V$1))&lt;(AVERAGE($E923:$V923)-_xlfn.STDEV.P($E923:$V923))),V923,(SLOPE($E923:$V923,$E$1:$V$1)*W$1+INTERCEPT($E923:$V923,$E$1:$V$1)))</f>
        <v>983.21158169934631</v>
      </c>
      <c r="X923" s="5">
        <f t="shared" si="935"/>
        <v>943.62868386652895</v>
      </c>
      <c r="Y923" s="5">
        <f t="shared" si="935"/>
        <v>904.04578603371169</v>
      </c>
      <c r="Z923" s="5">
        <f t="shared" si="935"/>
        <v>864.46288820089433</v>
      </c>
      <c r="AA923" s="5">
        <f t="shared" si="935"/>
        <v>824.87999036807696</v>
      </c>
      <c r="AB923" s="5">
        <f t="shared" si="935"/>
        <v>785.29709253525971</v>
      </c>
      <c r="AC923" s="5">
        <f t="shared" si="935"/>
        <v>745.71419470244234</v>
      </c>
      <c r="AD923" s="5">
        <f t="shared" si="935"/>
        <v>706.13129686962498</v>
      </c>
      <c r="AE923" s="5">
        <f t="shared" si="935"/>
        <v>666.54839903680772</v>
      </c>
      <c r="AF923" s="5">
        <f t="shared" si="935"/>
        <v>626.96550120399024</v>
      </c>
      <c r="AG923" s="5">
        <f t="shared" si="935"/>
        <v>587.38260337117299</v>
      </c>
      <c r="AH923" s="5">
        <f t="shared" si="935"/>
        <v>547.79970553835574</v>
      </c>
    </row>
    <row r="924" spans="1:34" x14ac:dyDescent="0.35">
      <c r="A924" t="s">
        <v>944</v>
      </c>
      <c r="B924" s="3" t="s">
        <v>1265</v>
      </c>
      <c r="C924" s="4" t="s">
        <v>1263</v>
      </c>
      <c r="D924" s="2">
        <f t="shared" si="911"/>
        <v>24375.754777356557</v>
      </c>
      <c r="E924" s="5">
        <v>0</v>
      </c>
      <c r="F924" s="5">
        <v>0</v>
      </c>
      <c r="G924" s="5">
        <v>0</v>
      </c>
      <c r="H924" s="5">
        <v>2446.6370966119966</v>
      </c>
      <c r="I924" s="5">
        <v>0</v>
      </c>
      <c r="J924" s="5">
        <v>2446.6370966119966</v>
      </c>
      <c r="K924" s="5">
        <v>6524.3655909653244</v>
      </c>
      <c r="L924" s="5">
        <v>3443.4151730094768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2627.8694741388113</v>
      </c>
      <c r="S924" s="5">
        <v>0</v>
      </c>
      <c r="T924" s="5">
        <v>1812.3237752681457</v>
      </c>
      <c r="U924" s="5">
        <v>4168.3446831167348</v>
      </c>
      <c r="V924" s="5">
        <v>906.16188763407285</v>
      </c>
      <c r="W924" s="5">
        <f t="shared" ref="W924:AH924" si="936">IF(OR((SLOPE($E924:$V924,$E$1:$V$1)*W$1+INTERCEPT($E924:$V924,$E$1:$V$1))&gt;(AVERAGE($E924:$V924)+_xlfn.STDEV.P($E924:$V924)),(SLOPE($E924:$V924,$E$1:$V$1)*W$1+INTERCEPT($E924:$V924,$E$1:$V$1))&lt;(AVERAGE($E924:$V924)-_xlfn.STDEV.P($E924:$V924))),V924,(SLOPE($E924:$V924,$E$1:$V$1)*W$1+INTERCEPT($E924:$V924,$E$1:$V$1)))</f>
        <v>1728.2224758929569</v>
      </c>
      <c r="X924" s="5">
        <f t="shared" si="936"/>
        <v>1767.5923576983178</v>
      </c>
      <c r="Y924" s="5">
        <f t="shared" si="936"/>
        <v>1806.9622395036783</v>
      </c>
      <c r="Z924" s="5">
        <f t="shared" si="936"/>
        <v>1846.3321213090389</v>
      </c>
      <c r="AA924" s="5">
        <f t="shared" si="936"/>
        <v>1885.7020031143998</v>
      </c>
      <c r="AB924" s="5">
        <f t="shared" si="936"/>
        <v>1925.0718849197601</v>
      </c>
      <c r="AC924" s="5">
        <f t="shared" si="936"/>
        <v>1964.4417667251209</v>
      </c>
      <c r="AD924" s="5">
        <f t="shared" si="936"/>
        <v>2003.8116485304815</v>
      </c>
      <c r="AE924" s="5">
        <f t="shared" si="936"/>
        <v>2043.1815303358421</v>
      </c>
      <c r="AF924" s="5">
        <f t="shared" si="936"/>
        <v>2082.5514121412029</v>
      </c>
      <c r="AG924" s="5">
        <f t="shared" si="936"/>
        <v>2121.9212939465633</v>
      </c>
      <c r="AH924" s="5">
        <f t="shared" si="936"/>
        <v>2161.2911757519241</v>
      </c>
    </row>
    <row r="925" spans="1:34" x14ac:dyDescent="0.35">
      <c r="A925" t="s">
        <v>945</v>
      </c>
      <c r="B925" s="3" t="s">
        <v>1266</v>
      </c>
      <c r="C925" s="4" t="s">
        <v>1267</v>
      </c>
      <c r="D925" s="2">
        <f t="shared" si="911"/>
        <v>24360.121220743331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24360.121220743331</v>
      </c>
      <c r="W925" s="5">
        <f t="shared" ref="W925:AH925" si="937">IF(OR((SLOPE($E925:$V925,$E$1:$V$1)*W$1+INTERCEPT($E925:$V925,$E$1:$V$1))&gt;(AVERAGE($E925:$V925)+_xlfn.STDEV.P($E925:$V925)),(SLOPE($E925:$V925,$E$1:$V$1)*W$1+INTERCEPT($E925:$V925,$E$1:$V$1))&lt;(AVERAGE($E925:$V925)-_xlfn.STDEV.P($E925:$V925))),V925,(SLOPE($E925:$V925,$E$1:$V$1)*W$1+INTERCEPT($E925:$V925,$E$1:$V$1)))</f>
        <v>5413.3602712762959</v>
      </c>
      <c r="X925" s="5">
        <f t="shared" si="937"/>
        <v>5840.7308190086342</v>
      </c>
      <c r="Y925" s="5">
        <f t="shared" si="937"/>
        <v>6268.1013667409743</v>
      </c>
      <c r="Z925" s="5">
        <f t="shared" si="937"/>
        <v>6695.4719144733126</v>
      </c>
      <c r="AA925" s="5">
        <f t="shared" si="937"/>
        <v>6695.4719144733126</v>
      </c>
      <c r="AB925" s="5">
        <f t="shared" si="937"/>
        <v>6695.4719144733126</v>
      </c>
      <c r="AC925" s="5">
        <f t="shared" si="937"/>
        <v>6695.4719144733126</v>
      </c>
      <c r="AD925" s="5">
        <f t="shared" si="937"/>
        <v>6695.4719144733126</v>
      </c>
      <c r="AE925" s="5">
        <f t="shared" si="937"/>
        <v>6695.4719144733126</v>
      </c>
      <c r="AF925" s="5">
        <f t="shared" si="937"/>
        <v>6695.4719144733126</v>
      </c>
      <c r="AG925" s="5">
        <f t="shared" si="937"/>
        <v>6695.4719144733126</v>
      </c>
      <c r="AH925" s="5">
        <f t="shared" si="937"/>
        <v>6695.4719144733126</v>
      </c>
    </row>
    <row r="926" spans="1:34" x14ac:dyDescent="0.35">
      <c r="A926" t="s">
        <v>946</v>
      </c>
      <c r="B926" s="3" t="s">
        <v>1264</v>
      </c>
      <c r="C926" s="4" t="s">
        <v>1263</v>
      </c>
      <c r="D926" s="2">
        <f t="shared" si="911"/>
        <v>24182.476863999993</v>
      </c>
      <c r="E926" s="5">
        <v>2669.7281520000001</v>
      </c>
      <c r="F926" s="5">
        <v>1873.4934399999993</v>
      </c>
      <c r="G926" s="5">
        <v>1361.885616</v>
      </c>
      <c r="H926" s="5">
        <v>1639.3067599999999</v>
      </c>
      <c r="I926" s="5">
        <v>2824.651648</v>
      </c>
      <c r="J926" s="5">
        <v>987.18692799999997</v>
      </c>
      <c r="K926" s="5">
        <v>533.225056</v>
      </c>
      <c r="L926" s="5">
        <v>374.698688</v>
      </c>
      <c r="M926" s="5">
        <v>1152.9190399999998</v>
      </c>
      <c r="N926" s="5">
        <v>1495.1918799999989</v>
      </c>
      <c r="O926" s="5">
        <v>1217.7707359999997</v>
      </c>
      <c r="P926" s="5">
        <v>1408.7229519999994</v>
      </c>
      <c r="Q926" s="5">
        <v>814.24907199999984</v>
      </c>
      <c r="R926" s="5">
        <v>1671.7326079999998</v>
      </c>
      <c r="S926" s="5">
        <v>1880.6991839999998</v>
      </c>
      <c r="T926" s="5">
        <v>1181.7420159999999</v>
      </c>
      <c r="U926" s="5">
        <v>785.42609599999992</v>
      </c>
      <c r="V926" s="5">
        <v>309.846992</v>
      </c>
      <c r="W926" s="5">
        <f t="shared" ref="W926:AH926" si="938">IF(OR((SLOPE($E926:$V926,$E$1:$V$1)*W$1+INTERCEPT($E926:$V926,$E$1:$V$1))&gt;(AVERAGE($E926:$V926)+_xlfn.STDEV.P($E926:$V926)),(SLOPE($E926:$V926,$E$1:$V$1)*W$1+INTERCEPT($E926:$V926,$E$1:$V$1))&lt;(AVERAGE($E926:$V926)-_xlfn.STDEV.P($E926:$V926))),V926,(SLOPE($E926:$V926,$E$1:$V$1)*W$1+INTERCEPT($E926:$V926,$E$1:$V$1)))</f>
        <v>750.69252606535906</v>
      </c>
      <c r="X926" s="5">
        <f t="shared" si="938"/>
        <v>688.29479861025061</v>
      </c>
      <c r="Y926" s="5">
        <f t="shared" si="938"/>
        <v>688.29479861025061</v>
      </c>
      <c r="Z926" s="5">
        <f t="shared" si="938"/>
        <v>688.29479861025061</v>
      </c>
      <c r="AA926" s="5">
        <f t="shared" si="938"/>
        <v>688.29479861025061</v>
      </c>
      <c r="AB926" s="5">
        <f t="shared" si="938"/>
        <v>688.29479861025061</v>
      </c>
      <c r="AC926" s="5">
        <f t="shared" si="938"/>
        <v>688.29479861025061</v>
      </c>
      <c r="AD926" s="5">
        <f t="shared" si="938"/>
        <v>688.29479861025061</v>
      </c>
      <c r="AE926" s="5">
        <f t="shared" si="938"/>
        <v>688.29479861025061</v>
      </c>
      <c r="AF926" s="5">
        <f t="shared" si="938"/>
        <v>688.29479861025061</v>
      </c>
      <c r="AG926" s="5">
        <f t="shared" si="938"/>
        <v>688.29479861025061</v>
      </c>
      <c r="AH926" s="5">
        <f t="shared" si="938"/>
        <v>688.29479861025061</v>
      </c>
    </row>
    <row r="927" spans="1:34" x14ac:dyDescent="0.35">
      <c r="A927" t="s">
        <v>947</v>
      </c>
      <c r="B927" s="3" t="s">
        <v>1266</v>
      </c>
      <c r="C927" s="4" t="s">
        <v>1267</v>
      </c>
      <c r="D927" s="2">
        <f t="shared" si="911"/>
        <v>24121.266205710788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24121.266205710788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f t="shared" ref="W927:AH927" si="939">IF(OR((SLOPE($E927:$V927,$E$1:$V$1)*W$1+INTERCEPT($E927:$V927,$E$1:$V$1))&gt;(AVERAGE($E927:$V927)+_xlfn.STDEV.P($E927:$V927)),(SLOPE($E927:$V927,$E$1:$V$1)*W$1+INTERCEPT($E927:$V927,$E$1:$V$1))&lt;(AVERAGE($E927:$V927)-_xlfn.STDEV.P($E927:$V927))),V927,(SLOPE($E927:$V927,$E$1:$V$1)*W$1+INTERCEPT($E927:$V927,$E$1:$V$1)))</f>
        <v>-315.31066935569652</v>
      </c>
      <c r="X927" s="5">
        <f t="shared" si="939"/>
        <v>-489.56130242068684</v>
      </c>
      <c r="Y927" s="5">
        <f t="shared" si="939"/>
        <v>-663.81193548567717</v>
      </c>
      <c r="Z927" s="5">
        <f t="shared" si="939"/>
        <v>-838.06256855066749</v>
      </c>
      <c r="AA927" s="5">
        <f t="shared" si="939"/>
        <v>-1012.3132016156578</v>
      </c>
      <c r="AB927" s="5">
        <f t="shared" si="939"/>
        <v>-1186.5638346806481</v>
      </c>
      <c r="AC927" s="5">
        <f t="shared" si="939"/>
        <v>-1360.8144677456385</v>
      </c>
      <c r="AD927" s="5">
        <f t="shared" si="939"/>
        <v>-1535.0651008106288</v>
      </c>
      <c r="AE927" s="5">
        <f t="shared" si="939"/>
        <v>-1709.3157338756182</v>
      </c>
      <c r="AF927" s="5">
        <f t="shared" si="939"/>
        <v>-1883.5663669406085</v>
      </c>
      <c r="AG927" s="5">
        <f t="shared" si="939"/>
        <v>-2057.8170000055989</v>
      </c>
      <c r="AH927" s="5">
        <f t="shared" si="939"/>
        <v>-2232.0676330705892</v>
      </c>
    </row>
    <row r="928" spans="1:34" x14ac:dyDescent="0.35">
      <c r="A928" t="s">
        <v>948</v>
      </c>
      <c r="B928" s="3" t="s">
        <v>1266</v>
      </c>
      <c r="C928" s="4" t="s">
        <v>1268</v>
      </c>
      <c r="D928" s="2">
        <f t="shared" si="911"/>
        <v>24021.687843558608</v>
      </c>
      <c r="E928" s="5">
        <v>0</v>
      </c>
      <c r="F928" s="5">
        <v>0</v>
      </c>
      <c r="G928" s="5">
        <v>0</v>
      </c>
      <c r="H928" s="5">
        <v>0</v>
      </c>
      <c r="I928" s="5">
        <v>24021.687843558608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f t="shared" ref="W928:AH928" si="940">IF(OR((SLOPE($E928:$V928,$E$1:$V$1)*W$1+INTERCEPT($E928:$V928,$E$1:$V$1))&gt;(AVERAGE($E928:$V928)+_xlfn.STDEV.P($E928:$V928)),(SLOPE($E928:$V928,$E$1:$V$1)*W$1+INTERCEPT($E928:$V928,$E$1:$V$1))&lt;(AVERAGE($E928:$V928)-_xlfn.STDEV.P($E928:$V928))),V928,(SLOPE($E928:$V928,$E$1:$V$1)*W$1+INTERCEPT($E928:$V928,$E$1:$V$1)))</f>
        <v>-785.02247854766711</v>
      </c>
      <c r="X928" s="5">
        <f t="shared" si="940"/>
        <v>-1008.1341303454251</v>
      </c>
      <c r="Y928" s="5">
        <f t="shared" si="940"/>
        <v>-1231.2457821431831</v>
      </c>
      <c r="Z928" s="5">
        <f t="shared" si="940"/>
        <v>-1454.3574339409411</v>
      </c>
      <c r="AA928" s="5">
        <f t="shared" si="940"/>
        <v>-1677.4690857386991</v>
      </c>
      <c r="AB928" s="5">
        <f t="shared" si="940"/>
        <v>-1900.580737536457</v>
      </c>
      <c r="AC928" s="5">
        <f t="shared" si="940"/>
        <v>-2123.692389334215</v>
      </c>
      <c r="AD928" s="5">
        <f t="shared" si="940"/>
        <v>-2346.804041131973</v>
      </c>
      <c r="AE928" s="5">
        <f t="shared" si="940"/>
        <v>-2569.915692929731</v>
      </c>
      <c r="AF928" s="5">
        <f t="shared" si="940"/>
        <v>-2793.027344727489</v>
      </c>
      <c r="AG928" s="5">
        <f t="shared" si="940"/>
        <v>-3016.138996525247</v>
      </c>
      <c r="AH928" s="5">
        <f t="shared" si="940"/>
        <v>-3239.250648323005</v>
      </c>
    </row>
    <row r="929" spans="1:34" x14ac:dyDescent="0.35">
      <c r="A929" t="s">
        <v>949</v>
      </c>
      <c r="B929" s="3" t="s">
        <v>1266</v>
      </c>
      <c r="C929" s="4" t="s">
        <v>1263</v>
      </c>
      <c r="D929" s="2">
        <f t="shared" si="911"/>
        <v>24011.371999999999</v>
      </c>
      <c r="E929" s="5">
        <v>4542.692</v>
      </c>
      <c r="F929" s="5">
        <v>5516.1260000000002</v>
      </c>
      <c r="G929" s="5">
        <v>5516.1260000000002</v>
      </c>
      <c r="H929" s="5">
        <v>5191.6480000000001</v>
      </c>
      <c r="I929" s="5">
        <v>1946.8679999999999</v>
      </c>
      <c r="J929" s="5">
        <v>1297.912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f t="shared" ref="W929:AH929" si="941">IF(OR((SLOPE($E929:$V929,$E$1:$V$1)*W$1+INTERCEPT($E929:$V929,$E$1:$V$1))&gt;(AVERAGE($E929:$V929)+_xlfn.STDEV.P($E929:$V929)),(SLOPE($E929:$V929,$E$1:$V$1)*W$1+INTERCEPT($E929:$V929,$E$1:$V$1))&lt;(AVERAGE($E929:$V929)-_xlfn.STDEV.P($E929:$V929))),V929,(SLOPE($E929:$V929,$E$1:$V$1)*W$1+INTERCEPT($E929:$V929,$E$1:$V$1)))</f>
        <v>0</v>
      </c>
      <c r="X929" s="5">
        <f t="shared" si="941"/>
        <v>0</v>
      </c>
      <c r="Y929" s="5">
        <f t="shared" si="941"/>
        <v>0</v>
      </c>
      <c r="Z929" s="5">
        <f t="shared" si="941"/>
        <v>0</v>
      </c>
      <c r="AA929" s="5">
        <f t="shared" si="941"/>
        <v>0</v>
      </c>
      <c r="AB929" s="5">
        <f t="shared" si="941"/>
        <v>0</v>
      </c>
      <c r="AC929" s="5">
        <f t="shared" si="941"/>
        <v>0</v>
      </c>
      <c r="AD929" s="5">
        <f t="shared" si="941"/>
        <v>0</v>
      </c>
      <c r="AE929" s="5">
        <f t="shared" si="941"/>
        <v>0</v>
      </c>
      <c r="AF929" s="5">
        <f t="shared" si="941"/>
        <v>0</v>
      </c>
      <c r="AG929" s="5">
        <f t="shared" si="941"/>
        <v>0</v>
      </c>
      <c r="AH929" s="5">
        <f t="shared" si="941"/>
        <v>0</v>
      </c>
    </row>
    <row r="930" spans="1:34" x14ac:dyDescent="0.35">
      <c r="A930" t="s">
        <v>950</v>
      </c>
      <c r="B930" s="3" t="s">
        <v>1265</v>
      </c>
      <c r="C930" s="4" t="s">
        <v>1263</v>
      </c>
      <c r="D930" s="2">
        <f t="shared" si="911"/>
        <v>23260.872000417683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23260.872000417683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f t="shared" ref="W930:AH930" si="942">IF(OR((SLOPE($E930:$V930,$E$1:$V$1)*W$1+INTERCEPT($E930:$V930,$E$1:$V$1))&gt;(AVERAGE($E930:$V930)+_xlfn.STDEV.P($E930:$V930)),(SLOPE($E930:$V930,$E$1:$V$1)*W$1+INTERCEPT($E930:$V930,$E$1:$V$1))&lt;(AVERAGE($E930:$V930)-_xlfn.STDEV.P($E930:$V930))),V930,(SLOPE($E930:$V930,$E$1:$V$1)*W$1+INTERCEPT($E930:$V930,$E$1:$V$1)))</f>
        <v>1520.3184313998486</v>
      </c>
      <c r="X930" s="5">
        <f t="shared" si="942"/>
        <v>1544.3234592640565</v>
      </c>
      <c r="Y930" s="5">
        <f t="shared" si="942"/>
        <v>1568.3284871282647</v>
      </c>
      <c r="Z930" s="5">
        <f t="shared" si="942"/>
        <v>1592.3335149924728</v>
      </c>
      <c r="AA930" s="5">
        <f t="shared" si="942"/>
        <v>1616.338542856681</v>
      </c>
      <c r="AB930" s="5">
        <f t="shared" si="942"/>
        <v>1640.3435707208891</v>
      </c>
      <c r="AC930" s="5">
        <f t="shared" si="942"/>
        <v>1664.3485985850973</v>
      </c>
      <c r="AD930" s="5">
        <f t="shared" si="942"/>
        <v>1688.3536264493055</v>
      </c>
      <c r="AE930" s="5">
        <f t="shared" si="942"/>
        <v>1712.3586543135136</v>
      </c>
      <c r="AF930" s="5">
        <f t="shared" si="942"/>
        <v>1736.3636821777218</v>
      </c>
      <c r="AG930" s="5">
        <f t="shared" si="942"/>
        <v>1760.3687100419297</v>
      </c>
      <c r="AH930" s="5">
        <f t="shared" si="942"/>
        <v>1784.3737379061381</v>
      </c>
    </row>
    <row r="931" spans="1:34" x14ac:dyDescent="0.35">
      <c r="A931" t="s">
        <v>951</v>
      </c>
      <c r="B931" s="3" t="s">
        <v>1264</v>
      </c>
      <c r="C931" s="4" t="s">
        <v>1263</v>
      </c>
      <c r="D931" s="2">
        <f t="shared" si="911"/>
        <v>23234.565716860361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19134.348237414415</v>
      </c>
      <c r="U931" s="5">
        <v>0</v>
      </c>
      <c r="V931" s="5">
        <v>4100.2174794459461</v>
      </c>
      <c r="W931" s="5">
        <f t="shared" ref="W931:AH931" si="943">IF(OR((SLOPE($E931:$V931,$E$1:$V$1)*W$1+INTERCEPT($E931:$V931,$E$1:$V$1))&gt;(AVERAGE($E931:$V931)+_xlfn.STDEV.P($E931:$V931)),(SLOPE($E931:$V931,$E$1:$V$1)*W$1+INTERCEPT($E931:$V931,$E$1:$V$1))&lt;(AVERAGE($E931:$V931)-_xlfn.STDEV.P($E931:$V931))),V931,(SLOPE($E931:$V931,$E$1:$V$1)*W$1+INTERCEPT($E931:$V931,$E$1:$V$1)))</f>
        <v>4412.8702284233059</v>
      </c>
      <c r="X931" s="5">
        <f t="shared" si="943"/>
        <v>4741.5082307318389</v>
      </c>
      <c r="Y931" s="5">
        <f t="shared" si="943"/>
        <v>5070.146233040372</v>
      </c>
      <c r="Z931" s="5">
        <f t="shared" si="943"/>
        <v>5398.784235348905</v>
      </c>
      <c r="AA931" s="5">
        <f t="shared" si="943"/>
        <v>5398.784235348905</v>
      </c>
      <c r="AB931" s="5">
        <f t="shared" si="943"/>
        <v>5398.784235348905</v>
      </c>
      <c r="AC931" s="5">
        <f t="shared" si="943"/>
        <v>5398.784235348905</v>
      </c>
      <c r="AD931" s="5">
        <f t="shared" si="943"/>
        <v>5398.784235348905</v>
      </c>
      <c r="AE931" s="5">
        <f t="shared" si="943"/>
        <v>5398.784235348905</v>
      </c>
      <c r="AF931" s="5">
        <f t="shared" si="943"/>
        <v>5398.784235348905</v>
      </c>
      <c r="AG931" s="5">
        <f t="shared" si="943"/>
        <v>5398.784235348905</v>
      </c>
      <c r="AH931" s="5">
        <f t="shared" si="943"/>
        <v>5398.784235348905</v>
      </c>
    </row>
    <row r="932" spans="1:34" x14ac:dyDescent="0.35">
      <c r="A932" t="s">
        <v>952</v>
      </c>
      <c r="B932" s="3" t="s">
        <v>1266</v>
      </c>
      <c r="C932" s="4" t="s">
        <v>1263</v>
      </c>
      <c r="D932" s="2">
        <f t="shared" si="911"/>
        <v>23218.943999999992</v>
      </c>
      <c r="E932" s="5">
        <v>3161.0879999999997</v>
      </c>
      <c r="F932" s="5">
        <v>3437.0559999999996</v>
      </c>
      <c r="G932" s="5">
        <v>1818.88</v>
      </c>
      <c r="H932" s="5">
        <v>3700.4799999999996</v>
      </c>
      <c r="I932" s="5">
        <v>1567.9999999999998</v>
      </c>
      <c r="J932" s="5">
        <v>4703.9999999999982</v>
      </c>
      <c r="K932" s="5">
        <v>4578.5599999999986</v>
      </c>
      <c r="L932" s="5">
        <v>125.43999999999998</v>
      </c>
      <c r="M932" s="5">
        <v>125.43999999999998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f t="shared" ref="W932:AH932" si="944">IF(OR((SLOPE($E932:$V932,$E$1:$V$1)*W$1+INTERCEPT($E932:$V932,$E$1:$V$1))&gt;(AVERAGE($E932:$V932)+_xlfn.STDEV.P($E932:$V932)),(SLOPE($E932:$V932,$E$1:$V$1)*W$1+INTERCEPT($E932:$V932,$E$1:$V$1))&lt;(AVERAGE($E932:$V932)-_xlfn.STDEV.P($E932:$V932))),V932,(SLOPE($E932:$V932,$E$1:$V$1)*W$1+INTERCEPT($E932:$V932,$E$1:$V$1)))</f>
        <v>0</v>
      </c>
      <c r="X932" s="5">
        <f t="shared" si="944"/>
        <v>0</v>
      </c>
      <c r="Y932" s="5">
        <f t="shared" si="944"/>
        <v>0</v>
      </c>
      <c r="Z932" s="5">
        <f t="shared" si="944"/>
        <v>0</v>
      </c>
      <c r="AA932" s="5">
        <f t="shared" si="944"/>
        <v>0</v>
      </c>
      <c r="AB932" s="5">
        <f t="shared" si="944"/>
        <v>0</v>
      </c>
      <c r="AC932" s="5">
        <f t="shared" si="944"/>
        <v>0</v>
      </c>
      <c r="AD932" s="5">
        <f t="shared" si="944"/>
        <v>0</v>
      </c>
      <c r="AE932" s="5">
        <f t="shared" si="944"/>
        <v>0</v>
      </c>
      <c r="AF932" s="5">
        <f t="shared" si="944"/>
        <v>0</v>
      </c>
      <c r="AG932" s="5">
        <f t="shared" si="944"/>
        <v>0</v>
      </c>
      <c r="AH932" s="5">
        <f t="shared" si="944"/>
        <v>0</v>
      </c>
    </row>
    <row r="933" spans="1:34" x14ac:dyDescent="0.35">
      <c r="A933" t="s">
        <v>953</v>
      </c>
      <c r="B933" s="3" t="s">
        <v>1266</v>
      </c>
      <c r="C933" s="4" t="s">
        <v>1267</v>
      </c>
      <c r="D933" s="2">
        <f t="shared" si="911"/>
        <v>23096.753166735783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23096.753166735783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f t="shared" ref="W933:AH933" si="945">IF(OR((SLOPE($E933:$V933,$E$1:$V$1)*W$1+INTERCEPT($E933:$V933,$E$1:$V$1))&gt;(AVERAGE($E933:$V933)+_xlfn.STDEV.P($E933:$V933)),(SLOPE($E933:$V933,$E$1:$V$1)*W$1+INTERCEPT($E933:$V933,$E$1:$V$1))&lt;(AVERAGE($E933:$V933)-_xlfn.STDEV.P($E933:$V933))),V933,(SLOPE($E933:$V933,$E$1:$V$1)*W$1+INTERCEPT($E933:$V933,$E$1:$V$1)))</f>
        <v>2415.3467363906702</v>
      </c>
      <c r="X933" s="5">
        <f t="shared" si="945"/>
        <v>2534.5250293046834</v>
      </c>
      <c r="Y933" s="5">
        <f t="shared" si="945"/>
        <v>2653.7033222186969</v>
      </c>
      <c r="Z933" s="5">
        <f t="shared" si="945"/>
        <v>2772.8816151327101</v>
      </c>
      <c r="AA933" s="5">
        <f t="shared" si="945"/>
        <v>2892.0599080467236</v>
      </c>
      <c r="AB933" s="5">
        <f t="shared" si="945"/>
        <v>3011.2382009607368</v>
      </c>
      <c r="AC933" s="5">
        <f t="shared" si="945"/>
        <v>3130.4164938747504</v>
      </c>
      <c r="AD933" s="5">
        <f t="shared" si="945"/>
        <v>3249.5947867887635</v>
      </c>
      <c r="AE933" s="5">
        <f t="shared" si="945"/>
        <v>3368.7730797027771</v>
      </c>
      <c r="AF933" s="5">
        <f t="shared" si="945"/>
        <v>3487.9513726167902</v>
      </c>
      <c r="AG933" s="5">
        <f t="shared" si="945"/>
        <v>3607.1296655308038</v>
      </c>
      <c r="AH933" s="5">
        <f t="shared" si="945"/>
        <v>3726.3079584448169</v>
      </c>
    </row>
    <row r="934" spans="1:34" x14ac:dyDescent="0.35">
      <c r="A934" t="s">
        <v>954</v>
      </c>
      <c r="B934" s="3" t="s">
        <v>1264</v>
      </c>
      <c r="C934" s="4" t="s">
        <v>1263</v>
      </c>
      <c r="D934" s="2">
        <f t="shared" si="911"/>
        <v>22230.2808</v>
      </c>
      <c r="E934" s="5">
        <v>2418.6791999999996</v>
      </c>
      <c r="F934" s="5">
        <v>1347.9900000000002</v>
      </c>
      <c r="G934" s="5">
        <v>1409.6124000000002</v>
      </c>
      <c r="H934" s="5">
        <v>1401.9096</v>
      </c>
      <c r="I934" s="5">
        <v>2572.7351999999996</v>
      </c>
      <c r="J934" s="5">
        <v>539.19600000000003</v>
      </c>
      <c r="K934" s="5">
        <v>801.09120000000007</v>
      </c>
      <c r="L934" s="5">
        <v>616.22400000000005</v>
      </c>
      <c r="M934" s="5">
        <v>1440.4236000000001</v>
      </c>
      <c r="N934" s="5">
        <v>1463.5319999999999</v>
      </c>
      <c r="O934" s="5">
        <v>770.28</v>
      </c>
      <c r="P934" s="5">
        <v>1270.962</v>
      </c>
      <c r="Q934" s="5">
        <v>0</v>
      </c>
      <c r="R934" s="5">
        <v>338.92319999999989</v>
      </c>
      <c r="S934" s="5">
        <v>3065.7144000000003</v>
      </c>
      <c r="T934" s="5">
        <v>1787.0496000000001</v>
      </c>
      <c r="U934" s="5">
        <v>477.57359999999994</v>
      </c>
      <c r="V934" s="5">
        <v>508.38479999999993</v>
      </c>
      <c r="W934" s="5">
        <f t="shared" ref="W934:AH934" si="946">IF(OR((SLOPE($E934:$V934,$E$1:$V$1)*W$1+INTERCEPT($E934:$V934,$E$1:$V$1))&gt;(AVERAGE($E934:$V934)+_xlfn.STDEV.P($E934:$V934)),(SLOPE($E934:$V934,$E$1:$V$1)*W$1+INTERCEPT($E934:$V934,$E$1:$V$1))&lt;(AVERAGE($E934:$V934)-_xlfn.STDEV.P($E934:$V934))),V934,(SLOPE($E934:$V934,$E$1:$V$1)*W$1+INTERCEPT($E934:$V934,$E$1:$V$1)))</f>
        <v>809.85124705882356</v>
      </c>
      <c r="X934" s="5">
        <f t="shared" si="946"/>
        <v>765.09710464396289</v>
      </c>
      <c r="Y934" s="5">
        <f t="shared" si="946"/>
        <v>720.34296222910223</v>
      </c>
      <c r="Z934" s="5">
        <f t="shared" si="946"/>
        <v>675.58881981424156</v>
      </c>
      <c r="AA934" s="5">
        <f t="shared" si="946"/>
        <v>630.83467739938101</v>
      </c>
      <c r="AB934" s="5">
        <f t="shared" si="946"/>
        <v>586.08053498452023</v>
      </c>
      <c r="AC934" s="5">
        <f t="shared" si="946"/>
        <v>541.32639256965945</v>
      </c>
      <c r="AD934" s="5">
        <f t="shared" si="946"/>
        <v>496.57225015479889</v>
      </c>
      <c r="AE934" s="5">
        <f t="shared" si="946"/>
        <v>451.81810773993834</v>
      </c>
      <c r="AF934" s="5">
        <f t="shared" si="946"/>
        <v>451.81810773993834</v>
      </c>
      <c r="AG934" s="5">
        <f t="shared" si="946"/>
        <v>451.81810773993834</v>
      </c>
      <c r="AH934" s="5">
        <f t="shared" si="946"/>
        <v>451.81810773993834</v>
      </c>
    </row>
    <row r="935" spans="1:34" x14ac:dyDescent="0.35">
      <c r="A935" t="s">
        <v>955</v>
      </c>
      <c r="B935" s="3" t="s">
        <v>1266</v>
      </c>
      <c r="C935" s="4" t="s">
        <v>1263</v>
      </c>
      <c r="D935" s="2">
        <f t="shared" si="911"/>
        <v>22660.814399999999</v>
      </c>
      <c r="E935" s="5">
        <v>0</v>
      </c>
      <c r="F935" s="5">
        <v>0</v>
      </c>
      <c r="G935" s="5">
        <v>2220.9935999999998</v>
      </c>
      <c r="H935" s="5">
        <v>1636.5216</v>
      </c>
      <c r="I935" s="5">
        <v>350.68319999999994</v>
      </c>
      <c r="J935" s="5">
        <v>1753.4159999999999</v>
      </c>
      <c r="K935" s="5">
        <v>0</v>
      </c>
      <c r="L935" s="5">
        <v>233.78879999999998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16465.411199999999</v>
      </c>
      <c r="W935" s="5">
        <f t="shared" ref="W935:AH935" si="947">IF(OR((SLOPE($E935:$V935,$E$1:$V$1)*W$1+INTERCEPT($E935:$V935,$E$1:$V$1))&gt;(AVERAGE($E935:$V935)+_xlfn.STDEV.P($E935:$V935)),(SLOPE($E935:$V935,$E$1:$V$1)*W$1+INTERCEPT($E935:$V935,$E$1:$V$1))&lt;(AVERAGE($E935:$V935)-_xlfn.STDEV.P($E935:$V935))),V935,(SLOPE($E935:$V935,$E$1:$V$1)*W$1+INTERCEPT($E935:$V935,$E$1:$V$1)))</f>
        <v>3385.462650980392</v>
      </c>
      <c r="X935" s="5">
        <f t="shared" si="947"/>
        <v>3609.3077581011357</v>
      </c>
      <c r="Y935" s="5">
        <f t="shared" si="947"/>
        <v>3833.1528652218785</v>
      </c>
      <c r="Z935" s="5">
        <f t="shared" si="947"/>
        <v>4056.9979723426213</v>
      </c>
      <c r="AA935" s="5">
        <f t="shared" si="947"/>
        <v>4280.8430794633641</v>
      </c>
      <c r="AB935" s="5">
        <f t="shared" si="947"/>
        <v>4504.6881865841078</v>
      </c>
      <c r="AC935" s="5">
        <f t="shared" si="947"/>
        <v>4728.5332937048506</v>
      </c>
      <c r="AD935" s="5">
        <f t="shared" si="947"/>
        <v>4952.3784008255934</v>
      </c>
      <c r="AE935" s="5">
        <f t="shared" si="947"/>
        <v>4952.3784008255934</v>
      </c>
      <c r="AF935" s="5">
        <f t="shared" si="947"/>
        <v>4952.3784008255934</v>
      </c>
      <c r="AG935" s="5">
        <f t="shared" si="947"/>
        <v>4952.3784008255934</v>
      </c>
      <c r="AH935" s="5">
        <f t="shared" si="947"/>
        <v>4952.3784008255934</v>
      </c>
    </row>
    <row r="936" spans="1:34" x14ac:dyDescent="0.35">
      <c r="A936" t="s">
        <v>956</v>
      </c>
      <c r="B936" s="3" t="s">
        <v>1264</v>
      </c>
      <c r="C936" s="4" t="s">
        <v>1263</v>
      </c>
      <c r="D936" s="2">
        <f t="shared" si="911"/>
        <v>22520.874941064671</v>
      </c>
      <c r="E936" s="5">
        <v>0</v>
      </c>
      <c r="F936" s="5">
        <v>0</v>
      </c>
      <c r="G936" s="5">
        <v>0</v>
      </c>
      <c r="H936" s="5">
        <v>4688.4807845719706</v>
      </c>
      <c r="I936" s="5">
        <v>0</v>
      </c>
      <c r="J936" s="5">
        <v>0</v>
      </c>
      <c r="K936" s="5">
        <v>8536.2684629448286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4235.7998812339874</v>
      </c>
      <c r="V936" s="5">
        <v>5060.3258123138849</v>
      </c>
      <c r="W936" s="5">
        <f t="shared" ref="W936:AH936" si="948">IF(OR((SLOPE($E936:$V936,$E$1:$V$1)*W$1+INTERCEPT($E936:$V936,$E$1:$V$1))&gt;(AVERAGE($E936:$V936)+_xlfn.STDEV.P($E936:$V936)),(SLOPE($E936:$V936,$E$1:$V$1)*W$1+INTERCEPT($E936:$V936,$E$1:$V$1))&lt;(AVERAGE($E936:$V936)-_xlfn.STDEV.P($E936:$V936))),V936,(SLOPE($E936:$V936,$E$1:$V$1)*W$1+INTERCEPT($E936:$V936,$E$1:$V$1)))</f>
        <v>1793.3940923091159</v>
      </c>
      <c r="X936" s="5">
        <f t="shared" si="948"/>
        <v>1850.4713947681767</v>
      </c>
      <c r="Y936" s="5">
        <f t="shared" si="948"/>
        <v>1907.5486972272377</v>
      </c>
      <c r="Z936" s="5">
        <f t="shared" si="948"/>
        <v>1964.6259996862987</v>
      </c>
      <c r="AA936" s="5">
        <f t="shared" si="948"/>
        <v>2021.7033021453594</v>
      </c>
      <c r="AB936" s="5">
        <f t="shared" si="948"/>
        <v>2078.7806046044207</v>
      </c>
      <c r="AC936" s="5">
        <f t="shared" si="948"/>
        <v>2135.8579070634814</v>
      </c>
      <c r="AD936" s="5">
        <f t="shared" si="948"/>
        <v>2192.9352095225422</v>
      </c>
      <c r="AE936" s="5">
        <f t="shared" si="948"/>
        <v>2250.012511981603</v>
      </c>
      <c r="AF936" s="5">
        <f t="shared" si="948"/>
        <v>2307.0898144406642</v>
      </c>
      <c r="AG936" s="5">
        <f t="shared" si="948"/>
        <v>2364.167116899725</v>
      </c>
      <c r="AH936" s="5">
        <f t="shared" si="948"/>
        <v>2421.2444193587862</v>
      </c>
    </row>
    <row r="937" spans="1:34" x14ac:dyDescent="0.35">
      <c r="A937" t="s">
        <v>957</v>
      </c>
      <c r="B937" s="3" t="s">
        <v>1266</v>
      </c>
      <c r="C937" s="4" t="s">
        <v>1267</v>
      </c>
      <c r="D937" s="2">
        <f t="shared" si="911"/>
        <v>22436.378074208806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22436.378074208806</v>
      </c>
      <c r="S937" s="5">
        <v>0</v>
      </c>
      <c r="T937" s="5">
        <v>0</v>
      </c>
      <c r="U937" s="5">
        <v>0</v>
      </c>
      <c r="V937" s="5">
        <v>0</v>
      </c>
      <c r="W937" s="5">
        <f t="shared" ref="W937:AH937" si="949">IF(OR((SLOPE($E937:$V937,$E$1:$V$1)*W$1+INTERCEPT($E937:$V937,$E$1:$V$1))&gt;(AVERAGE($E937:$V937)+_xlfn.STDEV.P($E937:$V937)),(SLOPE($E937:$V937,$E$1:$V$1)*W$1+INTERCEPT($E937:$V937,$E$1:$V$1))&lt;(AVERAGE($E937:$V937)-_xlfn.STDEV.P($E937:$V937))),V937,(SLOPE($E937:$V937,$E$1:$V$1)*W$1+INTERCEPT($E937:$V937,$E$1:$V$1)))</f>
        <v>3226.1458668796972</v>
      </c>
      <c r="X937" s="5">
        <f t="shared" si="949"/>
        <v>3434.5332793336488</v>
      </c>
      <c r="Y937" s="5">
        <f t="shared" si="949"/>
        <v>3642.9206917876004</v>
      </c>
      <c r="Z937" s="5">
        <f t="shared" si="949"/>
        <v>3851.308104241552</v>
      </c>
      <c r="AA937" s="5">
        <f t="shared" si="949"/>
        <v>4059.6955166955045</v>
      </c>
      <c r="AB937" s="5">
        <f t="shared" si="949"/>
        <v>4268.0829291494556</v>
      </c>
      <c r="AC937" s="5">
        <f t="shared" si="949"/>
        <v>4476.4703416034081</v>
      </c>
      <c r="AD937" s="5">
        <f t="shared" si="949"/>
        <v>4684.8577540573588</v>
      </c>
      <c r="AE937" s="5">
        <f t="shared" si="949"/>
        <v>4893.2451665113113</v>
      </c>
      <c r="AF937" s="5">
        <f t="shared" si="949"/>
        <v>5101.6325789652619</v>
      </c>
      <c r="AG937" s="5">
        <f t="shared" si="949"/>
        <v>5310.0199914192144</v>
      </c>
      <c r="AH937" s="5">
        <f t="shared" si="949"/>
        <v>5518.4074038731669</v>
      </c>
    </row>
    <row r="938" spans="1:34" x14ac:dyDescent="0.35">
      <c r="A938" t="s">
        <v>958</v>
      </c>
      <c r="B938" s="3" t="s">
        <v>1266</v>
      </c>
      <c r="C938" s="4" t="s">
        <v>1263</v>
      </c>
      <c r="D938" s="2">
        <f t="shared" si="911"/>
        <v>21794.002615134166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21794.002615134166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f t="shared" ref="W938:AH938" si="950">IF(OR((SLOPE($E938:$V938,$E$1:$V$1)*W$1+INTERCEPT($E938:$V938,$E$1:$V$1))&gt;(AVERAGE($E938:$V938)+_xlfn.STDEV.P($E938:$V938)),(SLOPE($E938:$V938,$E$1:$V$1)*W$1+INTERCEPT($E938:$V938,$E$1:$V$1))&lt;(AVERAGE($E938:$V938)-_xlfn.STDEV.P($E938:$V938))),V938,(SLOPE($E938:$V938,$E$1:$V$1)*W$1+INTERCEPT($E938:$V938,$E$1:$V$1)))</f>
        <v>-284.88892307364949</v>
      </c>
      <c r="X938" s="5">
        <f t="shared" si="950"/>
        <v>-442.32753845645539</v>
      </c>
      <c r="Y938" s="5">
        <f t="shared" si="950"/>
        <v>-599.76615383926173</v>
      </c>
      <c r="Z938" s="5">
        <f t="shared" si="950"/>
        <v>-757.20476922206808</v>
      </c>
      <c r="AA938" s="5">
        <f t="shared" si="950"/>
        <v>-914.64338460487397</v>
      </c>
      <c r="AB938" s="5">
        <f t="shared" si="950"/>
        <v>-1072.0819999876803</v>
      </c>
      <c r="AC938" s="5">
        <f t="shared" si="950"/>
        <v>-1229.5206153704867</v>
      </c>
      <c r="AD938" s="5">
        <f t="shared" si="950"/>
        <v>-1386.9592307532926</v>
      </c>
      <c r="AE938" s="5">
        <f t="shared" si="950"/>
        <v>-1544.3978461360989</v>
      </c>
      <c r="AF938" s="5">
        <f t="shared" si="950"/>
        <v>-1701.8364615189053</v>
      </c>
      <c r="AG938" s="5">
        <f t="shared" si="950"/>
        <v>-1859.2750769017116</v>
      </c>
      <c r="AH938" s="5">
        <f t="shared" si="950"/>
        <v>-2016.713692284517</v>
      </c>
    </row>
    <row r="939" spans="1:34" x14ac:dyDescent="0.35">
      <c r="A939" t="s">
        <v>959</v>
      </c>
      <c r="B939" s="3" t="s">
        <v>1264</v>
      </c>
      <c r="C939" s="4" t="s">
        <v>1267</v>
      </c>
      <c r="D939" s="2">
        <f t="shared" si="911"/>
        <v>21599.827199999996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21599.827199999996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f t="shared" ref="W939:AH939" si="951">IF(OR((SLOPE($E939:$V939,$E$1:$V$1)*W$1+INTERCEPT($E939:$V939,$E$1:$V$1))&gt;(AVERAGE($E939:$V939)+_xlfn.STDEV.P($E939:$V939)),(SLOPE($E939:$V939,$E$1:$V$1)*W$1+INTERCEPT($E939:$V939,$E$1:$V$1))&lt;(AVERAGE($E939:$V939)-_xlfn.STDEV.P($E939:$V939))),V939,(SLOPE($E939:$V939,$E$1:$V$1)*W$1+INTERCEPT($E939:$V939,$E$1:$V$1)))</f>
        <v>1411.7534117647056</v>
      </c>
      <c r="X939" s="5">
        <f t="shared" si="951"/>
        <v>1434.0442551083588</v>
      </c>
      <c r="Y939" s="5">
        <f t="shared" si="951"/>
        <v>1456.3350984520121</v>
      </c>
      <c r="Z939" s="5">
        <f t="shared" si="951"/>
        <v>1478.6259417956653</v>
      </c>
      <c r="AA939" s="5">
        <f t="shared" si="951"/>
        <v>1500.9167851393186</v>
      </c>
      <c r="AB939" s="5">
        <f t="shared" si="951"/>
        <v>1523.2076284829718</v>
      </c>
      <c r="AC939" s="5">
        <f t="shared" si="951"/>
        <v>1545.4984718266251</v>
      </c>
      <c r="AD939" s="5">
        <f t="shared" si="951"/>
        <v>1567.7893151702783</v>
      </c>
      <c r="AE939" s="5">
        <f t="shared" si="951"/>
        <v>1590.0801585139318</v>
      </c>
      <c r="AF939" s="5">
        <f t="shared" si="951"/>
        <v>1612.371001857585</v>
      </c>
      <c r="AG939" s="5">
        <f t="shared" si="951"/>
        <v>1634.6618452012383</v>
      </c>
      <c r="AH939" s="5">
        <f t="shared" si="951"/>
        <v>1656.9526885448915</v>
      </c>
    </row>
    <row r="940" spans="1:34" x14ac:dyDescent="0.35">
      <c r="A940" t="s">
        <v>960</v>
      </c>
      <c r="B940" s="3" t="s">
        <v>1264</v>
      </c>
      <c r="C940" s="4" t="s">
        <v>1263</v>
      </c>
      <c r="D940" s="2">
        <f t="shared" si="911"/>
        <v>21450.239999999994</v>
      </c>
      <c r="E940" s="5">
        <v>968.2399999999999</v>
      </c>
      <c r="F940" s="5">
        <v>1191.6799999999998</v>
      </c>
      <c r="G940" s="5">
        <v>2308.8799999999997</v>
      </c>
      <c r="H940" s="5">
        <v>1191.6799999999998</v>
      </c>
      <c r="I940" s="5">
        <v>2308.8799999999997</v>
      </c>
      <c r="J940" s="5">
        <v>893.75999999999988</v>
      </c>
      <c r="K940" s="5">
        <v>1266.1599999999999</v>
      </c>
      <c r="L940" s="5">
        <v>0</v>
      </c>
      <c r="M940" s="5">
        <v>1564.08</v>
      </c>
      <c r="N940" s="5">
        <v>968.2399999999999</v>
      </c>
      <c r="O940" s="5">
        <v>1861.9999999999998</v>
      </c>
      <c r="P940" s="5">
        <v>1489.6</v>
      </c>
      <c r="Q940" s="5">
        <v>968.2399999999999</v>
      </c>
      <c r="R940" s="5">
        <v>744.8</v>
      </c>
      <c r="S940" s="5">
        <v>670.31999999999994</v>
      </c>
      <c r="T940" s="5">
        <v>2755.7599999999993</v>
      </c>
      <c r="U940" s="5">
        <v>148.95999999999998</v>
      </c>
      <c r="V940" s="5">
        <v>148.95999999999998</v>
      </c>
      <c r="W940" s="5">
        <f t="shared" ref="W940:AH940" si="952">IF(OR((SLOPE($E940:$V940,$E$1:$V$1)*W$1+INTERCEPT($E940:$V940,$E$1:$V$1))&gt;(AVERAGE($E940:$V940)+_xlfn.STDEV.P($E940:$V940)),(SLOPE($E940:$V940,$E$1:$V$1)*W$1+INTERCEPT($E940:$V940,$E$1:$V$1))&lt;(AVERAGE($E940:$V940)-_xlfn.STDEV.P($E940:$V940))),V940,(SLOPE($E940:$V940,$E$1:$V$1)*W$1+INTERCEPT($E940:$V940,$E$1:$V$1)))</f>
        <v>829.50274509803887</v>
      </c>
      <c r="X940" s="5">
        <f t="shared" si="952"/>
        <v>791.37882352941142</v>
      </c>
      <c r="Y940" s="5">
        <f t="shared" si="952"/>
        <v>753.25490196078397</v>
      </c>
      <c r="Z940" s="5">
        <f t="shared" si="952"/>
        <v>715.13098039215652</v>
      </c>
      <c r="AA940" s="5">
        <f t="shared" si="952"/>
        <v>677.00705882352906</v>
      </c>
      <c r="AB940" s="5">
        <f t="shared" si="952"/>
        <v>638.88313725490161</v>
      </c>
      <c r="AC940" s="5">
        <f t="shared" si="952"/>
        <v>600.75921568627416</v>
      </c>
      <c r="AD940" s="5">
        <f t="shared" si="952"/>
        <v>562.63529411764671</v>
      </c>
      <c r="AE940" s="5">
        <f t="shared" si="952"/>
        <v>524.51137254901914</v>
      </c>
      <c r="AF940" s="5">
        <f t="shared" si="952"/>
        <v>486.3874509803918</v>
      </c>
      <c r="AG940" s="5">
        <f t="shared" si="952"/>
        <v>486.3874509803918</v>
      </c>
      <c r="AH940" s="5">
        <f t="shared" si="952"/>
        <v>486.3874509803918</v>
      </c>
    </row>
    <row r="941" spans="1:34" x14ac:dyDescent="0.35">
      <c r="A941" t="s">
        <v>961</v>
      </c>
      <c r="B941" s="3" t="s">
        <v>1266</v>
      </c>
      <c r="C941" s="4" t="s">
        <v>1263</v>
      </c>
      <c r="D941" s="2">
        <f t="shared" si="911"/>
        <v>21289.716</v>
      </c>
      <c r="E941" s="5">
        <v>1243.6199999999999</v>
      </c>
      <c r="F941" s="5">
        <v>2778.3</v>
      </c>
      <c r="G941" s="5">
        <v>423.35999999999996</v>
      </c>
      <c r="H941" s="5">
        <v>582.12</v>
      </c>
      <c r="I941" s="5">
        <v>4551.12</v>
      </c>
      <c r="J941" s="5">
        <v>1465.884</v>
      </c>
      <c r="K941" s="5">
        <v>1084.8600000000001</v>
      </c>
      <c r="L941" s="5">
        <v>926.09999999999991</v>
      </c>
      <c r="M941" s="5">
        <v>1270.0800000000002</v>
      </c>
      <c r="N941" s="5">
        <v>926.09999999999991</v>
      </c>
      <c r="O941" s="5">
        <v>3307.4999999999995</v>
      </c>
      <c r="P941" s="5">
        <v>2095.6319999999996</v>
      </c>
      <c r="Q941" s="5">
        <v>0</v>
      </c>
      <c r="R941" s="5">
        <v>105.83999999999999</v>
      </c>
      <c r="S941" s="5">
        <v>0</v>
      </c>
      <c r="T941" s="5">
        <v>0</v>
      </c>
      <c r="U941" s="5">
        <v>529.19999999999993</v>
      </c>
      <c r="V941" s="5">
        <v>0</v>
      </c>
      <c r="W941" s="5">
        <f t="shared" ref="W941:AH941" si="953">IF(OR((SLOPE($E941:$V941,$E$1:$V$1)*W$1+INTERCEPT($E941:$V941,$E$1:$V$1))&gt;(AVERAGE($E941:$V941)+_xlfn.STDEV.P($E941:$V941)),(SLOPE($E941:$V941,$E$1:$V$1)*W$1+INTERCEPT($E941:$V941,$E$1:$V$1))&lt;(AVERAGE($E941:$V941)-_xlfn.STDEV.P($E941:$V941))),V941,(SLOPE($E941:$V941,$E$1:$V$1)*W$1+INTERCEPT($E941:$V941,$E$1:$V$1)))</f>
        <v>151.39270588235286</v>
      </c>
      <c r="X941" s="5">
        <f t="shared" si="953"/>
        <v>42.827517027863905</v>
      </c>
      <c r="Y941" s="5">
        <f t="shared" si="953"/>
        <v>42.827517027863905</v>
      </c>
      <c r="Z941" s="5">
        <f t="shared" si="953"/>
        <v>42.827517027863905</v>
      </c>
      <c r="AA941" s="5">
        <f t="shared" si="953"/>
        <v>42.827517027863905</v>
      </c>
      <c r="AB941" s="5">
        <f t="shared" si="953"/>
        <v>42.827517027863905</v>
      </c>
      <c r="AC941" s="5">
        <f t="shared" si="953"/>
        <v>42.827517027863905</v>
      </c>
      <c r="AD941" s="5">
        <f t="shared" si="953"/>
        <v>42.827517027863905</v>
      </c>
      <c r="AE941" s="5">
        <f t="shared" si="953"/>
        <v>42.827517027863905</v>
      </c>
      <c r="AF941" s="5">
        <f t="shared" si="953"/>
        <v>42.827517027863905</v>
      </c>
      <c r="AG941" s="5">
        <f t="shared" si="953"/>
        <v>42.827517027863905</v>
      </c>
      <c r="AH941" s="5">
        <f t="shared" si="953"/>
        <v>42.827517027863905</v>
      </c>
    </row>
    <row r="942" spans="1:34" x14ac:dyDescent="0.35">
      <c r="A942" t="s">
        <v>962</v>
      </c>
      <c r="B942" s="3" t="s">
        <v>1264</v>
      </c>
      <c r="C942" s="4" t="s">
        <v>1263</v>
      </c>
      <c r="D942" s="2">
        <f t="shared" si="911"/>
        <v>21221.844457690309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21221.844457690309</v>
      </c>
      <c r="U942" s="5">
        <v>0</v>
      </c>
      <c r="V942" s="5">
        <v>0</v>
      </c>
      <c r="W942" s="5">
        <f t="shared" ref="W942:AH942" si="954">IF(OR((SLOPE($E942:$V942,$E$1:$V$1)*W$1+INTERCEPT($E942:$V942,$E$1:$V$1))&gt;(AVERAGE($E942:$V942)+_xlfn.STDEV.P($E942:$V942)),(SLOPE($E942:$V942,$E$1:$V$1)*W$1+INTERCEPT($E942:$V942,$E$1:$V$1))&lt;(AVERAGE($E942:$V942)-_xlfn.STDEV.P($E942:$V942))),V942,(SLOPE($E942:$V942,$E$1:$V$1)*W$1+INTERCEPT($E942:$V942,$E$1:$V$1)))</f>
        <v>3883.7362406230632</v>
      </c>
      <c r="X942" s="5">
        <f t="shared" si="954"/>
        <v>4168.4462281875358</v>
      </c>
      <c r="Y942" s="5">
        <f t="shared" si="954"/>
        <v>4453.1562157520084</v>
      </c>
      <c r="Z942" s="5">
        <f t="shared" si="954"/>
        <v>4737.866203316481</v>
      </c>
      <c r="AA942" s="5">
        <f t="shared" si="954"/>
        <v>5022.5761908809536</v>
      </c>
      <c r="AB942" s="5">
        <f t="shared" si="954"/>
        <v>5307.2861784454271</v>
      </c>
      <c r="AC942" s="5">
        <f t="shared" si="954"/>
        <v>5591.9961660098998</v>
      </c>
      <c r="AD942" s="5">
        <f t="shared" si="954"/>
        <v>5876.7061535743724</v>
      </c>
      <c r="AE942" s="5">
        <f t="shared" si="954"/>
        <v>5876.7061535743724</v>
      </c>
      <c r="AF942" s="5">
        <f t="shared" si="954"/>
        <v>5876.7061535743724</v>
      </c>
      <c r="AG942" s="5">
        <f t="shared" si="954"/>
        <v>5876.7061535743724</v>
      </c>
      <c r="AH942" s="5">
        <f t="shared" si="954"/>
        <v>5876.7061535743724</v>
      </c>
    </row>
    <row r="943" spans="1:34" x14ac:dyDescent="0.35">
      <c r="A943" t="s">
        <v>963</v>
      </c>
      <c r="B943" s="3" t="s">
        <v>1265</v>
      </c>
      <c r="C943" s="4" t="s">
        <v>1263</v>
      </c>
      <c r="D943" s="2">
        <f t="shared" si="911"/>
        <v>21209.277599999998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21209.277599999998</v>
      </c>
      <c r="T943" s="5">
        <v>0</v>
      </c>
      <c r="U943" s="5">
        <v>0</v>
      </c>
      <c r="V943" s="5">
        <v>0</v>
      </c>
      <c r="W943" s="5">
        <f t="shared" ref="W943:AH943" si="955">IF(OR((SLOPE($E943:$V943,$E$1:$V$1)*W$1+INTERCEPT($E943:$V943,$E$1:$V$1))&gt;(AVERAGE($E943:$V943)+_xlfn.STDEV.P($E943:$V943)),(SLOPE($E943:$V943,$E$1:$V$1)*W$1+INTERCEPT($E943:$V943,$E$1:$V$1))&lt;(AVERAGE($E943:$V943)-_xlfn.STDEV.P($E943:$V943))),V943,(SLOPE($E943:$V943,$E$1:$V$1)*W$1+INTERCEPT($E943:$V943,$E$1:$V$1)))</f>
        <v>3465.5682352941167</v>
      </c>
      <c r="X943" s="5">
        <f t="shared" si="955"/>
        <v>3706.334028482971</v>
      </c>
      <c r="Y943" s="5">
        <f t="shared" si="955"/>
        <v>3947.0998216718262</v>
      </c>
      <c r="Z943" s="5">
        <f t="shared" si="955"/>
        <v>4187.8656148606806</v>
      </c>
      <c r="AA943" s="5">
        <f t="shared" si="955"/>
        <v>4428.6314080495349</v>
      </c>
      <c r="AB943" s="5">
        <f t="shared" si="955"/>
        <v>4669.3972012383892</v>
      </c>
      <c r="AC943" s="5">
        <f t="shared" si="955"/>
        <v>4910.1629944272436</v>
      </c>
      <c r="AD943" s="5">
        <f t="shared" si="955"/>
        <v>5150.9287876160979</v>
      </c>
      <c r="AE943" s="5">
        <f t="shared" si="955"/>
        <v>5391.6945808049522</v>
      </c>
      <c r="AF943" s="5">
        <f t="shared" si="955"/>
        <v>5632.4603739938075</v>
      </c>
      <c r="AG943" s="5">
        <f t="shared" si="955"/>
        <v>5873.2261671826618</v>
      </c>
      <c r="AH943" s="5">
        <f t="shared" si="955"/>
        <v>5873.2261671826618</v>
      </c>
    </row>
    <row r="944" spans="1:34" x14ac:dyDescent="0.35">
      <c r="A944" t="s">
        <v>964</v>
      </c>
      <c r="B944" s="3" t="s">
        <v>1266</v>
      </c>
      <c r="C944" s="4" t="s">
        <v>1267</v>
      </c>
      <c r="D944" s="2">
        <f t="shared" si="911"/>
        <v>20810.327243999996</v>
      </c>
      <c r="E944" s="5">
        <v>4523.1088559999998</v>
      </c>
      <c r="F944" s="5">
        <v>6522.9403679999987</v>
      </c>
      <c r="G944" s="5">
        <v>6382.0126439999995</v>
      </c>
      <c r="H944" s="5">
        <v>3382.2653759999989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f t="shared" ref="W944:AH944" si="956">IF(OR((SLOPE($E944:$V944,$E$1:$V$1)*W$1+INTERCEPT($E944:$V944,$E$1:$V$1))&gt;(AVERAGE($E944:$V944)+_xlfn.STDEV.P($E944:$V944)),(SLOPE($E944:$V944,$E$1:$V$1)*W$1+INTERCEPT($E944:$V944,$E$1:$V$1))&lt;(AVERAGE($E944:$V944)-_xlfn.STDEV.P($E944:$V944))),V944,(SLOPE($E944:$V944,$E$1:$V$1)*W$1+INTERCEPT($E944:$V944,$E$1:$V$1)))</f>
        <v>0</v>
      </c>
      <c r="X944" s="5">
        <f t="shared" si="956"/>
        <v>0</v>
      </c>
      <c r="Y944" s="5">
        <f t="shared" si="956"/>
        <v>0</v>
      </c>
      <c r="Z944" s="5">
        <f t="shared" si="956"/>
        <v>0</v>
      </c>
      <c r="AA944" s="5">
        <f t="shared" si="956"/>
        <v>0</v>
      </c>
      <c r="AB944" s="5">
        <f t="shared" si="956"/>
        <v>0</v>
      </c>
      <c r="AC944" s="5">
        <f t="shared" si="956"/>
        <v>0</v>
      </c>
      <c r="AD944" s="5">
        <f t="shared" si="956"/>
        <v>0</v>
      </c>
      <c r="AE944" s="5">
        <f t="shared" si="956"/>
        <v>0</v>
      </c>
      <c r="AF944" s="5">
        <f t="shared" si="956"/>
        <v>0</v>
      </c>
      <c r="AG944" s="5">
        <f t="shared" si="956"/>
        <v>0</v>
      </c>
      <c r="AH944" s="5">
        <f t="shared" si="956"/>
        <v>0</v>
      </c>
    </row>
    <row r="945" spans="1:34" x14ac:dyDescent="0.35">
      <c r="A945" t="s">
        <v>965</v>
      </c>
      <c r="B945" s="3" t="s">
        <v>1266</v>
      </c>
      <c r="C945" s="4" t="s">
        <v>1266</v>
      </c>
      <c r="D945" s="2">
        <f t="shared" si="911"/>
        <v>20809.342747187926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20809.342747187926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f t="shared" ref="W945:AH945" si="957">IF(OR((SLOPE($E945:$V945,$E$1:$V$1)*W$1+INTERCEPT($E945:$V945,$E$1:$V$1))&gt;(AVERAGE($E945:$V945)+_xlfn.STDEV.P($E945:$V945)),(SLOPE($E945:$V945,$E$1:$V$1)*W$1+INTERCEPT($E945:$V945,$E$1:$V$1))&lt;(AVERAGE($E945:$V945)-_xlfn.STDEV.P($E945:$V945))),V945,(SLOPE($E945:$V945,$E$1:$V$1)*W$1+INTERCEPT($E945:$V945,$E$1:$V$1)))</f>
        <v>2176.1404180065806</v>
      </c>
      <c r="X945" s="5">
        <f t="shared" si="957"/>
        <v>2283.5157675792739</v>
      </c>
      <c r="Y945" s="5">
        <f t="shared" si="957"/>
        <v>2390.8911171519671</v>
      </c>
      <c r="Z945" s="5">
        <f t="shared" si="957"/>
        <v>2498.2664667246604</v>
      </c>
      <c r="AA945" s="5">
        <f t="shared" si="957"/>
        <v>2605.6418162973537</v>
      </c>
      <c r="AB945" s="5">
        <f t="shared" si="957"/>
        <v>2713.0171658700465</v>
      </c>
      <c r="AC945" s="5">
        <f t="shared" si="957"/>
        <v>2820.3925154427398</v>
      </c>
      <c r="AD945" s="5">
        <f t="shared" si="957"/>
        <v>2927.767865015433</v>
      </c>
      <c r="AE945" s="5">
        <f t="shared" si="957"/>
        <v>3035.1432145881258</v>
      </c>
      <c r="AF945" s="5">
        <f t="shared" si="957"/>
        <v>3142.5185641608191</v>
      </c>
      <c r="AG945" s="5">
        <f t="shared" si="957"/>
        <v>3249.8939137335124</v>
      </c>
      <c r="AH945" s="5">
        <f t="shared" si="957"/>
        <v>3357.2692633062056</v>
      </c>
    </row>
    <row r="946" spans="1:34" x14ac:dyDescent="0.35">
      <c r="A946" t="s">
        <v>966</v>
      </c>
      <c r="B946" s="3" t="s">
        <v>1264</v>
      </c>
      <c r="C946" s="4" t="s">
        <v>1263</v>
      </c>
      <c r="D946" s="2">
        <f t="shared" si="911"/>
        <v>20579.822619999999</v>
      </c>
      <c r="E946" s="5">
        <v>2177.0650999999998</v>
      </c>
      <c r="F946" s="5">
        <v>1043.9420600000003</v>
      </c>
      <c r="G946" s="5">
        <v>498.36430000000007</v>
      </c>
      <c r="H946" s="5">
        <v>309.51046000000002</v>
      </c>
      <c r="I946" s="5">
        <v>2150.8353999999999</v>
      </c>
      <c r="J946" s="5">
        <v>1253.7796600000001</v>
      </c>
      <c r="K946" s="5">
        <v>351.47798</v>
      </c>
      <c r="L946" s="5">
        <v>1017.7123600000002</v>
      </c>
      <c r="M946" s="5">
        <v>1815.0952399999999</v>
      </c>
      <c r="N946" s="5">
        <v>1337.7147</v>
      </c>
      <c r="O946" s="5">
        <v>891.80980000000011</v>
      </c>
      <c r="P946" s="5">
        <v>545.57776000000013</v>
      </c>
      <c r="Q946" s="5">
        <v>818.36664000000007</v>
      </c>
      <c r="R946" s="5">
        <v>2129.8516399999994</v>
      </c>
      <c r="S946" s="5">
        <v>1505.5847799999999</v>
      </c>
      <c r="T946" s="5">
        <v>1600.0117000000002</v>
      </c>
      <c r="U946" s="5">
        <v>451.15084000000002</v>
      </c>
      <c r="V946" s="5">
        <v>681.97220000000004</v>
      </c>
      <c r="W946" s="5">
        <f t="shared" ref="W946:AH946" si="958">IF(OR((SLOPE($E946:$V946,$E$1:$V$1)*W$1+INTERCEPT($E946:$V946,$E$1:$V$1))&gt;(AVERAGE($E946:$V946)+_xlfn.STDEV.P($E946:$V946)),(SLOPE($E946:$V946,$E$1:$V$1)*W$1+INTERCEPT($E946:$V946,$E$1:$V$1))&lt;(AVERAGE($E946:$V946)-_xlfn.STDEV.P($E946:$V946))),V946,(SLOPE($E946:$V946,$E$1:$V$1)*W$1+INTERCEPT($E946:$V946,$E$1:$V$1)))</f>
        <v>1045.7592810457513</v>
      </c>
      <c r="X946" s="5">
        <f t="shared" si="958"/>
        <v>1035.4893654833159</v>
      </c>
      <c r="Y946" s="5">
        <f t="shared" si="958"/>
        <v>1025.2194499208804</v>
      </c>
      <c r="Z946" s="5">
        <f t="shared" si="958"/>
        <v>1014.9495343584449</v>
      </c>
      <c r="AA946" s="5">
        <f t="shared" si="958"/>
        <v>1004.6796187960093</v>
      </c>
      <c r="AB946" s="5">
        <f t="shared" si="958"/>
        <v>994.40970323357385</v>
      </c>
      <c r="AC946" s="5">
        <f t="shared" si="958"/>
        <v>984.13978767113827</v>
      </c>
      <c r="AD946" s="5">
        <f t="shared" si="958"/>
        <v>973.86987210870279</v>
      </c>
      <c r="AE946" s="5">
        <f t="shared" si="958"/>
        <v>963.59995654626732</v>
      </c>
      <c r="AF946" s="5">
        <f t="shared" si="958"/>
        <v>953.33004098383185</v>
      </c>
      <c r="AG946" s="5">
        <f t="shared" si="958"/>
        <v>943.06012542139638</v>
      </c>
      <c r="AH946" s="5">
        <f t="shared" si="958"/>
        <v>932.79020985896079</v>
      </c>
    </row>
    <row r="947" spans="1:34" x14ac:dyDescent="0.35">
      <c r="A947" t="s">
        <v>967</v>
      </c>
      <c r="B947" s="3" t="s">
        <v>1266</v>
      </c>
      <c r="C947" s="4" t="s">
        <v>1263</v>
      </c>
      <c r="D947" s="2">
        <f t="shared" si="911"/>
        <v>20641.739999999998</v>
      </c>
      <c r="E947" s="5">
        <v>3768.4920000000002</v>
      </c>
      <c r="F947" s="5">
        <v>1549.3799999999999</v>
      </c>
      <c r="G947" s="5">
        <v>29.987999999999989</v>
      </c>
      <c r="H947" s="5">
        <v>349.85999999999996</v>
      </c>
      <c r="I947" s="5">
        <v>369.85199999999998</v>
      </c>
      <c r="J947" s="5">
        <v>7297.0799999999981</v>
      </c>
      <c r="K947" s="5">
        <v>349.85999999999996</v>
      </c>
      <c r="L947" s="5">
        <v>1049.58</v>
      </c>
      <c r="M947" s="5">
        <v>0</v>
      </c>
      <c r="N947" s="5">
        <v>0</v>
      </c>
      <c r="O947" s="5">
        <v>5877.6479999999983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f t="shared" ref="W947:AH947" si="959">IF(OR((SLOPE($E947:$V947,$E$1:$V$1)*W$1+INTERCEPT($E947:$V947,$E$1:$V$1))&gt;(AVERAGE($E947:$V947)+_xlfn.STDEV.P($E947:$V947)),(SLOPE($E947:$V947,$E$1:$V$1)*W$1+INTERCEPT($E947:$V947,$E$1:$V$1))&lt;(AVERAGE($E947:$V947)-_xlfn.STDEV.P($E947:$V947))),V947,(SLOPE($E947:$V947,$E$1:$V$1)*W$1+INTERCEPT($E947:$V947,$E$1:$V$1)))</f>
        <v>-159.2826666666665</v>
      </c>
      <c r="X947" s="5">
        <f t="shared" si="959"/>
        <v>-296.76119298245567</v>
      </c>
      <c r="Y947" s="5">
        <f t="shared" si="959"/>
        <v>-434.23971929824529</v>
      </c>
      <c r="Z947" s="5">
        <f t="shared" si="959"/>
        <v>-571.71824561403491</v>
      </c>
      <c r="AA947" s="5">
        <f t="shared" si="959"/>
        <v>-709.19677192982408</v>
      </c>
      <c r="AB947" s="5">
        <f t="shared" si="959"/>
        <v>-846.6752982456137</v>
      </c>
      <c r="AC947" s="5">
        <f t="shared" si="959"/>
        <v>-984.15382456140333</v>
      </c>
      <c r="AD947" s="5">
        <f t="shared" si="959"/>
        <v>-984.15382456140333</v>
      </c>
      <c r="AE947" s="5">
        <f t="shared" si="959"/>
        <v>-984.15382456140333</v>
      </c>
      <c r="AF947" s="5">
        <f t="shared" si="959"/>
        <v>-984.15382456140333</v>
      </c>
      <c r="AG947" s="5">
        <f t="shared" si="959"/>
        <v>-984.15382456140333</v>
      </c>
      <c r="AH947" s="5">
        <f t="shared" si="959"/>
        <v>-984.15382456140333</v>
      </c>
    </row>
    <row r="948" spans="1:34" x14ac:dyDescent="0.35">
      <c r="A948" t="s">
        <v>968</v>
      </c>
      <c r="B948" s="3" t="s">
        <v>1266</v>
      </c>
      <c r="C948" s="4" t="s">
        <v>1266</v>
      </c>
      <c r="D948" s="2">
        <f t="shared" si="911"/>
        <v>20547.542399999998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20547.542399999998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f t="shared" ref="W948:AH948" si="960">IF(OR((SLOPE($E948:$V948,$E$1:$V$1)*W$1+INTERCEPT($E948:$V948,$E$1:$V$1))&gt;(AVERAGE($E948:$V948)+_xlfn.STDEV.P($E948:$V948)),(SLOPE($E948:$V948,$E$1:$V$1)*W$1+INTERCEPT($E948:$V948,$E$1:$V$1))&lt;(AVERAGE($E948:$V948)-_xlfn.STDEV.P($E948:$V948))),V948,(SLOPE($E948:$V948,$E$1:$V$1)*W$1+INTERCEPT($E948:$V948,$E$1:$V$1)))</f>
        <v>-268.5953254901965</v>
      </c>
      <c r="X948" s="5">
        <f t="shared" si="960"/>
        <v>-417.02958431372599</v>
      </c>
      <c r="Y948" s="5">
        <f t="shared" si="960"/>
        <v>-565.46384313725503</v>
      </c>
      <c r="Z948" s="5">
        <f t="shared" si="960"/>
        <v>-713.89810196078452</v>
      </c>
      <c r="AA948" s="5">
        <f t="shared" si="960"/>
        <v>-862.33236078431401</v>
      </c>
      <c r="AB948" s="5">
        <f t="shared" si="960"/>
        <v>-1010.7666196078435</v>
      </c>
      <c r="AC948" s="5">
        <f t="shared" si="960"/>
        <v>-1159.200878431373</v>
      </c>
      <c r="AD948" s="5">
        <f t="shared" si="960"/>
        <v>-1307.6351372549025</v>
      </c>
      <c r="AE948" s="5">
        <f t="shared" si="960"/>
        <v>-1456.069396078432</v>
      </c>
      <c r="AF948" s="5">
        <f t="shared" si="960"/>
        <v>-1604.503654901961</v>
      </c>
      <c r="AG948" s="5">
        <f t="shared" si="960"/>
        <v>-1752.9379137254905</v>
      </c>
      <c r="AH948" s="5">
        <f t="shared" si="960"/>
        <v>-1901.37217254902</v>
      </c>
    </row>
    <row r="949" spans="1:34" x14ac:dyDescent="0.35">
      <c r="A949" t="s">
        <v>969</v>
      </c>
      <c r="B949" s="3" t="s">
        <v>1266</v>
      </c>
      <c r="C949" s="4" t="s">
        <v>1267</v>
      </c>
      <c r="D949" s="2">
        <f t="shared" si="911"/>
        <v>20111.393307851285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20111.393307851285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f t="shared" ref="W949:AH949" si="961">IF(OR((SLOPE($E949:$V949,$E$1:$V$1)*W$1+INTERCEPT($E949:$V949,$E$1:$V$1))&gt;(AVERAGE($E949:$V949)+_xlfn.STDEV.P($E949:$V949)),(SLOPE($E949:$V949,$E$1:$V$1)*W$1+INTERCEPT($E949:$V949,$E$1:$V$1))&lt;(AVERAGE($E949:$V949)-_xlfn.STDEV.P($E949:$V949))),V949,(SLOPE($E949:$V949,$E$1:$V$1)*W$1+INTERCEPT($E949:$V949,$E$1:$V$1)))</f>
        <v>2103.1522413439252</v>
      </c>
      <c r="X949" s="5">
        <f t="shared" si="961"/>
        <v>2206.9262006207637</v>
      </c>
      <c r="Y949" s="5">
        <f t="shared" si="961"/>
        <v>2310.7001598976017</v>
      </c>
      <c r="Z949" s="5">
        <f t="shared" si="961"/>
        <v>2414.4741191744401</v>
      </c>
      <c r="AA949" s="5">
        <f t="shared" si="961"/>
        <v>2518.2480784512786</v>
      </c>
      <c r="AB949" s="5">
        <f t="shared" si="961"/>
        <v>2622.0220377281171</v>
      </c>
      <c r="AC949" s="5">
        <f t="shared" si="961"/>
        <v>2725.7959970049556</v>
      </c>
      <c r="AD949" s="5">
        <f t="shared" si="961"/>
        <v>2829.569956281794</v>
      </c>
      <c r="AE949" s="5">
        <f t="shared" si="961"/>
        <v>2933.3439155586325</v>
      </c>
      <c r="AF949" s="5">
        <f t="shared" si="961"/>
        <v>3037.1178748354705</v>
      </c>
      <c r="AG949" s="5">
        <f t="shared" si="961"/>
        <v>3140.891834112309</v>
      </c>
      <c r="AH949" s="5">
        <f t="shared" si="961"/>
        <v>3244.6657933891474</v>
      </c>
    </row>
    <row r="950" spans="1:34" x14ac:dyDescent="0.35">
      <c r="A950" t="s">
        <v>970</v>
      </c>
      <c r="B950" s="3" t="s">
        <v>1266</v>
      </c>
      <c r="C950" s="4" t="s">
        <v>1267</v>
      </c>
      <c r="D950" s="2">
        <f t="shared" si="911"/>
        <v>20051.647671594186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20051.647671594186</v>
      </c>
      <c r="T950" s="5">
        <v>0</v>
      </c>
      <c r="U950" s="5">
        <v>0</v>
      </c>
      <c r="V950" s="5">
        <v>0</v>
      </c>
      <c r="W950" s="5">
        <f t="shared" ref="W950:AH950" si="962">IF(OR((SLOPE($E950:$V950,$E$1:$V$1)*W$1+INTERCEPT($E950:$V950,$E$1:$V$1))&gt;(AVERAGE($E950:$V950)+_xlfn.STDEV.P($E950:$V950)),(SLOPE($E950:$V950,$E$1:$V$1)*W$1+INTERCEPT($E950:$V950,$E$1:$V$1))&lt;(AVERAGE($E950:$V950)-_xlfn.STDEV.P($E950:$V950))),V950,(SLOPE($E950:$V950,$E$1:$V$1)*W$1+INTERCEPT($E950:$V950,$E$1:$V$1)))</f>
        <v>3276.4130182343447</v>
      </c>
      <c r="X950" s="5">
        <f t="shared" si="962"/>
        <v>3504.0375016064149</v>
      </c>
      <c r="Y950" s="5">
        <f t="shared" si="962"/>
        <v>3731.6619849784852</v>
      </c>
      <c r="Z950" s="5">
        <f t="shared" si="962"/>
        <v>3959.2864683505554</v>
      </c>
      <c r="AA950" s="5">
        <f t="shared" si="962"/>
        <v>4186.9109517226261</v>
      </c>
      <c r="AB950" s="5">
        <f t="shared" si="962"/>
        <v>4414.5354350946964</v>
      </c>
      <c r="AC950" s="5">
        <f t="shared" si="962"/>
        <v>4642.1599184667666</v>
      </c>
      <c r="AD950" s="5">
        <f t="shared" si="962"/>
        <v>4869.7844018388369</v>
      </c>
      <c r="AE950" s="5">
        <f t="shared" si="962"/>
        <v>5097.4088852109071</v>
      </c>
      <c r="AF950" s="5">
        <f t="shared" si="962"/>
        <v>5325.0333685829773</v>
      </c>
      <c r="AG950" s="5">
        <f t="shared" si="962"/>
        <v>5552.6578519550476</v>
      </c>
      <c r="AH950" s="5">
        <f t="shared" si="962"/>
        <v>5552.6578519550476</v>
      </c>
    </row>
    <row r="951" spans="1:34" x14ac:dyDescent="0.35">
      <c r="A951" t="s">
        <v>971</v>
      </c>
      <c r="B951" s="3" t="s">
        <v>1266</v>
      </c>
      <c r="C951" s="4" t="s">
        <v>1263</v>
      </c>
      <c r="D951" s="2">
        <f t="shared" si="911"/>
        <v>19992.253945637545</v>
      </c>
      <c r="E951" s="5">
        <v>0</v>
      </c>
      <c r="F951" s="5">
        <v>0</v>
      </c>
      <c r="G951" s="5">
        <v>0</v>
      </c>
      <c r="H951" s="5">
        <v>0</v>
      </c>
      <c r="I951" s="5">
        <v>19992.253945637545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f t="shared" ref="W951:AH951" si="963">IF(OR((SLOPE($E951:$V951,$E$1:$V$1)*W$1+INTERCEPT($E951:$V951,$E$1:$V$1))&gt;(AVERAGE($E951:$V951)+_xlfn.STDEV.P($E951:$V951)),(SLOPE($E951:$V951,$E$1:$V$1)*W$1+INTERCEPT($E951:$V951,$E$1:$V$1))&lt;(AVERAGE($E951:$V951)-_xlfn.STDEV.P($E951:$V951))),V951,(SLOPE($E951:$V951,$E$1:$V$1)*W$1+INTERCEPT($E951:$V951,$E$1:$V$1)))</f>
        <v>-653.34163221037716</v>
      </c>
      <c r="X951" s="5">
        <f t="shared" si="963"/>
        <v>-839.02820136490573</v>
      </c>
      <c r="Y951" s="5">
        <f t="shared" si="963"/>
        <v>-1024.7147705194338</v>
      </c>
      <c r="Z951" s="5">
        <f t="shared" si="963"/>
        <v>-1210.401339673962</v>
      </c>
      <c r="AA951" s="5">
        <f t="shared" si="963"/>
        <v>-1396.0879088284901</v>
      </c>
      <c r="AB951" s="5">
        <f t="shared" si="963"/>
        <v>-1581.7744779830182</v>
      </c>
      <c r="AC951" s="5">
        <f t="shared" si="963"/>
        <v>-1767.4610471375472</v>
      </c>
      <c r="AD951" s="5">
        <f t="shared" si="963"/>
        <v>-1953.1476162920753</v>
      </c>
      <c r="AE951" s="5">
        <f t="shared" si="963"/>
        <v>-2138.8341854466034</v>
      </c>
      <c r="AF951" s="5">
        <f t="shared" si="963"/>
        <v>-2324.5207546011316</v>
      </c>
      <c r="AG951" s="5">
        <f t="shared" si="963"/>
        <v>-2510.2073237556597</v>
      </c>
      <c r="AH951" s="5">
        <f t="shared" si="963"/>
        <v>-2695.8938929101887</v>
      </c>
    </row>
    <row r="952" spans="1:34" x14ac:dyDescent="0.35">
      <c r="A952" t="s">
        <v>972</v>
      </c>
      <c r="B952" s="3" t="s">
        <v>1266</v>
      </c>
      <c r="C952" s="4" t="s">
        <v>1266</v>
      </c>
      <c r="D952" s="2">
        <f t="shared" si="911"/>
        <v>19914.298176977751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19914.298176977751</v>
      </c>
      <c r="U952" s="5">
        <v>0</v>
      </c>
      <c r="V952" s="5">
        <v>0</v>
      </c>
      <c r="W952" s="5">
        <f t="shared" ref="W952:AH952" si="964">IF(OR((SLOPE($E952:$V952,$E$1:$V$1)*W$1+INTERCEPT($E952:$V952,$E$1:$V$1))&gt;(AVERAGE($E952:$V952)+_xlfn.STDEV.P($E952:$V952)),(SLOPE($E952:$V952,$E$1:$V$1)*W$1+INTERCEPT($E952:$V952,$E$1:$V$1))&lt;(AVERAGE($E952:$V952)-_xlfn.STDEV.P($E952:$V952))),V952,(SLOPE($E952:$V952,$E$1:$V$1)*W$1+INTERCEPT($E952:$V952,$E$1:$V$1)))</f>
        <v>3644.4467251985425</v>
      </c>
      <c r="X952" s="5">
        <f t="shared" si="964"/>
        <v>3911.6148121961805</v>
      </c>
      <c r="Y952" s="5">
        <f t="shared" si="964"/>
        <v>4178.7828991938177</v>
      </c>
      <c r="Z952" s="5">
        <f t="shared" si="964"/>
        <v>4445.9509861914557</v>
      </c>
      <c r="AA952" s="5">
        <f t="shared" si="964"/>
        <v>4713.1190731890929</v>
      </c>
      <c r="AB952" s="5">
        <f t="shared" si="964"/>
        <v>4980.28716018673</v>
      </c>
      <c r="AC952" s="5">
        <f t="shared" si="964"/>
        <v>5247.4552471843681</v>
      </c>
      <c r="AD952" s="5">
        <f t="shared" si="964"/>
        <v>5514.6233341820052</v>
      </c>
      <c r="AE952" s="5">
        <f t="shared" si="964"/>
        <v>5514.6233341820052</v>
      </c>
      <c r="AF952" s="5">
        <f t="shared" si="964"/>
        <v>5514.6233341820052</v>
      </c>
      <c r="AG952" s="5">
        <f t="shared" si="964"/>
        <v>5514.6233341820052</v>
      </c>
      <c r="AH952" s="5">
        <f t="shared" si="964"/>
        <v>5514.6233341820052</v>
      </c>
    </row>
    <row r="953" spans="1:34" x14ac:dyDescent="0.35">
      <c r="A953" t="s">
        <v>973</v>
      </c>
      <c r="B953" s="3" t="s">
        <v>1264</v>
      </c>
      <c r="C953" s="4" t="s">
        <v>1263</v>
      </c>
      <c r="D953" s="2">
        <f t="shared" si="911"/>
        <v>19886.160000000007</v>
      </c>
      <c r="E953" s="5">
        <v>2056.6476000000002</v>
      </c>
      <c r="F953" s="5">
        <v>952.44240000000013</v>
      </c>
      <c r="G953" s="5">
        <v>575.65200000000016</v>
      </c>
      <c r="H953" s="5">
        <v>4008.6312000000016</v>
      </c>
      <c r="I953" s="5">
        <v>1648.4579999999999</v>
      </c>
      <c r="J953" s="5">
        <v>104.664</v>
      </c>
      <c r="K953" s="5">
        <v>219.7944</v>
      </c>
      <c r="L953" s="5">
        <v>251.1936</v>
      </c>
      <c r="M953" s="5">
        <v>261.66000000000003</v>
      </c>
      <c r="N953" s="5">
        <v>418.65600000000001</v>
      </c>
      <c r="O953" s="5">
        <v>345.39120000000003</v>
      </c>
      <c r="P953" s="5">
        <v>905.34359999999992</v>
      </c>
      <c r="Q953" s="5">
        <v>1580.4263999999998</v>
      </c>
      <c r="R953" s="5">
        <v>1522.8612000000001</v>
      </c>
      <c r="S953" s="5">
        <v>2794.5288000000005</v>
      </c>
      <c r="T953" s="5">
        <v>1240.2684000000002</v>
      </c>
      <c r="U953" s="5">
        <v>418.65600000000006</v>
      </c>
      <c r="V953" s="5">
        <v>580.88520000000017</v>
      </c>
      <c r="W953" s="5">
        <f t="shared" ref="W953:AH953" si="965">IF(OR((SLOPE($E953:$V953,$E$1:$V$1)*W$1+INTERCEPT($E953:$V953,$E$1:$V$1))&gt;(AVERAGE($E953:$V953)+_xlfn.STDEV.P($E953:$V953)),(SLOPE($E953:$V953,$E$1:$V$1)*W$1+INTERCEPT($E953:$V953,$E$1:$V$1))&lt;(AVERAGE($E953:$V953)-_xlfn.STDEV.P($E953:$V953))),V953,(SLOPE($E953:$V953,$E$1:$V$1)*W$1+INTERCEPT($E953:$V953,$E$1:$V$1)))</f>
        <v>862.21245490196111</v>
      </c>
      <c r="X953" s="5">
        <f t="shared" si="965"/>
        <v>836.67832734778153</v>
      </c>
      <c r="Y953" s="5">
        <f t="shared" si="965"/>
        <v>811.14419979360196</v>
      </c>
      <c r="Z953" s="5">
        <f t="shared" si="965"/>
        <v>785.61007223942238</v>
      </c>
      <c r="AA953" s="5">
        <f t="shared" si="965"/>
        <v>760.0759446852428</v>
      </c>
      <c r="AB953" s="5">
        <f t="shared" si="965"/>
        <v>734.54181713106323</v>
      </c>
      <c r="AC953" s="5">
        <f t="shared" si="965"/>
        <v>709.00768957688365</v>
      </c>
      <c r="AD953" s="5">
        <f t="shared" si="965"/>
        <v>683.47356202270407</v>
      </c>
      <c r="AE953" s="5">
        <f t="shared" si="965"/>
        <v>657.93943446852438</v>
      </c>
      <c r="AF953" s="5">
        <f t="shared" si="965"/>
        <v>632.40530691434481</v>
      </c>
      <c r="AG953" s="5">
        <f t="shared" si="965"/>
        <v>606.87117936016523</v>
      </c>
      <c r="AH953" s="5">
        <f t="shared" si="965"/>
        <v>581.33705180598565</v>
      </c>
    </row>
    <row r="954" spans="1:34" x14ac:dyDescent="0.35">
      <c r="A954" t="s">
        <v>974</v>
      </c>
      <c r="B954" s="3" t="s">
        <v>1266</v>
      </c>
      <c r="C954" s="4" t="s">
        <v>1266</v>
      </c>
      <c r="D954" s="2">
        <f t="shared" si="911"/>
        <v>19476.527092812408</v>
      </c>
      <c r="E954" s="5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9738.2635464062041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9738.2635464062041</v>
      </c>
      <c r="U954" s="5">
        <v>0</v>
      </c>
      <c r="V954" s="5">
        <v>0</v>
      </c>
      <c r="W954" s="5">
        <f t="shared" ref="W954:AH954" si="966">IF(OR((SLOPE($E954:$V954,$E$1:$V$1)*W$1+INTERCEPT($E954:$V954,$E$1:$V$1))&gt;(AVERAGE($E954:$V954)+_xlfn.STDEV.P($E954:$V954)),(SLOPE($E954:$V954,$E$1:$V$1)*W$1+INTERCEPT($E954:$V954,$E$1:$V$1))&lt;(AVERAGE($E954:$V954)-_xlfn.STDEV.P($E954:$V954))),V954,(SLOPE($E954:$V954,$E$1:$V$1)*W$1+INTERCEPT($E954:$V954,$E$1:$V$1)))</f>
        <v>1845.8146591227446</v>
      </c>
      <c r="X954" s="5">
        <f t="shared" si="966"/>
        <v>1926.2131197741887</v>
      </c>
      <c r="Y954" s="5">
        <f t="shared" si="966"/>
        <v>2006.6115804256333</v>
      </c>
      <c r="Z954" s="5">
        <f t="shared" si="966"/>
        <v>2087.0100410770779</v>
      </c>
      <c r="AA954" s="5">
        <f t="shared" si="966"/>
        <v>2167.408501728522</v>
      </c>
      <c r="AB954" s="5">
        <f t="shared" si="966"/>
        <v>2247.8069623799665</v>
      </c>
      <c r="AC954" s="5">
        <f t="shared" si="966"/>
        <v>2328.2054230314111</v>
      </c>
      <c r="AD954" s="5">
        <f t="shared" si="966"/>
        <v>2408.6038836828552</v>
      </c>
      <c r="AE954" s="5">
        <f t="shared" si="966"/>
        <v>2489.0023443342998</v>
      </c>
      <c r="AF954" s="5">
        <f t="shared" si="966"/>
        <v>2569.4008049857439</v>
      </c>
      <c r="AG954" s="5">
        <f t="shared" si="966"/>
        <v>2649.7992656371885</v>
      </c>
      <c r="AH954" s="5">
        <f t="shared" si="966"/>
        <v>2730.197726288633</v>
      </c>
    </row>
    <row r="955" spans="1:34" x14ac:dyDescent="0.35">
      <c r="A955" t="s">
        <v>975</v>
      </c>
      <c r="B955" s="3" t="s">
        <v>1264</v>
      </c>
      <c r="C955" s="4" t="s">
        <v>1263</v>
      </c>
      <c r="D955" s="2">
        <f t="shared" si="911"/>
        <v>19238.184000000001</v>
      </c>
      <c r="E955" s="5">
        <v>1317.12</v>
      </c>
      <c r="F955" s="5">
        <v>658.56</v>
      </c>
      <c r="G955" s="5">
        <v>1646.4</v>
      </c>
      <c r="H955" s="5">
        <v>633.86400000000003</v>
      </c>
      <c r="I955" s="5">
        <v>1811.0399999999997</v>
      </c>
      <c r="J955" s="5">
        <v>658.56</v>
      </c>
      <c r="K955" s="5">
        <v>987.84</v>
      </c>
      <c r="L955" s="5">
        <v>1317.12</v>
      </c>
      <c r="M955" s="5">
        <v>1646.3999999999999</v>
      </c>
      <c r="N955" s="5">
        <v>1481.76</v>
      </c>
      <c r="O955" s="5">
        <v>823.19999999999993</v>
      </c>
      <c r="P955" s="5">
        <v>1152.48</v>
      </c>
      <c r="Q955" s="5">
        <v>493.92</v>
      </c>
      <c r="R955" s="5">
        <v>1317.12</v>
      </c>
      <c r="S955" s="5">
        <v>1152.48</v>
      </c>
      <c r="T955" s="5">
        <v>2140.3200000000002</v>
      </c>
      <c r="U955" s="5">
        <v>0</v>
      </c>
      <c r="V955" s="5">
        <v>0</v>
      </c>
      <c r="W955" s="5">
        <f t="shared" ref="W955:AH955" si="967">IF(OR((SLOPE($E955:$V955,$E$1:$V$1)*W$1+INTERCEPT($E955:$V955,$E$1:$V$1))&gt;(AVERAGE($E955:$V955)+_xlfn.STDEV.P($E955:$V955)),(SLOPE($E955:$V955,$E$1:$V$1)*W$1+INTERCEPT($E955:$V955,$E$1:$V$1))&lt;(AVERAGE($E955:$V955)-_xlfn.STDEV.P($E955:$V955))),V955,(SLOPE($E955:$V955,$E$1:$V$1)*W$1+INTERCEPT($E955:$V955,$E$1:$V$1)))</f>
        <v>808.35011764705894</v>
      </c>
      <c r="X955" s="5">
        <f t="shared" si="967"/>
        <v>780.93560371517037</v>
      </c>
      <c r="Y955" s="5">
        <f t="shared" si="967"/>
        <v>753.52108978328181</v>
      </c>
      <c r="Z955" s="5">
        <f t="shared" si="967"/>
        <v>726.10657585139325</v>
      </c>
      <c r="AA955" s="5">
        <f t="shared" si="967"/>
        <v>698.69206191950468</v>
      </c>
      <c r="AB955" s="5">
        <f t="shared" si="967"/>
        <v>671.27754798761612</v>
      </c>
      <c r="AC955" s="5">
        <f t="shared" si="967"/>
        <v>643.86303405572767</v>
      </c>
      <c r="AD955" s="5">
        <f t="shared" si="967"/>
        <v>616.4485201238391</v>
      </c>
      <c r="AE955" s="5">
        <f t="shared" si="967"/>
        <v>589.03400619195054</v>
      </c>
      <c r="AF955" s="5">
        <f t="shared" si="967"/>
        <v>561.61949226006197</v>
      </c>
      <c r="AG955" s="5">
        <f t="shared" si="967"/>
        <v>534.20497832817341</v>
      </c>
      <c r="AH955" s="5">
        <f t="shared" si="967"/>
        <v>506.79046439628496</v>
      </c>
    </row>
    <row r="956" spans="1:34" x14ac:dyDescent="0.35">
      <c r="A956" t="s">
        <v>976</v>
      </c>
      <c r="B956" s="3" t="s">
        <v>1264</v>
      </c>
      <c r="C956" s="4" t="s">
        <v>1267</v>
      </c>
      <c r="D956" s="2">
        <f t="shared" si="911"/>
        <v>19139.118419022096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19139.118419022096</v>
      </c>
      <c r="T956" s="5">
        <v>0</v>
      </c>
      <c r="U956" s="5">
        <v>0</v>
      </c>
      <c r="V956" s="5">
        <v>0</v>
      </c>
      <c r="W956" s="5">
        <f t="shared" ref="W956:AH956" si="968">IF(OR((SLOPE($E956:$V956,$E$1:$V$1)*W$1+INTERCEPT($E956:$V956,$E$1:$V$1))&gt;(AVERAGE($E956:$V956)+_xlfn.STDEV.P($E956:$V956)),(SLOPE($E956:$V956,$E$1:$V$1)*W$1+INTERCEPT($E956:$V956,$E$1:$V$1))&lt;(AVERAGE($E956:$V956)-_xlfn.STDEV.P($E956:$V956))),V956,(SLOPE($E956:$V956,$E$1:$V$1)*W$1+INTERCEPT($E956:$V956,$E$1:$V$1)))</f>
        <v>3127.3069312127609</v>
      </c>
      <c r="X956" s="5">
        <f t="shared" si="968"/>
        <v>3344.5724653812267</v>
      </c>
      <c r="Y956" s="5">
        <f t="shared" si="968"/>
        <v>3561.8379995496925</v>
      </c>
      <c r="Z956" s="5">
        <f t="shared" si="968"/>
        <v>3779.1035337181575</v>
      </c>
      <c r="AA956" s="5">
        <f t="shared" si="968"/>
        <v>3996.3690678866233</v>
      </c>
      <c r="AB956" s="5">
        <f t="shared" si="968"/>
        <v>4213.6346020550891</v>
      </c>
      <c r="AC956" s="5">
        <f t="shared" si="968"/>
        <v>4430.900136223554</v>
      </c>
      <c r="AD956" s="5">
        <f t="shared" si="968"/>
        <v>4648.1656703920198</v>
      </c>
      <c r="AE956" s="5">
        <f t="shared" si="968"/>
        <v>4865.4312045604856</v>
      </c>
      <c r="AF956" s="5">
        <f t="shared" si="968"/>
        <v>5082.6967387289505</v>
      </c>
      <c r="AG956" s="5">
        <f t="shared" si="968"/>
        <v>5299.9622728974164</v>
      </c>
      <c r="AH956" s="5">
        <f t="shared" si="968"/>
        <v>5299.9622728974164</v>
      </c>
    </row>
    <row r="957" spans="1:34" x14ac:dyDescent="0.35">
      <c r="A957" t="s">
        <v>977</v>
      </c>
      <c r="B957" s="3" t="s">
        <v>1266</v>
      </c>
      <c r="C957" s="4" t="s">
        <v>1267</v>
      </c>
      <c r="D957" s="2">
        <f t="shared" si="911"/>
        <v>19080.21377822294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19080.21377822294</v>
      </c>
      <c r="U957" s="5">
        <v>0</v>
      </c>
      <c r="V957" s="5">
        <v>0</v>
      </c>
      <c r="W957" s="5">
        <f t="shared" ref="W957:AH957" si="969">IF(OR((SLOPE($E957:$V957,$E$1:$V$1)*W$1+INTERCEPT($E957:$V957,$E$1:$V$1))&gt;(AVERAGE($E957:$V957)+_xlfn.STDEV.P($E957:$V957)),(SLOPE($E957:$V957,$E$1:$V$1)*W$1+INTERCEPT($E957:$V957,$E$1:$V$1))&lt;(AVERAGE($E957:$V957)-_xlfn.STDEV.P($E957:$V957))),V957,(SLOPE($E957:$V957,$E$1:$V$1)*W$1+INTERCEPT($E957:$V957,$E$1:$V$1)))</f>
        <v>3491.8038286943938</v>
      </c>
      <c r="X957" s="5">
        <f t="shared" si="969"/>
        <v>3747.7819289182307</v>
      </c>
      <c r="Y957" s="5">
        <f t="shared" si="969"/>
        <v>4003.7600291420677</v>
      </c>
      <c r="Z957" s="5">
        <f t="shared" si="969"/>
        <v>4259.7381293659055</v>
      </c>
      <c r="AA957" s="5">
        <f t="shared" si="969"/>
        <v>4515.7162295897424</v>
      </c>
      <c r="AB957" s="5">
        <f t="shared" si="969"/>
        <v>4771.6943298135793</v>
      </c>
      <c r="AC957" s="5">
        <f t="shared" si="969"/>
        <v>5027.6724300374162</v>
      </c>
      <c r="AD957" s="5">
        <f t="shared" si="969"/>
        <v>5283.6505302612532</v>
      </c>
      <c r="AE957" s="5">
        <f t="shared" si="969"/>
        <v>5283.6505302612532</v>
      </c>
      <c r="AF957" s="5">
        <f t="shared" si="969"/>
        <v>5283.6505302612532</v>
      </c>
      <c r="AG957" s="5">
        <f t="shared" si="969"/>
        <v>5283.6505302612532</v>
      </c>
      <c r="AH957" s="5">
        <f t="shared" si="969"/>
        <v>5283.6505302612532</v>
      </c>
    </row>
    <row r="958" spans="1:34" x14ac:dyDescent="0.35">
      <c r="A958" t="s">
        <v>978</v>
      </c>
      <c r="B958" s="3" t="s">
        <v>1266</v>
      </c>
      <c r="C958" s="4" t="s">
        <v>1266</v>
      </c>
      <c r="D958" s="2">
        <f t="shared" si="911"/>
        <v>18996.919800552143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18996.919800552143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f t="shared" ref="W958:AH958" si="970">IF(OR((SLOPE($E958:$V958,$E$1:$V$1)*W$1+INTERCEPT($E958:$V958,$E$1:$V$1))&gt;(AVERAGE($E958:$V958)+_xlfn.STDEV.P($E958:$V958)),(SLOPE($E958:$V958,$E$1:$V$1)*W$1+INTERCEPT($E958:$V958,$E$1:$V$1))&lt;(AVERAGE($E958:$V958)-_xlfn.STDEV.P($E958:$V958))),V958,(SLOPE($E958:$V958,$E$1:$V$1)*W$1+INTERCEPT($E958:$V958,$E$1:$V$1)))</f>
        <v>1986.605992214603</v>
      </c>
      <c r="X958" s="5">
        <f t="shared" si="970"/>
        <v>2084.6293141988763</v>
      </c>
      <c r="Y958" s="5">
        <f t="shared" si="970"/>
        <v>2182.6526361831493</v>
      </c>
      <c r="Z958" s="5">
        <f t="shared" si="970"/>
        <v>2280.6759581674223</v>
      </c>
      <c r="AA958" s="5">
        <f t="shared" si="970"/>
        <v>2378.6992801516953</v>
      </c>
      <c r="AB958" s="5">
        <f t="shared" si="970"/>
        <v>2476.7226021359693</v>
      </c>
      <c r="AC958" s="5">
        <f t="shared" si="970"/>
        <v>2574.7459241202423</v>
      </c>
      <c r="AD958" s="5">
        <f t="shared" si="970"/>
        <v>2672.7692461045153</v>
      </c>
      <c r="AE958" s="5">
        <f t="shared" si="970"/>
        <v>2770.7925680887884</v>
      </c>
      <c r="AF958" s="5">
        <f t="shared" si="970"/>
        <v>2868.8158900730614</v>
      </c>
      <c r="AG958" s="5">
        <f t="shared" si="970"/>
        <v>2966.8392120573344</v>
      </c>
      <c r="AH958" s="5">
        <f t="shared" si="970"/>
        <v>3064.8625340416074</v>
      </c>
    </row>
    <row r="959" spans="1:34" x14ac:dyDescent="0.35">
      <c r="A959" t="s">
        <v>979</v>
      </c>
      <c r="B959" s="3" t="s">
        <v>1266</v>
      </c>
      <c r="C959" s="4" t="s">
        <v>1267</v>
      </c>
      <c r="D959" s="2">
        <f t="shared" si="911"/>
        <v>18932.137027376782</v>
      </c>
      <c r="E959" s="5">
        <v>0</v>
      </c>
      <c r="F959" s="5">
        <v>0</v>
      </c>
      <c r="G959" s="5">
        <v>6407.907032001749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12524.229995375032</v>
      </c>
      <c r="W959" s="5">
        <f t="shared" ref="W959:AH959" si="971">IF(OR((SLOPE($E959:$V959,$E$1:$V$1)*W$1+INTERCEPT($E959:$V959,$E$1:$V$1))&gt;(AVERAGE($E959:$V959)+_xlfn.STDEV.P($E959:$V959)),(SLOPE($E959:$V959,$E$1:$V$1)*W$1+INTERCEPT($E959:$V959,$E$1:$V$1))&lt;(AVERAGE($E959:$V959)-_xlfn.STDEV.P($E959:$V959))),V959,(SLOPE($E959:$V959,$E$1:$V$1)*W$1+INTERCEPT($E959:$V959,$E$1:$V$1)))</f>
        <v>2322.4630228152409</v>
      </c>
      <c r="X959" s="5">
        <f t="shared" si="971"/>
        <v>2456.218563068443</v>
      </c>
      <c r="Y959" s="5">
        <f t="shared" si="971"/>
        <v>2589.9741033216451</v>
      </c>
      <c r="Z959" s="5">
        <f t="shared" si="971"/>
        <v>2723.7296435748472</v>
      </c>
      <c r="AA959" s="5">
        <f t="shared" si="971"/>
        <v>2857.4851838280492</v>
      </c>
      <c r="AB959" s="5">
        <f t="shared" si="971"/>
        <v>2991.2407240812513</v>
      </c>
      <c r="AC959" s="5">
        <f t="shared" si="971"/>
        <v>3124.9962643344534</v>
      </c>
      <c r="AD959" s="5">
        <f t="shared" si="971"/>
        <v>3258.7518045876554</v>
      </c>
      <c r="AE959" s="5">
        <f t="shared" si="971"/>
        <v>3392.5073448408575</v>
      </c>
      <c r="AF959" s="5">
        <f t="shared" si="971"/>
        <v>3526.2628850940596</v>
      </c>
      <c r="AG959" s="5">
        <f t="shared" si="971"/>
        <v>3660.0184253472617</v>
      </c>
      <c r="AH959" s="5">
        <f t="shared" si="971"/>
        <v>3793.7739656004637</v>
      </c>
    </row>
    <row r="960" spans="1:34" x14ac:dyDescent="0.35">
      <c r="A960" t="s">
        <v>980</v>
      </c>
      <c r="B960" s="3" t="s">
        <v>1264</v>
      </c>
      <c r="C960" s="4" t="s">
        <v>1263</v>
      </c>
      <c r="D960" s="2">
        <f t="shared" si="911"/>
        <v>18838.205538864371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18838.205538864371</v>
      </c>
      <c r="T960" s="5">
        <v>0</v>
      </c>
      <c r="U960" s="5">
        <v>0</v>
      </c>
      <c r="V960" s="5">
        <v>0</v>
      </c>
      <c r="W960" s="5">
        <f t="shared" ref="W960:AH960" si="972">IF(OR((SLOPE($E960:$V960,$E$1:$V$1)*W$1+INTERCEPT($E960:$V960,$E$1:$V$1))&gt;(AVERAGE($E960:$V960)+_xlfn.STDEV.P($E960:$V960)),(SLOPE($E960:$V960,$E$1:$V$1)*W$1+INTERCEPT($E960:$V960,$E$1:$V$1))&lt;(AVERAGE($E960:$V960)-_xlfn.STDEV.P($E960:$V960))),V960,(SLOPE($E960:$V960,$E$1:$V$1)*W$1+INTERCEPT($E960:$V960,$E$1:$V$1)))</f>
        <v>3078.1381599451588</v>
      </c>
      <c r="X960" s="5">
        <f t="shared" si="972"/>
        <v>3291.9877584255592</v>
      </c>
      <c r="Y960" s="5">
        <f t="shared" si="972"/>
        <v>3505.8373569059604</v>
      </c>
      <c r="Z960" s="5">
        <f t="shared" si="972"/>
        <v>3719.6869553863608</v>
      </c>
      <c r="AA960" s="5">
        <f t="shared" si="972"/>
        <v>3933.5365538667611</v>
      </c>
      <c r="AB960" s="5">
        <f t="shared" si="972"/>
        <v>4147.3861523471614</v>
      </c>
      <c r="AC960" s="5">
        <f t="shared" si="972"/>
        <v>4361.2357508275618</v>
      </c>
      <c r="AD960" s="5">
        <f t="shared" si="972"/>
        <v>4575.085349307963</v>
      </c>
      <c r="AE960" s="5">
        <f t="shared" si="972"/>
        <v>4788.9349477883634</v>
      </c>
      <c r="AF960" s="5">
        <f t="shared" si="972"/>
        <v>5002.7845462687637</v>
      </c>
      <c r="AG960" s="5">
        <f t="shared" si="972"/>
        <v>5216.6341447491641</v>
      </c>
      <c r="AH960" s="5">
        <f t="shared" si="972"/>
        <v>5216.6341447491641</v>
      </c>
    </row>
    <row r="961" spans="1:34" x14ac:dyDescent="0.35">
      <c r="A961" t="s">
        <v>981</v>
      </c>
      <c r="B961" s="3" t="s">
        <v>1266</v>
      </c>
      <c r="C961" s="4" t="s">
        <v>1266</v>
      </c>
      <c r="D961" s="2">
        <f t="shared" si="911"/>
        <v>18681.68880358919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4470.5021170012296</v>
      </c>
      <c r="R961" s="5">
        <v>0</v>
      </c>
      <c r="S961" s="5">
        <v>0</v>
      </c>
      <c r="T961" s="5">
        <v>3988.7669750829932</v>
      </c>
      <c r="U961" s="5">
        <v>0</v>
      </c>
      <c r="V961" s="5">
        <v>10222.419711504968</v>
      </c>
      <c r="W961" s="5">
        <f t="shared" ref="W961:AH961" si="973">IF(OR((SLOPE($E961:$V961,$E$1:$V$1)*W$1+INTERCEPT($E961:$V961,$E$1:$V$1))&gt;(AVERAGE($E961:$V961)+_xlfn.STDEV.P($E961:$V961)),(SLOPE($E961:$V961,$E$1:$V$1)*W$1+INTERCEPT($E961:$V961,$E$1:$V$1))&lt;(AVERAGE($E961:$V961)-_xlfn.STDEV.P($E961:$V961))),V961,(SLOPE($E961:$V961,$E$1:$V$1)*W$1+INTERCEPT($E961:$V961,$E$1:$V$1)))</f>
        <v>3556.7796452059879</v>
      </c>
      <c r="X961" s="5">
        <f t="shared" si="973"/>
        <v>3556.7796452059879</v>
      </c>
      <c r="Y961" s="5">
        <f t="shared" si="973"/>
        <v>3556.7796452059879</v>
      </c>
      <c r="Z961" s="5">
        <f t="shared" si="973"/>
        <v>3556.7796452059879</v>
      </c>
      <c r="AA961" s="5">
        <f t="shared" si="973"/>
        <v>3556.7796452059879</v>
      </c>
      <c r="AB961" s="5">
        <f t="shared" si="973"/>
        <v>3556.7796452059879</v>
      </c>
      <c r="AC961" s="5">
        <f t="shared" si="973"/>
        <v>3556.7796452059879</v>
      </c>
      <c r="AD961" s="5">
        <f t="shared" si="973"/>
        <v>3556.7796452059879</v>
      </c>
      <c r="AE961" s="5">
        <f t="shared" si="973"/>
        <v>3556.7796452059879</v>
      </c>
      <c r="AF961" s="5">
        <f t="shared" si="973"/>
        <v>3556.7796452059879</v>
      </c>
      <c r="AG961" s="5">
        <f t="shared" si="973"/>
        <v>3556.7796452059879</v>
      </c>
      <c r="AH961" s="5">
        <f t="shared" si="973"/>
        <v>3556.7796452059879</v>
      </c>
    </row>
    <row r="962" spans="1:34" x14ac:dyDescent="0.35">
      <c r="A962" t="s">
        <v>982</v>
      </c>
      <c r="B962" s="3" t="s">
        <v>1264</v>
      </c>
      <c r="C962" s="4" t="s">
        <v>1263</v>
      </c>
      <c r="D962" s="2">
        <f t="shared" si="911"/>
        <v>18517.7664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6172.5887999999995</v>
      </c>
      <c r="P962" s="5">
        <v>12345.177599999999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f t="shared" ref="W962:AH962" si="974">IF(OR((SLOPE($E962:$V962,$E$1:$V$1)*W$1+INTERCEPT($E962:$V962,$E$1:$V$1))&gt;(AVERAGE($E962:$V962)+_xlfn.STDEV.P($E962:$V962)),(SLOPE($E962:$V962,$E$1:$V$1)*W$1+INTERCEPT($E962:$V962,$E$1:$V$1))&lt;(AVERAGE($E962:$V962)-_xlfn.STDEV.P($E962:$V962))),V962,(SLOPE($E962:$V962,$E$1:$V$1)*W$1+INTERCEPT($E962:$V962,$E$1:$V$1)))</f>
        <v>1815.4672941176468</v>
      </c>
      <c r="X962" s="5">
        <f t="shared" si="974"/>
        <v>1898.278082972136</v>
      </c>
      <c r="Y962" s="5">
        <f t="shared" si="974"/>
        <v>1981.0888718266251</v>
      </c>
      <c r="Z962" s="5">
        <f t="shared" si="974"/>
        <v>2063.8996606811143</v>
      </c>
      <c r="AA962" s="5">
        <f t="shared" si="974"/>
        <v>2146.7104495356034</v>
      </c>
      <c r="AB962" s="5">
        <f t="shared" si="974"/>
        <v>2229.5212383900921</v>
      </c>
      <c r="AC962" s="5">
        <f t="shared" si="974"/>
        <v>2312.3320272445812</v>
      </c>
      <c r="AD962" s="5">
        <f t="shared" si="974"/>
        <v>2395.1428160990704</v>
      </c>
      <c r="AE962" s="5">
        <f t="shared" si="974"/>
        <v>2477.9536049535595</v>
      </c>
      <c r="AF962" s="5">
        <f t="shared" si="974"/>
        <v>2560.7643938080487</v>
      </c>
      <c r="AG962" s="5">
        <f t="shared" si="974"/>
        <v>2643.5751826625378</v>
      </c>
      <c r="AH962" s="5">
        <f t="shared" si="974"/>
        <v>2726.385971517027</v>
      </c>
    </row>
    <row r="963" spans="1:34" x14ac:dyDescent="0.35">
      <c r="A963" t="s">
        <v>983</v>
      </c>
      <c r="B963" s="3" t="s">
        <v>1266</v>
      </c>
      <c r="C963" s="4" t="s">
        <v>1263</v>
      </c>
      <c r="D963" s="2">
        <f t="shared" si="911"/>
        <v>18437.675579139242</v>
      </c>
      <c r="E963" s="5">
        <v>0</v>
      </c>
      <c r="F963" s="5">
        <v>0</v>
      </c>
      <c r="G963" s="5">
        <v>0</v>
      </c>
      <c r="H963" s="5">
        <v>8517.1414748779698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9920.5341042612708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f t="shared" ref="W963:AH963" si="975">IF(OR((SLOPE($E963:$V963,$E$1:$V$1)*W$1+INTERCEPT($E963:$V963,$E$1:$V$1))&gt;(AVERAGE($E963:$V963)+_xlfn.STDEV.P($E963:$V963)),(SLOPE($E963:$V963,$E$1:$V$1)*W$1+INTERCEPT($E963:$V963,$E$1:$V$1))&lt;(AVERAGE($E963:$V963)-_xlfn.STDEV.P($E963:$V963))),V963,(SLOPE($E963:$V963,$E$1:$V$1)*W$1+INTERCEPT($E963:$V963,$E$1:$V$1)))</f>
        <v>203.06019113456841</v>
      </c>
      <c r="X963" s="5">
        <f t="shared" si="975"/>
        <v>116.61228389060943</v>
      </c>
      <c r="Y963" s="5">
        <f t="shared" si="975"/>
        <v>30.164376646650226</v>
      </c>
      <c r="Z963" s="5">
        <f t="shared" si="975"/>
        <v>-56.283530597308982</v>
      </c>
      <c r="AA963" s="5">
        <f t="shared" si="975"/>
        <v>-142.73143784126796</v>
      </c>
      <c r="AB963" s="5">
        <f t="shared" si="975"/>
        <v>-229.1793450852274</v>
      </c>
      <c r="AC963" s="5">
        <f t="shared" si="975"/>
        <v>-315.62725232918638</v>
      </c>
      <c r="AD963" s="5">
        <f t="shared" si="975"/>
        <v>-402.07515957314536</v>
      </c>
      <c r="AE963" s="5">
        <f t="shared" si="975"/>
        <v>-488.52306681710434</v>
      </c>
      <c r="AF963" s="5">
        <f t="shared" si="975"/>
        <v>-574.97097406106377</v>
      </c>
      <c r="AG963" s="5">
        <f t="shared" si="975"/>
        <v>-661.41888130502275</v>
      </c>
      <c r="AH963" s="5">
        <f t="shared" si="975"/>
        <v>-747.86678854898173</v>
      </c>
    </row>
    <row r="964" spans="1:34" x14ac:dyDescent="0.35">
      <c r="A964" t="s">
        <v>984</v>
      </c>
      <c r="B964" s="3" t="s">
        <v>1266</v>
      </c>
      <c r="C964" s="4" t="s">
        <v>1267</v>
      </c>
      <c r="D964" s="2">
        <f t="shared" ref="D964:D1027" si="976">SUM(E964:V964)</f>
        <v>18436.314059916553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18436.314059916553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f t="shared" ref="W964:AH964" si="977">IF(OR((SLOPE($E964:$V964,$E$1:$V$1)*W$1+INTERCEPT($E964:$V964,$E$1:$V$1))&gt;(AVERAGE($E964:$V964)+_xlfn.STDEV.P($E964:$V964)),(SLOPE($E964:$V964,$E$1:$V$1)*W$1+INTERCEPT($E964:$V964,$E$1:$V$1))&lt;(AVERAGE($E964:$V964)-_xlfn.STDEV.P($E964:$V964))),V964,(SLOPE($E964:$V964,$E$1:$V$1)*W$1+INTERCEPT($E964:$V964,$E$1:$V$1)))</f>
        <v>1927.9805552853909</v>
      </c>
      <c r="X964" s="5">
        <f t="shared" si="977"/>
        <v>2023.1111747896043</v>
      </c>
      <c r="Y964" s="5">
        <f t="shared" si="977"/>
        <v>2118.2417942938177</v>
      </c>
      <c r="Z964" s="5">
        <f t="shared" si="977"/>
        <v>2213.3724137980312</v>
      </c>
      <c r="AA964" s="5">
        <f t="shared" si="977"/>
        <v>2308.5030333022446</v>
      </c>
      <c r="AB964" s="5">
        <f t="shared" si="977"/>
        <v>2403.633652806458</v>
      </c>
      <c r="AC964" s="5">
        <f t="shared" si="977"/>
        <v>2498.7642723106715</v>
      </c>
      <c r="AD964" s="5">
        <f t="shared" si="977"/>
        <v>2593.8948918148849</v>
      </c>
      <c r="AE964" s="5">
        <f t="shared" si="977"/>
        <v>2689.0255113190983</v>
      </c>
      <c r="AF964" s="5">
        <f t="shared" si="977"/>
        <v>2784.1561308233113</v>
      </c>
      <c r="AG964" s="5">
        <f t="shared" si="977"/>
        <v>2879.2867503275247</v>
      </c>
      <c r="AH964" s="5">
        <f t="shared" si="977"/>
        <v>2974.4173698317381</v>
      </c>
    </row>
    <row r="965" spans="1:34" x14ac:dyDescent="0.35">
      <c r="A965" t="s">
        <v>985</v>
      </c>
      <c r="B965" s="3" t="s">
        <v>1264</v>
      </c>
      <c r="C965" s="4" t="s">
        <v>1263</v>
      </c>
      <c r="D965" s="2">
        <f t="shared" si="976"/>
        <v>18324.88957871134</v>
      </c>
      <c r="E965" s="5">
        <v>656.80607809001208</v>
      </c>
      <c r="F965" s="5">
        <v>328.40303904500604</v>
      </c>
      <c r="G965" s="5">
        <v>963.3155811986843</v>
      </c>
      <c r="H965" s="5">
        <v>0</v>
      </c>
      <c r="I965" s="5">
        <v>3284.0303904500606</v>
      </c>
      <c r="J965" s="5">
        <v>0</v>
      </c>
      <c r="K965" s="5">
        <v>1313.6121561800242</v>
      </c>
      <c r="L965" s="5">
        <v>2014.2053061427036</v>
      </c>
      <c r="M965" s="5">
        <v>0</v>
      </c>
      <c r="N965" s="5">
        <v>2889.9467435960532</v>
      </c>
      <c r="O965" s="5">
        <v>0</v>
      </c>
      <c r="P965" s="5">
        <v>1313.6121561800242</v>
      </c>
      <c r="Q965" s="5">
        <v>218.93535936333734</v>
      </c>
      <c r="R965" s="5">
        <v>0</v>
      </c>
      <c r="S965" s="5">
        <v>1795.2699467793661</v>
      </c>
      <c r="T965" s="5">
        <v>1313.6121561800242</v>
      </c>
      <c r="U965" s="5">
        <v>2233.1406655060409</v>
      </c>
      <c r="V965" s="5">
        <v>0</v>
      </c>
      <c r="W965" s="5">
        <f t="shared" ref="W965:AH965" si="978">IF(OR((SLOPE($E965:$V965,$E$1:$V$1)*W$1+INTERCEPT($E965:$V965,$E$1:$V$1))&gt;(AVERAGE($E965:$V965)+_xlfn.STDEV.P($E965:$V965)),(SLOPE($E965:$V965,$E$1:$V$1)*W$1+INTERCEPT($E965:$V965,$E$1:$V$1))&lt;(AVERAGE($E965:$V965)-_xlfn.STDEV.P($E965:$V965))),V965,(SLOPE($E965:$V965,$E$1:$V$1)*W$1+INTERCEPT($E965:$V965,$E$1:$V$1)))</f>
        <v>1121.2924679549749</v>
      </c>
      <c r="X965" s="5">
        <f t="shared" si="978"/>
        <v>1132.1601571039703</v>
      </c>
      <c r="Y965" s="5">
        <f t="shared" si="978"/>
        <v>1143.0278462529657</v>
      </c>
      <c r="Z965" s="5">
        <f t="shared" si="978"/>
        <v>1153.8955354019611</v>
      </c>
      <c r="AA965" s="5">
        <f t="shared" si="978"/>
        <v>1164.7632245509565</v>
      </c>
      <c r="AB965" s="5">
        <f t="shared" si="978"/>
        <v>1175.6309136999519</v>
      </c>
      <c r="AC965" s="5">
        <f t="shared" si="978"/>
        <v>1186.4986028489473</v>
      </c>
      <c r="AD965" s="5">
        <f t="shared" si="978"/>
        <v>1197.3662919979427</v>
      </c>
      <c r="AE965" s="5">
        <f t="shared" si="978"/>
        <v>1208.233981146938</v>
      </c>
      <c r="AF965" s="5">
        <f t="shared" si="978"/>
        <v>1219.1016702959334</v>
      </c>
      <c r="AG965" s="5">
        <f t="shared" si="978"/>
        <v>1229.9693594449288</v>
      </c>
      <c r="AH965" s="5">
        <f t="shared" si="978"/>
        <v>1240.837048593924</v>
      </c>
    </row>
    <row r="966" spans="1:34" x14ac:dyDescent="0.35">
      <c r="A966" t="s">
        <v>986</v>
      </c>
      <c r="B966" s="3" t="s">
        <v>1264</v>
      </c>
      <c r="C966" s="4" t="s">
        <v>1263</v>
      </c>
      <c r="D966" s="2">
        <f t="shared" si="976"/>
        <v>18294.292357749138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5109.4118300932505</v>
      </c>
      <c r="O966" s="5">
        <v>0</v>
      </c>
      <c r="P966" s="5">
        <v>0</v>
      </c>
      <c r="Q966" s="5">
        <v>8118.7687978176655</v>
      </c>
      <c r="R966" s="5">
        <v>0</v>
      </c>
      <c r="S966" s="5">
        <v>0</v>
      </c>
      <c r="T966" s="5">
        <v>2706.256265939222</v>
      </c>
      <c r="U966" s="5">
        <v>0</v>
      </c>
      <c r="V966" s="5">
        <v>2359.8554638990013</v>
      </c>
      <c r="W966" s="5">
        <f t="shared" ref="W966:AH966" si="979">IF(OR((SLOPE($E966:$V966,$E$1:$V$1)*W$1+INTERCEPT($E966:$V966,$E$1:$V$1))&gt;(AVERAGE($E966:$V966)+_xlfn.STDEV.P($E966:$V966)),(SLOPE($E966:$V966,$E$1:$V$1)*W$1+INTERCEPT($E966:$V966,$E$1:$V$1))&lt;(AVERAGE($E966:$V966)-_xlfn.STDEV.P($E966:$V966))),V966,(SLOPE($E966:$V966,$E$1:$V$1)*W$1+INTERCEPT($E966:$V966,$E$1:$V$1)))</f>
        <v>2361.8365142374669</v>
      </c>
      <c r="X966" s="5">
        <f t="shared" si="979"/>
        <v>2503.4667183224092</v>
      </c>
      <c r="Y966" s="5">
        <f t="shared" si="979"/>
        <v>2645.0969224073524</v>
      </c>
      <c r="Z966" s="5">
        <f t="shared" si="979"/>
        <v>2786.7271264922956</v>
      </c>
      <c r="AA966" s="5">
        <f t="shared" si="979"/>
        <v>2928.3573305772388</v>
      </c>
      <c r="AB966" s="5">
        <f t="shared" si="979"/>
        <v>3069.987534662182</v>
      </c>
      <c r="AC966" s="5">
        <f t="shared" si="979"/>
        <v>3069.987534662182</v>
      </c>
      <c r="AD966" s="5">
        <f t="shared" si="979"/>
        <v>3069.987534662182</v>
      </c>
      <c r="AE966" s="5">
        <f t="shared" si="979"/>
        <v>3069.987534662182</v>
      </c>
      <c r="AF966" s="5">
        <f t="shared" si="979"/>
        <v>3069.987534662182</v>
      </c>
      <c r="AG966" s="5">
        <f t="shared" si="979"/>
        <v>3069.987534662182</v>
      </c>
      <c r="AH966" s="5">
        <f t="shared" si="979"/>
        <v>3069.987534662182</v>
      </c>
    </row>
    <row r="967" spans="1:34" x14ac:dyDescent="0.35">
      <c r="A967" t="s">
        <v>987</v>
      </c>
      <c r="B967" s="3" t="s">
        <v>1265</v>
      </c>
      <c r="C967" s="4" t="s">
        <v>1263</v>
      </c>
      <c r="D967" s="2">
        <f t="shared" si="976"/>
        <v>18218.768400000001</v>
      </c>
      <c r="E967" s="5">
        <v>610.34400000000005</v>
      </c>
      <c r="F967" s="5">
        <v>1373.2740000000001</v>
      </c>
      <c r="G967" s="5">
        <v>0</v>
      </c>
      <c r="H967" s="5">
        <v>915.51600000000008</v>
      </c>
      <c r="I967" s="5">
        <v>406.89600000000007</v>
      </c>
      <c r="J967" s="5">
        <v>1464.8256000000001</v>
      </c>
      <c r="K967" s="5">
        <v>732.41279999999995</v>
      </c>
      <c r="L967" s="5">
        <v>2380.3415999999997</v>
      </c>
      <c r="M967" s="5">
        <v>1973.4456000000002</v>
      </c>
      <c r="N967" s="5">
        <v>2034.48</v>
      </c>
      <c r="O967" s="5">
        <v>915.51600000000008</v>
      </c>
      <c r="P967" s="5">
        <v>1088.4467999999999</v>
      </c>
      <c r="Q967" s="5">
        <v>1474.998</v>
      </c>
      <c r="R967" s="5">
        <v>1678.4460000000001</v>
      </c>
      <c r="S967" s="5">
        <v>1169.826</v>
      </c>
      <c r="T967" s="5">
        <v>0</v>
      </c>
      <c r="U967" s="5">
        <v>0</v>
      </c>
      <c r="V967" s="5">
        <v>0</v>
      </c>
      <c r="W967" s="5">
        <f t="shared" ref="W967:AH967" si="980">IF(OR((SLOPE($E967:$V967,$E$1:$V$1)*W$1+INTERCEPT($E967:$V967,$E$1:$V$1))&gt;(AVERAGE($E967:$V967)+_xlfn.STDEV.P($E967:$V967)),(SLOPE($E967:$V967,$E$1:$V$1)*W$1+INTERCEPT($E967:$V967,$E$1:$V$1))&lt;(AVERAGE($E967:$V967)-_xlfn.STDEV.P($E967:$V967))),V967,(SLOPE($E967:$V967,$E$1:$V$1)*W$1+INTERCEPT($E967:$V967,$E$1:$V$1)))</f>
        <v>823.76494117647064</v>
      </c>
      <c r="X967" s="5">
        <f t="shared" si="980"/>
        <v>803.93453498452016</v>
      </c>
      <c r="Y967" s="5">
        <f t="shared" si="980"/>
        <v>784.10412879256978</v>
      </c>
      <c r="Z967" s="5">
        <f t="shared" si="980"/>
        <v>764.27372260061929</v>
      </c>
      <c r="AA967" s="5">
        <f t="shared" si="980"/>
        <v>744.44331640866881</v>
      </c>
      <c r="AB967" s="5">
        <f t="shared" si="980"/>
        <v>724.61291021671832</v>
      </c>
      <c r="AC967" s="5">
        <f t="shared" si="980"/>
        <v>704.78250402476783</v>
      </c>
      <c r="AD967" s="5">
        <f t="shared" si="980"/>
        <v>684.95209783281734</v>
      </c>
      <c r="AE967" s="5">
        <f t="shared" si="980"/>
        <v>665.12169164086686</v>
      </c>
      <c r="AF967" s="5">
        <f t="shared" si="980"/>
        <v>645.29128544891637</v>
      </c>
      <c r="AG967" s="5">
        <f t="shared" si="980"/>
        <v>625.460879256966</v>
      </c>
      <c r="AH967" s="5">
        <f t="shared" si="980"/>
        <v>605.63047306501551</v>
      </c>
    </row>
    <row r="968" spans="1:34" x14ac:dyDescent="0.35">
      <c r="A968" t="s">
        <v>988</v>
      </c>
      <c r="B968" s="3" t="s">
        <v>1266</v>
      </c>
      <c r="C968" s="4" t="s">
        <v>1267</v>
      </c>
      <c r="D968" s="2">
        <f t="shared" si="976"/>
        <v>18172.959216542728</v>
      </c>
      <c r="E968" s="5">
        <v>0</v>
      </c>
      <c r="F968" s="5">
        <v>0</v>
      </c>
      <c r="G968" s="5">
        <v>0</v>
      </c>
      <c r="H968" s="5">
        <v>18172.959216542728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f t="shared" ref="W968:AH968" si="981">IF(OR((SLOPE($E968:$V968,$E$1:$V$1)*W$1+INTERCEPT($E968:$V968,$E$1:$V$1))&gt;(AVERAGE($E968:$V968)+_xlfn.STDEV.P($E968:$V968)),(SLOPE($E968:$V968,$E$1:$V$1)*W$1+INTERCEPT($E968:$V968,$E$1:$V$1))&lt;(AVERAGE($E968:$V968)-_xlfn.STDEV.P($E968:$V968))),V968,(SLOPE($E968:$V968,$E$1:$V$1)*W$1+INTERCEPT($E968:$V968,$E$1:$V$1)))</f>
        <v>-950.22008975386871</v>
      </c>
      <c r="X968" s="5">
        <f t="shared" si="981"/>
        <v>-1156.5178723978006</v>
      </c>
      <c r="Y968" s="5">
        <f t="shared" si="981"/>
        <v>-1362.8156550417325</v>
      </c>
      <c r="Z968" s="5">
        <f t="shared" si="981"/>
        <v>-1569.1134376856644</v>
      </c>
      <c r="AA968" s="5">
        <f t="shared" si="981"/>
        <v>-1775.4112203295963</v>
      </c>
      <c r="AB968" s="5">
        <f t="shared" si="981"/>
        <v>-1981.7090029735291</v>
      </c>
      <c r="AC968" s="5">
        <f t="shared" si="981"/>
        <v>-2188.006785617461</v>
      </c>
      <c r="AD968" s="5">
        <f t="shared" si="981"/>
        <v>-2394.3045682613929</v>
      </c>
      <c r="AE968" s="5">
        <f t="shared" si="981"/>
        <v>-2600.6023509053248</v>
      </c>
      <c r="AF968" s="5">
        <f t="shared" si="981"/>
        <v>-2806.9001335492567</v>
      </c>
      <c r="AG968" s="5">
        <f t="shared" si="981"/>
        <v>-3013.1979161931886</v>
      </c>
      <c r="AH968" s="5">
        <f t="shared" si="981"/>
        <v>-3013.1979161931886</v>
      </c>
    </row>
    <row r="969" spans="1:34" x14ac:dyDescent="0.35">
      <c r="A969" t="s">
        <v>989</v>
      </c>
      <c r="B969" s="3" t="s">
        <v>1266</v>
      </c>
      <c r="C969" s="4" t="s">
        <v>1267</v>
      </c>
      <c r="D969" s="2">
        <f t="shared" si="976"/>
        <v>18130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18130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f t="shared" ref="W969:AH969" si="982">IF(OR((SLOPE($E969:$V969,$E$1:$V$1)*W$1+INTERCEPT($E969:$V969,$E$1:$V$1))&gt;(AVERAGE($E969:$V969)+_xlfn.STDEV.P($E969:$V969)),(SLOPE($E969:$V969,$E$1:$V$1)*W$1+INTERCEPT($E969:$V969,$E$1:$V$1))&lt;(AVERAGE($E969:$V969)-_xlfn.STDEV.P($E969:$V969))),V969,(SLOPE($E969:$V969,$E$1:$V$1)*W$1+INTERCEPT($E969:$V969,$E$1:$V$1)))</f>
        <v>473.9869281045751</v>
      </c>
      <c r="X969" s="5">
        <f t="shared" si="982"/>
        <v>417.85689714482282</v>
      </c>
      <c r="Y969" s="5">
        <f t="shared" si="982"/>
        <v>361.72686618507032</v>
      </c>
      <c r="Z969" s="5">
        <f t="shared" si="982"/>
        <v>305.59683522531805</v>
      </c>
      <c r="AA969" s="5">
        <f t="shared" si="982"/>
        <v>249.46680426556577</v>
      </c>
      <c r="AB969" s="5">
        <f t="shared" si="982"/>
        <v>193.33677330581349</v>
      </c>
      <c r="AC969" s="5">
        <f t="shared" si="982"/>
        <v>137.20674234606122</v>
      </c>
      <c r="AD969" s="5">
        <f t="shared" si="982"/>
        <v>81.076711386308716</v>
      </c>
      <c r="AE969" s="5">
        <f t="shared" si="982"/>
        <v>24.946680426556441</v>
      </c>
      <c r="AF969" s="5">
        <f t="shared" si="982"/>
        <v>-31.183350533195835</v>
      </c>
      <c r="AG969" s="5">
        <f t="shared" si="982"/>
        <v>-87.31338149294811</v>
      </c>
      <c r="AH969" s="5">
        <f t="shared" si="982"/>
        <v>-143.44341245270061</v>
      </c>
    </row>
    <row r="970" spans="1:34" x14ac:dyDescent="0.35">
      <c r="A970" t="s">
        <v>990</v>
      </c>
      <c r="B970" s="3" t="s">
        <v>1266</v>
      </c>
      <c r="C970" s="4" t="s">
        <v>1267</v>
      </c>
      <c r="D970" s="2">
        <f t="shared" si="976"/>
        <v>17995.588382444239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17995.588382444239</v>
      </c>
      <c r="V970" s="5">
        <v>0</v>
      </c>
      <c r="W970" s="5">
        <f t="shared" ref="W970:AH970" si="983">IF(OR((SLOPE($E970:$V970,$E$1:$V$1)*W$1+INTERCEPT($E970:$V970,$E$1:$V$1))&gt;(AVERAGE($E970:$V970)+_xlfn.STDEV.P($E970:$V970)),(SLOPE($E970:$V970,$E$1:$V$1)*W$1+INTERCEPT($E970:$V970,$E$1:$V$1))&lt;(AVERAGE($E970:$V970)-_xlfn.STDEV.P($E970:$V970))),V970,(SLOPE($E970:$V970,$E$1:$V$1)*W$1+INTERCEPT($E970:$V970,$E$1:$V$1)))</f>
        <v>3646.1649663775906</v>
      </c>
      <c r="X970" s="5">
        <f t="shared" si="983"/>
        <v>3924.7344459819906</v>
      </c>
      <c r="Y970" s="5">
        <f t="shared" si="983"/>
        <v>4203.3039255863905</v>
      </c>
      <c r="Z970" s="5">
        <f t="shared" si="983"/>
        <v>4481.8734051907904</v>
      </c>
      <c r="AA970" s="5">
        <f t="shared" si="983"/>
        <v>4760.4428847951904</v>
      </c>
      <c r="AB970" s="5">
        <f t="shared" si="983"/>
        <v>5039.0123643995903</v>
      </c>
      <c r="AC970" s="5">
        <f t="shared" si="983"/>
        <v>5039.0123643995903</v>
      </c>
      <c r="AD970" s="5">
        <f t="shared" si="983"/>
        <v>5039.0123643995903</v>
      </c>
      <c r="AE970" s="5">
        <f t="shared" si="983"/>
        <v>5039.0123643995903</v>
      </c>
      <c r="AF970" s="5">
        <f t="shared" si="983"/>
        <v>5039.0123643995903</v>
      </c>
      <c r="AG970" s="5">
        <f t="shared" si="983"/>
        <v>5039.0123643995903</v>
      </c>
      <c r="AH970" s="5">
        <f t="shared" si="983"/>
        <v>5039.0123643995903</v>
      </c>
    </row>
    <row r="971" spans="1:34" x14ac:dyDescent="0.35">
      <c r="A971" t="s">
        <v>991</v>
      </c>
      <c r="B971" s="3" t="s">
        <v>1265</v>
      </c>
      <c r="C971" s="4" t="s">
        <v>1263</v>
      </c>
      <c r="D971" s="2">
        <f t="shared" si="976"/>
        <v>17853.051066342541</v>
      </c>
      <c r="E971" s="5">
        <v>0</v>
      </c>
      <c r="F971" s="5">
        <v>0</v>
      </c>
      <c r="G971" s="5">
        <v>7651.3075998610893</v>
      </c>
      <c r="H971" s="5">
        <v>10201.743466481452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f t="shared" ref="W971:AH971" si="984">IF(OR((SLOPE($E971:$V971,$E$1:$V$1)*W$1+INTERCEPT($E971:$V971,$E$1:$V$1))&gt;(AVERAGE($E971:$V971)+_xlfn.STDEV.P($E971:$V971)),(SLOPE($E971:$V971,$E$1:$V$1)*W$1+INTERCEPT($E971:$V971,$E$1:$V$1))&lt;(AVERAGE($E971:$V971)-_xlfn.STDEV.P($E971:$V971))),V971,(SLOPE($E971:$V971,$E$1:$V$1)*W$1+INTERCEPT($E971:$V971,$E$1:$V$1)))</f>
        <v>-1083.5185054269514</v>
      </c>
      <c r="X971" s="5">
        <f t="shared" si="984"/>
        <v>-1301.9768923510901</v>
      </c>
      <c r="Y971" s="5">
        <f t="shared" si="984"/>
        <v>-1520.4352792752288</v>
      </c>
      <c r="Z971" s="5">
        <f t="shared" si="984"/>
        <v>-1738.8936661993666</v>
      </c>
      <c r="AA971" s="5">
        <f t="shared" si="984"/>
        <v>-1738.8936661993666</v>
      </c>
      <c r="AB971" s="5">
        <f t="shared" si="984"/>
        <v>-1738.8936661993666</v>
      </c>
      <c r="AC971" s="5">
        <f t="shared" si="984"/>
        <v>-1738.8936661993666</v>
      </c>
      <c r="AD971" s="5">
        <f t="shared" si="984"/>
        <v>-1738.8936661993666</v>
      </c>
      <c r="AE971" s="5">
        <f t="shared" si="984"/>
        <v>-1738.8936661993666</v>
      </c>
      <c r="AF971" s="5">
        <f t="shared" si="984"/>
        <v>-1738.8936661993666</v>
      </c>
      <c r="AG971" s="5">
        <f t="shared" si="984"/>
        <v>-1738.8936661993666</v>
      </c>
      <c r="AH971" s="5">
        <f t="shared" si="984"/>
        <v>-1738.8936661993666</v>
      </c>
    </row>
    <row r="972" spans="1:34" x14ac:dyDescent="0.35">
      <c r="A972" t="s">
        <v>992</v>
      </c>
      <c r="B972" s="3" t="s">
        <v>1266</v>
      </c>
      <c r="C972" s="4" t="s">
        <v>1267</v>
      </c>
      <c r="D972" s="2">
        <f t="shared" si="976"/>
        <v>17832.851182537135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17832.851182537135</v>
      </c>
      <c r="T972" s="5">
        <v>0</v>
      </c>
      <c r="U972" s="5">
        <v>0</v>
      </c>
      <c r="V972" s="5">
        <v>0</v>
      </c>
      <c r="W972" s="5">
        <f t="shared" ref="W972:AH972" si="985">IF(OR((SLOPE($E972:$V972,$E$1:$V$1)*W$1+INTERCEPT($E972:$V972,$E$1:$V$1))&gt;(AVERAGE($E972:$V972)+_xlfn.STDEV.P($E972:$V972)),(SLOPE($E972:$V972,$E$1:$V$1)*W$1+INTERCEPT($E972:$V972,$E$1:$V$1))&lt;(AVERAGE($E972:$V972)-_xlfn.STDEV.P($E972:$V972))),V972,(SLOPE($E972:$V972,$E$1:$V$1)*W$1+INTERCEPT($E972:$V972,$E$1:$V$1)))</f>
        <v>2913.8645723099899</v>
      </c>
      <c r="X972" s="5">
        <f t="shared" si="985"/>
        <v>3116.3014794388941</v>
      </c>
      <c r="Y972" s="5">
        <f t="shared" si="985"/>
        <v>3318.7383865677984</v>
      </c>
      <c r="Z972" s="5">
        <f t="shared" si="985"/>
        <v>3521.1752936967032</v>
      </c>
      <c r="AA972" s="5">
        <f t="shared" si="985"/>
        <v>3723.6122008256079</v>
      </c>
      <c r="AB972" s="5">
        <f t="shared" si="985"/>
        <v>3926.0491079545127</v>
      </c>
      <c r="AC972" s="5">
        <f t="shared" si="985"/>
        <v>4128.4860150834174</v>
      </c>
      <c r="AD972" s="5">
        <f t="shared" si="985"/>
        <v>4330.9229222123213</v>
      </c>
      <c r="AE972" s="5">
        <f t="shared" si="985"/>
        <v>4533.359829341226</v>
      </c>
      <c r="AF972" s="5">
        <f t="shared" si="985"/>
        <v>4735.7967364701308</v>
      </c>
      <c r="AG972" s="5">
        <f t="shared" si="985"/>
        <v>4938.2336435990355</v>
      </c>
      <c r="AH972" s="5">
        <f t="shared" si="985"/>
        <v>4938.2336435990355</v>
      </c>
    </row>
    <row r="973" spans="1:34" x14ac:dyDescent="0.35">
      <c r="A973" t="s">
        <v>993</v>
      </c>
      <c r="B973" s="3" t="s">
        <v>1264</v>
      </c>
      <c r="C973" s="4" t="s">
        <v>1263</v>
      </c>
      <c r="D973" s="2">
        <f t="shared" si="976"/>
        <v>17652.845610130302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4327.3512585144326</v>
      </c>
      <c r="S973" s="5">
        <v>0</v>
      </c>
      <c r="T973" s="5">
        <v>1717.2028803628698</v>
      </c>
      <c r="U973" s="5">
        <v>6594.0590605934194</v>
      </c>
      <c r="V973" s="5">
        <v>5014.2324106595797</v>
      </c>
      <c r="W973" s="5">
        <f t="shared" ref="W973:AH973" si="986">IF(OR((SLOPE($E973:$V973,$E$1:$V$1)*W$1+INTERCEPT($E973:$V973,$E$1:$V$1))&gt;(AVERAGE($E973:$V973)+_xlfn.STDEV.P($E973:$V973)),(SLOPE($E973:$V973,$E$1:$V$1)*W$1+INTERCEPT($E973:$V973,$E$1:$V$1))&lt;(AVERAGE($E973:$V973)-_xlfn.STDEV.P($E973:$V973))),V973,(SLOPE($E973:$V973,$E$1:$V$1)*W$1+INTERCEPT($E973:$V973,$E$1:$V$1)))</f>
        <v>5014.2324106595797</v>
      </c>
      <c r="X973" s="5">
        <f t="shared" si="986"/>
        <v>5014.2324106595797</v>
      </c>
      <c r="Y973" s="5">
        <f t="shared" si="986"/>
        <v>5014.2324106595797</v>
      </c>
      <c r="Z973" s="5">
        <f t="shared" si="986"/>
        <v>5014.2324106595797</v>
      </c>
      <c r="AA973" s="5">
        <f t="shared" si="986"/>
        <v>5014.2324106595797</v>
      </c>
      <c r="AB973" s="5">
        <f t="shared" si="986"/>
        <v>5014.2324106595797</v>
      </c>
      <c r="AC973" s="5">
        <f t="shared" si="986"/>
        <v>5014.2324106595797</v>
      </c>
      <c r="AD973" s="5">
        <f t="shared" si="986"/>
        <v>5014.2324106595797</v>
      </c>
      <c r="AE973" s="5">
        <f t="shared" si="986"/>
        <v>5014.2324106595797</v>
      </c>
      <c r="AF973" s="5">
        <f t="shared" si="986"/>
        <v>5014.2324106595797</v>
      </c>
      <c r="AG973" s="5">
        <f t="shared" si="986"/>
        <v>5014.2324106595797</v>
      </c>
      <c r="AH973" s="5">
        <f t="shared" si="986"/>
        <v>5014.2324106595797</v>
      </c>
    </row>
    <row r="974" spans="1:34" x14ac:dyDescent="0.35">
      <c r="A974" t="s">
        <v>994</v>
      </c>
      <c r="B974" s="3" t="s">
        <v>1264</v>
      </c>
      <c r="C974" s="4" t="s">
        <v>1263</v>
      </c>
      <c r="D974" s="2">
        <f t="shared" si="976"/>
        <v>17622.545717024474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17622.545717024474</v>
      </c>
      <c r="T974" s="5">
        <v>0</v>
      </c>
      <c r="U974" s="5">
        <v>0</v>
      </c>
      <c r="V974" s="5">
        <v>0</v>
      </c>
      <c r="W974" s="5">
        <f t="shared" ref="W974:AH974" si="987">IF(OR((SLOPE($E974:$V974,$E$1:$V$1)*W$1+INTERCEPT($E974:$V974,$E$1:$V$1))&gt;(AVERAGE($E974:$V974)+_xlfn.STDEV.P($E974:$V974)),(SLOPE($E974:$V974,$E$1:$V$1)*W$1+INTERCEPT($E974:$V974,$E$1:$V$1))&lt;(AVERAGE($E974:$V974)-_xlfn.STDEV.P($E974:$V974))),V974,(SLOPE($E974:$V974,$E$1:$V$1)*W$1+INTERCEPT($E974:$V974,$E$1:$V$1)))</f>
        <v>2879.5009341543255</v>
      </c>
      <c r="X974" s="5">
        <f t="shared" si="987"/>
        <v>3079.5504727376783</v>
      </c>
      <c r="Y974" s="5">
        <f t="shared" si="987"/>
        <v>3279.6000113210321</v>
      </c>
      <c r="Z974" s="5">
        <f t="shared" si="987"/>
        <v>3479.6495499043849</v>
      </c>
      <c r="AA974" s="5">
        <f t="shared" si="987"/>
        <v>3679.6990884877378</v>
      </c>
      <c r="AB974" s="5">
        <f t="shared" si="987"/>
        <v>3879.7486270710915</v>
      </c>
      <c r="AC974" s="5">
        <f t="shared" si="987"/>
        <v>4079.7981656544443</v>
      </c>
      <c r="AD974" s="5">
        <f t="shared" si="987"/>
        <v>4279.8477042377972</v>
      </c>
      <c r="AE974" s="5">
        <f t="shared" si="987"/>
        <v>4479.89724282115</v>
      </c>
      <c r="AF974" s="5">
        <f t="shared" si="987"/>
        <v>4679.9467814045038</v>
      </c>
      <c r="AG974" s="5">
        <f t="shared" si="987"/>
        <v>4879.9963199878566</v>
      </c>
      <c r="AH974" s="5">
        <f t="shared" si="987"/>
        <v>4879.9963199878566</v>
      </c>
    </row>
    <row r="975" spans="1:34" x14ac:dyDescent="0.35">
      <c r="A975" t="s">
        <v>995</v>
      </c>
      <c r="B975" s="3" t="s">
        <v>1264</v>
      </c>
      <c r="C975" s="4" t="s">
        <v>1267</v>
      </c>
      <c r="D975" s="2">
        <f t="shared" si="976"/>
        <v>17600.743211999528</v>
      </c>
      <c r="E975" s="5">
        <v>0</v>
      </c>
      <c r="F975" s="5">
        <v>0</v>
      </c>
      <c r="G975" s="5">
        <v>0</v>
      </c>
      <c r="H975" s="5">
        <v>5056.1438606832162</v>
      </c>
      <c r="I975" s="5">
        <v>0</v>
      </c>
      <c r="J975" s="5">
        <v>0</v>
      </c>
      <c r="K975" s="5">
        <v>5056.1438606832162</v>
      </c>
      <c r="L975" s="5">
        <v>4481.5820583328505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3006.8734323002463</v>
      </c>
      <c r="W975" s="5">
        <f t="shared" ref="W975:AH975" si="988">IF(OR((SLOPE($E975:$V975,$E$1:$V$1)*W$1+INTERCEPT($E975:$V975,$E$1:$V$1))&gt;(AVERAGE($E975:$V975)+_xlfn.STDEV.P($E975:$V975)),(SLOPE($E975:$V975,$E$1:$V$1)*W$1+INTERCEPT($E975:$V975,$E$1:$V$1))&lt;(AVERAGE($E975:$V975)-_xlfn.STDEV.P($E975:$V975))),V975,(SLOPE($E975:$V975,$E$1:$V$1)*W$1+INTERCEPT($E975:$V975,$E$1:$V$1)))</f>
        <v>554.03279677619116</v>
      </c>
      <c r="X975" s="5">
        <f t="shared" si="988"/>
        <v>509.42371566491579</v>
      </c>
      <c r="Y975" s="5">
        <f t="shared" si="988"/>
        <v>464.81463455364053</v>
      </c>
      <c r="Z975" s="5">
        <f t="shared" si="988"/>
        <v>420.20555344236516</v>
      </c>
      <c r="AA975" s="5">
        <f t="shared" si="988"/>
        <v>375.59647233108967</v>
      </c>
      <c r="AB975" s="5">
        <f t="shared" si="988"/>
        <v>330.98739121981453</v>
      </c>
      <c r="AC975" s="5">
        <f t="shared" si="988"/>
        <v>286.37831010853915</v>
      </c>
      <c r="AD975" s="5">
        <f t="shared" si="988"/>
        <v>241.76922899726378</v>
      </c>
      <c r="AE975" s="5">
        <f t="shared" si="988"/>
        <v>197.16014788598841</v>
      </c>
      <c r="AF975" s="5">
        <f t="shared" si="988"/>
        <v>152.55106677471304</v>
      </c>
      <c r="AG975" s="5">
        <f t="shared" si="988"/>
        <v>107.94198566343766</v>
      </c>
      <c r="AH975" s="5">
        <f t="shared" si="988"/>
        <v>63.33290455216229</v>
      </c>
    </row>
    <row r="976" spans="1:34" x14ac:dyDescent="0.35">
      <c r="A976" t="s">
        <v>996</v>
      </c>
      <c r="B976" s="3" t="s">
        <v>1266</v>
      </c>
      <c r="C976" s="4" t="s">
        <v>1267</v>
      </c>
      <c r="D976" s="2">
        <f t="shared" si="976"/>
        <v>17258.35328972603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17258.35328972603</v>
      </c>
      <c r="V976" s="5">
        <v>0</v>
      </c>
      <c r="W976" s="5">
        <f t="shared" ref="W976:AH976" si="989">IF(OR((SLOPE($E976:$V976,$E$1:$V$1)*W$1+INTERCEPT($E976:$V976,$E$1:$V$1))&gt;(AVERAGE($E976:$V976)+_xlfn.STDEV.P($E976:$V976)),(SLOPE($E976:$V976,$E$1:$V$1)*W$1+INTERCEPT($E976:$V976,$E$1:$V$1))&lt;(AVERAGE($E976:$V976)-_xlfn.STDEV.P($E976:$V976))),V976,(SLOPE($E976:$V976,$E$1:$V$1)*W$1+INTERCEPT($E976:$V976,$E$1:$V$1)))</f>
        <v>3496.7905358268426</v>
      </c>
      <c r="X976" s="5">
        <f t="shared" si="989"/>
        <v>3763.947707494428</v>
      </c>
      <c r="Y976" s="5">
        <f t="shared" si="989"/>
        <v>4031.1048791620142</v>
      </c>
      <c r="Z976" s="5">
        <f t="shared" si="989"/>
        <v>4298.2620508295995</v>
      </c>
      <c r="AA976" s="5">
        <f t="shared" si="989"/>
        <v>4565.4192224971848</v>
      </c>
      <c r="AB976" s="5">
        <f t="shared" si="989"/>
        <v>4832.576394164771</v>
      </c>
      <c r="AC976" s="5">
        <f t="shared" si="989"/>
        <v>4832.576394164771</v>
      </c>
      <c r="AD976" s="5">
        <f t="shared" si="989"/>
        <v>4832.576394164771</v>
      </c>
      <c r="AE976" s="5">
        <f t="shared" si="989"/>
        <v>4832.576394164771</v>
      </c>
      <c r="AF976" s="5">
        <f t="shared" si="989"/>
        <v>4832.576394164771</v>
      </c>
      <c r="AG976" s="5">
        <f t="shared" si="989"/>
        <v>4832.576394164771</v>
      </c>
      <c r="AH976" s="5">
        <f t="shared" si="989"/>
        <v>4832.576394164771</v>
      </c>
    </row>
    <row r="977" spans="1:34" x14ac:dyDescent="0.35">
      <c r="A977" t="s">
        <v>997</v>
      </c>
      <c r="B977" s="3" t="s">
        <v>1266</v>
      </c>
      <c r="C977" s="4" t="s">
        <v>1266</v>
      </c>
      <c r="D977" s="2">
        <f t="shared" si="976"/>
        <v>17239.261077793417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17239.261077793417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f t="shared" ref="W977:AH977" si="990">IF(OR((SLOPE($E977:$V977,$E$1:$V$1)*W$1+INTERCEPT($E977:$V977,$E$1:$V$1))&gt;(AVERAGE($E977:$V977)+_xlfn.STDEV.P($E977:$V977)),(SLOPE($E977:$V977,$E$1:$V$1)*W$1+INTERCEPT($E977:$V977,$E$1:$V$1))&lt;(AVERAGE($E977:$V977)-_xlfn.STDEV.P($E977:$V977))),V977,(SLOPE($E977:$V977,$E$1:$V$1)*W$1+INTERCEPT($E977:$V977,$E$1:$V$1)))</f>
        <v>1802.7985440829718</v>
      </c>
      <c r="X977" s="5">
        <f t="shared" si="990"/>
        <v>1891.7524196133816</v>
      </c>
      <c r="Y977" s="5">
        <f t="shared" si="990"/>
        <v>1980.7062951437915</v>
      </c>
      <c r="Z977" s="5">
        <f t="shared" si="990"/>
        <v>2069.6601706742013</v>
      </c>
      <c r="AA977" s="5">
        <f t="shared" si="990"/>
        <v>2158.614046204611</v>
      </c>
      <c r="AB977" s="5">
        <f t="shared" si="990"/>
        <v>2247.5679217350207</v>
      </c>
      <c r="AC977" s="5">
        <f t="shared" si="990"/>
        <v>2336.5217972654309</v>
      </c>
      <c r="AD977" s="5">
        <f t="shared" si="990"/>
        <v>2425.4756727958402</v>
      </c>
      <c r="AE977" s="5">
        <f t="shared" si="990"/>
        <v>2514.4295483262504</v>
      </c>
      <c r="AF977" s="5">
        <f t="shared" si="990"/>
        <v>2603.3834238566596</v>
      </c>
      <c r="AG977" s="5">
        <f t="shared" si="990"/>
        <v>2692.3372993870698</v>
      </c>
      <c r="AH977" s="5">
        <f t="shared" si="990"/>
        <v>2781.29117491748</v>
      </c>
    </row>
    <row r="978" spans="1:34" x14ac:dyDescent="0.35">
      <c r="A978" t="s">
        <v>998</v>
      </c>
      <c r="B978" s="3" t="s">
        <v>1266</v>
      </c>
      <c r="C978" s="4" t="s">
        <v>1266</v>
      </c>
      <c r="D978" s="2">
        <f t="shared" si="976"/>
        <v>17081.399999999998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17081.399999999998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f t="shared" ref="W978:AH978" si="991">IF(OR((SLOPE($E978:$V978,$E$1:$V$1)*W$1+INTERCEPT($E978:$V978,$E$1:$V$1))&gt;(AVERAGE($E978:$V978)+_xlfn.STDEV.P($E978:$V978)),(SLOPE($E978:$V978,$E$1:$V$1)*W$1+INTERCEPT($E978:$V978,$E$1:$V$1))&lt;(AVERAGE($E978:$V978)-_xlfn.STDEV.P($E978:$V978))),V978,(SLOPE($E978:$V978,$E$1:$V$1)*W$1+INTERCEPT($E978:$V978,$E$1:$V$1)))</f>
        <v>-223.28627450980366</v>
      </c>
      <c r="X978" s="5">
        <f t="shared" si="991"/>
        <v>-346.68132094943212</v>
      </c>
      <c r="Y978" s="5">
        <f t="shared" si="991"/>
        <v>-470.07636738906058</v>
      </c>
      <c r="Z978" s="5">
        <f t="shared" si="991"/>
        <v>-593.47141382868904</v>
      </c>
      <c r="AA978" s="5">
        <f t="shared" si="991"/>
        <v>-716.8664602683175</v>
      </c>
      <c r="AB978" s="5">
        <f t="shared" si="991"/>
        <v>-840.26150670794595</v>
      </c>
      <c r="AC978" s="5">
        <f t="shared" si="991"/>
        <v>-963.65655314757441</v>
      </c>
      <c r="AD978" s="5">
        <f t="shared" si="991"/>
        <v>-1087.0515995872029</v>
      </c>
      <c r="AE978" s="5">
        <f t="shared" si="991"/>
        <v>-1210.4466460268313</v>
      </c>
      <c r="AF978" s="5">
        <f t="shared" si="991"/>
        <v>-1333.8416924664598</v>
      </c>
      <c r="AG978" s="5">
        <f t="shared" si="991"/>
        <v>-1457.2367389060882</v>
      </c>
      <c r="AH978" s="5">
        <f t="shared" si="991"/>
        <v>-1580.6317853457167</v>
      </c>
    </row>
    <row r="979" spans="1:34" x14ac:dyDescent="0.35">
      <c r="A979" t="s">
        <v>999</v>
      </c>
      <c r="B979" s="3" t="s">
        <v>1266</v>
      </c>
      <c r="C979" s="4" t="s">
        <v>1267</v>
      </c>
      <c r="D979" s="2">
        <f t="shared" si="976"/>
        <v>17018.211351853435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4391.7964778976611</v>
      </c>
      <c r="P979" s="5">
        <v>0</v>
      </c>
      <c r="Q979" s="5">
        <v>0</v>
      </c>
      <c r="R979" s="5">
        <v>0</v>
      </c>
      <c r="S979" s="5">
        <v>12626.414873955775</v>
      </c>
      <c r="T979" s="5">
        <v>0</v>
      </c>
      <c r="U979" s="5">
        <v>0</v>
      </c>
      <c r="V979" s="5">
        <v>0</v>
      </c>
      <c r="W979" s="5">
        <f t="shared" ref="W979:AH979" si="992">IF(OR((SLOPE($E979:$V979,$E$1:$V$1)*W$1+INTERCEPT($E979:$V979,$E$1:$V$1))&gt;(AVERAGE($E979:$V979)+_xlfn.STDEV.P($E979:$V979)),(SLOPE($E979:$V979,$E$1:$V$1)*W$1+INTERCEPT($E979:$V979,$E$1:$V$1))&lt;(AVERAGE($E979:$V979)-_xlfn.STDEV.P($E979:$V979))),V979,(SLOPE($E979:$V979,$E$1:$V$1)*W$1+INTERCEPT($E979:$V979,$E$1:$V$1)))</f>
        <v>2436.2988631474768</v>
      </c>
      <c r="X979" s="5">
        <f t="shared" si="992"/>
        <v>2593.2296712457292</v>
      </c>
      <c r="Y979" s="5">
        <f t="shared" si="992"/>
        <v>2750.1604793439815</v>
      </c>
      <c r="Z979" s="5">
        <f t="shared" si="992"/>
        <v>2907.0912874422338</v>
      </c>
      <c r="AA979" s="5">
        <f t="shared" si="992"/>
        <v>3064.0220955404861</v>
      </c>
      <c r="AB979" s="5">
        <f t="shared" si="992"/>
        <v>3220.9529036387385</v>
      </c>
      <c r="AC979" s="5">
        <f t="shared" si="992"/>
        <v>3377.8837117369908</v>
      </c>
      <c r="AD979" s="5">
        <f t="shared" si="992"/>
        <v>3534.8145198352431</v>
      </c>
      <c r="AE979" s="5">
        <f t="shared" si="992"/>
        <v>3691.7453279334959</v>
      </c>
      <c r="AF979" s="5">
        <f t="shared" si="992"/>
        <v>3848.6761360317478</v>
      </c>
      <c r="AG979" s="5">
        <f t="shared" si="992"/>
        <v>3848.6761360317478</v>
      </c>
      <c r="AH979" s="5">
        <f t="shared" si="992"/>
        <v>3848.6761360317478</v>
      </c>
    </row>
    <row r="980" spans="1:34" x14ac:dyDescent="0.35">
      <c r="A980" t="s">
        <v>1000</v>
      </c>
      <c r="B980" s="3" t="s">
        <v>1264</v>
      </c>
      <c r="C980" s="4" t="s">
        <v>1263</v>
      </c>
      <c r="D980" s="2">
        <f t="shared" si="976"/>
        <v>16955.566839385108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16955.566839385108</v>
      </c>
      <c r="V980" s="5">
        <v>0</v>
      </c>
      <c r="W980" s="5">
        <f t="shared" ref="W980:AH980" si="993">IF(OR((SLOPE($E980:$V980,$E$1:$V$1)*W$1+INTERCEPT($E980:$V980,$E$1:$V$1))&gt;(AVERAGE($E980:$V980)+_xlfn.STDEV.P($E980:$V980)),(SLOPE($E980:$V980,$E$1:$V$1)*W$1+INTERCEPT($E980:$V980,$E$1:$V$1))&lt;(AVERAGE($E980:$V980)-_xlfn.STDEV.P($E980:$V980))),V980,(SLOPE($E980:$V980,$E$1:$V$1)*W$1+INTERCEPT($E980:$V980,$E$1:$V$1)))</f>
        <v>3435.4416471956756</v>
      </c>
      <c r="X980" s="5">
        <f t="shared" si="993"/>
        <v>3697.9117221087572</v>
      </c>
      <c r="Y980" s="5">
        <f t="shared" si="993"/>
        <v>3960.3817970218397</v>
      </c>
      <c r="Z980" s="5">
        <f t="shared" si="993"/>
        <v>4222.8518719349222</v>
      </c>
      <c r="AA980" s="5">
        <f t="shared" si="993"/>
        <v>4485.3219468480038</v>
      </c>
      <c r="AB980" s="5">
        <f t="shared" si="993"/>
        <v>4747.7920217610863</v>
      </c>
      <c r="AC980" s="5">
        <f t="shared" si="993"/>
        <v>4747.7920217610863</v>
      </c>
      <c r="AD980" s="5">
        <f t="shared" si="993"/>
        <v>4747.7920217610863</v>
      </c>
      <c r="AE980" s="5">
        <f t="shared" si="993"/>
        <v>4747.7920217610863</v>
      </c>
      <c r="AF980" s="5">
        <f t="shared" si="993"/>
        <v>4747.7920217610863</v>
      </c>
      <c r="AG980" s="5">
        <f t="shared" si="993"/>
        <v>4747.7920217610863</v>
      </c>
      <c r="AH980" s="5">
        <f t="shared" si="993"/>
        <v>4747.7920217610863</v>
      </c>
    </row>
    <row r="981" spans="1:34" x14ac:dyDescent="0.35">
      <c r="A981" t="s">
        <v>1001</v>
      </c>
      <c r="B981" s="3" t="s">
        <v>1265</v>
      </c>
      <c r="C981" s="4" t="s">
        <v>1263</v>
      </c>
      <c r="D981" s="2">
        <f t="shared" si="976"/>
        <v>16816.994366341274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16816.994366341274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f t="shared" ref="W981:AH981" si="994">IF(OR((SLOPE($E981:$V981,$E$1:$V$1)*W$1+INTERCEPT($E981:$V981,$E$1:$V$1))&gt;(AVERAGE($E981:$V981)+_xlfn.STDEV.P($E981:$V981)),(SLOPE($E981:$V981,$E$1:$V$1)*W$1+INTERCEPT($E981:$V981,$E$1:$V$1))&lt;(AVERAGE($E981:$V981)-_xlfn.STDEV.P($E981:$V981))),V981,(SLOPE($E981:$V981,$E$1:$V$1)*W$1+INTERCEPT($E981:$V981,$E$1:$V$1)))</f>
        <v>1099.1499585843969</v>
      </c>
      <c r="X981" s="5">
        <f t="shared" si="994"/>
        <v>1116.5049579304664</v>
      </c>
      <c r="Y981" s="5">
        <f t="shared" si="994"/>
        <v>1133.8599572765359</v>
      </c>
      <c r="Z981" s="5">
        <f t="shared" si="994"/>
        <v>1151.2149566226053</v>
      </c>
      <c r="AA981" s="5">
        <f t="shared" si="994"/>
        <v>1168.5699559686745</v>
      </c>
      <c r="AB981" s="5">
        <f t="shared" si="994"/>
        <v>1185.9249553147442</v>
      </c>
      <c r="AC981" s="5">
        <f t="shared" si="994"/>
        <v>1203.2799546608135</v>
      </c>
      <c r="AD981" s="5">
        <f t="shared" si="994"/>
        <v>1220.6349540068829</v>
      </c>
      <c r="AE981" s="5">
        <f t="shared" si="994"/>
        <v>1237.9899533529524</v>
      </c>
      <c r="AF981" s="5">
        <f t="shared" si="994"/>
        <v>1255.3449526990219</v>
      </c>
      <c r="AG981" s="5">
        <f t="shared" si="994"/>
        <v>1272.6999520450913</v>
      </c>
      <c r="AH981" s="5">
        <f t="shared" si="994"/>
        <v>1290.0549513911606</v>
      </c>
    </row>
    <row r="982" spans="1:34" x14ac:dyDescent="0.35">
      <c r="A982" t="s">
        <v>1002</v>
      </c>
      <c r="B982" s="3" t="s">
        <v>1264</v>
      </c>
      <c r="C982" s="4" t="s">
        <v>1263</v>
      </c>
      <c r="D982" s="2">
        <f t="shared" si="976"/>
        <v>16658.212546249113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161.33862030265479</v>
      </c>
      <c r="Q982" s="5">
        <v>1680.6106281526547</v>
      </c>
      <c r="R982" s="5">
        <v>5969.5289511982301</v>
      </c>
      <c r="S982" s="5">
        <v>1868.8390185057519</v>
      </c>
      <c r="T982" s="5">
        <v>0</v>
      </c>
      <c r="U982" s="5">
        <v>0</v>
      </c>
      <c r="V982" s="5">
        <v>6977.8953280898222</v>
      </c>
      <c r="W982" s="5">
        <f t="shared" ref="W982:AH982" si="995">IF(OR((SLOPE($E982:$V982,$E$1:$V$1)*W$1+INTERCEPT($E982:$V982,$E$1:$V$1))&gt;(AVERAGE($E982:$V982)+_xlfn.STDEV.P($E982:$V982)),(SLOPE($E982:$V982,$E$1:$V$1)*W$1+INTERCEPT($E982:$V982,$E$1:$V$1))&lt;(AVERAGE($E982:$V982)-_xlfn.STDEV.P($E982:$V982))),V982,(SLOPE($E982:$V982,$E$1:$V$1)*W$1+INTERCEPT($E982:$V982,$E$1:$V$1)))</f>
        <v>2939.9481921817101</v>
      </c>
      <c r="X982" s="5">
        <f t="shared" si="995"/>
        <v>2939.9481921817101</v>
      </c>
      <c r="Y982" s="5">
        <f t="shared" si="995"/>
        <v>2939.9481921817101</v>
      </c>
      <c r="Z982" s="5">
        <f t="shared" si="995"/>
        <v>2939.9481921817101</v>
      </c>
      <c r="AA982" s="5">
        <f t="shared" si="995"/>
        <v>2939.9481921817101</v>
      </c>
      <c r="AB982" s="5">
        <f t="shared" si="995"/>
        <v>2939.9481921817101</v>
      </c>
      <c r="AC982" s="5">
        <f t="shared" si="995"/>
        <v>2939.9481921817101</v>
      </c>
      <c r="AD982" s="5">
        <f t="shared" si="995"/>
        <v>2939.9481921817101</v>
      </c>
      <c r="AE982" s="5">
        <f t="shared" si="995"/>
        <v>2939.9481921817101</v>
      </c>
      <c r="AF982" s="5">
        <f t="shared" si="995"/>
        <v>2939.9481921817101</v>
      </c>
      <c r="AG982" s="5">
        <f t="shared" si="995"/>
        <v>2939.9481921817101</v>
      </c>
      <c r="AH982" s="5">
        <f t="shared" si="995"/>
        <v>2939.9481921817101</v>
      </c>
    </row>
    <row r="983" spans="1:34" x14ac:dyDescent="0.35">
      <c r="A983" t="s">
        <v>1003</v>
      </c>
      <c r="B983" s="3" t="s">
        <v>1265</v>
      </c>
      <c r="C983" s="4" t="s">
        <v>1268</v>
      </c>
      <c r="D983" s="2">
        <f t="shared" si="976"/>
        <v>16539.95</v>
      </c>
      <c r="E983" s="5">
        <v>0</v>
      </c>
      <c r="F983" s="5">
        <v>0</v>
      </c>
      <c r="G983" s="5">
        <v>16539.95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f t="shared" ref="W983:AH983" si="996">IF(OR((SLOPE($E983:$V983,$E$1:$V$1)*W$1+INTERCEPT($E983:$V983,$E$1:$V$1))&gt;(AVERAGE($E983:$V983)+_xlfn.STDEV.P($E983:$V983)),(SLOPE($E983:$V983,$E$1:$V$1)*W$1+INTERCEPT($E983:$V983,$E$1:$V$1))&lt;(AVERAGE($E983:$V983)-_xlfn.STDEV.P($E983:$V983))),V983,(SLOPE($E983:$V983,$E$1:$V$1)*W$1+INTERCEPT($E983:$V983,$E$1:$V$1)))</f>
        <v>-1189.1467320261436</v>
      </c>
      <c r="X983" s="5">
        <f t="shared" si="996"/>
        <v>-1411.0449260405912</v>
      </c>
      <c r="Y983" s="5">
        <f t="shared" si="996"/>
        <v>-1632.9431200550389</v>
      </c>
      <c r="Z983" s="5">
        <f t="shared" si="996"/>
        <v>-1854.8413140694875</v>
      </c>
      <c r="AA983" s="5">
        <f t="shared" si="996"/>
        <v>-2076.7395080839351</v>
      </c>
      <c r="AB983" s="5">
        <f t="shared" si="996"/>
        <v>-2298.6377020983828</v>
      </c>
      <c r="AC983" s="5">
        <f t="shared" si="996"/>
        <v>-2520.5358961128304</v>
      </c>
      <c r="AD983" s="5">
        <f t="shared" si="996"/>
        <v>-2742.4340901272781</v>
      </c>
      <c r="AE983" s="5">
        <f t="shared" si="996"/>
        <v>-2742.4340901272781</v>
      </c>
      <c r="AF983" s="5">
        <f t="shared" si="996"/>
        <v>-2742.4340901272781</v>
      </c>
      <c r="AG983" s="5">
        <f t="shared" si="996"/>
        <v>-2742.4340901272781</v>
      </c>
      <c r="AH983" s="5">
        <f t="shared" si="996"/>
        <v>-2742.4340901272781</v>
      </c>
    </row>
    <row r="984" spans="1:34" x14ac:dyDescent="0.35">
      <c r="A984" t="s">
        <v>1004</v>
      </c>
      <c r="B984" s="3" t="s">
        <v>1264</v>
      </c>
      <c r="C984" s="4" t="s">
        <v>1267</v>
      </c>
      <c r="D984" s="2">
        <f t="shared" si="976"/>
        <v>16515.394446412283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16515.394446412283</v>
      </c>
      <c r="V984" s="5">
        <v>0</v>
      </c>
      <c r="W984" s="5">
        <f t="shared" ref="W984:AH984" si="997">IF(OR((SLOPE($E984:$V984,$E$1:$V$1)*W$1+INTERCEPT($E984:$V984,$E$1:$V$1))&gt;(AVERAGE($E984:$V984)+_xlfn.STDEV.P($E984:$V984)),(SLOPE($E984:$V984,$E$1:$V$1)*W$1+INTERCEPT($E984:$V984,$E$1:$V$1))&lt;(AVERAGE($E984:$V984)-_xlfn.STDEV.P($E984:$V984))),V984,(SLOPE($E984:$V984,$E$1:$V$1)*W$1+INTERCEPT($E984:$V984,$E$1:$V$1)))</f>
        <v>3346.2563911031421</v>
      </c>
      <c r="X984" s="5">
        <f t="shared" si="997"/>
        <v>3601.9126518835183</v>
      </c>
      <c r="Y984" s="5">
        <f t="shared" si="997"/>
        <v>3857.5689126638945</v>
      </c>
      <c r="Z984" s="5">
        <f t="shared" si="997"/>
        <v>4113.2251734442698</v>
      </c>
      <c r="AA984" s="5">
        <f t="shared" si="997"/>
        <v>4368.881434224646</v>
      </c>
      <c r="AB984" s="5">
        <f t="shared" si="997"/>
        <v>4624.5376950050222</v>
      </c>
      <c r="AC984" s="5">
        <f t="shared" si="997"/>
        <v>4624.5376950050222</v>
      </c>
      <c r="AD984" s="5">
        <f t="shared" si="997"/>
        <v>4624.5376950050222</v>
      </c>
      <c r="AE984" s="5">
        <f t="shared" si="997"/>
        <v>4624.5376950050222</v>
      </c>
      <c r="AF984" s="5">
        <f t="shared" si="997"/>
        <v>4624.5376950050222</v>
      </c>
      <c r="AG984" s="5">
        <f t="shared" si="997"/>
        <v>4624.5376950050222</v>
      </c>
      <c r="AH984" s="5">
        <f t="shared" si="997"/>
        <v>4624.5376950050222</v>
      </c>
    </row>
    <row r="985" spans="1:34" x14ac:dyDescent="0.35">
      <c r="A985" t="s">
        <v>1005</v>
      </c>
      <c r="B985" s="3" t="s">
        <v>1265</v>
      </c>
      <c r="C985" s="4" t="s">
        <v>1263</v>
      </c>
      <c r="D985" s="2">
        <f t="shared" si="976"/>
        <v>16416.321254696828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11725.943753354877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4690.3775013419508</v>
      </c>
      <c r="W985" s="5">
        <f t="shared" ref="W985:AH985" si="998">IF(OR((SLOPE($E985:$V985,$E$1:$V$1)*W$1+INTERCEPT($E985:$V985,$E$1:$V$1))&gt;(AVERAGE($E985:$V985)+_xlfn.STDEV.P($E985:$V985)),(SLOPE($E985:$V985,$E$1:$V$1)*W$1+INTERCEPT($E985:$V985,$E$1:$V$1))&lt;(AVERAGE($E985:$V985)-_xlfn.STDEV.P($E985:$V985))),V985,(SLOPE($E985:$V985,$E$1:$V$1)*W$1+INTERCEPT($E985:$V985,$E$1:$V$1)))</f>
        <v>2268.54859542029</v>
      </c>
      <c r="X985" s="5">
        <f t="shared" si="998"/>
        <v>2411.341305729462</v>
      </c>
      <c r="Y985" s="5">
        <f t="shared" si="998"/>
        <v>2554.1340160386339</v>
      </c>
      <c r="Z985" s="5">
        <f t="shared" si="998"/>
        <v>2696.9267263478059</v>
      </c>
      <c r="AA985" s="5">
        <f t="shared" si="998"/>
        <v>2839.7194366569779</v>
      </c>
      <c r="AB985" s="5">
        <f t="shared" si="998"/>
        <v>2982.5121469661499</v>
      </c>
      <c r="AC985" s="5">
        <f t="shared" si="998"/>
        <v>3125.3048572753214</v>
      </c>
      <c r="AD985" s="5">
        <f t="shared" si="998"/>
        <v>3268.0975675844934</v>
      </c>
      <c r="AE985" s="5">
        <f t="shared" si="998"/>
        <v>3410.8902778936654</v>
      </c>
      <c r="AF985" s="5">
        <f t="shared" si="998"/>
        <v>3553.6829882028374</v>
      </c>
      <c r="AG985" s="5">
        <f t="shared" si="998"/>
        <v>3696.4756985120093</v>
      </c>
      <c r="AH985" s="5">
        <f t="shared" si="998"/>
        <v>3696.4756985120093</v>
      </c>
    </row>
    <row r="986" spans="1:34" x14ac:dyDescent="0.35">
      <c r="A986" t="s">
        <v>1006</v>
      </c>
      <c r="B986" s="3" t="s">
        <v>1264</v>
      </c>
      <c r="C986" s="4" t="s">
        <v>1263</v>
      </c>
      <c r="D986" s="2">
        <f t="shared" si="976"/>
        <v>16221.187641784127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15255.445895199602</v>
      </c>
      <c r="M986" s="5">
        <v>245.52756269098074</v>
      </c>
      <c r="N986" s="5">
        <v>163.68504179398715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556.52914209955634</v>
      </c>
      <c r="W986" s="5">
        <f t="shared" ref="W986:AH986" si="999">IF(OR((SLOPE($E986:$V986,$E$1:$V$1)*W$1+INTERCEPT($E986:$V986,$E$1:$V$1))&gt;(AVERAGE($E986:$V986)+_xlfn.STDEV.P($E986:$V986)),(SLOPE($E986:$V986,$E$1:$V$1)*W$1+INTERCEPT($E986:$V986,$E$1:$V$1))&lt;(AVERAGE($E986:$V986)-_xlfn.STDEV.P($E986:$V986))),V986,(SLOPE($E986:$V986,$E$1:$V$1)*W$1+INTERCEPT($E986:$V986,$E$1:$V$1)))</f>
        <v>544.43998541803967</v>
      </c>
      <c r="X986" s="5">
        <f t="shared" si="999"/>
        <v>506.88871112412494</v>
      </c>
      <c r="Y986" s="5">
        <f t="shared" si="999"/>
        <v>469.33743683021032</v>
      </c>
      <c r="Z986" s="5">
        <f t="shared" si="999"/>
        <v>431.78616253629559</v>
      </c>
      <c r="AA986" s="5">
        <f t="shared" si="999"/>
        <v>394.23488824238086</v>
      </c>
      <c r="AB986" s="5">
        <f t="shared" si="999"/>
        <v>356.68361394846625</v>
      </c>
      <c r="AC986" s="5">
        <f t="shared" si="999"/>
        <v>319.13233965455152</v>
      </c>
      <c r="AD986" s="5">
        <f t="shared" si="999"/>
        <v>281.58106536063679</v>
      </c>
      <c r="AE986" s="5">
        <f t="shared" si="999"/>
        <v>244.02979106672205</v>
      </c>
      <c r="AF986" s="5">
        <f t="shared" si="999"/>
        <v>206.47851677280732</v>
      </c>
      <c r="AG986" s="5">
        <f t="shared" si="999"/>
        <v>168.92724247889282</v>
      </c>
      <c r="AH986" s="5">
        <f t="shared" si="999"/>
        <v>131.37596818497809</v>
      </c>
    </row>
    <row r="987" spans="1:34" x14ac:dyDescent="0.35">
      <c r="A987" t="s">
        <v>1007</v>
      </c>
      <c r="B987" s="3" t="s">
        <v>1264</v>
      </c>
      <c r="C987" s="4" t="s">
        <v>1267</v>
      </c>
      <c r="D987" s="2">
        <f t="shared" si="976"/>
        <v>16192.941919505827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16192.941919505827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f t="shared" ref="W987:AH987" si="1000">IF(OR((SLOPE($E987:$V987,$E$1:$V$1)*W$1+INTERCEPT($E987:$V987,$E$1:$V$1))&gt;(AVERAGE($E987:$V987)+_xlfn.STDEV.P($E987:$V987)),(SLOPE($E987:$V987,$E$1:$V$1)*W$1+INTERCEPT($E987:$V987,$E$1:$V$1))&lt;(AVERAGE($E987:$V987)-_xlfn.STDEV.P($E987:$V987))),V987,(SLOPE($E987:$V987,$E$1:$V$1)*W$1+INTERCEPT($E987:$V987,$E$1:$V$1)))</f>
        <v>-211.67244339223316</v>
      </c>
      <c r="X987" s="5">
        <f t="shared" si="1000"/>
        <v>-328.64932000373028</v>
      </c>
      <c r="Y987" s="5">
        <f t="shared" si="1000"/>
        <v>-445.62619661522785</v>
      </c>
      <c r="Z987" s="5">
        <f t="shared" si="1000"/>
        <v>-562.60307322672497</v>
      </c>
      <c r="AA987" s="5">
        <f t="shared" si="1000"/>
        <v>-679.57994983822209</v>
      </c>
      <c r="AB987" s="5">
        <f t="shared" si="1000"/>
        <v>-796.55682644971921</v>
      </c>
      <c r="AC987" s="5">
        <f t="shared" si="1000"/>
        <v>-913.53370306121633</v>
      </c>
      <c r="AD987" s="5">
        <f t="shared" si="1000"/>
        <v>-1030.5105796727139</v>
      </c>
      <c r="AE987" s="5">
        <f t="shared" si="1000"/>
        <v>-1147.487456284211</v>
      </c>
      <c r="AF987" s="5">
        <f t="shared" si="1000"/>
        <v>-1264.4643328957081</v>
      </c>
      <c r="AG987" s="5">
        <f t="shared" si="1000"/>
        <v>-1381.4412095072053</v>
      </c>
      <c r="AH987" s="5">
        <f t="shared" si="1000"/>
        <v>-1498.4180861187028</v>
      </c>
    </row>
    <row r="988" spans="1:34" x14ac:dyDescent="0.35">
      <c r="A988" t="s">
        <v>1008</v>
      </c>
      <c r="B988" s="3" t="s">
        <v>1266</v>
      </c>
      <c r="C988" s="4" t="s">
        <v>1266</v>
      </c>
      <c r="D988" s="2">
        <f t="shared" si="976"/>
        <v>16013.2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16013.2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f t="shared" ref="W988:AH988" si="1001">IF(OR((SLOPE($E988:$V988,$E$1:$V$1)*W$1+INTERCEPT($E988:$V988,$E$1:$V$1))&gt;(AVERAGE($E988:$V988)+_xlfn.STDEV.P($E988:$V988)),(SLOPE($E988:$V988,$E$1:$V$1)*W$1+INTERCEPT($E988:$V988,$E$1:$V$1))&lt;(AVERAGE($E988:$V988)-_xlfn.STDEV.P($E988:$V988))),V988,(SLOPE($E988:$V988,$E$1:$V$1)*W$1+INTERCEPT($E988:$V988,$E$1:$V$1)))</f>
        <v>-209.32287581699347</v>
      </c>
      <c r="X988" s="5">
        <f t="shared" si="1001"/>
        <v>-325.00130718954233</v>
      </c>
      <c r="Y988" s="5">
        <f t="shared" si="1001"/>
        <v>-440.67973856209119</v>
      </c>
      <c r="Z988" s="5">
        <f t="shared" si="1001"/>
        <v>-556.3581699346405</v>
      </c>
      <c r="AA988" s="5">
        <f t="shared" si="1001"/>
        <v>-672.03660130718936</v>
      </c>
      <c r="AB988" s="5">
        <f t="shared" si="1001"/>
        <v>-787.71503267973821</v>
      </c>
      <c r="AC988" s="5">
        <f t="shared" si="1001"/>
        <v>-903.39346405228753</v>
      </c>
      <c r="AD988" s="5">
        <f t="shared" si="1001"/>
        <v>-1019.0718954248364</v>
      </c>
      <c r="AE988" s="5">
        <f t="shared" si="1001"/>
        <v>-1134.7503267973852</v>
      </c>
      <c r="AF988" s="5">
        <f t="shared" si="1001"/>
        <v>-1250.4287581699346</v>
      </c>
      <c r="AG988" s="5">
        <f t="shared" si="1001"/>
        <v>-1366.1071895424834</v>
      </c>
      <c r="AH988" s="5">
        <f t="shared" si="1001"/>
        <v>-1481.7856209150323</v>
      </c>
    </row>
    <row r="989" spans="1:34" x14ac:dyDescent="0.35">
      <c r="A989" t="s">
        <v>1009</v>
      </c>
      <c r="B989" s="3" t="s">
        <v>1266</v>
      </c>
      <c r="C989" s="4" t="s">
        <v>1267</v>
      </c>
      <c r="D989" s="2">
        <f t="shared" si="976"/>
        <v>15849.297152437955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15849.297152437955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f t="shared" ref="W989:AH989" si="1002">IF(OR((SLOPE($E989:$V989,$E$1:$V$1)*W$1+INTERCEPT($E989:$V989,$E$1:$V$1))&gt;(AVERAGE($E989:$V989)+_xlfn.STDEV.P($E989:$V989)),(SLOPE($E989:$V989,$E$1:$V$1)*W$1+INTERCEPT($E989:$V989,$E$1:$V$1))&lt;(AVERAGE($E989:$V989)-_xlfn.STDEV.P($E989:$V989))),V989,(SLOPE($E989:$V989,$E$1:$V$1)*W$1+INTERCEPT($E989:$V989,$E$1:$V$1)))</f>
        <v>725.13124226840318</v>
      </c>
      <c r="X989" s="5">
        <f t="shared" si="1002"/>
        <v>708.77489845783771</v>
      </c>
      <c r="Y989" s="5">
        <f t="shared" si="1002"/>
        <v>692.41855464727223</v>
      </c>
      <c r="Z989" s="5">
        <f t="shared" si="1002"/>
        <v>676.06221083670664</v>
      </c>
      <c r="AA989" s="5">
        <f t="shared" si="1002"/>
        <v>659.70586702614116</v>
      </c>
      <c r="AB989" s="5">
        <f t="shared" si="1002"/>
        <v>643.34952321557569</v>
      </c>
      <c r="AC989" s="5">
        <f t="shared" si="1002"/>
        <v>626.99317940501021</v>
      </c>
      <c r="AD989" s="5">
        <f t="shared" si="1002"/>
        <v>610.63683559444473</v>
      </c>
      <c r="AE989" s="5">
        <f t="shared" si="1002"/>
        <v>594.28049178387914</v>
      </c>
      <c r="AF989" s="5">
        <f t="shared" si="1002"/>
        <v>577.92414797331367</v>
      </c>
      <c r="AG989" s="5">
        <f t="shared" si="1002"/>
        <v>561.56780416274819</v>
      </c>
      <c r="AH989" s="5">
        <f t="shared" si="1002"/>
        <v>545.21146035218271</v>
      </c>
    </row>
    <row r="990" spans="1:34" x14ac:dyDescent="0.35">
      <c r="A990" t="s">
        <v>1010</v>
      </c>
      <c r="B990" s="3" t="s">
        <v>1266</v>
      </c>
      <c r="C990" s="4" t="s">
        <v>1267</v>
      </c>
      <c r="D990" s="2">
        <f t="shared" si="976"/>
        <v>15732.298669289932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15732.298669289932</v>
      </c>
      <c r="V990" s="5">
        <v>0</v>
      </c>
      <c r="W990" s="5">
        <f t="shared" ref="W990:AH990" si="1003">IF(OR((SLOPE($E990:$V990,$E$1:$V$1)*W$1+INTERCEPT($E990:$V990,$E$1:$V$1))&gt;(AVERAGE($E990:$V990)+_xlfn.STDEV.P($E990:$V990)),(SLOPE($E990:$V990,$E$1:$V$1)*W$1+INTERCEPT($E990:$V990,$E$1:$V$1))&lt;(AVERAGE($E990:$V990)-_xlfn.STDEV.P($E990:$V990))),V990,(SLOPE($E990:$V990,$E$1:$V$1)*W$1+INTERCEPT($E990:$V990,$E$1:$V$1)))</f>
        <v>3187.5899264574373</v>
      </c>
      <c r="X990" s="5">
        <f t="shared" si="1003"/>
        <v>3431.1239615857639</v>
      </c>
      <c r="Y990" s="5">
        <f t="shared" si="1003"/>
        <v>3674.6579967140906</v>
      </c>
      <c r="Z990" s="5">
        <f t="shared" si="1003"/>
        <v>3918.1920318424181</v>
      </c>
      <c r="AA990" s="5">
        <f t="shared" si="1003"/>
        <v>4161.7260669707457</v>
      </c>
      <c r="AB990" s="5">
        <f t="shared" si="1003"/>
        <v>4405.2601020990724</v>
      </c>
      <c r="AC990" s="5">
        <f t="shared" si="1003"/>
        <v>4405.2601020990724</v>
      </c>
      <c r="AD990" s="5">
        <f t="shared" si="1003"/>
        <v>4405.2601020990724</v>
      </c>
      <c r="AE990" s="5">
        <f t="shared" si="1003"/>
        <v>4405.2601020990724</v>
      </c>
      <c r="AF990" s="5">
        <f t="shared" si="1003"/>
        <v>4405.2601020990724</v>
      </c>
      <c r="AG990" s="5">
        <f t="shared" si="1003"/>
        <v>4405.2601020990724</v>
      </c>
      <c r="AH990" s="5">
        <f t="shared" si="1003"/>
        <v>4405.2601020990724</v>
      </c>
    </row>
    <row r="991" spans="1:34" x14ac:dyDescent="0.35">
      <c r="A991" t="s">
        <v>1011</v>
      </c>
      <c r="B991" s="3" t="s">
        <v>1266</v>
      </c>
      <c r="C991" s="4" t="s">
        <v>1267</v>
      </c>
      <c r="D991" s="2">
        <f t="shared" si="976"/>
        <v>15702.756265478411</v>
      </c>
      <c r="E991" s="5">
        <v>0</v>
      </c>
      <c r="F991" s="5">
        <v>0</v>
      </c>
      <c r="G991" s="5">
        <v>15702.756265478411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f t="shared" ref="W991:AH991" si="1004">IF(OR((SLOPE($E991:$V991,$E$1:$V$1)*W$1+INTERCEPT($E991:$V991,$E$1:$V$1))&gt;(AVERAGE($E991:$V991)+_xlfn.STDEV.P($E991:$V991)),(SLOPE($E991:$V991,$E$1:$V$1)*W$1+INTERCEPT($E991:$V991,$E$1:$V$1))&lt;(AVERAGE($E991:$V991)-_xlfn.STDEV.P($E991:$V991))),V991,(SLOPE($E991:$V991,$E$1:$V$1)*W$1+INTERCEPT($E991:$V991,$E$1:$V$1)))</f>
        <v>-1128.9563328121735</v>
      </c>
      <c r="X991" s="5">
        <f t="shared" si="1004"/>
        <v>-1339.6228255378896</v>
      </c>
      <c r="Y991" s="5">
        <f t="shared" si="1004"/>
        <v>-1550.2893182636067</v>
      </c>
      <c r="Z991" s="5">
        <f t="shared" si="1004"/>
        <v>-1760.9558109893228</v>
      </c>
      <c r="AA991" s="5">
        <f t="shared" si="1004"/>
        <v>-1971.6223037150398</v>
      </c>
      <c r="AB991" s="5">
        <f t="shared" si="1004"/>
        <v>-2182.288796440756</v>
      </c>
      <c r="AC991" s="5">
        <f t="shared" si="1004"/>
        <v>-2392.955289166473</v>
      </c>
      <c r="AD991" s="5">
        <f t="shared" si="1004"/>
        <v>-2603.6217818921891</v>
      </c>
      <c r="AE991" s="5">
        <f t="shared" si="1004"/>
        <v>-2603.6217818921891</v>
      </c>
      <c r="AF991" s="5">
        <f t="shared" si="1004"/>
        <v>-2603.6217818921891</v>
      </c>
      <c r="AG991" s="5">
        <f t="shared" si="1004"/>
        <v>-2603.6217818921891</v>
      </c>
      <c r="AH991" s="5">
        <f t="shared" si="1004"/>
        <v>-2603.6217818921891</v>
      </c>
    </row>
    <row r="992" spans="1:34" x14ac:dyDescent="0.35">
      <c r="A992" t="s">
        <v>1012</v>
      </c>
      <c r="B992" s="3" t="s">
        <v>1266</v>
      </c>
      <c r="C992" s="4" t="s">
        <v>1267</v>
      </c>
      <c r="D992" s="2">
        <f t="shared" si="976"/>
        <v>15672.601667386176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15672.601667386176</v>
      </c>
      <c r="T992" s="5">
        <v>0</v>
      </c>
      <c r="U992" s="5">
        <v>0</v>
      </c>
      <c r="V992" s="5">
        <v>0</v>
      </c>
      <c r="W992" s="5">
        <f t="shared" ref="W992:AH992" si="1005">IF(OR((SLOPE($E992:$V992,$E$1:$V$1)*W$1+INTERCEPT($E992:$V992,$E$1:$V$1))&gt;(AVERAGE($E992:$V992)+_xlfn.STDEV.P($E992:$V992)),(SLOPE($E992:$V992,$E$1:$V$1)*W$1+INTERCEPT($E992:$V992,$E$1:$V$1))&lt;(AVERAGE($E992:$V992)-_xlfn.STDEV.P($E992:$V992))),V992,(SLOPE($E992:$V992,$E$1:$V$1)*W$1+INTERCEPT($E992:$V992,$E$1:$V$1)))</f>
        <v>2560.8826253898983</v>
      </c>
      <c r="X992" s="5">
        <f t="shared" si="1005"/>
        <v>2738.7965762064596</v>
      </c>
      <c r="Y992" s="5">
        <f t="shared" si="1005"/>
        <v>2916.7105270230209</v>
      </c>
      <c r="Z992" s="5">
        <f t="shared" si="1005"/>
        <v>3094.6244778395821</v>
      </c>
      <c r="AA992" s="5">
        <f t="shared" si="1005"/>
        <v>3272.5384286561434</v>
      </c>
      <c r="AB992" s="5">
        <f t="shared" si="1005"/>
        <v>3450.4523794727047</v>
      </c>
      <c r="AC992" s="5">
        <f t="shared" si="1005"/>
        <v>3628.3663302892664</v>
      </c>
      <c r="AD992" s="5">
        <f t="shared" si="1005"/>
        <v>3806.2802811058273</v>
      </c>
      <c r="AE992" s="5">
        <f t="shared" si="1005"/>
        <v>3984.194231922389</v>
      </c>
      <c r="AF992" s="5">
        <f t="shared" si="1005"/>
        <v>4162.1081827389507</v>
      </c>
      <c r="AG992" s="5">
        <f t="shared" si="1005"/>
        <v>4340.0221335555116</v>
      </c>
      <c r="AH992" s="5">
        <f t="shared" si="1005"/>
        <v>4340.0221335555116</v>
      </c>
    </row>
    <row r="993" spans="1:34" x14ac:dyDescent="0.35">
      <c r="A993" t="s">
        <v>1013</v>
      </c>
      <c r="B993" s="3" t="s">
        <v>1266</v>
      </c>
      <c r="C993" s="4" t="s">
        <v>1263</v>
      </c>
      <c r="D993" s="2">
        <f t="shared" si="976"/>
        <v>15430.883999999998</v>
      </c>
      <c r="E993" s="5">
        <v>3692.0519999999997</v>
      </c>
      <c r="F993" s="5">
        <v>2745.3719999999994</v>
      </c>
      <c r="G993" s="5">
        <v>2840.04</v>
      </c>
      <c r="H993" s="5">
        <v>4354.7279999999992</v>
      </c>
      <c r="I993" s="5">
        <v>1798.6919999999996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f t="shared" ref="W993:AH993" si="1006">IF(OR((SLOPE($E993:$V993,$E$1:$V$1)*W$1+INTERCEPT($E993:$V993,$E$1:$V$1))&gt;(AVERAGE($E993:$V993)+_xlfn.STDEV.P($E993:$V993)),(SLOPE($E993:$V993,$E$1:$V$1)*W$1+INTERCEPT($E993:$V993,$E$1:$V$1))&lt;(AVERAGE($E993:$V993)-_xlfn.STDEV.P($E993:$V993))),V993,(SLOPE($E993:$V993,$E$1:$V$1)*W$1+INTERCEPT($E993:$V993,$E$1:$V$1)))</f>
        <v>0</v>
      </c>
      <c r="X993" s="5">
        <f t="shared" si="1006"/>
        <v>0</v>
      </c>
      <c r="Y993" s="5">
        <f t="shared" si="1006"/>
        <v>0</v>
      </c>
      <c r="Z993" s="5">
        <f t="shared" si="1006"/>
        <v>0</v>
      </c>
      <c r="AA993" s="5">
        <f t="shared" si="1006"/>
        <v>0</v>
      </c>
      <c r="AB993" s="5">
        <f t="shared" si="1006"/>
        <v>0</v>
      </c>
      <c r="AC993" s="5">
        <f t="shared" si="1006"/>
        <v>0</v>
      </c>
      <c r="AD993" s="5">
        <f t="shared" si="1006"/>
        <v>0</v>
      </c>
      <c r="AE993" s="5">
        <f t="shared" si="1006"/>
        <v>0</v>
      </c>
      <c r="AF993" s="5">
        <f t="shared" si="1006"/>
        <v>0</v>
      </c>
      <c r="AG993" s="5">
        <f t="shared" si="1006"/>
        <v>0</v>
      </c>
      <c r="AH993" s="5">
        <f t="shared" si="1006"/>
        <v>0</v>
      </c>
    </row>
    <row r="994" spans="1:34" x14ac:dyDescent="0.35">
      <c r="A994" t="s">
        <v>1014</v>
      </c>
      <c r="B994" s="3" t="s">
        <v>1266</v>
      </c>
      <c r="C994" s="4" t="s">
        <v>1267</v>
      </c>
      <c r="D994" s="2">
        <f t="shared" si="976"/>
        <v>15299.853295999996</v>
      </c>
      <c r="E994" s="5">
        <v>8687.9892959999961</v>
      </c>
      <c r="F994" s="5">
        <v>6611.8639999999996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f t="shared" ref="W994:AH994" si="1007">IF(OR((SLOPE($E994:$V994,$E$1:$V$1)*W$1+INTERCEPT($E994:$V994,$E$1:$V$1))&gt;(AVERAGE($E994:$V994)+_xlfn.STDEV.P($E994:$V994)),(SLOPE($E994:$V994,$E$1:$V$1)*W$1+INTERCEPT($E994:$V994,$E$1:$V$1))&lt;(AVERAGE($E994:$V994)-_xlfn.STDEV.P($E994:$V994))),V994,(SLOPE($E994:$V994,$E$1:$V$1)*W$1+INTERCEPT($E994:$V994,$E$1:$V$1)))</f>
        <v>-1570.3393073986922</v>
      </c>
      <c r="X994" s="5">
        <f t="shared" si="1007"/>
        <v>-1570.3393073986922</v>
      </c>
      <c r="Y994" s="5">
        <f t="shared" si="1007"/>
        <v>-1570.3393073986922</v>
      </c>
      <c r="Z994" s="5">
        <f t="shared" si="1007"/>
        <v>-1570.3393073986922</v>
      </c>
      <c r="AA994" s="5">
        <f t="shared" si="1007"/>
        <v>-1570.3393073986922</v>
      </c>
      <c r="AB994" s="5">
        <f t="shared" si="1007"/>
        <v>-1570.3393073986922</v>
      </c>
      <c r="AC994" s="5">
        <f t="shared" si="1007"/>
        <v>-1570.3393073986922</v>
      </c>
      <c r="AD994" s="5">
        <f t="shared" si="1007"/>
        <v>-1570.3393073986922</v>
      </c>
      <c r="AE994" s="5">
        <f t="shared" si="1007"/>
        <v>-1570.3393073986922</v>
      </c>
      <c r="AF994" s="5">
        <f t="shared" si="1007"/>
        <v>-1570.3393073986922</v>
      </c>
      <c r="AG994" s="5">
        <f t="shared" si="1007"/>
        <v>-1570.3393073986922</v>
      </c>
      <c r="AH994" s="5">
        <f t="shared" si="1007"/>
        <v>-1570.3393073986922</v>
      </c>
    </row>
    <row r="995" spans="1:34" x14ac:dyDescent="0.35">
      <c r="A995" t="s">
        <v>1015</v>
      </c>
      <c r="B995" s="3" t="s">
        <v>1264</v>
      </c>
      <c r="C995" s="4" t="s">
        <v>1263</v>
      </c>
      <c r="D995" s="2">
        <f t="shared" si="976"/>
        <v>15237.432000000001</v>
      </c>
      <c r="E995" s="5">
        <v>493.92</v>
      </c>
      <c r="F995" s="5">
        <v>814.96799999999996</v>
      </c>
      <c r="G995" s="5">
        <v>1481.7599999999998</v>
      </c>
      <c r="H995" s="5">
        <v>1152.48</v>
      </c>
      <c r="I995" s="5">
        <v>1811.04</v>
      </c>
      <c r="J995" s="5">
        <v>164.64</v>
      </c>
      <c r="K995" s="5">
        <v>493.92</v>
      </c>
      <c r="L995" s="5">
        <v>0</v>
      </c>
      <c r="M995" s="5">
        <v>2798.88</v>
      </c>
      <c r="N995" s="5">
        <v>823.19999999999993</v>
      </c>
      <c r="O995" s="5">
        <v>1317.12</v>
      </c>
      <c r="P995" s="5">
        <v>1317.12</v>
      </c>
      <c r="Q995" s="5">
        <v>921.98400000000004</v>
      </c>
      <c r="R995" s="5">
        <v>823.19999999999993</v>
      </c>
      <c r="S995" s="5">
        <v>823.19999999999993</v>
      </c>
      <c r="T995" s="5">
        <v>0</v>
      </c>
      <c r="U995" s="5">
        <v>0</v>
      </c>
      <c r="V995" s="5">
        <v>0</v>
      </c>
      <c r="W995" s="5">
        <f t="shared" ref="W995:AH995" si="1008">IF(OR((SLOPE($E995:$V995,$E$1:$V$1)*W$1+INTERCEPT($E995:$V995,$E$1:$V$1))&gt;(AVERAGE($E995:$V995)+_xlfn.STDEV.P($E995:$V995)),(SLOPE($E995:$V995,$E$1:$V$1)*W$1+INTERCEPT($E995:$V995,$E$1:$V$1))&lt;(AVERAGE($E995:$V995)-_xlfn.STDEV.P($E995:$V995))),V995,(SLOPE($E995:$V995,$E$1:$V$1)*W$1+INTERCEPT($E995:$V995,$E$1:$V$1)))</f>
        <v>444.52799999999979</v>
      </c>
      <c r="X995" s="5">
        <f t="shared" si="1008"/>
        <v>402.21263157894714</v>
      </c>
      <c r="Y995" s="5">
        <f t="shared" si="1008"/>
        <v>359.8972631578946</v>
      </c>
      <c r="Z995" s="5">
        <f t="shared" si="1008"/>
        <v>317.58189473684195</v>
      </c>
      <c r="AA995" s="5">
        <f t="shared" si="1008"/>
        <v>275.26652631578929</v>
      </c>
      <c r="AB995" s="5">
        <f t="shared" si="1008"/>
        <v>232.95115789473664</v>
      </c>
      <c r="AC995" s="5">
        <f t="shared" si="1008"/>
        <v>190.6357894736841</v>
      </c>
      <c r="AD995" s="5">
        <f t="shared" si="1008"/>
        <v>148.32042105263145</v>
      </c>
      <c r="AE995" s="5">
        <f t="shared" si="1008"/>
        <v>148.32042105263145</v>
      </c>
      <c r="AF995" s="5">
        <f t="shared" si="1008"/>
        <v>148.32042105263145</v>
      </c>
      <c r="AG995" s="5">
        <f t="shared" si="1008"/>
        <v>148.32042105263145</v>
      </c>
      <c r="AH995" s="5">
        <f t="shared" si="1008"/>
        <v>148.32042105263145</v>
      </c>
    </row>
    <row r="996" spans="1:34" x14ac:dyDescent="0.35">
      <c r="A996" t="s">
        <v>1016</v>
      </c>
      <c r="B996" s="3" t="s">
        <v>1266</v>
      </c>
      <c r="C996" s="4" t="s">
        <v>1263</v>
      </c>
      <c r="D996" s="2">
        <f t="shared" si="976"/>
        <v>14930.830643540001</v>
      </c>
      <c r="E996" s="5">
        <v>466.08620954000003</v>
      </c>
      <c r="F996" s="5">
        <v>875.9206351700002</v>
      </c>
      <c r="G996" s="5">
        <v>1277.7190916700001</v>
      </c>
      <c r="H996" s="5">
        <v>1173.2514929800002</v>
      </c>
      <c r="I996" s="5">
        <v>1446.4744433999999</v>
      </c>
      <c r="J996" s="5">
        <v>1647.37367165</v>
      </c>
      <c r="K996" s="5">
        <v>642.87753039999996</v>
      </c>
      <c r="L996" s="5">
        <v>7401.1275687300003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f t="shared" ref="W996:AH996" si="1009">IF(OR((SLOPE($E996:$V996,$E$1:$V$1)*W$1+INTERCEPT($E996:$V996,$E$1:$V$1))&gt;(AVERAGE($E996:$V996)+_xlfn.STDEV.P($E996:$V996)),(SLOPE($E996:$V996,$E$1:$V$1)*W$1+INTERCEPT($E996:$V996,$E$1:$V$1))&lt;(AVERAGE($E996:$V996)-_xlfn.STDEV.P($E996:$V996))),V996,(SLOPE($E996:$V996,$E$1:$V$1)*W$1+INTERCEPT($E996:$V996,$E$1:$V$1)))</f>
        <v>-156.25495530555554</v>
      </c>
      <c r="X996" s="5">
        <f t="shared" si="1009"/>
        <v>-260.01764442274862</v>
      </c>
      <c r="Y996" s="5">
        <f t="shared" si="1009"/>
        <v>-363.78033353994124</v>
      </c>
      <c r="Z996" s="5">
        <f t="shared" si="1009"/>
        <v>-467.54302265713432</v>
      </c>
      <c r="AA996" s="5">
        <f t="shared" si="1009"/>
        <v>-571.30571177432739</v>
      </c>
      <c r="AB996" s="5">
        <f t="shared" si="1009"/>
        <v>-675.06840089152047</v>
      </c>
      <c r="AC996" s="5">
        <f t="shared" si="1009"/>
        <v>-778.83109000871355</v>
      </c>
      <c r="AD996" s="5">
        <f t="shared" si="1009"/>
        <v>-778.83109000871355</v>
      </c>
      <c r="AE996" s="5">
        <f t="shared" si="1009"/>
        <v>-778.83109000871355</v>
      </c>
      <c r="AF996" s="5">
        <f t="shared" si="1009"/>
        <v>-778.83109000871355</v>
      </c>
      <c r="AG996" s="5">
        <f t="shared" si="1009"/>
        <v>-778.83109000871355</v>
      </c>
      <c r="AH996" s="5">
        <f t="shared" si="1009"/>
        <v>-778.83109000871355</v>
      </c>
    </row>
    <row r="997" spans="1:34" x14ac:dyDescent="0.35">
      <c r="A997" t="s">
        <v>1017</v>
      </c>
      <c r="B997" s="3" t="s">
        <v>1266</v>
      </c>
      <c r="C997" s="4" t="s">
        <v>1268</v>
      </c>
      <c r="D997" s="2">
        <f t="shared" si="976"/>
        <v>14738.335551364915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4300.8298984738767</v>
      </c>
      <c r="P997" s="5">
        <v>0</v>
      </c>
      <c r="Q997" s="5">
        <v>0</v>
      </c>
      <c r="R997" s="5">
        <v>0</v>
      </c>
      <c r="S997" s="5">
        <v>4558.6734175670354</v>
      </c>
      <c r="T997" s="5">
        <v>0</v>
      </c>
      <c r="U997" s="5">
        <v>5878.8322353240046</v>
      </c>
      <c r="V997" s="5">
        <v>0</v>
      </c>
      <c r="W997" s="5">
        <f t="shared" ref="W997:AH997" si="1010">IF(OR((SLOPE($E997:$V997,$E$1:$V$1)*W$1+INTERCEPT($E997:$V997,$E$1:$V$1))&gt;(AVERAGE($E997:$V997)+_xlfn.STDEV.P($E997:$V997)),(SLOPE($E997:$V997,$E$1:$V$1)*W$1+INTERCEPT($E997:$V997,$E$1:$V$1))&lt;(AVERAGE($E997:$V997)-_xlfn.STDEV.P($E997:$V997))),V997,(SLOPE($E997:$V997,$E$1:$V$1)*W$1+INTERCEPT($E997:$V997,$E$1:$V$1)))</f>
        <v>2301.4472118586955</v>
      </c>
      <c r="X997" s="5">
        <f t="shared" si="1010"/>
        <v>2457.5157163153713</v>
      </c>
      <c r="Y997" s="5">
        <f t="shared" si="1010"/>
        <v>2613.5842207720475</v>
      </c>
      <c r="Z997" s="5">
        <f t="shared" si="1010"/>
        <v>2613.5842207720475</v>
      </c>
      <c r="AA997" s="5">
        <f t="shared" si="1010"/>
        <v>2613.5842207720475</v>
      </c>
      <c r="AB997" s="5">
        <f t="shared" si="1010"/>
        <v>2613.5842207720475</v>
      </c>
      <c r="AC997" s="5">
        <f t="shared" si="1010"/>
        <v>2613.5842207720475</v>
      </c>
      <c r="AD997" s="5">
        <f t="shared" si="1010"/>
        <v>2613.5842207720475</v>
      </c>
      <c r="AE997" s="5">
        <f t="shared" si="1010"/>
        <v>2613.5842207720475</v>
      </c>
      <c r="AF997" s="5">
        <f t="shared" si="1010"/>
        <v>2613.5842207720475</v>
      </c>
      <c r="AG997" s="5">
        <f t="shared" si="1010"/>
        <v>2613.5842207720475</v>
      </c>
      <c r="AH997" s="5">
        <f t="shared" si="1010"/>
        <v>2613.5842207720475</v>
      </c>
    </row>
    <row r="998" spans="1:34" x14ac:dyDescent="0.35">
      <c r="A998" t="s">
        <v>1018</v>
      </c>
      <c r="B998" s="3" t="s">
        <v>1266</v>
      </c>
      <c r="C998" s="4" t="s">
        <v>1268</v>
      </c>
      <c r="D998" s="2">
        <f t="shared" si="976"/>
        <v>14680.282399999996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2780.0639999999994</v>
      </c>
      <c r="N998" s="5">
        <v>6641.2639999999992</v>
      </c>
      <c r="O998" s="5">
        <v>1166.0824</v>
      </c>
      <c r="P998" s="5">
        <v>4092.8720000000003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f t="shared" ref="W998:AH998" si="1011">IF(OR((SLOPE($E998:$V998,$E$1:$V$1)*W$1+INTERCEPT($E998:$V998,$E$1:$V$1))&gt;(AVERAGE($E998:$V998)+_xlfn.STDEV.P($E998:$V998)),(SLOPE($E998:$V998,$E$1:$V$1)*W$1+INTERCEPT($E998:$V998,$E$1:$V$1))&lt;(AVERAGE($E998:$V998)-_xlfn.STDEV.P($E998:$V998))),V998,(SLOPE($E998:$V998,$E$1:$V$1)*W$1+INTERCEPT($E998:$V998,$E$1:$V$1)))</f>
        <v>1088.3536679738559</v>
      </c>
      <c r="X998" s="5">
        <f t="shared" si="1011"/>
        <v>1117.0676072927413</v>
      </c>
      <c r="Y998" s="5">
        <f t="shared" si="1011"/>
        <v>1145.7815466116267</v>
      </c>
      <c r="Z998" s="5">
        <f t="shared" si="1011"/>
        <v>1174.4954859305121</v>
      </c>
      <c r="AA998" s="5">
        <f t="shared" si="1011"/>
        <v>1203.2094252493976</v>
      </c>
      <c r="AB998" s="5">
        <f t="shared" si="1011"/>
        <v>1231.923364568283</v>
      </c>
      <c r="AC998" s="5">
        <f t="shared" si="1011"/>
        <v>1260.6373038871686</v>
      </c>
      <c r="AD998" s="5">
        <f t="shared" si="1011"/>
        <v>1289.3512432060541</v>
      </c>
      <c r="AE998" s="5">
        <f t="shared" si="1011"/>
        <v>1318.0651825249395</v>
      </c>
      <c r="AF998" s="5">
        <f t="shared" si="1011"/>
        <v>1346.7791218438249</v>
      </c>
      <c r="AG998" s="5">
        <f t="shared" si="1011"/>
        <v>1375.4930611627103</v>
      </c>
      <c r="AH998" s="5">
        <f t="shared" si="1011"/>
        <v>1404.207000481596</v>
      </c>
    </row>
    <row r="999" spans="1:34" x14ac:dyDescent="0.35">
      <c r="A999" t="s">
        <v>1019</v>
      </c>
      <c r="B999" s="3" t="s">
        <v>1264</v>
      </c>
      <c r="C999" s="4" t="s">
        <v>1263</v>
      </c>
      <c r="D999" s="2">
        <f t="shared" si="976"/>
        <v>14462.150133074543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5933.604358678991</v>
      </c>
      <c r="N999" s="5">
        <v>0</v>
      </c>
      <c r="O999" s="5">
        <v>1204.5055169525472</v>
      </c>
      <c r="P999" s="5">
        <v>282.93753753918895</v>
      </c>
      <c r="Q999" s="5">
        <v>545.66525096843577</v>
      </c>
      <c r="R999" s="5">
        <v>517.37149721451692</v>
      </c>
      <c r="S999" s="5">
        <v>1810.8002402508091</v>
      </c>
      <c r="T999" s="5">
        <v>1341.9323209001532</v>
      </c>
      <c r="U999" s="5">
        <v>444.6161304187255</v>
      </c>
      <c r="V999" s="5">
        <v>2380.7172801511751</v>
      </c>
      <c r="W999" s="5">
        <f t="shared" ref="W999:AH999" si="1012">IF(OR((SLOPE($E999:$V999,$E$1:$V$1)*W$1+INTERCEPT($E999:$V999,$E$1:$V$1))&gt;(AVERAGE($E999:$V999)+_xlfn.STDEV.P($E999:$V999)),(SLOPE($E999:$V999,$E$1:$V$1)*W$1+INTERCEPT($E999:$V999,$E$1:$V$1))&lt;(AVERAGE($E999:$V999)-_xlfn.STDEV.P($E999:$V999))),V999,(SLOPE($E999:$V999,$E$1:$V$1)*W$1+INTERCEPT($E999:$V999,$E$1:$V$1)))</f>
        <v>1706.1582620815534</v>
      </c>
      <c r="X999" s="5">
        <f t="shared" si="1012"/>
        <v>1801.1798912300528</v>
      </c>
      <c r="Y999" s="5">
        <f t="shared" si="1012"/>
        <v>1896.2015203785522</v>
      </c>
      <c r="Z999" s="5">
        <f t="shared" si="1012"/>
        <v>1991.2231495270521</v>
      </c>
      <c r="AA999" s="5">
        <f t="shared" si="1012"/>
        <v>2086.2447786755515</v>
      </c>
      <c r="AB999" s="5">
        <f t="shared" si="1012"/>
        <v>2181.2664078240509</v>
      </c>
      <c r="AC999" s="5">
        <f t="shared" si="1012"/>
        <v>2181.2664078240509</v>
      </c>
      <c r="AD999" s="5">
        <f t="shared" si="1012"/>
        <v>2181.2664078240509</v>
      </c>
      <c r="AE999" s="5">
        <f t="shared" si="1012"/>
        <v>2181.2664078240509</v>
      </c>
      <c r="AF999" s="5">
        <f t="shared" si="1012"/>
        <v>2181.2664078240509</v>
      </c>
      <c r="AG999" s="5">
        <f t="shared" si="1012"/>
        <v>2181.2664078240509</v>
      </c>
      <c r="AH999" s="5">
        <f t="shared" si="1012"/>
        <v>2181.2664078240509</v>
      </c>
    </row>
    <row r="1000" spans="1:34" x14ac:dyDescent="0.35">
      <c r="A1000" t="s">
        <v>1020</v>
      </c>
      <c r="B1000" s="3" t="s">
        <v>1266</v>
      </c>
      <c r="C1000" s="4" t="s">
        <v>1263</v>
      </c>
      <c r="D1000" s="2">
        <f t="shared" si="976"/>
        <v>14561.51201022784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14561.51201022784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f t="shared" ref="W1000:AH1000" si="1013">IF(OR((SLOPE($E1000:$V1000,$E$1:$V$1)*W$1+INTERCEPT($E1000:$V1000,$E$1:$V$1))&gt;(AVERAGE($E1000:$V1000)+_xlfn.STDEV.P($E1000:$V1000)),(SLOPE($E1000:$V1000,$E$1:$V$1)*W$1+INTERCEPT($E1000:$V1000,$E$1:$V$1))&lt;(AVERAGE($E1000:$V1000)-_xlfn.STDEV.P($E1000:$V1000))),V1000,(SLOPE($E1000:$V1000,$E$1:$V$1)*W$1+INTERCEPT($E1000:$V1000,$E$1:$V$1)))</f>
        <v>1522.772497801604</v>
      </c>
      <c r="X1000" s="5">
        <f t="shared" si="1013"/>
        <v>1597.9092986799728</v>
      </c>
      <c r="Y1000" s="5">
        <f t="shared" si="1013"/>
        <v>1673.0460995583417</v>
      </c>
      <c r="Z1000" s="5">
        <f t="shared" si="1013"/>
        <v>1748.18290043671</v>
      </c>
      <c r="AA1000" s="5">
        <f t="shared" si="1013"/>
        <v>1823.3197013150789</v>
      </c>
      <c r="AB1000" s="5">
        <f t="shared" si="1013"/>
        <v>1898.4565021934472</v>
      </c>
      <c r="AC1000" s="5">
        <f t="shared" si="1013"/>
        <v>1973.5933030718161</v>
      </c>
      <c r="AD1000" s="5">
        <f t="shared" si="1013"/>
        <v>2048.7301039501845</v>
      </c>
      <c r="AE1000" s="5">
        <f t="shared" si="1013"/>
        <v>2123.8669048285533</v>
      </c>
      <c r="AF1000" s="5">
        <f t="shared" si="1013"/>
        <v>2199.0037057069221</v>
      </c>
      <c r="AG1000" s="5">
        <f t="shared" si="1013"/>
        <v>2274.1405065852905</v>
      </c>
      <c r="AH1000" s="5">
        <f t="shared" si="1013"/>
        <v>2349.2773074636593</v>
      </c>
    </row>
    <row r="1001" spans="1:34" x14ac:dyDescent="0.35">
      <c r="A1001" t="s">
        <v>1021</v>
      </c>
      <c r="B1001" s="3" t="s">
        <v>1264</v>
      </c>
      <c r="C1001" s="4" t="s">
        <v>1263</v>
      </c>
      <c r="D1001" s="2">
        <f t="shared" si="976"/>
        <v>14247.761781215264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1220.3650347935986</v>
      </c>
      <c r="M1001" s="5">
        <v>0</v>
      </c>
      <c r="N1001" s="5">
        <v>0</v>
      </c>
      <c r="O1001" s="5">
        <v>0</v>
      </c>
      <c r="P1001" s="5">
        <v>1220.3650347935986</v>
      </c>
      <c r="Q1001" s="5">
        <v>0</v>
      </c>
      <c r="R1001" s="5">
        <v>274.58213282855968</v>
      </c>
      <c r="S1001" s="5">
        <v>0</v>
      </c>
      <c r="T1001" s="5">
        <v>8481.5369918155102</v>
      </c>
      <c r="U1001" s="5">
        <v>1678.0019228411979</v>
      </c>
      <c r="V1001" s="5">
        <v>1372.9106641427984</v>
      </c>
      <c r="W1001" s="5">
        <f t="shared" ref="W1001:AH1001" si="1014">IF(OR((SLOPE($E1001:$V1001,$E$1:$V$1)*W$1+INTERCEPT($E1001:$V1001,$E$1:$V$1))&gt;(AVERAGE($E1001:$V1001)+_xlfn.STDEV.P($E1001:$V1001)),(SLOPE($E1001:$V1001,$E$1:$V$1)*W$1+INTERCEPT($E1001:$V1001,$E$1:$V$1))&lt;(AVERAGE($E1001:$V1001)-_xlfn.STDEV.P($E1001:$V1001))),V1001,(SLOPE($E1001:$V1001,$E$1:$V$1)*W$1+INTERCEPT($E1001:$V1001,$E$1:$V$1)))</f>
        <v>2396.2625201167766</v>
      </c>
      <c r="X1001" s="5">
        <f t="shared" si="1014"/>
        <v>2565.1804357944766</v>
      </c>
      <c r="Y1001" s="5">
        <f t="shared" si="1014"/>
        <v>2734.0983514721765</v>
      </c>
      <c r="Z1001" s="5">
        <f t="shared" si="1014"/>
        <v>2734.0983514721765</v>
      </c>
      <c r="AA1001" s="5">
        <f t="shared" si="1014"/>
        <v>2734.0983514721765</v>
      </c>
      <c r="AB1001" s="5">
        <f t="shared" si="1014"/>
        <v>2734.0983514721765</v>
      </c>
      <c r="AC1001" s="5">
        <f t="shared" si="1014"/>
        <v>2734.0983514721765</v>
      </c>
      <c r="AD1001" s="5">
        <f t="shared" si="1014"/>
        <v>2734.0983514721765</v>
      </c>
      <c r="AE1001" s="5">
        <f t="shared" si="1014"/>
        <v>2734.0983514721765</v>
      </c>
      <c r="AF1001" s="5">
        <f t="shared" si="1014"/>
        <v>2734.0983514721765</v>
      </c>
      <c r="AG1001" s="5">
        <f t="shared" si="1014"/>
        <v>2734.0983514721765</v>
      </c>
      <c r="AH1001" s="5">
        <f t="shared" si="1014"/>
        <v>2734.0983514721765</v>
      </c>
    </row>
    <row r="1002" spans="1:34" x14ac:dyDescent="0.35">
      <c r="A1002" t="s">
        <v>1022</v>
      </c>
      <c r="B1002" s="3" t="s">
        <v>1264</v>
      </c>
      <c r="C1002" s="4" t="s">
        <v>1263</v>
      </c>
      <c r="D1002" s="2">
        <f t="shared" si="976"/>
        <v>14175.503999999997</v>
      </c>
      <c r="E1002" s="5">
        <v>2831.8079999999991</v>
      </c>
      <c r="F1002" s="5">
        <v>0</v>
      </c>
      <c r="G1002" s="5">
        <v>1671.096</v>
      </c>
      <c r="H1002" s="5">
        <v>1094.8559999999998</v>
      </c>
      <c r="I1002" s="5">
        <v>2963.5199999999991</v>
      </c>
      <c r="J1002" s="5">
        <v>370.43999999999994</v>
      </c>
      <c r="K1002" s="5">
        <v>403.36799999999999</v>
      </c>
      <c r="L1002" s="5">
        <v>353.97599999999994</v>
      </c>
      <c r="M1002" s="5">
        <v>1457.0639999999994</v>
      </c>
      <c r="N1002" s="5">
        <v>707.952</v>
      </c>
      <c r="O1002" s="5">
        <v>1498.2239999999997</v>
      </c>
      <c r="P1002" s="5">
        <v>782.04</v>
      </c>
      <c r="Q1002" s="5">
        <v>0</v>
      </c>
      <c r="R1002" s="5">
        <v>0</v>
      </c>
      <c r="S1002" s="5">
        <v>41.16</v>
      </c>
      <c r="T1002" s="5">
        <v>0</v>
      </c>
      <c r="U1002" s="5">
        <v>0</v>
      </c>
      <c r="V1002" s="5">
        <v>0</v>
      </c>
      <c r="W1002" s="5">
        <f t="shared" ref="W1002:AH1002" si="1015">IF(OR((SLOPE($E1002:$V1002,$E$1:$V$1)*W$1+INTERCEPT($E1002:$V1002,$E$1:$V$1))&gt;(AVERAGE($E1002:$V1002)+_xlfn.STDEV.P($E1002:$V1002)),(SLOPE($E1002:$V1002,$E$1:$V$1)*W$1+INTERCEPT($E1002:$V1002,$E$1:$V$1))&lt;(AVERAGE($E1002:$V1002)-_xlfn.STDEV.P($E1002:$V1002))),V1002,(SLOPE($E1002:$V1002,$E$1:$V$1)*W$1+INTERCEPT($E1002:$V1002,$E$1:$V$1)))</f>
        <v>0</v>
      </c>
      <c r="X1002" s="5">
        <f t="shared" si="1015"/>
        <v>0</v>
      </c>
      <c r="Y1002" s="5">
        <f t="shared" si="1015"/>
        <v>0</v>
      </c>
      <c r="Z1002" s="5">
        <f t="shared" si="1015"/>
        <v>0</v>
      </c>
      <c r="AA1002" s="5">
        <f t="shared" si="1015"/>
        <v>0</v>
      </c>
      <c r="AB1002" s="5">
        <f t="shared" si="1015"/>
        <v>0</v>
      </c>
      <c r="AC1002" s="5">
        <f t="shared" si="1015"/>
        <v>0</v>
      </c>
      <c r="AD1002" s="5">
        <f t="shared" si="1015"/>
        <v>0</v>
      </c>
      <c r="AE1002" s="5">
        <f t="shared" si="1015"/>
        <v>0</v>
      </c>
      <c r="AF1002" s="5">
        <f t="shared" si="1015"/>
        <v>0</v>
      </c>
      <c r="AG1002" s="5">
        <f t="shared" si="1015"/>
        <v>0</v>
      </c>
      <c r="AH1002" s="5">
        <f t="shared" si="1015"/>
        <v>0</v>
      </c>
    </row>
    <row r="1003" spans="1:34" x14ac:dyDescent="0.35">
      <c r="A1003" t="s">
        <v>1023</v>
      </c>
      <c r="B1003" s="3" t="s">
        <v>1264</v>
      </c>
      <c r="C1003" s="4" t="s">
        <v>1268</v>
      </c>
      <c r="D1003" s="2">
        <f t="shared" si="976"/>
        <v>14174.756818641188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14174.756818641188</v>
      </c>
      <c r="V1003" s="5">
        <v>0</v>
      </c>
      <c r="W1003" s="5">
        <f t="shared" ref="W1003:AH1003" si="1016">IF(OR((SLOPE($E1003:$V1003,$E$1:$V$1)*W$1+INTERCEPT($E1003:$V1003,$E$1:$V$1))&gt;(AVERAGE($E1003:$V1003)+_xlfn.STDEV.P($E1003:$V1003)),(SLOPE($E1003:$V1003,$E$1:$V$1)*W$1+INTERCEPT($E1003:$V1003,$E$1:$V$1))&lt;(AVERAGE($E1003:$V1003)-_xlfn.STDEV.P($E1003:$V1003))),V1003,(SLOPE($E1003:$V1003,$E$1:$V$1)*W$1+INTERCEPT($E1003:$V1003,$E$1:$V$1)))</f>
        <v>2872.009551489391</v>
      </c>
      <c r="X1003" s="5">
        <f t="shared" si="1016"/>
        <v>3091.4330316541154</v>
      </c>
      <c r="Y1003" s="5">
        <f t="shared" si="1016"/>
        <v>3310.8565118188399</v>
      </c>
      <c r="Z1003" s="5">
        <f t="shared" si="1016"/>
        <v>3530.2799919835643</v>
      </c>
      <c r="AA1003" s="5">
        <f t="shared" si="1016"/>
        <v>3749.7034721482878</v>
      </c>
      <c r="AB1003" s="5">
        <f t="shared" si="1016"/>
        <v>3969.1269523130122</v>
      </c>
      <c r="AC1003" s="5">
        <f t="shared" si="1016"/>
        <v>3969.1269523130122</v>
      </c>
      <c r="AD1003" s="5">
        <f t="shared" si="1016"/>
        <v>3969.1269523130122</v>
      </c>
      <c r="AE1003" s="5">
        <f t="shared" si="1016"/>
        <v>3969.1269523130122</v>
      </c>
      <c r="AF1003" s="5">
        <f t="shared" si="1016"/>
        <v>3969.1269523130122</v>
      </c>
      <c r="AG1003" s="5">
        <f t="shared" si="1016"/>
        <v>3969.1269523130122</v>
      </c>
      <c r="AH1003" s="5">
        <f t="shared" si="1016"/>
        <v>3969.1269523130122</v>
      </c>
    </row>
    <row r="1004" spans="1:34" x14ac:dyDescent="0.35">
      <c r="A1004" t="s">
        <v>1024</v>
      </c>
      <c r="B1004" s="3" t="s">
        <v>1265</v>
      </c>
      <c r="C1004" s="4" t="s">
        <v>1263</v>
      </c>
      <c r="D1004" s="2">
        <f t="shared" si="976"/>
        <v>14138.8128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10315.871999999999</v>
      </c>
      <c r="V1004" s="5">
        <v>3822.9407999999994</v>
      </c>
      <c r="W1004" s="5">
        <f t="shared" ref="W1004:AH1004" si="1017">IF(OR((SLOPE($E1004:$V1004,$E$1:$V$1)*W$1+INTERCEPT($E1004:$V1004,$E$1:$V$1))&gt;(AVERAGE($E1004:$V1004)+_xlfn.STDEV.P($E1004:$V1004)),(SLOPE($E1004:$V1004,$E$1:$V$1)*W$1+INTERCEPT($E1004:$V1004,$E$1:$V$1))&lt;(AVERAGE($E1004:$V1004)-_xlfn.STDEV.P($E1004:$V1004))),V1004,(SLOPE($E1004:$V1004,$E$1:$V$1)*W$1+INTERCEPT($E1004:$V1004,$E$1:$V$1)))</f>
        <v>2939.6863999999991</v>
      </c>
      <c r="X1004" s="5">
        <f t="shared" si="1017"/>
        <v>3166.4439578947363</v>
      </c>
      <c r="Y1004" s="5">
        <f t="shared" si="1017"/>
        <v>3166.4439578947363</v>
      </c>
      <c r="Z1004" s="5">
        <f t="shared" si="1017"/>
        <v>3166.4439578947363</v>
      </c>
      <c r="AA1004" s="5">
        <f t="shared" si="1017"/>
        <v>3166.4439578947363</v>
      </c>
      <c r="AB1004" s="5">
        <f t="shared" si="1017"/>
        <v>3166.4439578947363</v>
      </c>
      <c r="AC1004" s="5">
        <f t="shared" si="1017"/>
        <v>3166.4439578947363</v>
      </c>
      <c r="AD1004" s="5">
        <f t="shared" si="1017"/>
        <v>3166.4439578947363</v>
      </c>
      <c r="AE1004" s="5">
        <f t="shared" si="1017"/>
        <v>3166.4439578947363</v>
      </c>
      <c r="AF1004" s="5">
        <f t="shared" si="1017"/>
        <v>3166.4439578947363</v>
      </c>
      <c r="AG1004" s="5">
        <f t="shared" si="1017"/>
        <v>3166.4439578947363</v>
      </c>
      <c r="AH1004" s="5">
        <f t="shared" si="1017"/>
        <v>3166.4439578947363</v>
      </c>
    </row>
    <row r="1005" spans="1:34" x14ac:dyDescent="0.35">
      <c r="A1005" t="s">
        <v>1025</v>
      </c>
      <c r="B1005" s="3" t="s">
        <v>1266</v>
      </c>
      <c r="C1005" s="4" t="s">
        <v>1267</v>
      </c>
      <c r="D1005" s="2">
        <f t="shared" si="976"/>
        <v>14007.465295654314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14007.465295654314</v>
      </c>
      <c r="V1005" s="5">
        <v>0</v>
      </c>
      <c r="W1005" s="5">
        <f t="shared" ref="W1005:AH1005" si="1018">IF(OR((SLOPE($E1005:$V1005,$E$1:$V$1)*W$1+INTERCEPT($E1005:$V1005,$E$1:$V$1))&gt;(AVERAGE($E1005:$V1005)+_xlfn.STDEV.P($E1005:$V1005)),(SLOPE($E1005:$V1005,$E$1:$V$1)*W$1+INTERCEPT($E1005:$V1005,$E$1:$V$1))&lt;(AVERAGE($E1005:$V1005)-_xlfn.STDEV.P($E1005:$V1005))),V1005,(SLOPE($E1005:$V1005,$E$1:$V$1)*W$1+INTERCEPT($E1005:$V1005,$E$1:$V$1)))</f>
        <v>2838.1138834332273</v>
      </c>
      <c r="X1005" s="5">
        <f t="shared" si="1018"/>
        <v>3054.9477115393315</v>
      </c>
      <c r="Y1005" s="5">
        <f t="shared" si="1018"/>
        <v>3271.7815396454357</v>
      </c>
      <c r="Z1005" s="5">
        <f t="shared" si="1018"/>
        <v>3488.615367751539</v>
      </c>
      <c r="AA1005" s="5">
        <f t="shared" si="1018"/>
        <v>3705.4491958576432</v>
      </c>
      <c r="AB1005" s="5">
        <f t="shared" si="1018"/>
        <v>3922.2830239637474</v>
      </c>
      <c r="AC1005" s="5">
        <f t="shared" si="1018"/>
        <v>3922.2830239637474</v>
      </c>
      <c r="AD1005" s="5">
        <f t="shared" si="1018"/>
        <v>3922.2830239637474</v>
      </c>
      <c r="AE1005" s="5">
        <f t="shared" si="1018"/>
        <v>3922.2830239637474</v>
      </c>
      <c r="AF1005" s="5">
        <f t="shared" si="1018"/>
        <v>3922.2830239637474</v>
      </c>
      <c r="AG1005" s="5">
        <f t="shared" si="1018"/>
        <v>3922.2830239637474</v>
      </c>
      <c r="AH1005" s="5">
        <f t="shared" si="1018"/>
        <v>3922.2830239637474</v>
      </c>
    </row>
    <row r="1006" spans="1:34" x14ac:dyDescent="0.35">
      <c r="A1006" t="s">
        <v>1026</v>
      </c>
      <c r="B1006" s="3" t="s">
        <v>1266</v>
      </c>
      <c r="C1006" s="4" t="s">
        <v>1267</v>
      </c>
      <c r="D1006" s="2">
        <f t="shared" si="976"/>
        <v>14006.74945490649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14006.74945490649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f t="shared" ref="W1006:AH1006" si="1019">IF(OR((SLOPE($E1006:$V1006,$E$1:$V$1)*W$1+INTERCEPT($E1006:$V1006,$E$1:$V$1))&gt;(AVERAGE($E1006:$V1006)+_xlfn.STDEV.P($E1006:$V1006)),(SLOPE($E1006:$V1006,$E$1:$V$1)*W$1+INTERCEPT($E1006:$V1006,$E$1:$V$1))&lt;(AVERAGE($E1006:$V1006)-_xlfn.STDEV.P($E1006:$V1006))),V1006,(SLOPE($E1006:$V1006,$E$1:$V$1)*W$1+INTERCEPT($E1006:$V1006,$E$1:$V$1)))</f>
        <v>91.547382058212179</v>
      </c>
      <c r="X1006" s="5">
        <f t="shared" si="1019"/>
        <v>19.273133064886679</v>
      </c>
      <c r="Y1006" s="5">
        <f t="shared" si="1019"/>
        <v>-53.001115928438821</v>
      </c>
      <c r="Z1006" s="5">
        <f t="shared" si="1019"/>
        <v>-125.27536492176455</v>
      </c>
      <c r="AA1006" s="5">
        <f t="shared" si="1019"/>
        <v>-197.54961391509005</v>
      </c>
      <c r="AB1006" s="5">
        <f t="shared" si="1019"/>
        <v>-269.82386290841555</v>
      </c>
      <c r="AC1006" s="5">
        <f t="shared" si="1019"/>
        <v>-342.09811190174105</v>
      </c>
      <c r="AD1006" s="5">
        <f t="shared" si="1019"/>
        <v>-414.37236089506655</v>
      </c>
      <c r="AE1006" s="5">
        <f t="shared" si="1019"/>
        <v>-486.64660988839228</v>
      </c>
      <c r="AF1006" s="5">
        <f t="shared" si="1019"/>
        <v>-558.92085888171778</v>
      </c>
      <c r="AG1006" s="5">
        <f t="shared" si="1019"/>
        <v>-631.19510787504328</v>
      </c>
      <c r="AH1006" s="5">
        <f t="shared" si="1019"/>
        <v>-703.469356868369</v>
      </c>
    </row>
    <row r="1007" spans="1:34" x14ac:dyDescent="0.35">
      <c r="A1007" t="s">
        <v>1027</v>
      </c>
      <c r="B1007" s="3" t="s">
        <v>1266</v>
      </c>
      <c r="C1007" s="4" t="s">
        <v>1267</v>
      </c>
      <c r="D1007" s="2">
        <f t="shared" si="976"/>
        <v>13610.026758648008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6088.6961815004242</v>
      </c>
      <c r="P1007" s="5">
        <v>0</v>
      </c>
      <c r="Q1007" s="5">
        <v>0</v>
      </c>
      <c r="R1007" s="5">
        <v>0</v>
      </c>
      <c r="S1007" s="5">
        <v>7521.3305771475834</v>
      </c>
      <c r="T1007" s="5">
        <v>0</v>
      </c>
      <c r="U1007" s="5">
        <v>0</v>
      </c>
      <c r="V1007" s="5">
        <v>0</v>
      </c>
      <c r="W1007" s="5">
        <f t="shared" ref="W1007:AH1007" si="1020">IF(OR((SLOPE($E1007:$V1007,$E$1:$V$1)*W$1+INTERCEPT($E1007:$V1007,$E$1:$V$1))&gt;(AVERAGE($E1007:$V1007)+_xlfn.STDEV.P($E1007:$V1007)),(SLOPE($E1007:$V1007,$E$1:$V$1)*W$1+INTERCEPT($E1007:$V1007,$E$1:$V$1))&lt;(AVERAGE($E1007:$V1007)-_xlfn.STDEV.P($E1007:$V1007))),V1007,(SLOPE($E1007:$V1007,$E$1:$V$1)*W$1+INTERCEPT($E1007:$V1007,$E$1:$V$1)))</f>
        <v>1746.31578292938</v>
      </c>
      <c r="X1007" s="5">
        <f t="shared" si="1020"/>
        <v>1850.5476971637706</v>
      </c>
      <c r="Y1007" s="5">
        <f t="shared" si="1020"/>
        <v>1954.7796113981615</v>
      </c>
      <c r="Z1007" s="5">
        <f t="shared" si="1020"/>
        <v>2059.0115256325525</v>
      </c>
      <c r="AA1007" s="5">
        <f t="shared" si="1020"/>
        <v>2163.2434398669429</v>
      </c>
      <c r="AB1007" s="5">
        <f t="shared" si="1020"/>
        <v>2267.4753541013342</v>
      </c>
      <c r="AC1007" s="5">
        <f t="shared" si="1020"/>
        <v>2371.7072683357246</v>
      </c>
      <c r="AD1007" s="5">
        <f t="shared" si="1020"/>
        <v>2475.9391825701159</v>
      </c>
      <c r="AE1007" s="5">
        <f t="shared" si="1020"/>
        <v>2580.1710968045063</v>
      </c>
      <c r="AF1007" s="5">
        <f t="shared" si="1020"/>
        <v>2684.4030110388976</v>
      </c>
      <c r="AG1007" s="5">
        <f t="shared" si="1020"/>
        <v>2788.634925273288</v>
      </c>
      <c r="AH1007" s="5">
        <f t="shared" si="1020"/>
        <v>2892.8668395076793</v>
      </c>
    </row>
    <row r="1008" spans="1:34" x14ac:dyDescent="0.35">
      <c r="A1008" t="s">
        <v>1028</v>
      </c>
      <c r="B1008" s="3" t="s">
        <v>1266</v>
      </c>
      <c r="C1008" s="4" t="s">
        <v>1263</v>
      </c>
      <c r="D1008" s="2">
        <f t="shared" si="976"/>
        <v>13392.287999999999</v>
      </c>
      <c r="E1008" s="5">
        <v>2323.7759999999998</v>
      </c>
      <c r="F1008" s="5">
        <v>978.43199999999979</v>
      </c>
      <c r="G1008" s="5">
        <v>101.91999999999999</v>
      </c>
      <c r="H1008" s="5">
        <v>550.36799999999994</v>
      </c>
      <c r="I1008" s="5">
        <v>489.21599999999989</v>
      </c>
      <c r="J1008" s="5">
        <v>8795.6959999999999</v>
      </c>
      <c r="K1008" s="5">
        <v>0</v>
      </c>
      <c r="L1008" s="5">
        <v>152.88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f t="shared" ref="W1008:AH1008" si="1021">IF(OR((SLOPE($E1008:$V1008,$E$1:$V$1)*W$1+INTERCEPT($E1008:$V1008,$E$1:$V$1))&gt;(AVERAGE($E1008:$V1008)+_xlfn.STDEV.P($E1008:$V1008)),(SLOPE($E1008:$V1008,$E$1:$V$1)*W$1+INTERCEPT($E1008:$V1008,$E$1:$V$1))&lt;(AVERAGE($E1008:$V1008)-_xlfn.STDEV.P($E1008:$V1008))),V1008,(SLOPE($E1008:$V1008,$E$1:$V$1)*W$1+INTERCEPT($E1008:$V1008,$E$1:$V$1)))</f>
        <v>-510.79905882352932</v>
      </c>
      <c r="X1008" s="5">
        <f t="shared" si="1021"/>
        <v>-642.8848544891639</v>
      </c>
      <c r="Y1008" s="5">
        <f t="shared" si="1021"/>
        <v>-774.97065015479848</v>
      </c>
      <c r="Z1008" s="5">
        <f t="shared" si="1021"/>
        <v>-907.05644582043305</v>
      </c>
      <c r="AA1008" s="5">
        <f t="shared" si="1021"/>
        <v>-1039.1422414860676</v>
      </c>
      <c r="AB1008" s="5">
        <f t="shared" si="1021"/>
        <v>-1171.2280371517022</v>
      </c>
      <c r="AC1008" s="5">
        <f t="shared" si="1021"/>
        <v>-1171.2280371517022</v>
      </c>
      <c r="AD1008" s="5">
        <f t="shared" si="1021"/>
        <v>-1171.2280371517022</v>
      </c>
      <c r="AE1008" s="5">
        <f t="shared" si="1021"/>
        <v>-1171.2280371517022</v>
      </c>
      <c r="AF1008" s="5">
        <f t="shared" si="1021"/>
        <v>-1171.2280371517022</v>
      </c>
      <c r="AG1008" s="5">
        <f t="shared" si="1021"/>
        <v>-1171.2280371517022</v>
      </c>
      <c r="AH1008" s="5">
        <f t="shared" si="1021"/>
        <v>-1171.2280371517022</v>
      </c>
    </row>
    <row r="1009" spans="1:34" x14ac:dyDescent="0.35">
      <c r="A1009" t="s">
        <v>1029</v>
      </c>
      <c r="B1009" s="3" t="s">
        <v>1266</v>
      </c>
      <c r="C1009" s="4" t="s">
        <v>1263</v>
      </c>
      <c r="D1009" s="2">
        <f t="shared" si="976"/>
        <v>13193.25</v>
      </c>
      <c r="E1009" s="5">
        <v>5733</v>
      </c>
      <c r="F1009" s="5">
        <v>7007</v>
      </c>
      <c r="G1009" s="5">
        <v>453.24999999999989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f t="shared" ref="W1009:AH1009" si="1022">IF(OR((SLOPE($E1009:$V1009,$E$1:$V$1)*W$1+INTERCEPT($E1009:$V1009,$E$1:$V$1))&gt;(AVERAGE($E1009:$V1009)+_xlfn.STDEV.P($E1009:$V1009)),(SLOPE($E1009:$V1009,$E$1:$V$1)*W$1+INTERCEPT($E1009:$V1009,$E$1:$V$1))&lt;(AVERAGE($E1009:$V1009)-_xlfn.STDEV.P($E1009:$V1009))),V1009,(SLOPE($E1009:$V1009,$E$1:$V$1)*W$1+INTERCEPT($E1009:$V1009,$E$1:$V$1)))</f>
        <v>0</v>
      </c>
      <c r="X1009" s="5">
        <f t="shared" si="1022"/>
        <v>0</v>
      </c>
      <c r="Y1009" s="5">
        <f t="shared" si="1022"/>
        <v>0</v>
      </c>
      <c r="Z1009" s="5">
        <f t="shared" si="1022"/>
        <v>0</v>
      </c>
      <c r="AA1009" s="5">
        <f t="shared" si="1022"/>
        <v>0</v>
      </c>
      <c r="AB1009" s="5">
        <f t="shared" si="1022"/>
        <v>0</v>
      </c>
      <c r="AC1009" s="5">
        <f t="shared" si="1022"/>
        <v>0</v>
      </c>
      <c r="AD1009" s="5">
        <f t="shared" si="1022"/>
        <v>0</v>
      </c>
      <c r="AE1009" s="5">
        <f t="shared" si="1022"/>
        <v>0</v>
      </c>
      <c r="AF1009" s="5">
        <f t="shared" si="1022"/>
        <v>0</v>
      </c>
      <c r="AG1009" s="5">
        <f t="shared" si="1022"/>
        <v>0</v>
      </c>
      <c r="AH1009" s="5">
        <f t="shared" si="1022"/>
        <v>0</v>
      </c>
    </row>
    <row r="1010" spans="1:34" x14ac:dyDescent="0.35">
      <c r="A1010" t="s">
        <v>1030</v>
      </c>
      <c r="B1010" s="3" t="s">
        <v>1264</v>
      </c>
      <c r="C1010" s="4" t="s">
        <v>1268</v>
      </c>
      <c r="D1010" s="2">
        <f t="shared" si="976"/>
        <v>13097.699999999999</v>
      </c>
      <c r="E1010" s="5">
        <v>0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13097.699999999999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f t="shared" ref="W1010:AH1010" si="1023">IF(OR((SLOPE($E1010:$V1010,$E$1:$V$1)*W$1+INTERCEPT($E1010:$V1010,$E$1:$V$1))&gt;(AVERAGE($E1010:$V1010)+_xlfn.STDEV.P($E1010:$V1010)),(SLOPE($E1010:$V1010,$E$1:$V$1)*W$1+INTERCEPT($E1010:$V1010,$E$1:$V$1))&lt;(AVERAGE($E1010:$V1010)-_xlfn.STDEV.P($E1010:$V1010))),V1010,(SLOPE($E1010:$V1010,$E$1:$V$1)*W$1+INTERCEPT($E1010:$V1010,$E$1:$V$1)))</f>
        <v>1112.8764705882352</v>
      </c>
      <c r="X1010" s="5">
        <f t="shared" si="1023"/>
        <v>1153.4266253869969</v>
      </c>
      <c r="Y1010" s="5">
        <f t="shared" si="1023"/>
        <v>1193.9767801857583</v>
      </c>
      <c r="Z1010" s="5">
        <f t="shared" si="1023"/>
        <v>1234.52693498452</v>
      </c>
      <c r="AA1010" s="5">
        <f t="shared" si="1023"/>
        <v>1275.0770897832815</v>
      </c>
      <c r="AB1010" s="5">
        <f t="shared" si="1023"/>
        <v>1315.6272445820432</v>
      </c>
      <c r="AC1010" s="5">
        <f t="shared" si="1023"/>
        <v>1356.1773993808049</v>
      </c>
      <c r="AD1010" s="5">
        <f t="shared" si="1023"/>
        <v>1396.7275541795664</v>
      </c>
      <c r="AE1010" s="5">
        <f t="shared" si="1023"/>
        <v>1437.2777089783281</v>
      </c>
      <c r="AF1010" s="5">
        <f t="shared" si="1023"/>
        <v>1477.8278637770898</v>
      </c>
      <c r="AG1010" s="5">
        <f t="shared" si="1023"/>
        <v>1518.3780185758512</v>
      </c>
      <c r="AH1010" s="5">
        <f t="shared" si="1023"/>
        <v>1558.9281733746129</v>
      </c>
    </row>
    <row r="1011" spans="1:34" x14ac:dyDescent="0.35">
      <c r="A1011" t="s">
        <v>1031</v>
      </c>
      <c r="B1011" s="3" t="s">
        <v>1266</v>
      </c>
      <c r="C1011" s="4" t="s">
        <v>1267</v>
      </c>
      <c r="D1011" s="2">
        <f t="shared" si="976"/>
        <v>13052.483467187756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13052.483467187756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f t="shared" ref="W1011:AH1011" si="1024">IF(OR((SLOPE($E1011:$V1011,$E$1:$V$1)*W$1+INTERCEPT($E1011:$V1011,$E$1:$V$1))&gt;(AVERAGE($E1011:$V1011)+_xlfn.STDEV.P($E1011:$V1011)),(SLOPE($E1011:$V1011,$E$1:$V$1)*W$1+INTERCEPT($E1011:$V1011,$E$1:$V$1))&lt;(AVERAGE($E1011:$V1011)-_xlfn.STDEV.P($E1011:$V1011))),V1011,(SLOPE($E1011:$V1011,$E$1:$V$1)*W$1+INTERCEPT($E1011:$V1011,$E$1:$V$1)))</f>
        <v>1364.965591339896</v>
      </c>
      <c r="X1011" s="5">
        <f t="shared" si="1024"/>
        <v>1432.315867228378</v>
      </c>
      <c r="Y1011" s="5">
        <f t="shared" si="1024"/>
        <v>1499.6661431168595</v>
      </c>
      <c r="Z1011" s="5">
        <f t="shared" si="1024"/>
        <v>1567.016419005341</v>
      </c>
      <c r="AA1011" s="5">
        <f t="shared" si="1024"/>
        <v>1634.366694893823</v>
      </c>
      <c r="AB1011" s="5">
        <f t="shared" si="1024"/>
        <v>1701.7169707823045</v>
      </c>
      <c r="AC1011" s="5">
        <f t="shared" si="1024"/>
        <v>1769.0672466707865</v>
      </c>
      <c r="AD1011" s="5">
        <f t="shared" si="1024"/>
        <v>1836.417522559268</v>
      </c>
      <c r="AE1011" s="5">
        <f t="shared" si="1024"/>
        <v>1903.76779844775</v>
      </c>
      <c r="AF1011" s="5">
        <f t="shared" si="1024"/>
        <v>1971.1180743362315</v>
      </c>
      <c r="AG1011" s="5">
        <f t="shared" si="1024"/>
        <v>2038.468350224713</v>
      </c>
      <c r="AH1011" s="5">
        <f t="shared" si="1024"/>
        <v>2105.818626113195</v>
      </c>
    </row>
    <row r="1012" spans="1:34" x14ac:dyDescent="0.35">
      <c r="A1012" t="s">
        <v>1032</v>
      </c>
      <c r="B1012" s="3" t="s">
        <v>1264</v>
      </c>
      <c r="C1012" s="4" t="s">
        <v>1267</v>
      </c>
      <c r="D1012" s="2">
        <f t="shared" si="976"/>
        <v>12927.441903889034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12927.441903889034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f t="shared" ref="W1012:AH1012" si="1025">IF(OR((SLOPE($E1012:$V1012,$E$1:$V$1)*W$1+INTERCEPT($E1012:$V1012,$E$1:$V$1))&gt;(AVERAGE($E1012:$V1012)+_xlfn.STDEV.P($E1012:$V1012)),(SLOPE($E1012:$V1012,$E$1:$V$1)*W$1+INTERCEPT($E1012:$V1012,$E$1:$V$1))&lt;(AVERAGE($E1012:$V1012)-_xlfn.STDEV.P($E1012:$V1012))),V1012,(SLOPE($E1012:$V1012,$E$1:$V$1)*W$1+INTERCEPT($E1012:$V1012,$E$1:$V$1)))</f>
        <v>844.93084339143991</v>
      </c>
      <c r="X1012" s="5">
        <f t="shared" si="1025"/>
        <v>858.27185670814686</v>
      </c>
      <c r="Y1012" s="5">
        <f t="shared" si="1025"/>
        <v>871.61287002485381</v>
      </c>
      <c r="Z1012" s="5">
        <f t="shared" si="1025"/>
        <v>884.95388334156075</v>
      </c>
      <c r="AA1012" s="5">
        <f t="shared" si="1025"/>
        <v>898.2948966582677</v>
      </c>
      <c r="AB1012" s="5">
        <f t="shared" si="1025"/>
        <v>911.63590997497454</v>
      </c>
      <c r="AC1012" s="5">
        <f t="shared" si="1025"/>
        <v>924.97692329168149</v>
      </c>
      <c r="AD1012" s="5">
        <f t="shared" si="1025"/>
        <v>938.31793660838844</v>
      </c>
      <c r="AE1012" s="5">
        <f t="shared" si="1025"/>
        <v>951.65894992509538</v>
      </c>
      <c r="AF1012" s="5">
        <f t="shared" si="1025"/>
        <v>964.99996324180233</v>
      </c>
      <c r="AG1012" s="5">
        <f t="shared" si="1025"/>
        <v>978.34097655850928</v>
      </c>
      <c r="AH1012" s="5">
        <f t="shared" si="1025"/>
        <v>991.68198987521623</v>
      </c>
    </row>
    <row r="1013" spans="1:34" x14ac:dyDescent="0.35">
      <c r="A1013" t="s">
        <v>1033</v>
      </c>
      <c r="B1013" s="3" t="s">
        <v>1265</v>
      </c>
      <c r="C1013" s="4" t="s">
        <v>1263</v>
      </c>
      <c r="D1013" s="2">
        <f t="shared" si="976"/>
        <v>12896.643199999999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9409.5679999999993</v>
      </c>
      <c r="V1013" s="5">
        <v>3487.0751999999989</v>
      </c>
      <c r="W1013" s="5">
        <f t="shared" ref="W1013:AH1013" si="1026">IF(OR((SLOPE($E1013:$V1013,$E$1:$V$1)*W$1+INTERCEPT($E1013:$V1013,$E$1:$V$1))&gt;(AVERAGE($E1013:$V1013)+_xlfn.STDEV.P($E1013:$V1013)),(SLOPE($E1013:$V1013,$E$1:$V$1)*W$1+INTERCEPT($E1013:$V1013,$E$1:$V$1))&lt;(AVERAGE($E1013:$V1013)-_xlfn.STDEV.P($E1013:$V1013))),V1013,(SLOPE($E1013:$V1013,$E$1:$V$1)*W$1+INTERCEPT($E1013:$V1013,$E$1:$V$1)))</f>
        <v>2681.4193777777773</v>
      </c>
      <c r="X1013" s="5">
        <f t="shared" si="1026"/>
        <v>2888.2550830409355</v>
      </c>
      <c r="Y1013" s="5">
        <f t="shared" si="1026"/>
        <v>2888.2550830409355</v>
      </c>
      <c r="Z1013" s="5">
        <f t="shared" si="1026"/>
        <v>2888.2550830409355</v>
      </c>
      <c r="AA1013" s="5">
        <f t="shared" si="1026"/>
        <v>2888.2550830409355</v>
      </c>
      <c r="AB1013" s="5">
        <f t="shared" si="1026"/>
        <v>2888.2550830409355</v>
      </c>
      <c r="AC1013" s="5">
        <f t="shared" si="1026"/>
        <v>2888.2550830409355</v>
      </c>
      <c r="AD1013" s="5">
        <f t="shared" si="1026"/>
        <v>2888.2550830409355</v>
      </c>
      <c r="AE1013" s="5">
        <f t="shared" si="1026"/>
        <v>2888.2550830409355</v>
      </c>
      <c r="AF1013" s="5">
        <f t="shared" si="1026"/>
        <v>2888.2550830409355</v>
      </c>
      <c r="AG1013" s="5">
        <f t="shared" si="1026"/>
        <v>2888.2550830409355</v>
      </c>
      <c r="AH1013" s="5">
        <f t="shared" si="1026"/>
        <v>2888.2550830409355</v>
      </c>
    </row>
    <row r="1014" spans="1:34" x14ac:dyDescent="0.35">
      <c r="A1014" t="s">
        <v>1034</v>
      </c>
      <c r="B1014" s="3" t="s">
        <v>1266</v>
      </c>
      <c r="C1014" s="4" t="s">
        <v>1267</v>
      </c>
      <c r="D1014" s="2">
        <f t="shared" si="976"/>
        <v>12858.584863047661</v>
      </c>
      <c r="E1014" s="5">
        <v>0</v>
      </c>
      <c r="F1014" s="5">
        <v>0</v>
      </c>
      <c r="G1014" s="5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12858.584863047661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f t="shared" ref="W1014:AH1014" si="1027">IF(OR((SLOPE($E1014:$V1014,$E$1:$V$1)*W$1+INTERCEPT($E1014:$V1014,$E$1:$V$1))&gt;(AVERAGE($E1014:$V1014)+_xlfn.STDEV.P($E1014:$V1014)),(SLOPE($E1014:$V1014,$E$1:$V$1)*W$1+INTERCEPT($E1014:$V1014,$E$1:$V$1))&lt;(AVERAGE($E1014:$V1014)-_xlfn.STDEV.P($E1014:$V1014))),V1014,(SLOPE($E1014:$V1014,$E$1:$V$1)*W$1+INTERCEPT($E1014:$V1014,$E$1:$V$1)))</f>
        <v>588.30126824401066</v>
      </c>
      <c r="X1014" s="5">
        <f t="shared" si="1027"/>
        <v>575.03131482497292</v>
      </c>
      <c r="Y1014" s="5">
        <f t="shared" si="1027"/>
        <v>561.76136140593508</v>
      </c>
      <c r="Z1014" s="5">
        <f t="shared" si="1027"/>
        <v>548.49140798689723</v>
      </c>
      <c r="AA1014" s="5">
        <f t="shared" si="1027"/>
        <v>535.22145456785938</v>
      </c>
      <c r="AB1014" s="5">
        <f t="shared" si="1027"/>
        <v>521.95150114882154</v>
      </c>
      <c r="AC1014" s="5">
        <f t="shared" si="1027"/>
        <v>508.68154772978374</v>
      </c>
      <c r="AD1014" s="5">
        <f t="shared" si="1027"/>
        <v>495.4115943107459</v>
      </c>
      <c r="AE1014" s="5">
        <f t="shared" si="1027"/>
        <v>482.14164089170805</v>
      </c>
      <c r="AF1014" s="5">
        <f t="shared" si="1027"/>
        <v>468.87168747267026</v>
      </c>
      <c r="AG1014" s="5">
        <f t="shared" si="1027"/>
        <v>455.60173405363241</v>
      </c>
      <c r="AH1014" s="5">
        <f t="shared" si="1027"/>
        <v>442.33178063459457</v>
      </c>
    </row>
    <row r="1015" spans="1:34" x14ac:dyDescent="0.35">
      <c r="A1015" t="s">
        <v>1035</v>
      </c>
      <c r="B1015" s="3" t="s">
        <v>1266</v>
      </c>
      <c r="C1015" s="4" t="s">
        <v>1263</v>
      </c>
      <c r="D1015" s="2">
        <f t="shared" si="976"/>
        <v>12557.02907395799</v>
      </c>
      <c r="E1015" s="5">
        <v>0</v>
      </c>
      <c r="F1015" s="5">
        <v>0</v>
      </c>
      <c r="G1015" s="5">
        <v>0</v>
      </c>
      <c r="H1015" s="5">
        <v>7144.5165420795456</v>
      </c>
      <c r="I1015" s="5">
        <v>0</v>
      </c>
      <c r="J1015" s="5">
        <v>5412.512531878444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f t="shared" ref="W1015:AH1015" si="1028">IF(OR((SLOPE($E1015:$V1015,$E$1:$V$1)*W$1+INTERCEPT($E1015:$V1015,$E$1:$V$1))&gt;(AVERAGE($E1015:$V1015)+_xlfn.STDEV.P($E1015:$V1015)),(SLOPE($E1015:$V1015,$E$1:$V$1)*W$1+INTERCEPT($E1015:$V1015,$E$1:$V$1))&lt;(AVERAGE($E1015:$V1015)-_xlfn.STDEV.P($E1015:$V1015))),V1015,(SLOPE($E1015:$V1015,$E$1:$V$1)*W$1+INTERCEPT($E1015:$V1015,$E$1:$V$1)))</f>
        <v>-444.32129019864874</v>
      </c>
      <c r="X1015" s="5">
        <f t="shared" si="1028"/>
        <v>-564.52487088598014</v>
      </c>
      <c r="Y1015" s="5">
        <f t="shared" si="1028"/>
        <v>-684.72845157331153</v>
      </c>
      <c r="Z1015" s="5">
        <f t="shared" si="1028"/>
        <v>-804.93203226064293</v>
      </c>
      <c r="AA1015" s="5">
        <f t="shared" si="1028"/>
        <v>-925.13561294797432</v>
      </c>
      <c r="AB1015" s="5">
        <f t="shared" si="1028"/>
        <v>-1045.3391936353057</v>
      </c>
      <c r="AC1015" s="5">
        <f t="shared" si="1028"/>
        <v>-1165.5427743226371</v>
      </c>
      <c r="AD1015" s="5">
        <f t="shared" si="1028"/>
        <v>-1285.7463550099685</v>
      </c>
      <c r="AE1015" s="5">
        <f t="shared" si="1028"/>
        <v>-1285.7463550099685</v>
      </c>
      <c r="AF1015" s="5">
        <f t="shared" si="1028"/>
        <v>-1285.7463550099685</v>
      </c>
      <c r="AG1015" s="5">
        <f t="shared" si="1028"/>
        <v>-1285.7463550099685</v>
      </c>
      <c r="AH1015" s="5">
        <f t="shared" si="1028"/>
        <v>-1285.7463550099685</v>
      </c>
    </row>
    <row r="1016" spans="1:34" x14ac:dyDescent="0.35">
      <c r="A1016" t="s">
        <v>1036</v>
      </c>
      <c r="B1016" s="3" t="s">
        <v>1264</v>
      </c>
      <c r="C1016" s="4" t="s">
        <v>1263</v>
      </c>
      <c r="D1016" s="2">
        <f t="shared" si="976"/>
        <v>12438.825860924722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5">
        <v>0</v>
      </c>
      <c r="K1016" s="5">
        <v>1822.4737747869792</v>
      </c>
      <c r="L1016" s="5">
        <v>1273.9622503365292</v>
      </c>
      <c r="M1016" s="5">
        <v>0</v>
      </c>
      <c r="N1016" s="5">
        <v>1486.2892920592842</v>
      </c>
      <c r="O1016" s="5">
        <v>0</v>
      </c>
      <c r="P1016" s="5">
        <v>1273.9622503365292</v>
      </c>
      <c r="Q1016" s="5">
        <v>2017.1068963661714</v>
      </c>
      <c r="R1016" s="5">
        <v>0</v>
      </c>
      <c r="S1016" s="5">
        <v>1486.2892920592842</v>
      </c>
      <c r="T1016" s="5">
        <v>1061.6352086137745</v>
      </c>
      <c r="U1016" s="5">
        <v>1486.2892920592842</v>
      </c>
      <c r="V1016" s="5">
        <v>530.81760430688723</v>
      </c>
      <c r="W1016" s="5">
        <f t="shared" ref="W1016:AH1016" si="1029">IF(OR((SLOPE($E1016:$V1016,$E$1:$V$1)*W$1+INTERCEPT($E1016:$V1016,$E$1:$V$1))&gt;(AVERAGE($E1016:$V1016)+_xlfn.STDEV.P($E1016:$V1016)),(SLOPE($E1016:$V1016,$E$1:$V$1)*W$1+INTERCEPT($E1016:$V1016,$E$1:$V$1))&lt;(AVERAGE($E1016:$V1016)-_xlfn.STDEV.P($E1016:$V1016))),V1016,(SLOPE($E1016:$V1016,$E$1:$V$1)*W$1+INTERCEPT($E1016:$V1016,$E$1:$V$1)))</f>
        <v>1382.3230553987414</v>
      </c>
      <c r="X1016" s="5">
        <f t="shared" si="1029"/>
        <v>1382.3230553987414</v>
      </c>
      <c r="Y1016" s="5">
        <f t="shared" si="1029"/>
        <v>1382.3230553987414</v>
      </c>
      <c r="Z1016" s="5">
        <f t="shared" si="1029"/>
        <v>1382.3230553987414</v>
      </c>
      <c r="AA1016" s="5">
        <f t="shared" si="1029"/>
        <v>1382.3230553987414</v>
      </c>
      <c r="AB1016" s="5">
        <f t="shared" si="1029"/>
        <v>1382.3230553987414</v>
      </c>
      <c r="AC1016" s="5">
        <f t="shared" si="1029"/>
        <v>1382.3230553987414</v>
      </c>
      <c r="AD1016" s="5">
        <f t="shared" si="1029"/>
        <v>1382.3230553987414</v>
      </c>
      <c r="AE1016" s="5">
        <f t="shared" si="1029"/>
        <v>1382.3230553987414</v>
      </c>
      <c r="AF1016" s="5">
        <f t="shared" si="1029"/>
        <v>1382.3230553987414</v>
      </c>
      <c r="AG1016" s="5">
        <f t="shared" si="1029"/>
        <v>1382.3230553987414</v>
      </c>
      <c r="AH1016" s="5">
        <f t="shared" si="1029"/>
        <v>1382.3230553987414</v>
      </c>
    </row>
    <row r="1017" spans="1:34" x14ac:dyDescent="0.35">
      <c r="A1017" t="s">
        <v>1037</v>
      </c>
      <c r="B1017" s="3" t="s">
        <v>1264</v>
      </c>
      <c r="C1017" s="4" t="s">
        <v>1263</v>
      </c>
      <c r="D1017" s="2">
        <f t="shared" si="976"/>
        <v>11986.131589165776</v>
      </c>
      <c r="E1017" s="5">
        <v>0</v>
      </c>
      <c r="F1017" s="5">
        <v>0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201.98103303842183</v>
      </c>
      <c r="Q1017" s="5">
        <v>2019.8103303842183</v>
      </c>
      <c r="R1017" s="5">
        <v>4547.4586866936115</v>
      </c>
      <c r="S1017" s="5">
        <v>2527.648356309393</v>
      </c>
      <c r="T1017" s="5">
        <v>138.50127979777491</v>
      </c>
      <c r="U1017" s="5">
        <v>1558.1393977249684</v>
      </c>
      <c r="V1017" s="5">
        <v>992.59250521738727</v>
      </c>
      <c r="W1017" s="5">
        <f t="shared" ref="W1017:AH1017" si="1030">IF(OR((SLOPE($E1017:$V1017,$E$1:$V$1)*W$1+INTERCEPT($E1017:$V1017,$E$1:$V$1))&gt;(AVERAGE($E1017:$V1017)+_xlfn.STDEV.P($E1017:$V1017)),(SLOPE($E1017:$V1017,$E$1:$V$1)*W$1+INTERCEPT($E1017:$V1017,$E$1:$V$1))&lt;(AVERAGE($E1017:$V1017)-_xlfn.STDEV.P($E1017:$V1017))),V1017,(SLOPE($E1017:$V1017,$E$1:$V$1)*W$1+INTERCEPT($E1017:$V1017,$E$1:$V$1)))</f>
        <v>992.59250521738727</v>
      </c>
      <c r="X1017" s="5">
        <f t="shared" si="1030"/>
        <v>992.59250521738727</v>
      </c>
      <c r="Y1017" s="5">
        <f t="shared" si="1030"/>
        <v>992.59250521738727</v>
      </c>
      <c r="Z1017" s="5">
        <f t="shared" si="1030"/>
        <v>992.59250521738727</v>
      </c>
      <c r="AA1017" s="5">
        <f t="shared" si="1030"/>
        <v>992.59250521738727</v>
      </c>
      <c r="AB1017" s="5">
        <f t="shared" si="1030"/>
        <v>992.59250521738727</v>
      </c>
      <c r="AC1017" s="5">
        <f t="shared" si="1030"/>
        <v>992.59250521738727</v>
      </c>
      <c r="AD1017" s="5">
        <f t="shared" si="1030"/>
        <v>992.59250521738727</v>
      </c>
      <c r="AE1017" s="5">
        <f t="shared" si="1030"/>
        <v>992.59250521738727</v>
      </c>
      <c r="AF1017" s="5">
        <f t="shared" si="1030"/>
        <v>992.59250521738727</v>
      </c>
      <c r="AG1017" s="5">
        <f t="shared" si="1030"/>
        <v>992.59250521738727</v>
      </c>
      <c r="AH1017" s="5">
        <f t="shared" si="1030"/>
        <v>992.59250521738727</v>
      </c>
    </row>
    <row r="1018" spans="1:34" x14ac:dyDescent="0.35">
      <c r="A1018" t="s">
        <v>1038</v>
      </c>
      <c r="B1018" s="3" t="s">
        <v>1266</v>
      </c>
      <c r="C1018" s="4" t="s">
        <v>1263</v>
      </c>
      <c r="D1018" s="2">
        <f t="shared" si="976"/>
        <v>12112.956799999996</v>
      </c>
      <c r="E1018" s="5">
        <v>3414.32</v>
      </c>
      <c r="F1018" s="5">
        <v>8446.5023999999976</v>
      </c>
      <c r="G1018" s="5">
        <v>252.13439999999989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f t="shared" ref="W1018:AH1018" si="1031">IF(OR((SLOPE($E1018:$V1018,$E$1:$V$1)*W$1+INTERCEPT($E1018:$V1018,$E$1:$V$1))&gt;(AVERAGE($E1018:$V1018)+_xlfn.STDEV.P($E1018:$V1018)),(SLOPE($E1018:$V1018,$E$1:$V$1)*W$1+INTERCEPT($E1018:$V1018,$E$1:$V$1))&lt;(AVERAGE($E1018:$V1018)-_xlfn.STDEV.P($E1018:$V1018))),V1018,(SLOPE($E1018:$V1018,$E$1:$V$1)*W$1+INTERCEPT($E1018:$V1018,$E$1:$V$1)))</f>
        <v>-1170.3787712418298</v>
      </c>
      <c r="X1018" s="5">
        <f t="shared" si="1031"/>
        <v>-1364.4125413140691</v>
      </c>
      <c r="Y1018" s="5">
        <f t="shared" si="1031"/>
        <v>-1364.4125413140691</v>
      </c>
      <c r="Z1018" s="5">
        <f t="shared" si="1031"/>
        <v>-1364.4125413140691</v>
      </c>
      <c r="AA1018" s="5">
        <f t="shared" si="1031"/>
        <v>-1364.4125413140691</v>
      </c>
      <c r="AB1018" s="5">
        <f t="shared" si="1031"/>
        <v>-1364.4125413140691</v>
      </c>
      <c r="AC1018" s="5">
        <f t="shared" si="1031"/>
        <v>-1364.4125413140691</v>
      </c>
      <c r="AD1018" s="5">
        <f t="shared" si="1031"/>
        <v>-1364.4125413140691</v>
      </c>
      <c r="AE1018" s="5">
        <f t="shared" si="1031"/>
        <v>-1364.4125413140691</v>
      </c>
      <c r="AF1018" s="5">
        <f t="shared" si="1031"/>
        <v>-1364.4125413140691</v>
      </c>
      <c r="AG1018" s="5">
        <f t="shared" si="1031"/>
        <v>-1364.4125413140691</v>
      </c>
      <c r="AH1018" s="5">
        <f t="shared" si="1031"/>
        <v>-1364.4125413140691</v>
      </c>
    </row>
    <row r="1019" spans="1:34" x14ac:dyDescent="0.35">
      <c r="A1019" t="s">
        <v>1039</v>
      </c>
      <c r="B1019" s="3" t="s">
        <v>1266</v>
      </c>
      <c r="C1019" s="4" t="s">
        <v>1267</v>
      </c>
      <c r="D1019" s="2">
        <f t="shared" si="976"/>
        <v>12036.315081520514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12036.315081520514</v>
      </c>
      <c r="T1019" s="5">
        <v>0</v>
      </c>
      <c r="U1019" s="5">
        <v>0</v>
      </c>
      <c r="V1019" s="5">
        <v>0</v>
      </c>
      <c r="W1019" s="5">
        <f t="shared" ref="W1019:AH1019" si="1032">IF(OR((SLOPE($E1019:$V1019,$E$1:$V$1)*W$1+INTERCEPT($E1019:$V1019,$E$1:$V$1))&gt;(AVERAGE($E1019:$V1019)+_xlfn.STDEV.P($E1019:$V1019)),(SLOPE($E1019:$V1019,$E$1:$V$1)*W$1+INTERCEPT($E1019:$V1019,$E$1:$V$1))&lt;(AVERAGE($E1019:$V1019)-_xlfn.STDEV.P($E1019:$V1019))),V1019,(SLOPE($E1019:$V1019,$E$1:$V$1)*W$1+INTERCEPT($E1019:$V1019,$E$1:$V$1)))</f>
        <v>1966.7181505752474</v>
      </c>
      <c r="X1019" s="5">
        <f t="shared" si="1032"/>
        <v>2103.3533062994225</v>
      </c>
      <c r="Y1019" s="5">
        <f t="shared" si="1032"/>
        <v>2239.9884620235975</v>
      </c>
      <c r="Z1019" s="5">
        <f t="shared" si="1032"/>
        <v>2376.6236177477726</v>
      </c>
      <c r="AA1019" s="5">
        <f t="shared" si="1032"/>
        <v>2513.2587734719477</v>
      </c>
      <c r="AB1019" s="5">
        <f t="shared" si="1032"/>
        <v>2649.8939291961228</v>
      </c>
      <c r="AC1019" s="5">
        <f t="shared" si="1032"/>
        <v>2786.5290849202979</v>
      </c>
      <c r="AD1019" s="5">
        <f t="shared" si="1032"/>
        <v>2923.164240644473</v>
      </c>
      <c r="AE1019" s="5">
        <f t="shared" si="1032"/>
        <v>3059.7993963686481</v>
      </c>
      <c r="AF1019" s="5">
        <f t="shared" si="1032"/>
        <v>3196.4345520928232</v>
      </c>
      <c r="AG1019" s="5">
        <f t="shared" si="1032"/>
        <v>3333.0697078169983</v>
      </c>
      <c r="AH1019" s="5">
        <f t="shared" si="1032"/>
        <v>3333.0697078169983</v>
      </c>
    </row>
    <row r="1020" spans="1:34" x14ac:dyDescent="0.35">
      <c r="A1020" t="s">
        <v>1040</v>
      </c>
      <c r="B1020" s="3" t="s">
        <v>1264</v>
      </c>
      <c r="C1020" s="4" t="s">
        <v>1263</v>
      </c>
      <c r="D1020" s="2">
        <f t="shared" si="976"/>
        <v>11931.695999999998</v>
      </c>
      <c r="E1020" s="5">
        <v>2994.096</v>
      </c>
      <c r="F1020" s="5">
        <v>1079.96</v>
      </c>
      <c r="G1020" s="5">
        <v>1936.4799999999998</v>
      </c>
      <c r="H1020" s="5">
        <v>3843.1679999999997</v>
      </c>
      <c r="I1020" s="5">
        <v>431.98399999999998</v>
      </c>
      <c r="J1020" s="5">
        <v>0</v>
      </c>
      <c r="K1020" s="5">
        <v>0</v>
      </c>
      <c r="L1020" s="5">
        <v>148.95999999999998</v>
      </c>
      <c r="M1020" s="5">
        <v>74.47999999999999</v>
      </c>
      <c r="N1020" s="5">
        <v>163.85599999999997</v>
      </c>
      <c r="O1020" s="5">
        <v>52.135999999999989</v>
      </c>
      <c r="P1020" s="5">
        <v>305.36799999999994</v>
      </c>
      <c r="Q1020" s="5">
        <v>0</v>
      </c>
      <c r="R1020" s="5">
        <v>670.31999999999994</v>
      </c>
      <c r="S1020" s="5">
        <v>119.16799999999998</v>
      </c>
      <c r="T1020" s="5">
        <v>74.47999999999999</v>
      </c>
      <c r="U1020" s="5">
        <v>0</v>
      </c>
      <c r="V1020" s="5">
        <v>37.239999999999995</v>
      </c>
      <c r="W1020" s="5">
        <f t="shared" ref="W1020:AH1020" si="1033">IF(OR((SLOPE($E1020:$V1020,$E$1:$V$1)*W$1+INTERCEPT($E1020:$V1020,$E$1:$V$1))&gt;(AVERAGE($E1020:$V1020)+_xlfn.STDEV.P($E1020:$V1020)),(SLOPE($E1020:$V1020,$E$1:$V$1)*W$1+INTERCEPT($E1020:$V1020,$E$1:$V$1))&lt;(AVERAGE($E1020:$V1020)-_xlfn.STDEV.P($E1020:$V1020))),V1020,(SLOPE($E1020:$V1020,$E$1:$V$1)*W$1+INTERCEPT($E1020:$V1020,$E$1:$V$1)))</f>
        <v>37.239999999999995</v>
      </c>
      <c r="X1020" s="5">
        <f t="shared" si="1033"/>
        <v>37.239999999999995</v>
      </c>
      <c r="Y1020" s="5">
        <f t="shared" si="1033"/>
        <v>37.239999999999995</v>
      </c>
      <c r="Z1020" s="5">
        <f t="shared" si="1033"/>
        <v>37.239999999999995</v>
      </c>
      <c r="AA1020" s="5">
        <f t="shared" si="1033"/>
        <v>37.239999999999995</v>
      </c>
      <c r="AB1020" s="5">
        <f t="shared" si="1033"/>
        <v>37.239999999999995</v>
      </c>
      <c r="AC1020" s="5">
        <f t="shared" si="1033"/>
        <v>37.239999999999995</v>
      </c>
      <c r="AD1020" s="5">
        <f t="shared" si="1033"/>
        <v>37.239999999999995</v>
      </c>
      <c r="AE1020" s="5">
        <f t="shared" si="1033"/>
        <v>37.239999999999995</v>
      </c>
      <c r="AF1020" s="5">
        <f t="shared" si="1033"/>
        <v>37.239999999999995</v>
      </c>
      <c r="AG1020" s="5">
        <f t="shared" si="1033"/>
        <v>37.239999999999995</v>
      </c>
      <c r="AH1020" s="5">
        <f t="shared" si="1033"/>
        <v>37.239999999999995</v>
      </c>
    </row>
    <row r="1021" spans="1:34" x14ac:dyDescent="0.35">
      <c r="A1021" t="s">
        <v>1041</v>
      </c>
      <c r="B1021" s="3" t="s">
        <v>1264</v>
      </c>
      <c r="C1021" s="4" t="s">
        <v>1267</v>
      </c>
      <c r="D1021" s="2">
        <f t="shared" si="976"/>
        <v>11797.095506735683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11797.095506735683</v>
      </c>
      <c r="S1021" s="5">
        <v>0</v>
      </c>
      <c r="T1021" s="5">
        <v>0</v>
      </c>
      <c r="U1021" s="5">
        <v>0</v>
      </c>
      <c r="V1021" s="5">
        <v>0</v>
      </c>
      <c r="W1021" s="5">
        <f t="shared" ref="W1021:AH1021" si="1034">IF(OR((SLOPE($E1021:$V1021,$E$1:$V$1)*W$1+INTERCEPT($E1021:$V1021,$E$1:$V$1))&gt;(AVERAGE($E1021:$V1021)+_xlfn.STDEV.P($E1021:$V1021)),(SLOPE($E1021:$V1021,$E$1:$V$1)*W$1+INTERCEPT($E1021:$V1021,$E$1:$V$1))&lt;(AVERAGE($E1021:$V1021)-_xlfn.STDEV.P($E1021:$V1021))),V1021,(SLOPE($E1021:$V1021,$E$1:$V$1)*W$1+INTERCEPT($E1021:$V1021,$E$1:$V$1)))</f>
        <v>1696.3143865894444</v>
      </c>
      <c r="X1021" s="5">
        <f t="shared" si="1034"/>
        <v>1805.8849330916332</v>
      </c>
      <c r="Y1021" s="5">
        <f t="shared" si="1034"/>
        <v>1915.4554795938225</v>
      </c>
      <c r="Z1021" s="5">
        <f t="shared" si="1034"/>
        <v>2025.0260260960113</v>
      </c>
      <c r="AA1021" s="5">
        <f t="shared" si="1034"/>
        <v>2134.5965725982001</v>
      </c>
      <c r="AB1021" s="5">
        <f t="shared" si="1034"/>
        <v>2244.1671191003893</v>
      </c>
      <c r="AC1021" s="5">
        <f t="shared" si="1034"/>
        <v>2353.7376656025781</v>
      </c>
      <c r="AD1021" s="5">
        <f t="shared" si="1034"/>
        <v>2463.3082121047673</v>
      </c>
      <c r="AE1021" s="5">
        <f t="shared" si="1034"/>
        <v>2572.8787586069561</v>
      </c>
      <c r="AF1021" s="5">
        <f t="shared" si="1034"/>
        <v>2682.4493051091449</v>
      </c>
      <c r="AG1021" s="5">
        <f t="shared" si="1034"/>
        <v>2792.0198516113342</v>
      </c>
      <c r="AH1021" s="5">
        <f t="shared" si="1034"/>
        <v>2901.590398113523</v>
      </c>
    </row>
    <row r="1022" spans="1:34" x14ac:dyDescent="0.35">
      <c r="A1022" t="s">
        <v>1042</v>
      </c>
      <c r="B1022" s="3" t="s">
        <v>1266</v>
      </c>
      <c r="C1022" s="4" t="s">
        <v>1267</v>
      </c>
      <c r="D1022" s="2">
        <f t="shared" si="976"/>
        <v>11720.978425626632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11720.978425626632</v>
      </c>
      <c r="S1022" s="5">
        <v>0</v>
      </c>
      <c r="T1022" s="5">
        <v>0</v>
      </c>
      <c r="U1022" s="5">
        <v>0</v>
      </c>
      <c r="V1022" s="5">
        <v>0</v>
      </c>
      <c r="W1022" s="5">
        <f t="shared" ref="W1022:AH1022" si="1035">IF(OR((SLOPE($E1022:$V1022,$E$1:$V$1)*W$1+INTERCEPT($E1022:$V1022,$E$1:$V$1))&gt;(AVERAGE($E1022:$V1022)+_xlfn.STDEV.P($E1022:$V1022)),(SLOPE($E1022:$V1022,$E$1:$V$1)*W$1+INTERCEPT($E1022:$V1022,$E$1:$V$1))&lt;(AVERAGE($E1022:$V1022)-_xlfn.STDEV.P($E1022:$V1022))),V1022,(SLOPE($E1022:$V1022,$E$1:$V$1)*W$1+INTERCEPT($E1022:$V1022,$E$1:$V$1)))</f>
        <v>1685.3694468221302</v>
      </c>
      <c r="X1022" s="5">
        <f t="shared" si="1035"/>
        <v>1794.2330235307368</v>
      </c>
      <c r="Y1022" s="5">
        <f t="shared" si="1035"/>
        <v>1903.0966002393434</v>
      </c>
      <c r="Z1022" s="5">
        <f t="shared" si="1035"/>
        <v>2011.9601769479495</v>
      </c>
      <c r="AA1022" s="5">
        <f t="shared" si="1035"/>
        <v>2120.8237536565562</v>
      </c>
      <c r="AB1022" s="5">
        <f t="shared" si="1035"/>
        <v>2229.6873303651628</v>
      </c>
      <c r="AC1022" s="5">
        <f t="shared" si="1035"/>
        <v>2338.5509070737694</v>
      </c>
      <c r="AD1022" s="5">
        <f t="shared" si="1035"/>
        <v>2447.414483782376</v>
      </c>
      <c r="AE1022" s="5">
        <f t="shared" si="1035"/>
        <v>2556.2780604909822</v>
      </c>
      <c r="AF1022" s="5">
        <f t="shared" si="1035"/>
        <v>2665.1416371995888</v>
      </c>
      <c r="AG1022" s="5">
        <f t="shared" si="1035"/>
        <v>2774.0052139081954</v>
      </c>
      <c r="AH1022" s="5">
        <f t="shared" si="1035"/>
        <v>2882.8687906168016</v>
      </c>
    </row>
    <row r="1023" spans="1:34" x14ac:dyDescent="0.35">
      <c r="A1023" t="s">
        <v>1043</v>
      </c>
      <c r="B1023" s="3" t="s">
        <v>1264</v>
      </c>
      <c r="C1023" s="4" t="s">
        <v>1268</v>
      </c>
      <c r="D1023" s="2">
        <f t="shared" si="976"/>
        <v>11632.652577000001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11632.652577000001</v>
      </c>
      <c r="S1023" s="5">
        <v>0</v>
      </c>
      <c r="T1023" s="5">
        <v>0</v>
      </c>
      <c r="U1023" s="5">
        <v>0</v>
      </c>
      <c r="V1023" s="5">
        <v>0</v>
      </c>
      <c r="W1023" s="5">
        <f t="shared" ref="W1023:AH1023" si="1036">IF(OR((SLOPE($E1023:$V1023,$E$1:$V$1)*W$1+INTERCEPT($E1023:$V1023,$E$1:$V$1))&gt;(AVERAGE($E1023:$V1023)+_xlfn.STDEV.P($E1023:$V1023)),(SLOPE($E1023:$V1023,$E$1:$V$1)*W$1+INTERCEPT($E1023:$V1023,$E$1:$V$1))&lt;(AVERAGE($E1023:$V1023)-_xlfn.STDEV.P($E1023:$V1023))),V1023,(SLOPE($E1023:$V1023,$E$1:$V$1)*W$1+INTERCEPT($E1023:$V1023,$E$1:$V$1)))</f>
        <v>1672.6689980000006</v>
      </c>
      <c r="X1023" s="5">
        <f t="shared" si="1036"/>
        <v>1780.7122107894743</v>
      </c>
      <c r="Y1023" s="5">
        <f t="shared" si="1036"/>
        <v>1888.755423578948</v>
      </c>
      <c r="Z1023" s="5">
        <f t="shared" si="1036"/>
        <v>1996.7986363684217</v>
      </c>
      <c r="AA1023" s="5">
        <f t="shared" si="1036"/>
        <v>2104.8418491578955</v>
      </c>
      <c r="AB1023" s="5">
        <f t="shared" si="1036"/>
        <v>2212.8850619473692</v>
      </c>
      <c r="AC1023" s="5">
        <f t="shared" si="1036"/>
        <v>2320.9282747368429</v>
      </c>
      <c r="AD1023" s="5">
        <f t="shared" si="1036"/>
        <v>2428.9714875263167</v>
      </c>
      <c r="AE1023" s="5">
        <f t="shared" si="1036"/>
        <v>2537.0147003157904</v>
      </c>
      <c r="AF1023" s="5">
        <f t="shared" si="1036"/>
        <v>2645.0579131052641</v>
      </c>
      <c r="AG1023" s="5">
        <f t="shared" si="1036"/>
        <v>2753.1011258947378</v>
      </c>
      <c r="AH1023" s="5">
        <f t="shared" si="1036"/>
        <v>2861.1443386842116</v>
      </c>
    </row>
    <row r="1024" spans="1:34" x14ac:dyDescent="0.35">
      <c r="A1024" t="s">
        <v>1044</v>
      </c>
      <c r="B1024" s="3" t="s">
        <v>1266</v>
      </c>
      <c r="C1024" s="4" t="s">
        <v>1263</v>
      </c>
      <c r="D1024" s="2">
        <f t="shared" si="976"/>
        <v>11437.584688703466</v>
      </c>
      <c r="E1024" s="5">
        <v>0</v>
      </c>
      <c r="F1024" s="5">
        <v>0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11437.584688703466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f t="shared" ref="W1024:AH1024" si="1037">IF(OR((SLOPE($E1024:$V1024,$E$1:$V$1)*W$1+INTERCEPT($E1024:$V1024,$E$1:$V$1))&gt;(AVERAGE($E1024:$V1024)+_xlfn.STDEV.P($E1024:$V1024)),(SLOPE($E1024:$V1024,$E$1:$V$1)*W$1+INTERCEPT($E1024:$V1024,$E$1:$V$1))&lt;(AVERAGE($E1024:$V1024)-_xlfn.STDEV.P($E1024:$V1024))),V1024,(SLOPE($E1024:$V1024,$E$1:$V$1)*W$1+INTERCEPT($E1024:$V1024,$E$1:$V$1)))</f>
        <v>299.02182192688804</v>
      </c>
      <c r="X1024" s="5">
        <f t="shared" si="1037"/>
        <v>263.6113430144934</v>
      </c>
      <c r="Y1024" s="5">
        <f t="shared" si="1037"/>
        <v>228.20086410209876</v>
      </c>
      <c r="Z1024" s="5">
        <f t="shared" si="1037"/>
        <v>192.79038518970412</v>
      </c>
      <c r="AA1024" s="5">
        <f t="shared" si="1037"/>
        <v>157.37990627730949</v>
      </c>
      <c r="AB1024" s="5">
        <f t="shared" si="1037"/>
        <v>121.96942736491496</v>
      </c>
      <c r="AC1024" s="5">
        <f t="shared" si="1037"/>
        <v>86.558948452520326</v>
      </c>
      <c r="AD1024" s="5">
        <f t="shared" si="1037"/>
        <v>51.148469540125689</v>
      </c>
      <c r="AE1024" s="5">
        <f t="shared" si="1037"/>
        <v>15.737990627731051</v>
      </c>
      <c r="AF1024" s="5">
        <f t="shared" si="1037"/>
        <v>-19.672488284663586</v>
      </c>
      <c r="AG1024" s="5">
        <f t="shared" si="1037"/>
        <v>-55.082967197058224</v>
      </c>
      <c r="AH1024" s="5">
        <f t="shared" si="1037"/>
        <v>-90.493446109452861</v>
      </c>
    </row>
    <row r="1025" spans="1:34" x14ac:dyDescent="0.35">
      <c r="A1025" t="s">
        <v>1045</v>
      </c>
      <c r="B1025" s="3" t="s">
        <v>1262</v>
      </c>
      <c r="C1025" s="4" t="s">
        <v>1268</v>
      </c>
      <c r="D1025" s="2">
        <f t="shared" si="976"/>
        <v>11399.85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11399.85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f t="shared" ref="W1025:AH1025" si="1038">IF(OR((SLOPE($E1025:$V1025,$E$1:$V$1)*W$1+INTERCEPT($E1025:$V1025,$E$1:$V$1))&gt;(AVERAGE($E1025:$V1025)+_xlfn.STDEV.P($E1025:$V1025)),(SLOPE($E1025:$V1025,$E$1:$V$1)*W$1+INTERCEPT($E1025:$V1025,$E$1:$V$1))&lt;(AVERAGE($E1025:$V1025)-_xlfn.STDEV.P($E1025:$V1025))),V1025,(SLOPE($E1025:$V1025,$E$1:$V$1)*W$1+INTERCEPT($E1025:$V1025,$E$1:$V$1)))</f>
        <v>521.56176470588241</v>
      </c>
      <c r="X1025" s="5">
        <f t="shared" si="1038"/>
        <v>509.79721362229105</v>
      </c>
      <c r="Y1025" s="5">
        <f t="shared" si="1038"/>
        <v>498.0326625386997</v>
      </c>
      <c r="Z1025" s="5">
        <f t="shared" si="1038"/>
        <v>486.2681114551084</v>
      </c>
      <c r="AA1025" s="5">
        <f t="shared" si="1038"/>
        <v>474.50356037151704</v>
      </c>
      <c r="AB1025" s="5">
        <f t="shared" si="1038"/>
        <v>462.73900928792568</v>
      </c>
      <c r="AC1025" s="5">
        <f t="shared" si="1038"/>
        <v>450.97445820433438</v>
      </c>
      <c r="AD1025" s="5">
        <f t="shared" si="1038"/>
        <v>439.20990712074303</v>
      </c>
      <c r="AE1025" s="5">
        <f t="shared" si="1038"/>
        <v>427.44535603715173</v>
      </c>
      <c r="AF1025" s="5">
        <f t="shared" si="1038"/>
        <v>415.68080495356037</v>
      </c>
      <c r="AG1025" s="5">
        <f t="shared" si="1038"/>
        <v>403.91625386996907</v>
      </c>
      <c r="AH1025" s="5">
        <f t="shared" si="1038"/>
        <v>392.15170278637771</v>
      </c>
    </row>
    <row r="1026" spans="1:34" x14ac:dyDescent="0.35">
      <c r="A1026" t="s">
        <v>1046</v>
      </c>
      <c r="B1026" s="3" t="s">
        <v>1264</v>
      </c>
      <c r="C1026" s="4" t="s">
        <v>1263</v>
      </c>
      <c r="D1026" s="2">
        <f t="shared" si="976"/>
        <v>11306.617324115847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4754.7695369626244</v>
      </c>
      <c r="S1026" s="5">
        <v>0</v>
      </c>
      <c r="T1026" s="5">
        <v>3743.9130212304131</v>
      </c>
      <c r="U1026" s="5">
        <v>0</v>
      </c>
      <c r="V1026" s="5">
        <v>2807.9347659228101</v>
      </c>
      <c r="W1026" s="5">
        <f t="shared" ref="W1026:AH1026" si="1039">IF(OR((SLOPE($E1026:$V1026,$E$1:$V$1)*W$1+INTERCEPT($E1026:$V1026,$E$1:$V$1))&gt;(AVERAGE($E1026:$V1026)+_xlfn.STDEV.P($E1026:$V1026)),(SLOPE($E1026:$V1026,$E$1:$V$1)*W$1+INTERCEPT($E1026:$V1026,$E$1:$V$1))&lt;(AVERAGE($E1026:$V1026)-_xlfn.STDEV.P($E1026:$V1026))),V1026,(SLOPE($E1026:$V1026,$E$1:$V$1)*W$1+INTERCEPT($E1026:$V1026,$E$1:$V$1)))</f>
        <v>1992.8384081634304</v>
      </c>
      <c r="X1026" s="5">
        <f t="shared" si="1039"/>
        <v>1992.8384081634304</v>
      </c>
      <c r="Y1026" s="5">
        <f t="shared" si="1039"/>
        <v>1992.8384081634304</v>
      </c>
      <c r="Z1026" s="5">
        <f t="shared" si="1039"/>
        <v>1992.8384081634304</v>
      </c>
      <c r="AA1026" s="5">
        <f t="shared" si="1039"/>
        <v>1992.8384081634304</v>
      </c>
      <c r="AB1026" s="5">
        <f t="shared" si="1039"/>
        <v>1992.8384081634304</v>
      </c>
      <c r="AC1026" s="5">
        <f t="shared" si="1039"/>
        <v>1992.8384081634304</v>
      </c>
      <c r="AD1026" s="5">
        <f t="shared" si="1039"/>
        <v>1992.8384081634304</v>
      </c>
      <c r="AE1026" s="5">
        <f t="shared" si="1039"/>
        <v>1992.8384081634304</v>
      </c>
      <c r="AF1026" s="5">
        <f t="shared" si="1039"/>
        <v>1992.8384081634304</v>
      </c>
      <c r="AG1026" s="5">
        <f t="shared" si="1039"/>
        <v>1992.8384081634304</v>
      </c>
      <c r="AH1026" s="5">
        <f t="shared" si="1039"/>
        <v>1992.8384081634304</v>
      </c>
    </row>
    <row r="1027" spans="1:34" x14ac:dyDescent="0.35">
      <c r="A1027" t="s">
        <v>1047</v>
      </c>
      <c r="B1027" s="3" t="s">
        <v>1264</v>
      </c>
      <c r="C1027" s="4" t="s">
        <v>1263</v>
      </c>
      <c r="D1027" s="2">
        <f t="shared" si="976"/>
        <v>11179.479944668279</v>
      </c>
      <c r="E1027" s="5">
        <v>0</v>
      </c>
      <c r="F1027" s="5">
        <v>0</v>
      </c>
      <c r="G1027" s="5">
        <v>658.39104503346755</v>
      </c>
      <c r="H1027" s="5">
        <v>790.06925404016113</v>
      </c>
      <c r="I1027" s="5">
        <v>0</v>
      </c>
      <c r="J1027" s="5">
        <v>592.55194053012076</v>
      </c>
      <c r="K1027" s="5">
        <v>2080.5157023057573</v>
      </c>
      <c r="L1027" s="5">
        <v>2106.8513441070963</v>
      </c>
      <c r="M1027" s="5">
        <v>0</v>
      </c>
      <c r="N1027" s="5">
        <v>0</v>
      </c>
      <c r="O1027" s="5">
        <v>0</v>
      </c>
      <c r="P1027" s="5">
        <v>2738.9067473392251</v>
      </c>
      <c r="Q1027" s="5">
        <v>0</v>
      </c>
      <c r="R1027" s="5">
        <v>632.05540323212881</v>
      </c>
      <c r="S1027" s="5">
        <v>0</v>
      </c>
      <c r="T1027" s="5">
        <v>0</v>
      </c>
      <c r="U1027" s="5">
        <v>1580.1385080803223</v>
      </c>
      <c r="V1027" s="5">
        <v>0</v>
      </c>
      <c r="W1027" s="5">
        <f t="shared" ref="W1027:AH1027" si="1040">IF(OR((SLOPE($E1027:$V1027,$E$1:$V$1)*W$1+INTERCEPT($E1027:$V1027,$E$1:$V$1))&gt;(AVERAGE($E1027:$V1027)+_xlfn.STDEV.P($E1027:$V1027)),(SLOPE($E1027:$V1027,$E$1:$V$1)*W$1+INTERCEPT($E1027:$V1027,$E$1:$V$1))&lt;(AVERAGE($E1027:$V1027)-_xlfn.STDEV.P($E1027:$V1027))),V1027,(SLOPE($E1027:$V1027,$E$1:$V$1)*W$1+INTERCEPT($E1027:$V1027,$E$1:$V$1)))</f>
        <v>669.7515179673785</v>
      </c>
      <c r="X1027" s="5">
        <f t="shared" si="1040"/>
        <v>674.87460205360378</v>
      </c>
      <c r="Y1027" s="5">
        <f t="shared" si="1040"/>
        <v>679.99768613982917</v>
      </c>
      <c r="Z1027" s="5">
        <f t="shared" si="1040"/>
        <v>685.12077022605445</v>
      </c>
      <c r="AA1027" s="5">
        <f t="shared" si="1040"/>
        <v>690.24385431227984</v>
      </c>
      <c r="AB1027" s="5">
        <f t="shared" si="1040"/>
        <v>695.36693839850511</v>
      </c>
      <c r="AC1027" s="5">
        <f t="shared" si="1040"/>
        <v>700.4900224847305</v>
      </c>
      <c r="AD1027" s="5">
        <f t="shared" si="1040"/>
        <v>705.61310657095578</v>
      </c>
      <c r="AE1027" s="5">
        <f t="shared" si="1040"/>
        <v>710.73619065718117</v>
      </c>
      <c r="AF1027" s="5">
        <f t="shared" si="1040"/>
        <v>715.85927474340656</v>
      </c>
      <c r="AG1027" s="5">
        <f t="shared" si="1040"/>
        <v>720.98235882963183</v>
      </c>
      <c r="AH1027" s="5">
        <f t="shared" si="1040"/>
        <v>726.10544291585711</v>
      </c>
    </row>
    <row r="1028" spans="1:34" x14ac:dyDescent="0.35">
      <c r="A1028" t="s">
        <v>1048</v>
      </c>
      <c r="B1028" s="3" t="s">
        <v>1266</v>
      </c>
      <c r="C1028" s="4" t="s">
        <v>1266</v>
      </c>
      <c r="D1028" s="2">
        <f t="shared" ref="D1028:D1091" si="1041">SUM(E1028:V1028)</f>
        <v>11159.467506351883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5156.870381863162</v>
      </c>
      <c r="P1028" s="5">
        <v>0</v>
      </c>
      <c r="Q1028" s="5">
        <v>0</v>
      </c>
      <c r="R1028" s="5">
        <v>0</v>
      </c>
      <c r="S1028" s="5">
        <v>6002.5971244887205</v>
      </c>
      <c r="T1028" s="5">
        <v>0</v>
      </c>
      <c r="U1028" s="5">
        <v>0</v>
      </c>
      <c r="V1028" s="5">
        <v>0</v>
      </c>
      <c r="W1028" s="5">
        <f t="shared" ref="W1028:AH1028" si="1042">IF(OR((SLOPE($E1028:$V1028,$E$1:$V$1)*W$1+INTERCEPT($E1028:$V1028,$E$1:$V$1))&gt;(AVERAGE($E1028:$V1028)+_xlfn.STDEV.P($E1028:$V1028)),(SLOPE($E1028:$V1028,$E$1:$V$1)*W$1+INTERCEPT($E1028:$V1028,$E$1:$V$1))&lt;(AVERAGE($E1028:$V1028)-_xlfn.STDEV.P($E1028:$V1028))),V1028,(SLOPE($E1028:$V1028,$E$1:$V$1)*W$1+INTERCEPT($E1028:$V1028,$E$1:$V$1)))</f>
        <v>1418.9819808917591</v>
      </c>
      <c r="X1028" s="5">
        <f t="shared" si="1042"/>
        <v>1503.08846129936</v>
      </c>
      <c r="Y1028" s="5">
        <f t="shared" si="1042"/>
        <v>1587.1949417069613</v>
      </c>
      <c r="Z1028" s="5">
        <f t="shared" si="1042"/>
        <v>1671.3014221145622</v>
      </c>
      <c r="AA1028" s="5">
        <f t="shared" si="1042"/>
        <v>1755.4079025221631</v>
      </c>
      <c r="AB1028" s="5">
        <f t="shared" si="1042"/>
        <v>1839.5143829297645</v>
      </c>
      <c r="AC1028" s="5">
        <f t="shared" si="1042"/>
        <v>1923.6208633373653</v>
      </c>
      <c r="AD1028" s="5">
        <f t="shared" si="1042"/>
        <v>2007.7273437449667</v>
      </c>
      <c r="AE1028" s="5">
        <f t="shared" si="1042"/>
        <v>2091.8338241525676</v>
      </c>
      <c r="AF1028" s="5">
        <f t="shared" si="1042"/>
        <v>2175.9403045601684</v>
      </c>
      <c r="AG1028" s="5">
        <f t="shared" si="1042"/>
        <v>2260.0467849677698</v>
      </c>
      <c r="AH1028" s="5">
        <f t="shared" si="1042"/>
        <v>2344.1532653753707</v>
      </c>
    </row>
    <row r="1029" spans="1:34" x14ac:dyDescent="0.35">
      <c r="A1029" t="s">
        <v>1049</v>
      </c>
      <c r="B1029" s="3" t="s">
        <v>1265</v>
      </c>
      <c r="C1029" s="4" t="s">
        <v>1263</v>
      </c>
      <c r="D1029" s="2">
        <f t="shared" si="1041"/>
        <v>11157.339222764931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11157.339222764931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f t="shared" ref="W1029:AH1029" si="1043">IF(OR((SLOPE($E1029:$V1029,$E$1:$V$1)*W$1+INTERCEPT($E1029:$V1029,$E$1:$V$1))&gt;(AVERAGE($E1029:$V1029)+_xlfn.STDEV.P($E1029:$V1029)),(SLOPE($E1029:$V1029,$E$1:$V$1)*W$1+INTERCEPT($E1029:$V1029,$E$1:$V$1))&lt;(AVERAGE($E1029:$V1029)-_xlfn.STDEV.P($E1029:$V1029))),V1029,(SLOPE($E1029:$V1029,$E$1:$V$1)*W$1+INTERCEPT($E1029:$V1029,$E$1:$V$1)))</f>
        <v>729.23785769705421</v>
      </c>
      <c r="X1029" s="5">
        <f t="shared" si="1043"/>
        <v>740.75213966069191</v>
      </c>
      <c r="Y1029" s="5">
        <f t="shared" si="1043"/>
        <v>752.26642162432961</v>
      </c>
      <c r="Z1029" s="5">
        <f t="shared" si="1043"/>
        <v>763.78070358796731</v>
      </c>
      <c r="AA1029" s="5">
        <f t="shared" si="1043"/>
        <v>775.2949855516049</v>
      </c>
      <c r="AB1029" s="5">
        <f t="shared" si="1043"/>
        <v>786.80926751524271</v>
      </c>
      <c r="AC1029" s="5">
        <f t="shared" si="1043"/>
        <v>798.3235494788803</v>
      </c>
      <c r="AD1029" s="5">
        <f t="shared" si="1043"/>
        <v>809.83783144251811</v>
      </c>
      <c r="AE1029" s="5">
        <f t="shared" si="1043"/>
        <v>821.35211340615569</v>
      </c>
      <c r="AF1029" s="5">
        <f t="shared" si="1043"/>
        <v>832.86639536979339</v>
      </c>
      <c r="AG1029" s="5">
        <f t="shared" si="1043"/>
        <v>844.38067733343109</v>
      </c>
      <c r="AH1029" s="5">
        <f t="shared" si="1043"/>
        <v>855.89495929706879</v>
      </c>
    </row>
    <row r="1030" spans="1:34" x14ac:dyDescent="0.35">
      <c r="A1030" t="s">
        <v>1050</v>
      </c>
      <c r="B1030" s="3" t="s">
        <v>1266</v>
      </c>
      <c r="C1030" s="4" t="s">
        <v>1263</v>
      </c>
      <c r="D1030" s="2">
        <f t="shared" si="1041"/>
        <v>11024.02</v>
      </c>
      <c r="E1030" s="5">
        <v>2202.0599999999995</v>
      </c>
      <c r="F1030" s="5">
        <v>871.21999999999969</v>
      </c>
      <c r="G1030" s="5">
        <v>2400.9999999999991</v>
      </c>
      <c r="H1030" s="5">
        <v>349.8599999999999</v>
      </c>
      <c r="I1030" s="5">
        <v>2078.58</v>
      </c>
      <c r="J1030" s="5">
        <v>480.19999999999993</v>
      </c>
      <c r="K1030" s="5">
        <v>171.49999999999994</v>
      </c>
      <c r="L1030" s="5">
        <v>342.99999999999989</v>
      </c>
      <c r="M1030" s="5">
        <v>1852.2</v>
      </c>
      <c r="N1030" s="5">
        <v>137.19999999999996</v>
      </c>
      <c r="O1030" s="5">
        <v>137.19999999999996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f t="shared" ref="W1030:AH1030" si="1044">IF(OR((SLOPE($E1030:$V1030,$E$1:$V$1)*W$1+INTERCEPT($E1030:$V1030,$E$1:$V$1))&gt;(AVERAGE($E1030:$V1030)+_xlfn.STDEV.P($E1030:$V1030)),(SLOPE($E1030:$V1030,$E$1:$V$1)*W$1+INTERCEPT($E1030:$V1030,$E$1:$V$1))&lt;(AVERAGE($E1030:$V1030)-_xlfn.STDEV.P($E1030:$V1030))),V1030,(SLOPE($E1030:$V1030,$E$1:$V$1)*W$1+INTERCEPT($E1030:$V1030,$E$1:$V$1)))</f>
        <v>0</v>
      </c>
      <c r="X1030" s="5">
        <f t="shared" si="1044"/>
        <v>0</v>
      </c>
      <c r="Y1030" s="5">
        <f t="shared" si="1044"/>
        <v>0</v>
      </c>
      <c r="Z1030" s="5">
        <f t="shared" si="1044"/>
        <v>0</v>
      </c>
      <c r="AA1030" s="5">
        <f t="shared" si="1044"/>
        <v>0</v>
      </c>
      <c r="AB1030" s="5">
        <f t="shared" si="1044"/>
        <v>0</v>
      </c>
      <c r="AC1030" s="5">
        <f t="shared" si="1044"/>
        <v>0</v>
      </c>
      <c r="AD1030" s="5">
        <f t="shared" si="1044"/>
        <v>0</v>
      </c>
      <c r="AE1030" s="5">
        <f t="shared" si="1044"/>
        <v>0</v>
      </c>
      <c r="AF1030" s="5">
        <f t="shared" si="1044"/>
        <v>0</v>
      </c>
      <c r="AG1030" s="5">
        <f t="shared" si="1044"/>
        <v>0</v>
      </c>
      <c r="AH1030" s="5">
        <f t="shared" si="1044"/>
        <v>0</v>
      </c>
    </row>
    <row r="1031" spans="1:34" x14ac:dyDescent="0.35">
      <c r="A1031" t="s">
        <v>1051</v>
      </c>
      <c r="B1031" s="3" t="s">
        <v>1266</v>
      </c>
      <c r="C1031" s="4" t="s">
        <v>1267</v>
      </c>
      <c r="D1031" s="2">
        <f t="shared" si="1041"/>
        <v>10957.001161871263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10957.001161871263</v>
      </c>
      <c r="T1031" s="5">
        <v>0</v>
      </c>
      <c r="U1031" s="5">
        <v>0</v>
      </c>
      <c r="V1031" s="5">
        <v>0</v>
      </c>
      <c r="W1031" s="5">
        <f t="shared" ref="W1031:AH1031" si="1045">IF(OR((SLOPE($E1031:$V1031,$E$1:$V$1)*W$1+INTERCEPT($E1031:$V1031,$E$1:$V$1))&gt;(AVERAGE($E1031:$V1031)+_xlfn.STDEV.P($E1031:$V1031)),(SLOPE($E1031:$V1031,$E$1:$V$1)*W$1+INTERCEPT($E1031:$V1031,$E$1:$V$1))&lt;(AVERAGE($E1031:$V1031)-_xlfn.STDEV.P($E1031:$V1031))),V1031,(SLOPE($E1031:$V1031,$E$1:$V$1)*W$1+INTERCEPT($E1031:$V1031,$E$1:$V$1)))</f>
        <v>1790.3596669724284</v>
      </c>
      <c r="X1031" s="5">
        <f t="shared" si="1045"/>
        <v>1914.742549098934</v>
      </c>
      <c r="Y1031" s="5">
        <f t="shared" si="1045"/>
        <v>2039.1254312254396</v>
      </c>
      <c r="Z1031" s="5">
        <f t="shared" si="1045"/>
        <v>2163.5083133519452</v>
      </c>
      <c r="AA1031" s="5">
        <f t="shared" si="1045"/>
        <v>2287.8911954784508</v>
      </c>
      <c r="AB1031" s="5">
        <f t="shared" si="1045"/>
        <v>2412.2740776049563</v>
      </c>
      <c r="AC1031" s="5">
        <f t="shared" si="1045"/>
        <v>2536.6569597314619</v>
      </c>
      <c r="AD1031" s="5">
        <f t="shared" si="1045"/>
        <v>2661.0398418579675</v>
      </c>
      <c r="AE1031" s="5">
        <f t="shared" si="1045"/>
        <v>2785.4227239844727</v>
      </c>
      <c r="AF1031" s="5">
        <f t="shared" si="1045"/>
        <v>2909.8056061109783</v>
      </c>
      <c r="AG1031" s="5">
        <f t="shared" si="1045"/>
        <v>3034.1884882374839</v>
      </c>
      <c r="AH1031" s="5">
        <f t="shared" si="1045"/>
        <v>3034.1884882374839</v>
      </c>
    </row>
    <row r="1032" spans="1:34" x14ac:dyDescent="0.35">
      <c r="A1032" t="s">
        <v>1052</v>
      </c>
      <c r="B1032" s="3" t="s">
        <v>1264</v>
      </c>
      <c r="C1032" s="4" t="s">
        <v>1263</v>
      </c>
      <c r="D1032" s="2">
        <f t="shared" si="1041"/>
        <v>10846.279584877831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10846.279584877831</v>
      </c>
      <c r="U1032" s="5">
        <v>0</v>
      </c>
      <c r="V1032" s="5">
        <v>0</v>
      </c>
      <c r="W1032" s="5">
        <f t="shared" ref="W1032:AH1032" si="1046">IF(OR((SLOPE($E1032:$V1032,$E$1:$V$1)*W$1+INTERCEPT($E1032:$V1032,$E$1:$V$1))&gt;(AVERAGE($E1032:$V1032)+_xlfn.STDEV.P($E1032:$V1032)),(SLOPE($E1032:$V1032,$E$1:$V$1)*W$1+INTERCEPT($E1032:$V1032,$E$1:$V$1))&lt;(AVERAGE($E1032:$V1032)-_xlfn.STDEV.P($E1032:$V1032))),V1032,(SLOPE($E1032:$V1032,$E$1:$V$1)*W$1+INTERCEPT($E1032:$V1032,$E$1:$V$1)))</f>
        <v>1984.940054748884</v>
      </c>
      <c r="X1032" s="5">
        <f t="shared" si="1046"/>
        <v>2130.4525775594225</v>
      </c>
      <c r="Y1032" s="5">
        <f t="shared" si="1046"/>
        <v>2275.965100369961</v>
      </c>
      <c r="Z1032" s="5">
        <f t="shared" si="1046"/>
        <v>2421.4776231804994</v>
      </c>
      <c r="AA1032" s="5">
        <f t="shared" si="1046"/>
        <v>2566.9901459910379</v>
      </c>
      <c r="AB1032" s="5">
        <f t="shared" si="1046"/>
        <v>2712.5026688015764</v>
      </c>
      <c r="AC1032" s="5">
        <f t="shared" si="1046"/>
        <v>2858.0151916121149</v>
      </c>
      <c r="AD1032" s="5">
        <f t="shared" si="1046"/>
        <v>3003.5277144226534</v>
      </c>
      <c r="AE1032" s="5">
        <f t="shared" si="1046"/>
        <v>3003.5277144226534</v>
      </c>
      <c r="AF1032" s="5">
        <f t="shared" si="1046"/>
        <v>3003.5277144226534</v>
      </c>
      <c r="AG1032" s="5">
        <f t="shared" si="1046"/>
        <v>3003.5277144226534</v>
      </c>
      <c r="AH1032" s="5">
        <f t="shared" si="1046"/>
        <v>3003.5277144226534</v>
      </c>
    </row>
    <row r="1033" spans="1:34" x14ac:dyDescent="0.35">
      <c r="A1033" t="s">
        <v>1053</v>
      </c>
      <c r="B1033" s="3" t="s">
        <v>1264</v>
      </c>
      <c r="C1033" s="4" t="s">
        <v>1267</v>
      </c>
      <c r="D1033" s="2">
        <f t="shared" si="1041"/>
        <v>10787.7665</v>
      </c>
      <c r="E1033" s="5">
        <v>0</v>
      </c>
      <c r="F1033" s="5">
        <v>5459.4917999999998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3005.0867000000003</v>
      </c>
      <c r="O1033" s="5">
        <v>0</v>
      </c>
      <c r="P1033" s="5">
        <v>2323.1879999999996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f t="shared" ref="W1033:AH1033" si="1047">IF(OR((SLOPE($E1033:$V1033,$E$1:$V$1)*W$1+INTERCEPT($E1033:$V1033,$E$1:$V$1))&gt;(AVERAGE($E1033:$V1033)+_xlfn.STDEV.P($E1033:$V1033)),(SLOPE($E1033:$V1033,$E$1:$V$1)*W$1+INTERCEPT($E1033:$V1033,$E$1:$V$1))&lt;(AVERAGE($E1033:$V1033)-_xlfn.STDEV.P($E1033:$V1033))),V1033,(SLOPE($E1033:$V1033,$E$1:$V$1)*W$1+INTERCEPT($E1033:$V1033,$E$1:$V$1)))</f>
        <v>-60.202681045751433</v>
      </c>
      <c r="X1033" s="5">
        <f t="shared" si="1047"/>
        <v>-129.62615916752657</v>
      </c>
      <c r="Y1033" s="5">
        <f t="shared" si="1047"/>
        <v>-199.0496372893017</v>
      </c>
      <c r="Z1033" s="5">
        <f t="shared" si="1047"/>
        <v>-268.47311541107661</v>
      </c>
      <c r="AA1033" s="5">
        <f t="shared" si="1047"/>
        <v>-337.89659353285151</v>
      </c>
      <c r="AB1033" s="5">
        <f t="shared" si="1047"/>
        <v>-407.32007165462664</v>
      </c>
      <c r="AC1033" s="5">
        <f t="shared" si="1047"/>
        <v>-476.74354977640178</v>
      </c>
      <c r="AD1033" s="5">
        <f t="shared" si="1047"/>
        <v>-546.16702789817668</v>
      </c>
      <c r="AE1033" s="5">
        <f t="shared" si="1047"/>
        <v>-615.59050601995159</v>
      </c>
      <c r="AF1033" s="5">
        <f t="shared" si="1047"/>
        <v>-685.01398414172672</v>
      </c>
      <c r="AG1033" s="5">
        <f t="shared" si="1047"/>
        <v>-754.43746226350186</v>
      </c>
      <c r="AH1033" s="5">
        <f t="shared" si="1047"/>
        <v>-823.86094038527654</v>
      </c>
    </row>
    <row r="1034" spans="1:34" x14ac:dyDescent="0.35">
      <c r="A1034" t="s">
        <v>1054</v>
      </c>
      <c r="B1034" s="3" t="s">
        <v>1264</v>
      </c>
      <c r="C1034" s="4" t="s">
        <v>1263</v>
      </c>
      <c r="D1034" s="2">
        <f t="shared" si="1041"/>
        <v>10681.647451395804</v>
      </c>
      <c r="E1034" s="5">
        <v>0</v>
      </c>
      <c r="F1034" s="5">
        <v>0</v>
      </c>
      <c r="G1034" s="5">
        <v>0</v>
      </c>
      <c r="H1034" s="5">
        <v>2445.4321088360357</v>
      </c>
      <c r="I1034" s="5">
        <v>0</v>
      </c>
      <c r="J1034" s="5">
        <v>978.17284353441437</v>
      </c>
      <c r="K1034" s="5">
        <v>1291.1881534654271</v>
      </c>
      <c r="L1034" s="5">
        <v>2200.8888979524322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489.08642176720718</v>
      </c>
      <c r="U1034" s="5">
        <v>1467.2592653016216</v>
      </c>
      <c r="V1034" s="5">
        <v>1809.6197605386667</v>
      </c>
      <c r="W1034" s="5">
        <f t="shared" ref="W1034:AH1034" si="1048">IF(OR((SLOPE($E1034:$V1034,$E$1:$V$1)*W$1+INTERCEPT($E1034:$V1034,$E$1:$V$1))&gt;(AVERAGE($E1034:$V1034)+_xlfn.STDEV.P($E1034:$V1034)),(SLOPE($E1034:$V1034,$E$1:$V$1)*W$1+INTERCEPT($E1034:$V1034,$E$1:$V$1))&lt;(AVERAGE($E1034:$V1034)-_xlfn.STDEV.P($E1034:$V1034))),V1034,(SLOPE($E1034:$V1034,$E$1:$V$1)*W$1+INTERCEPT($E1034:$V1034,$E$1:$V$1)))</f>
        <v>714.2579743768938</v>
      </c>
      <c r="X1034" s="5">
        <f t="shared" si="1048"/>
        <v>726.97724974173764</v>
      </c>
      <c r="Y1034" s="5">
        <f t="shared" si="1048"/>
        <v>739.69652510658148</v>
      </c>
      <c r="Z1034" s="5">
        <f t="shared" si="1048"/>
        <v>752.4158004714252</v>
      </c>
      <c r="AA1034" s="5">
        <f t="shared" si="1048"/>
        <v>765.13507583626892</v>
      </c>
      <c r="AB1034" s="5">
        <f t="shared" si="1048"/>
        <v>777.85435120111276</v>
      </c>
      <c r="AC1034" s="5">
        <f t="shared" si="1048"/>
        <v>790.5736265659566</v>
      </c>
      <c r="AD1034" s="5">
        <f t="shared" si="1048"/>
        <v>803.29290193080033</v>
      </c>
      <c r="AE1034" s="5">
        <f t="shared" si="1048"/>
        <v>816.01217729564405</v>
      </c>
      <c r="AF1034" s="5">
        <f t="shared" si="1048"/>
        <v>828.73145266048789</v>
      </c>
      <c r="AG1034" s="5">
        <f t="shared" si="1048"/>
        <v>841.45072802533173</v>
      </c>
      <c r="AH1034" s="5">
        <f t="shared" si="1048"/>
        <v>854.17000339017545</v>
      </c>
    </row>
    <row r="1035" spans="1:34" x14ac:dyDescent="0.35">
      <c r="A1035" t="s">
        <v>1055</v>
      </c>
      <c r="B1035" s="3" t="s">
        <v>1264</v>
      </c>
      <c r="C1035" s="4" t="s">
        <v>1263</v>
      </c>
      <c r="D1035" s="2">
        <f t="shared" si="1041"/>
        <v>10648.491229989129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1774.7485383315218</v>
      </c>
      <c r="U1035" s="5">
        <v>1183.1656922210145</v>
      </c>
      <c r="V1035" s="5">
        <v>7690.5769994365937</v>
      </c>
      <c r="W1035" s="5">
        <f t="shared" ref="W1035:AH1035" si="1049">IF(OR((SLOPE($E1035:$V1035,$E$1:$V$1)*W$1+INTERCEPT($E1035:$V1035,$E$1:$V$1))&gt;(AVERAGE($E1035:$V1035)+_xlfn.STDEV.P($E1035:$V1035)),(SLOPE($E1035:$V1035,$E$1:$V$1)*W$1+INTERCEPT($E1035:$V1035,$E$1:$V$1))&lt;(AVERAGE($E1035:$V1035)-_xlfn.STDEV.P($E1035:$V1035))),V1035,(SLOPE($E1035:$V1035,$E$1:$V$1)*W$1+INTERCEPT($E1035:$V1035,$E$1:$V$1)))</f>
        <v>2273.5340752482239</v>
      </c>
      <c r="X1035" s="5">
        <f t="shared" si="1049"/>
        <v>2273.5340752482239</v>
      </c>
      <c r="Y1035" s="5">
        <f t="shared" si="1049"/>
        <v>2273.5340752482239</v>
      </c>
      <c r="Z1035" s="5">
        <f t="shared" si="1049"/>
        <v>2273.5340752482239</v>
      </c>
      <c r="AA1035" s="5">
        <f t="shared" si="1049"/>
        <v>2273.5340752482239</v>
      </c>
      <c r="AB1035" s="5">
        <f t="shared" si="1049"/>
        <v>2273.5340752482239</v>
      </c>
      <c r="AC1035" s="5">
        <f t="shared" si="1049"/>
        <v>2273.5340752482239</v>
      </c>
      <c r="AD1035" s="5">
        <f t="shared" si="1049"/>
        <v>2273.5340752482239</v>
      </c>
      <c r="AE1035" s="5">
        <f t="shared" si="1049"/>
        <v>2273.5340752482239</v>
      </c>
      <c r="AF1035" s="5">
        <f t="shared" si="1049"/>
        <v>2273.5340752482239</v>
      </c>
      <c r="AG1035" s="5">
        <f t="shared" si="1049"/>
        <v>2273.5340752482239</v>
      </c>
      <c r="AH1035" s="5">
        <f t="shared" si="1049"/>
        <v>2273.5340752482239</v>
      </c>
    </row>
    <row r="1036" spans="1:34" x14ac:dyDescent="0.35">
      <c r="A1036" t="s">
        <v>1056</v>
      </c>
      <c r="B1036" s="3" t="s">
        <v>1264</v>
      </c>
      <c r="C1036" s="4" t="s">
        <v>1263</v>
      </c>
      <c r="D1036" s="2">
        <f t="shared" si="1041"/>
        <v>8204.7168000000001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60.328799999999994</v>
      </c>
      <c r="L1036" s="5">
        <v>180.9864</v>
      </c>
      <c r="M1036" s="5">
        <v>180.98639999999997</v>
      </c>
      <c r="N1036" s="5">
        <v>0</v>
      </c>
      <c r="O1036" s="5">
        <v>754.11</v>
      </c>
      <c r="P1036" s="5">
        <v>814.43880000000001</v>
      </c>
      <c r="Q1036" s="5">
        <v>180.98639999999997</v>
      </c>
      <c r="R1036" s="5">
        <v>2805.2892000000002</v>
      </c>
      <c r="S1036" s="5">
        <v>2382.9876000000004</v>
      </c>
      <c r="T1036" s="5">
        <v>844.60319999999967</v>
      </c>
      <c r="U1036" s="5">
        <v>0</v>
      </c>
      <c r="V1036" s="5">
        <v>0</v>
      </c>
      <c r="W1036" s="5">
        <f t="shared" ref="W1036:AH1036" si="1050">IF(OR((SLOPE($E1036:$V1036,$E$1:$V$1)*W$1+INTERCEPT($E1036:$V1036,$E$1:$V$1))&gt;(AVERAGE($E1036:$V1036)+_xlfn.STDEV.P($E1036:$V1036)),(SLOPE($E1036:$V1036,$E$1:$V$1)*W$1+INTERCEPT($E1036:$V1036,$E$1:$V$1))&lt;(AVERAGE($E1036:$V1036)-_xlfn.STDEV.P($E1036:$V1036))),V1036,(SLOPE($E1036:$V1036,$E$1:$V$1)*W$1+INTERCEPT($E1036:$V1036,$E$1:$V$1)))</f>
        <v>1132.4464941176473</v>
      </c>
      <c r="X1036" s="5">
        <f t="shared" si="1050"/>
        <v>1203.6705882352942</v>
      </c>
      <c r="Y1036" s="5">
        <f t="shared" si="1050"/>
        <v>1203.6705882352942</v>
      </c>
      <c r="Z1036" s="5">
        <f t="shared" si="1050"/>
        <v>1203.6705882352942</v>
      </c>
      <c r="AA1036" s="5">
        <f t="shared" si="1050"/>
        <v>1203.6705882352942</v>
      </c>
      <c r="AB1036" s="5">
        <f t="shared" si="1050"/>
        <v>1203.6705882352942</v>
      </c>
      <c r="AC1036" s="5">
        <f t="shared" si="1050"/>
        <v>1203.6705882352942</v>
      </c>
      <c r="AD1036" s="5">
        <f t="shared" si="1050"/>
        <v>1203.6705882352942</v>
      </c>
      <c r="AE1036" s="5">
        <f t="shared" si="1050"/>
        <v>1203.6705882352942</v>
      </c>
      <c r="AF1036" s="5">
        <f t="shared" si="1050"/>
        <v>1203.6705882352942</v>
      </c>
      <c r="AG1036" s="5">
        <f t="shared" si="1050"/>
        <v>1203.6705882352942</v>
      </c>
      <c r="AH1036" s="5">
        <f t="shared" si="1050"/>
        <v>1203.6705882352942</v>
      </c>
    </row>
    <row r="1037" spans="1:34" x14ac:dyDescent="0.35">
      <c r="A1037" t="s">
        <v>1057</v>
      </c>
      <c r="B1037" s="3" t="s">
        <v>1264</v>
      </c>
      <c r="C1037" s="4" t="s">
        <v>1263</v>
      </c>
      <c r="D1037" s="2">
        <f t="shared" si="1041"/>
        <v>10600.557196657013</v>
      </c>
      <c r="E1037" s="5">
        <v>688.56867115414445</v>
      </c>
      <c r="F1037" s="5">
        <v>977.59749608304458</v>
      </c>
      <c r="G1037" s="5">
        <v>1513.1509069807123</v>
      </c>
      <c r="H1037" s="5">
        <v>34.0033911681059</v>
      </c>
      <c r="I1037" s="5">
        <v>408.04069401727082</v>
      </c>
      <c r="J1037" s="5">
        <v>63.756358440198568</v>
      </c>
      <c r="K1037" s="5">
        <v>242.27416207275451</v>
      </c>
      <c r="L1037" s="5">
        <v>867.08647478670048</v>
      </c>
      <c r="M1037" s="5">
        <v>1360.1356467242356</v>
      </c>
      <c r="N1037" s="5">
        <v>433.54323739335024</v>
      </c>
      <c r="O1037" s="5">
        <v>505.80044362557527</v>
      </c>
      <c r="P1037" s="5">
        <v>658.81570388205182</v>
      </c>
      <c r="Q1037" s="5">
        <v>637.56358440198562</v>
      </c>
      <c r="R1037" s="5">
        <v>467.54662856145609</v>
      </c>
      <c r="S1037" s="5">
        <v>191.26907532059565</v>
      </c>
      <c r="T1037" s="5">
        <v>382.53815064119135</v>
      </c>
      <c r="U1037" s="5">
        <v>935.09325712291218</v>
      </c>
      <c r="V1037" s="5">
        <v>233.77331428072802</v>
      </c>
      <c r="W1037" s="5">
        <f t="shared" ref="W1037:AH1037" si="1051">IF(OR((SLOPE($E1037:$V1037,$E$1:$V$1)*W$1+INTERCEPT($E1037:$V1037,$E$1:$V$1))&gt;(AVERAGE($E1037:$V1037)+_xlfn.STDEV.P($E1037:$V1037)),(SLOPE($E1037:$V1037,$E$1:$V$1)*W$1+INTERCEPT($E1037:$V1037,$E$1:$V$1))&lt;(AVERAGE($E1037:$V1037)-_xlfn.STDEV.P($E1037:$V1037))),V1037,(SLOPE($E1037:$V1037,$E$1:$V$1)*W$1+INTERCEPT($E1037:$V1037,$E$1:$V$1)))</f>
        <v>425.07017014966362</v>
      </c>
      <c r="X1037" s="5">
        <f t="shared" si="1051"/>
        <v>407.82283603292058</v>
      </c>
      <c r="Y1037" s="5">
        <f t="shared" si="1051"/>
        <v>390.57550191617747</v>
      </c>
      <c r="Z1037" s="5">
        <f t="shared" si="1051"/>
        <v>373.32816779943437</v>
      </c>
      <c r="AA1037" s="5">
        <f t="shared" si="1051"/>
        <v>356.08083368269132</v>
      </c>
      <c r="AB1037" s="5">
        <f t="shared" si="1051"/>
        <v>338.83349956594822</v>
      </c>
      <c r="AC1037" s="5">
        <f t="shared" si="1051"/>
        <v>321.58616544920511</v>
      </c>
      <c r="AD1037" s="5">
        <f t="shared" si="1051"/>
        <v>304.33883133246206</v>
      </c>
      <c r="AE1037" s="5">
        <f t="shared" si="1051"/>
        <v>287.09149721571896</v>
      </c>
      <c r="AF1037" s="5">
        <f t="shared" si="1051"/>
        <v>269.84416309897586</v>
      </c>
      <c r="AG1037" s="5">
        <f t="shared" si="1051"/>
        <v>252.59682898223281</v>
      </c>
      <c r="AH1037" s="5">
        <f t="shared" si="1051"/>
        <v>235.34949486548976</v>
      </c>
    </row>
    <row r="1038" spans="1:34" x14ac:dyDescent="0.35">
      <c r="A1038" t="s">
        <v>1058</v>
      </c>
      <c r="B1038" s="3" t="s">
        <v>1264</v>
      </c>
      <c r="C1038" s="4" t="s">
        <v>1263</v>
      </c>
      <c r="D1038" s="2">
        <f t="shared" si="1041"/>
        <v>10447.369466691835</v>
      </c>
      <c r="E1038" s="5">
        <v>0</v>
      </c>
      <c r="F1038" s="5">
        <v>0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10447.369466691835</v>
      </c>
      <c r="U1038" s="5">
        <v>0</v>
      </c>
      <c r="V1038" s="5">
        <v>0</v>
      </c>
      <c r="W1038" s="5">
        <f t="shared" ref="W1038:AH1038" si="1052">IF(OR((SLOPE($E1038:$V1038,$E$1:$V$1)*W$1+INTERCEPT($E1038:$V1038,$E$1:$V$1))&gt;(AVERAGE($E1038:$V1038)+_xlfn.STDEV.P($E1038:$V1038)),(SLOPE($E1038:$V1038,$E$1:$V$1)*W$1+INTERCEPT($E1038:$V1038,$E$1:$V$1))&lt;(AVERAGE($E1038:$V1038)-_xlfn.STDEV.P($E1038:$V1038))),V1038,(SLOPE($E1038:$V1038,$E$1:$V$1)*W$1+INTERCEPT($E1038:$V1038,$E$1:$V$1)))</f>
        <v>1911.9368958651726</v>
      </c>
      <c r="X1038" s="5">
        <f t="shared" si="1052"/>
        <v>2052.0976833440104</v>
      </c>
      <c r="Y1038" s="5">
        <f t="shared" si="1052"/>
        <v>2192.2584708228483</v>
      </c>
      <c r="Z1038" s="5">
        <f t="shared" si="1052"/>
        <v>2332.4192583016861</v>
      </c>
      <c r="AA1038" s="5">
        <f t="shared" si="1052"/>
        <v>2472.580045780524</v>
      </c>
      <c r="AB1038" s="5">
        <f t="shared" si="1052"/>
        <v>2612.7408332593618</v>
      </c>
      <c r="AC1038" s="5">
        <f t="shared" si="1052"/>
        <v>2752.9016207381997</v>
      </c>
      <c r="AD1038" s="5">
        <f t="shared" si="1052"/>
        <v>2893.0624082170375</v>
      </c>
      <c r="AE1038" s="5">
        <f t="shared" si="1052"/>
        <v>2893.0624082170375</v>
      </c>
      <c r="AF1038" s="5">
        <f t="shared" si="1052"/>
        <v>2893.0624082170375</v>
      </c>
      <c r="AG1038" s="5">
        <f t="shared" si="1052"/>
        <v>2893.0624082170375</v>
      </c>
      <c r="AH1038" s="5">
        <f t="shared" si="1052"/>
        <v>2893.0624082170375</v>
      </c>
    </row>
    <row r="1039" spans="1:34" x14ac:dyDescent="0.35">
      <c r="A1039" t="s">
        <v>1059</v>
      </c>
      <c r="B1039" s="3" t="s">
        <v>1266</v>
      </c>
      <c r="C1039" s="4" t="s">
        <v>1267</v>
      </c>
      <c r="D1039" s="2">
        <f t="shared" si="1041"/>
        <v>10414.561982982519</v>
      </c>
      <c r="E1039" s="5">
        <v>0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10414.561982982519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f t="shared" ref="W1039:AH1039" si="1053">IF(OR((SLOPE($E1039:$V1039,$E$1:$V$1)*W$1+INTERCEPT($E1039:$V1039,$E$1:$V$1))&gt;(AVERAGE($E1039:$V1039)+_xlfn.STDEV.P($E1039:$V1039)),(SLOPE($E1039:$V1039,$E$1:$V$1)*W$1+INTERCEPT($E1039:$V1039,$E$1:$V$1))&lt;(AVERAGE($E1039:$V1039)-_xlfn.STDEV.P($E1039:$V1039))),V1039,(SLOPE($E1039:$V1039,$E$1:$V$1)*W$1+INTERCEPT($E1039:$V1039,$E$1:$V$1)))</f>
        <v>476.48322797959224</v>
      </c>
      <c r="X1039" s="5">
        <f t="shared" si="1053"/>
        <v>465.73548599509019</v>
      </c>
      <c r="Y1039" s="5">
        <f t="shared" si="1053"/>
        <v>454.98774401058807</v>
      </c>
      <c r="Z1039" s="5">
        <f t="shared" si="1053"/>
        <v>444.24000202608602</v>
      </c>
      <c r="AA1039" s="5">
        <f t="shared" si="1053"/>
        <v>433.4922600415839</v>
      </c>
      <c r="AB1039" s="5">
        <f t="shared" si="1053"/>
        <v>422.74451805708179</v>
      </c>
      <c r="AC1039" s="5">
        <f t="shared" si="1053"/>
        <v>411.99677607257973</v>
      </c>
      <c r="AD1039" s="5">
        <f t="shared" si="1053"/>
        <v>401.24903408807762</v>
      </c>
      <c r="AE1039" s="5">
        <f t="shared" si="1053"/>
        <v>390.50129210357557</v>
      </c>
      <c r="AF1039" s="5">
        <f t="shared" si="1053"/>
        <v>379.75355011907345</v>
      </c>
      <c r="AG1039" s="5">
        <f t="shared" si="1053"/>
        <v>369.0058081345714</v>
      </c>
      <c r="AH1039" s="5">
        <f t="shared" si="1053"/>
        <v>358.25806615006928</v>
      </c>
    </row>
    <row r="1040" spans="1:34" x14ac:dyDescent="0.35">
      <c r="A1040" t="s">
        <v>1060</v>
      </c>
      <c r="B1040" s="3" t="s">
        <v>1264</v>
      </c>
      <c r="C1040" s="4" t="s">
        <v>1263</v>
      </c>
      <c r="D1040" s="2">
        <f t="shared" si="1041"/>
        <v>9746.6880000000001</v>
      </c>
      <c r="E1040" s="5">
        <v>0</v>
      </c>
      <c r="F1040" s="5">
        <v>614.65599999999995</v>
      </c>
      <c r="G1040" s="5">
        <v>1141.5039999999999</v>
      </c>
      <c r="H1040" s="5">
        <v>0</v>
      </c>
      <c r="I1040" s="5">
        <v>0</v>
      </c>
      <c r="J1040" s="5">
        <v>0</v>
      </c>
      <c r="K1040" s="5">
        <v>43.903999999999996</v>
      </c>
      <c r="L1040" s="5">
        <v>1031.7439999999999</v>
      </c>
      <c r="M1040" s="5">
        <v>2875.7119999999995</v>
      </c>
      <c r="N1040" s="5">
        <v>504.89599999999996</v>
      </c>
      <c r="O1040" s="5">
        <v>219.51999999999998</v>
      </c>
      <c r="P1040" s="5">
        <v>878.07999999999993</v>
      </c>
      <c r="Q1040" s="5">
        <v>1229.3119999999999</v>
      </c>
      <c r="R1040" s="5">
        <v>1207.3599999999999</v>
      </c>
      <c r="S1040" s="5">
        <v>0</v>
      </c>
      <c r="T1040" s="5">
        <v>0</v>
      </c>
      <c r="U1040" s="5">
        <v>0</v>
      </c>
      <c r="V1040" s="5">
        <v>0</v>
      </c>
      <c r="W1040" s="5">
        <f t="shared" ref="W1040:AH1040" si="1054">IF(OR((SLOPE($E1040:$V1040,$E$1:$V$1)*W$1+INTERCEPT($E1040:$V1040,$E$1:$V$1))&gt;(AVERAGE($E1040:$V1040)+_xlfn.STDEV.P($E1040:$V1040)),(SLOPE($E1040:$V1040,$E$1:$V$1)*W$1+INTERCEPT($E1040:$V1040,$E$1:$V$1))&lt;(AVERAGE($E1040:$V1040)-_xlfn.STDEV.P($E1040:$V1040))),V1040,(SLOPE($E1040:$V1040,$E$1:$V$1)*W$1+INTERCEPT($E1040:$V1040,$E$1:$V$1)))</f>
        <v>490.26133333333337</v>
      </c>
      <c r="X1040" s="5">
        <f t="shared" si="1054"/>
        <v>484.86961403508769</v>
      </c>
      <c r="Y1040" s="5">
        <f t="shared" si="1054"/>
        <v>479.47789473684213</v>
      </c>
      <c r="Z1040" s="5">
        <f t="shared" si="1054"/>
        <v>474.08617543859651</v>
      </c>
      <c r="AA1040" s="5">
        <f t="shared" si="1054"/>
        <v>468.69445614035089</v>
      </c>
      <c r="AB1040" s="5">
        <f t="shared" si="1054"/>
        <v>463.30273684210528</v>
      </c>
      <c r="AC1040" s="5">
        <f t="shared" si="1054"/>
        <v>457.91101754385966</v>
      </c>
      <c r="AD1040" s="5">
        <f t="shared" si="1054"/>
        <v>452.51929824561404</v>
      </c>
      <c r="AE1040" s="5">
        <f t="shared" si="1054"/>
        <v>447.12757894736842</v>
      </c>
      <c r="AF1040" s="5">
        <f t="shared" si="1054"/>
        <v>441.7358596491228</v>
      </c>
      <c r="AG1040" s="5">
        <f t="shared" si="1054"/>
        <v>436.34414035087718</v>
      </c>
      <c r="AH1040" s="5">
        <f t="shared" si="1054"/>
        <v>430.95242105263156</v>
      </c>
    </row>
    <row r="1041" spans="1:34" x14ac:dyDescent="0.35">
      <c r="A1041" t="s">
        <v>1061</v>
      </c>
      <c r="B1041" s="3" t="s">
        <v>1266</v>
      </c>
      <c r="C1041" s="4" t="s">
        <v>1263</v>
      </c>
      <c r="D1041" s="2">
        <f t="shared" si="1041"/>
        <v>9574.4039999999986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9574.4039999999986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f t="shared" ref="W1041:AH1041" si="1055">IF(OR((SLOPE($E1041:$V1041,$E$1:$V$1)*W$1+INTERCEPT($E1041:$V1041,$E$1:$V$1))&gt;(AVERAGE($E1041:$V1041)+_xlfn.STDEV.P($E1041:$V1041)),(SLOPE($E1041:$V1041,$E$1:$V$1)*W$1+INTERCEPT($E1041:$V1041,$E$1:$V$1))&lt;(AVERAGE($E1041:$V1041)-_xlfn.STDEV.P($E1041:$V1041))),V1041,(SLOPE($E1041:$V1041,$E$1:$V$1)*W$1+INTERCEPT($E1041:$V1041,$E$1:$V$1)))</f>
        <v>-125.15560784313698</v>
      </c>
      <c r="X1041" s="5">
        <f t="shared" si="1055"/>
        <v>-194.3205490196076</v>
      </c>
      <c r="Y1041" s="5">
        <f t="shared" si="1055"/>
        <v>-263.48549019607822</v>
      </c>
      <c r="Z1041" s="5">
        <f t="shared" si="1055"/>
        <v>-332.65043137254861</v>
      </c>
      <c r="AA1041" s="5">
        <f t="shared" si="1055"/>
        <v>-401.81537254901923</v>
      </c>
      <c r="AB1041" s="5">
        <f t="shared" si="1055"/>
        <v>-470.98031372548985</v>
      </c>
      <c r="AC1041" s="5">
        <f t="shared" si="1055"/>
        <v>-540.14525490196047</v>
      </c>
      <c r="AD1041" s="5">
        <f t="shared" si="1055"/>
        <v>-609.31019607843109</v>
      </c>
      <c r="AE1041" s="5">
        <f t="shared" si="1055"/>
        <v>-678.47513725490148</v>
      </c>
      <c r="AF1041" s="5">
        <f t="shared" si="1055"/>
        <v>-747.6400784313721</v>
      </c>
      <c r="AG1041" s="5">
        <f t="shared" si="1055"/>
        <v>-816.80501960784272</v>
      </c>
      <c r="AH1041" s="5">
        <f t="shared" si="1055"/>
        <v>-885.96996078431312</v>
      </c>
    </row>
    <row r="1042" spans="1:34" x14ac:dyDescent="0.35">
      <c r="A1042" t="s">
        <v>1062</v>
      </c>
      <c r="B1042" s="3" t="s">
        <v>1264</v>
      </c>
      <c r="C1042" s="4" t="s">
        <v>1263</v>
      </c>
      <c r="D1042" s="2">
        <f t="shared" si="1041"/>
        <v>9474.1718587471878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9474.1718587471878</v>
      </c>
      <c r="U1042" s="5">
        <v>0</v>
      </c>
      <c r="V1042" s="5">
        <v>0</v>
      </c>
      <c r="W1042" s="5">
        <f t="shared" ref="W1042:AH1042" si="1056">IF(OR((SLOPE($E1042:$V1042,$E$1:$V$1)*W$1+INTERCEPT($E1042:$V1042,$E$1:$V$1))&gt;(AVERAGE($E1042:$V1042)+_xlfn.STDEV.P($E1042:$V1042)),(SLOPE($E1042:$V1042,$E$1:$V$1)*W$1+INTERCEPT($E1042:$V1042,$E$1:$V$1))&lt;(AVERAGE($E1042:$V1042)-_xlfn.STDEV.P($E1042:$V1042))),V1042,(SLOPE($E1042:$V1042,$E$1:$V$1)*W$1+INTERCEPT($E1042:$V1042,$E$1:$V$1)))</f>
        <v>1733.8353728426223</v>
      </c>
      <c r="X1042" s="5">
        <f t="shared" si="1056"/>
        <v>1860.9398456637923</v>
      </c>
      <c r="Y1042" s="5">
        <f t="shared" si="1056"/>
        <v>1988.0443184849619</v>
      </c>
      <c r="Z1042" s="5">
        <f t="shared" si="1056"/>
        <v>2115.1487913061314</v>
      </c>
      <c r="AA1042" s="5">
        <f t="shared" si="1056"/>
        <v>2242.253264127301</v>
      </c>
      <c r="AB1042" s="5">
        <f t="shared" si="1056"/>
        <v>2369.357736948471</v>
      </c>
      <c r="AC1042" s="5">
        <f t="shared" si="1056"/>
        <v>2496.4622097696406</v>
      </c>
      <c r="AD1042" s="5">
        <f t="shared" si="1056"/>
        <v>2623.5666825908102</v>
      </c>
      <c r="AE1042" s="5">
        <f t="shared" si="1056"/>
        <v>2623.5666825908102</v>
      </c>
      <c r="AF1042" s="5">
        <f t="shared" si="1056"/>
        <v>2623.5666825908102</v>
      </c>
      <c r="AG1042" s="5">
        <f t="shared" si="1056"/>
        <v>2623.5666825908102</v>
      </c>
      <c r="AH1042" s="5">
        <f t="shared" si="1056"/>
        <v>2623.5666825908102</v>
      </c>
    </row>
    <row r="1043" spans="1:34" x14ac:dyDescent="0.35">
      <c r="A1043" t="s">
        <v>1063</v>
      </c>
      <c r="B1043" s="3" t="s">
        <v>1265</v>
      </c>
      <c r="C1043" s="4" t="s">
        <v>1263</v>
      </c>
      <c r="D1043" s="2">
        <f t="shared" si="1041"/>
        <v>9451.5983385493328</v>
      </c>
      <c r="E1043" s="5">
        <v>0</v>
      </c>
      <c r="F1043" s="5">
        <v>0</v>
      </c>
      <c r="G1043" s="5">
        <v>4725.7991692746664</v>
      </c>
      <c r="H1043" s="5">
        <v>4725.7991692746664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f t="shared" ref="W1043:AH1043" si="1057">IF(OR((SLOPE($E1043:$V1043,$E$1:$V$1)*W$1+INTERCEPT($E1043:$V1043,$E$1:$V$1))&gt;(AVERAGE($E1043:$V1043)+_xlfn.STDEV.P($E1043:$V1043)),(SLOPE($E1043:$V1043,$E$1:$V$1)*W$1+INTERCEPT($E1043:$V1043,$E$1:$V$1))&lt;(AVERAGE($E1043:$V1043)-_xlfn.STDEV.P($E1043:$V1043))),V1043,(SLOPE($E1043:$V1043,$E$1:$V$1)*W$1+INTERCEPT($E1043:$V1043,$E$1:$V$1)))</f>
        <v>-586.86394912561195</v>
      </c>
      <c r="X1043" s="5">
        <f t="shared" si="1057"/>
        <v>-703.91160656894704</v>
      </c>
      <c r="Y1043" s="5">
        <f t="shared" si="1057"/>
        <v>-820.95926401228257</v>
      </c>
      <c r="Z1043" s="5">
        <f t="shared" si="1057"/>
        <v>-938.00692145561811</v>
      </c>
      <c r="AA1043" s="5">
        <f t="shared" si="1057"/>
        <v>-938.00692145561811</v>
      </c>
      <c r="AB1043" s="5">
        <f t="shared" si="1057"/>
        <v>-938.00692145561811</v>
      </c>
      <c r="AC1043" s="5">
        <f t="shared" si="1057"/>
        <v>-938.00692145561811</v>
      </c>
      <c r="AD1043" s="5">
        <f t="shared" si="1057"/>
        <v>-938.00692145561811</v>
      </c>
      <c r="AE1043" s="5">
        <f t="shared" si="1057"/>
        <v>-938.00692145561811</v>
      </c>
      <c r="AF1043" s="5">
        <f t="shared" si="1057"/>
        <v>-938.00692145561811</v>
      </c>
      <c r="AG1043" s="5">
        <f t="shared" si="1057"/>
        <v>-938.00692145561811</v>
      </c>
      <c r="AH1043" s="5">
        <f t="shared" si="1057"/>
        <v>-938.00692145561811</v>
      </c>
    </row>
    <row r="1044" spans="1:34" x14ac:dyDescent="0.35">
      <c r="A1044" t="s">
        <v>1064</v>
      </c>
      <c r="B1044" s="3" t="s">
        <v>1266</v>
      </c>
      <c r="C1044" s="4" t="s">
        <v>1267</v>
      </c>
      <c r="D1044" s="2">
        <f t="shared" si="1041"/>
        <v>9286.4015999999992</v>
      </c>
      <c r="E1044" s="5">
        <v>0</v>
      </c>
      <c r="F1044" s="5">
        <v>0</v>
      </c>
      <c r="G1044" s="5">
        <v>0</v>
      </c>
      <c r="H1044" s="5">
        <v>0</v>
      </c>
      <c r="I1044" s="5">
        <v>9286.4015999999992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f t="shared" ref="W1044:AH1044" si="1058">IF(OR((SLOPE($E1044:$V1044,$E$1:$V$1)*W$1+INTERCEPT($E1044:$V1044,$E$1:$V$1))&gt;(AVERAGE($E1044:$V1044)+_xlfn.STDEV.P($E1044:$V1044)),(SLOPE($E1044:$V1044,$E$1:$V$1)*W$1+INTERCEPT($E1044:$V1044,$E$1:$V$1))&lt;(AVERAGE($E1044:$V1044)-_xlfn.STDEV.P($E1044:$V1044))),V1044,(SLOPE($E1044:$V1044,$E$1:$V$1)*W$1+INTERCEPT($E1044:$V1044,$E$1:$V$1)))</f>
        <v>-303.47717647058812</v>
      </c>
      <c r="X1044" s="5">
        <f t="shared" si="1058"/>
        <v>-389.72858452012383</v>
      </c>
      <c r="Y1044" s="5">
        <f t="shared" si="1058"/>
        <v>-475.97999256965954</v>
      </c>
      <c r="Z1044" s="5">
        <f t="shared" si="1058"/>
        <v>-562.23140061919503</v>
      </c>
      <c r="AA1044" s="5">
        <f t="shared" si="1058"/>
        <v>-648.48280866873051</v>
      </c>
      <c r="AB1044" s="5">
        <f t="shared" si="1058"/>
        <v>-734.73421671826623</v>
      </c>
      <c r="AC1044" s="5">
        <f t="shared" si="1058"/>
        <v>-820.98562476780194</v>
      </c>
      <c r="AD1044" s="5">
        <f t="shared" si="1058"/>
        <v>-907.23703281733765</v>
      </c>
      <c r="AE1044" s="5">
        <f t="shared" si="1058"/>
        <v>-993.48844086687291</v>
      </c>
      <c r="AF1044" s="5">
        <f t="shared" si="1058"/>
        <v>-1079.7398489164086</v>
      </c>
      <c r="AG1044" s="5">
        <f t="shared" si="1058"/>
        <v>-1165.9912569659443</v>
      </c>
      <c r="AH1044" s="5">
        <f t="shared" si="1058"/>
        <v>-1252.2426650154796</v>
      </c>
    </row>
    <row r="1045" spans="1:34" x14ac:dyDescent="0.35">
      <c r="A1045" t="s">
        <v>1065</v>
      </c>
      <c r="B1045" s="3" t="s">
        <v>1266</v>
      </c>
      <c r="C1045" s="4" t="s">
        <v>1267</v>
      </c>
      <c r="D1045" s="2">
        <f t="shared" si="1041"/>
        <v>9141.667749452894</v>
      </c>
      <c r="E1045" s="5">
        <v>0</v>
      </c>
      <c r="F1045" s="5">
        <v>0</v>
      </c>
      <c r="G1045" s="5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9141.667749452894</v>
      </c>
      <c r="S1045" s="5">
        <v>0</v>
      </c>
      <c r="T1045" s="5">
        <v>0</v>
      </c>
      <c r="U1045" s="5">
        <v>0</v>
      </c>
      <c r="V1045" s="5">
        <v>0</v>
      </c>
      <c r="W1045" s="5">
        <f t="shared" ref="W1045:AH1045" si="1059">IF(OR((SLOPE($E1045:$V1045,$E$1:$V$1)*W$1+INTERCEPT($E1045:$V1045,$E$1:$V$1))&gt;(AVERAGE($E1045:$V1045)+_xlfn.STDEV.P($E1045:$V1045)),(SLOPE($E1045:$V1045,$E$1:$V$1)*W$1+INTERCEPT($E1045:$V1045,$E$1:$V$1))&lt;(AVERAGE($E1045:$V1045)-_xlfn.STDEV.P($E1045:$V1045))),V1045,(SLOPE($E1045:$V1045,$E$1:$V$1)*W$1+INTERCEPT($E1045:$V1045,$E$1:$V$1)))</f>
        <v>1314.4881731239459</v>
      </c>
      <c r="X1045" s="5">
        <f t="shared" si="1059"/>
        <v>1399.3953039238179</v>
      </c>
      <c r="Y1045" s="5">
        <f t="shared" si="1059"/>
        <v>1484.3024347236899</v>
      </c>
      <c r="Z1045" s="5">
        <f t="shared" si="1059"/>
        <v>1569.2095655235621</v>
      </c>
      <c r="AA1045" s="5">
        <f t="shared" si="1059"/>
        <v>1654.1166963234343</v>
      </c>
      <c r="AB1045" s="5">
        <f t="shared" si="1059"/>
        <v>1739.0238271233063</v>
      </c>
      <c r="AC1045" s="5">
        <f t="shared" si="1059"/>
        <v>1823.9309579231783</v>
      </c>
      <c r="AD1045" s="5">
        <f t="shared" si="1059"/>
        <v>1908.8380887230503</v>
      </c>
      <c r="AE1045" s="5">
        <f t="shared" si="1059"/>
        <v>1993.7452195229228</v>
      </c>
      <c r="AF1045" s="5">
        <f t="shared" si="1059"/>
        <v>2078.6523503227945</v>
      </c>
      <c r="AG1045" s="5">
        <f t="shared" si="1059"/>
        <v>2163.5594811226665</v>
      </c>
      <c r="AH1045" s="5">
        <f t="shared" si="1059"/>
        <v>2248.466611922539</v>
      </c>
    </row>
    <row r="1046" spans="1:34" x14ac:dyDescent="0.35">
      <c r="A1046" t="s">
        <v>1066</v>
      </c>
      <c r="B1046" s="3" t="s">
        <v>1264</v>
      </c>
      <c r="C1046" s="4" t="s">
        <v>1263</v>
      </c>
      <c r="D1046" s="2">
        <f t="shared" si="1041"/>
        <v>8622.7416799999992</v>
      </c>
      <c r="E1046" s="5">
        <v>1217.0580799999996</v>
      </c>
      <c r="F1046" s="5">
        <v>1320.3931999999998</v>
      </c>
      <c r="G1046" s="5">
        <v>746.30919999999992</v>
      </c>
      <c r="H1046" s="5">
        <v>476.48971999999986</v>
      </c>
      <c r="I1046" s="5">
        <v>861.12599999999964</v>
      </c>
      <c r="J1046" s="5">
        <v>114.81679999999997</v>
      </c>
      <c r="K1046" s="5">
        <v>373.15459999999996</v>
      </c>
      <c r="L1046" s="5">
        <v>229.63359999999994</v>
      </c>
      <c r="M1046" s="5">
        <v>1159.64968</v>
      </c>
      <c r="N1046" s="5">
        <v>700.38247999999976</v>
      </c>
      <c r="O1046" s="5">
        <v>574.08399999999983</v>
      </c>
      <c r="P1046" s="5">
        <v>390.37711999999993</v>
      </c>
      <c r="Q1046" s="5">
        <v>344.45039999999995</v>
      </c>
      <c r="R1046" s="5">
        <v>114.81679999999997</v>
      </c>
      <c r="S1046" s="5">
        <v>0</v>
      </c>
      <c r="T1046" s="5">
        <v>0</v>
      </c>
      <c r="U1046" s="5">
        <v>0</v>
      </c>
      <c r="V1046" s="5">
        <v>0</v>
      </c>
      <c r="W1046" s="5">
        <f t="shared" ref="W1046:AH1046" si="1060">IF(OR((SLOPE($E1046:$V1046,$E$1:$V$1)*W$1+INTERCEPT($E1046:$V1046,$E$1:$V$1))&gt;(AVERAGE($E1046:$V1046)+_xlfn.STDEV.P($E1046:$V1046)),(SLOPE($E1046:$V1046,$E$1:$V$1)*W$1+INTERCEPT($E1046:$V1046,$E$1:$V$1))&lt;(AVERAGE($E1046:$V1046)-_xlfn.STDEV.P($E1046:$V1046))),V1046,(SLOPE($E1046:$V1046,$E$1:$V$1)*W$1+INTERCEPT($E1046:$V1046,$E$1:$V$1)))</f>
        <v>0</v>
      </c>
      <c r="X1046" s="5">
        <f t="shared" si="1060"/>
        <v>0</v>
      </c>
      <c r="Y1046" s="5">
        <f t="shared" si="1060"/>
        <v>0</v>
      </c>
      <c r="Z1046" s="5">
        <f t="shared" si="1060"/>
        <v>0</v>
      </c>
      <c r="AA1046" s="5">
        <f t="shared" si="1060"/>
        <v>0</v>
      </c>
      <c r="AB1046" s="5">
        <f t="shared" si="1060"/>
        <v>0</v>
      </c>
      <c r="AC1046" s="5">
        <f t="shared" si="1060"/>
        <v>0</v>
      </c>
      <c r="AD1046" s="5">
        <f t="shared" si="1060"/>
        <v>0</v>
      </c>
      <c r="AE1046" s="5">
        <f t="shared" si="1060"/>
        <v>0</v>
      </c>
      <c r="AF1046" s="5">
        <f t="shared" si="1060"/>
        <v>0</v>
      </c>
      <c r="AG1046" s="5">
        <f t="shared" si="1060"/>
        <v>0</v>
      </c>
      <c r="AH1046" s="5">
        <f t="shared" si="1060"/>
        <v>0</v>
      </c>
    </row>
    <row r="1047" spans="1:34" x14ac:dyDescent="0.35">
      <c r="A1047" t="s">
        <v>1067</v>
      </c>
      <c r="B1047" s="3" t="s">
        <v>1264</v>
      </c>
      <c r="C1047" s="4" t="s">
        <v>1263</v>
      </c>
      <c r="D1047" s="2">
        <f t="shared" si="1041"/>
        <v>8601.7006122994371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8601.7006122994371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f t="shared" ref="W1047:AH1047" si="1061">IF(OR((SLOPE($E1047:$V1047,$E$1:$V$1)*W$1+INTERCEPT($E1047:$V1047,$E$1:$V$1))&gt;(AVERAGE($E1047:$V1047)+_xlfn.STDEV.P($E1047:$V1047)),(SLOPE($E1047:$V1047,$E$1:$V$1)*W$1+INTERCEPT($E1047:$V1047,$E$1:$V$1))&lt;(AVERAGE($E1047:$V1047)-_xlfn.STDEV.P($E1047:$V1047))),V1047,(SLOPE($E1047:$V1047,$E$1:$V$1)*W$1+INTERCEPT($E1047:$V1047,$E$1:$V$1)))</f>
        <v>1068.1850433574466</v>
      </c>
      <c r="X1047" s="5">
        <f t="shared" si="1061"/>
        <v>1130.3232314751929</v>
      </c>
      <c r="Y1047" s="5">
        <f t="shared" si="1061"/>
        <v>1192.4614195929391</v>
      </c>
      <c r="Z1047" s="5">
        <f t="shared" si="1061"/>
        <v>1254.5996077106852</v>
      </c>
      <c r="AA1047" s="5">
        <f t="shared" si="1061"/>
        <v>1316.7377958284314</v>
      </c>
      <c r="AB1047" s="5">
        <f t="shared" si="1061"/>
        <v>1378.8759839461777</v>
      </c>
      <c r="AC1047" s="5">
        <f t="shared" si="1061"/>
        <v>1441.014172063924</v>
      </c>
      <c r="AD1047" s="5">
        <f t="shared" si="1061"/>
        <v>1503.1523601816702</v>
      </c>
      <c r="AE1047" s="5">
        <f t="shared" si="1061"/>
        <v>1565.2905482994163</v>
      </c>
      <c r="AF1047" s="5">
        <f t="shared" si="1061"/>
        <v>1627.4287364171626</v>
      </c>
      <c r="AG1047" s="5">
        <f t="shared" si="1061"/>
        <v>1689.5669245349088</v>
      </c>
      <c r="AH1047" s="5">
        <f t="shared" si="1061"/>
        <v>1751.7051126526549</v>
      </c>
    </row>
    <row r="1048" spans="1:34" x14ac:dyDescent="0.35">
      <c r="A1048" t="s">
        <v>1068</v>
      </c>
      <c r="B1048" s="3" t="s">
        <v>1262</v>
      </c>
      <c r="C1048" s="4" t="s">
        <v>1263</v>
      </c>
      <c r="D1048" s="2">
        <f t="shared" si="1041"/>
        <v>8288.1539999999986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8288.1539999999986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f t="shared" ref="W1048:AH1048" si="1062">IF(OR((SLOPE($E1048:$V1048,$E$1:$V$1)*W$1+INTERCEPT($E1048:$V1048,$E$1:$V$1))&gt;(AVERAGE($E1048:$V1048)+_xlfn.STDEV.P($E1048:$V1048)),(SLOPE($E1048:$V1048,$E$1:$V$1)*W$1+INTERCEPT($E1048:$V1048,$E$1:$V$1))&lt;(AVERAGE($E1048:$V1048)-_xlfn.STDEV.P($E1048:$V1048))),V1048,(SLOPE($E1048:$V1048,$E$1:$V$1)*W$1+INTERCEPT($E1048:$V1048,$E$1:$V$1)))</f>
        <v>541.70941176470581</v>
      </c>
      <c r="X1048" s="5">
        <f t="shared" si="1062"/>
        <v>550.26271826625384</v>
      </c>
      <c r="Y1048" s="5">
        <f t="shared" si="1062"/>
        <v>558.81602476780176</v>
      </c>
      <c r="Z1048" s="5">
        <f t="shared" si="1062"/>
        <v>567.3693312693498</v>
      </c>
      <c r="AA1048" s="5">
        <f t="shared" si="1062"/>
        <v>575.92263777089784</v>
      </c>
      <c r="AB1048" s="5">
        <f t="shared" si="1062"/>
        <v>584.47594427244576</v>
      </c>
      <c r="AC1048" s="5">
        <f t="shared" si="1062"/>
        <v>593.02925077399379</v>
      </c>
      <c r="AD1048" s="5">
        <f t="shared" si="1062"/>
        <v>601.58255727554183</v>
      </c>
      <c r="AE1048" s="5">
        <f t="shared" si="1062"/>
        <v>610.13586377708975</v>
      </c>
      <c r="AF1048" s="5">
        <f t="shared" si="1062"/>
        <v>618.68917027863768</v>
      </c>
      <c r="AG1048" s="5">
        <f t="shared" si="1062"/>
        <v>627.24247678018571</v>
      </c>
      <c r="AH1048" s="5">
        <f t="shared" si="1062"/>
        <v>635.79578328173375</v>
      </c>
    </row>
    <row r="1049" spans="1:34" x14ac:dyDescent="0.35">
      <c r="A1049" t="s">
        <v>1069</v>
      </c>
      <c r="B1049" s="3" t="s">
        <v>1265</v>
      </c>
      <c r="C1049" s="4" t="s">
        <v>1263</v>
      </c>
      <c r="D1049" s="2">
        <f t="shared" si="1041"/>
        <v>8219.2888421112639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8219.2888421112639</v>
      </c>
      <c r="U1049" s="5">
        <v>0</v>
      </c>
      <c r="V1049" s="5">
        <v>0</v>
      </c>
      <c r="W1049" s="5">
        <f t="shared" ref="W1049:AH1049" si="1063">IF(OR((SLOPE($E1049:$V1049,$E$1:$V$1)*W$1+INTERCEPT($E1049:$V1049,$E$1:$V$1))&gt;(AVERAGE($E1049:$V1049)+_xlfn.STDEV.P($E1049:$V1049)),(SLOPE($E1049:$V1049,$E$1:$V$1)*W$1+INTERCEPT($E1049:$V1049,$E$1:$V$1))&lt;(AVERAGE($E1049:$V1049)-_xlfn.STDEV.P($E1049:$V1049))),V1049,(SLOPE($E1049:$V1049,$E$1:$V$1)*W$1+INTERCEPT($E1049:$V1049,$E$1:$V$1)))</f>
        <v>1504.1835789484667</v>
      </c>
      <c r="X1049" s="5">
        <f t="shared" si="1063"/>
        <v>1614.4526759014557</v>
      </c>
      <c r="Y1049" s="5">
        <f t="shared" si="1063"/>
        <v>1724.7217728544451</v>
      </c>
      <c r="Z1049" s="5">
        <f t="shared" si="1063"/>
        <v>1834.9908698074341</v>
      </c>
      <c r="AA1049" s="5">
        <f t="shared" si="1063"/>
        <v>1945.2599667604231</v>
      </c>
      <c r="AB1049" s="5">
        <f t="shared" si="1063"/>
        <v>2055.5290637134121</v>
      </c>
      <c r="AC1049" s="5">
        <f t="shared" si="1063"/>
        <v>2165.7981606664011</v>
      </c>
      <c r="AD1049" s="5">
        <f t="shared" si="1063"/>
        <v>2276.0672576193906</v>
      </c>
      <c r="AE1049" s="5">
        <f t="shared" si="1063"/>
        <v>2276.0672576193906</v>
      </c>
      <c r="AF1049" s="5">
        <f t="shared" si="1063"/>
        <v>2276.0672576193906</v>
      </c>
      <c r="AG1049" s="5">
        <f t="shared" si="1063"/>
        <v>2276.0672576193906</v>
      </c>
      <c r="AH1049" s="5">
        <f t="shared" si="1063"/>
        <v>2276.0672576193906</v>
      </c>
    </row>
    <row r="1050" spans="1:34" x14ac:dyDescent="0.35">
      <c r="A1050" t="s">
        <v>1070</v>
      </c>
      <c r="B1050" s="3" t="s">
        <v>1265</v>
      </c>
      <c r="C1050" s="4" t="s">
        <v>1268</v>
      </c>
      <c r="D1050" s="2">
        <f t="shared" si="1041"/>
        <v>5455.8793808400005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1952.6305152479999</v>
      </c>
      <c r="V1050" s="5">
        <v>3503.2488655920001</v>
      </c>
      <c r="W1050" s="5">
        <f t="shared" ref="W1050:AH1050" si="1064">IF(OR((SLOPE($E1050:$V1050,$E$1:$V$1)*W$1+INTERCEPT($E1050:$V1050,$E$1:$V$1))&gt;(AVERAGE($E1050:$V1050)+_xlfn.STDEV.P($E1050:$V1050)),(SLOPE($E1050:$V1050,$E$1:$V$1)*W$1+INTERCEPT($E1050:$V1050,$E$1:$V$1))&lt;(AVERAGE($E1050:$V1050)-_xlfn.STDEV.P($E1050:$V1050))),V1050,(SLOPE($E1050:$V1050,$E$1:$V$1)*W$1+INTERCEPT($E1050:$V1050,$E$1:$V$1)))</f>
        <v>1174.1307673386668</v>
      </c>
      <c r="X1050" s="5">
        <f t="shared" si="1064"/>
        <v>1174.1307673386668</v>
      </c>
      <c r="Y1050" s="5">
        <f t="shared" si="1064"/>
        <v>1174.1307673386668</v>
      </c>
      <c r="Z1050" s="5">
        <f t="shared" si="1064"/>
        <v>1174.1307673386668</v>
      </c>
      <c r="AA1050" s="5">
        <f t="shared" si="1064"/>
        <v>1174.1307673386668</v>
      </c>
      <c r="AB1050" s="5">
        <f t="shared" si="1064"/>
        <v>1174.1307673386668</v>
      </c>
      <c r="AC1050" s="5">
        <f t="shared" si="1064"/>
        <v>1174.1307673386668</v>
      </c>
      <c r="AD1050" s="5">
        <f t="shared" si="1064"/>
        <v>1174.1307673386668</v>
      </c>
      <c r="AE1050" s="5">
        <f t="shared" si="1064"/>
        <v>1174.1307673386668</v>
      </c>
      <c r="AF1050" s="5">
        <f t="shared" si="1064"/>
        <v>1174.1307673386668</v>
      </c>
      <c r="AG1050" s="5">
        <f t="shared" si="1064"/>
        <v>1174.1307673386668</v>
      </c>
      <c r="AH1050" s="5">
        <f t="shared" si="1064"/>
        <v>1174.1307673386668</v>
      </c>
    </row>
    <row r="1051" spans="1:34" x14ac:dyDescent="0.35">
      <c r="A1051" t="s">
        <v>1071</v>
      </c>
      <c r="B1051" s="3" t="s">
        <v>1264</v>
      </c>
      <c r="C1051" s="4" t="s">
        <v>1263</v>
      </c>
      <c r="D1051" s="2">
        <f t="shared" si="1041"/>
        <v>7937.8627999999999</v>
      </c>
      <c r="E1051" s="5">
        <v>0</v>
      </c>
      <c r="F1051" s="5">
        <v>0</v>
      </c>
      <c r="G1051" s="5">
        <v>0</v>
      </c>
      <c r="H1051" s="5">
        <v>284.8272</v>
      </c>
      <c r="I1051" s="5">
        <v>0</v>
      </c>
      <c r="J1051" s="5">
        <v>284.8272</v>
      </c>
      <c r="K1051" s="5">
        <v>213.62039999999999</v>
      </c>
      <c r="L1051" s="5">
        <v>569.65440000000001</v>
      </c>
      <c r="M1051" s="5">
        <v>0</v>
      </c>
      <c r="N1051" s="5">
        <v>213.62039999999999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3763.788</v>
      </c>
      <c r="V1051" s="5">
        <v>2607.5252</v>
      </c>
      <c r="W1051" s="5">
        <f t="shared" ref="W1051:AH1051" si="1065">IF(OR((SLOPE($E1051:$V1051,$E$1:$V$1)*W$1+INTERCEPT($E1051:$V1051,$E$1:$V$1))&gt;(AVERAGE($E1051:$V1051)+_xlfn.STDEV.P($E1051:$V1051)),(SLOPE($E1051:$V1051,$E$1:$V$1)*W$1+INTERCEPT($E1051:$V1051,$E$1:$V$1))&lt;(AVERAGE($E1051:$V1051)-_xlfn.STDEV.P($E1051:$V1051))),V1051,(SLOPE($E1051:$V1051,$E$1:$V$1)*W$1+INTERCEPT($E1051:$V1051,$E$1:$V$1)))</f>
        <v>1353.6827111111113</v>
      </c>
      <c r="X1051" s="5">
        <f t="shared" si="1065"/>
        <v>1353.6827111111113</v>
      </c>
      <c r="Y1051" s="5">
        <f t="shared" si="1065"/>
        <v>1353.6827111111113</v>
      </c>
      <c r="Z1051" s="5">
        <f t="shared" si="1065"/>
        <v>1353.6827111111113</v>
      </c>
      <c r="AA1051" s="5">
        <f t="shared" si="1065"/>
        <v>1353.6827111111113</v>
      </c>
      <c r="AB1051" s="5">
        <f t="shared" si="1065"/>
        <v>1353.6827111111113</v>
      </c>
      <c r="AC1051" s="5">
        <f t="shared" si="1065"/>
        <v>1353.6827111111113</v>
      </c>
      <c r="AD1051" s="5">
        <f t="shared" si="1065"/>
        <v>1353.6827111111113</v>
      </c>
      <c r="AE1051" s="5">
        <f t="shared" si="1065"/>
        <v>1353.6827111111113</v>
      </c>
      <c r="AF1051" s="5">
        <f t="shared" si="1065"/>
        <v>1353.6827111111113</v>
      </c>
      <c r="AG1051" s="5">
        <f t="shared" si="1065"/>
        <v>1353.6827111111113</v>
      </c>
      <c r="AH1051" s="5">
        <f t="shared" si="1065"/>
        <v>1353.6827111111113</v>
      </c>
    </row>
    <row r="1052" spans="1:34" x14ac:dyDescent="0.35">
      <c r="A1052" t="s">
        <v>1072</v>
      </c>
      <c r="B1052" s="3" t="s">
        <v>1264</v>
      </c>
      <c r="C1052" s="4" t="s">
        <v>1267</v>
      </c>
      <c r="D1052" s="2">
        <f t="shared" si="1041"/>
        <v>7854.5086139074483</v>
      </c>
      <c r="E1052" s="5">
        <v>0</v>
      </c>
      <c r="F1052" s="5">
        <v>0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7854.5086139074483</v>
      </c>
      <c r="S1052" s="5">
        <v>0</v>
      </c>
      <c r="T1052" s="5">
        <v>0</v>
      </c>
      <c r="U1052" s="5">
        <v>0</v>
      </c>
      <c r="V1052" s="5">
        <v>0</v>
      </c>
      <c r="W1052" s="5">
        <f t="shared" ref="W1052:AH1052" si="1066">IF(OR((SLOPE($E1052:$V1052,$E$1:$V$1)*W$1+INTERCEPT($E1052:$V1052,$E$1:$V$1))&gt;(AVERAGE($E1052:$V1052)+_xlfn.STDEV.P($E1052:$V1052)),(SLOPE($E1052:$V1052,$E$1:$V$1)*W$1+INTERCEPT($E1052:$V1052,$E$1:$V$1))&lt;(AVERAGE($E1052:$V1052)-_xlfn.STDEV.P($E1052:$V1052))),V1052,(SLOPE($E1052:$V1052,$E$1:$V$1)*W$1+INTERCEPT($E1052:$V1052,$E$1:$V$1)))</f>
        <v>1129.4064673592409</v>
      </c>
      <c r="X1052" s="5">
        <f t="shared" si="1066"/>
        <v>1202.3585597484741</v>
      </c>
      <c r="Y1052" s="5">
        <f t="shared" si="1066"/>
        <v>1275.3106521377074</v>
      </c>
      <c r="Z1052" s="5">
        <f t="shared" si="1066"/>
        <v>1348.2627445269407</v>
      </c>
      <c r="AA1052" s="5">
        <f t="shared" si="1066"/>
        <v>1421.2148369161739</v>
      </c>
      <c r="AB1052" s="5">
        <f t="shared" si="1066"/>
        <v>1494.1669293054072</v>
      </c>
      <c r="AC1052" s="5">
        <f t="shared" si="1066"/>
        <v>1567.1190216946404</v>
      </c>
      <c r="AD1052" s="5">
        <f t="shared" si="1066"/>
        <v>1640.0711140838737</v>
      </c>
      <c r="AE1052" s="5">
        <f t="shared" si="1066"/>
        <v>1713.0232064731069</v>
      </c>
      <c r="AF1052" s="5">
        <f t="shared" si="1066"/>
        <v>1785.9752988623402</v>
      </c>
      <c r="AG1052" s="5">
        <f t="shared" si="1066"/>
        <v>1858.9273912515735</v>
      </c>
      <c r="AH1052" s="5">
        <f t="shared" si="1066"/>
        <v>1931.8794836408067</v>
      </c>
    </row>
    <row r="1053" spans="1:34" x14ac:dyDescent="0.35">
      <c r="A1053" t="s">
        <v>1073</v>
      </c>
      <c r="B1053" s="3" t="s">
        <v>1264</v>
      </c>
      <c r="C1053" s="4" t="s">
        <v>1263</v>
      </c>
      <c r="D1053" s="2">
        <f t="shared" si="1041"/>
        <v>7836.0277626333709</v>
      </c>
      <c r="E1053" s="5">
        <v>0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7836.0277626333709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f t="shared" ref="W1053:AH1053" si="1067">IF(OR((SLOPE($E1053:$V1053,$E$1:$V$1)*W$1+INTERCEPT($E1053:$V1053,$E$1:$V$1))&gt;(AVERAGE($E1053:$V1053)+_xlfn.STDEV.P($E1053:$V1053)),(SLOPE($E1053:$V1053,$E$1:$V$1)*W$1+INTERCEPT($E1053:$V1053,$E$1:$V$1))&lt;(AVERAGE($E1053:$V1053)-_xlfn.STDEV.P($E1053:$V1053))),V1053,(SLOPE($E1053:$V1053,$E$1:$V$1)*W$1+INTERCEPT($E1053:$V1053,$E$1:$V$1)))</f>
        <v>973.1014868629677</v>
      </c>
      <c r="X1053" s="5">
        <f t="shared" si="1067"/>
        <v>1029.7084985641377</v>
      </c>
      <c r="Y1053" s="5">
        <f t="shared" si="1067"/>
        <v>1086.3155102653075</v>
      </c>
      <c r="Z1053" s="5">
        <f t="shared" si="1067"/>
        <v>1142.9225219664775</v>
      </c>
      <c r="AA1053" s="5">
        <f t="shared" si="1067"/>
        <v>1199.5295336676472</v>
      </c>
      <c r="AB1053" s="5">
        <f t="shared" si="1067"/>
        <v>1256.136545368817</v>
      </c>
      <c r="AC1053" s="5">
        <f t="shared" si="1067"/>
        <v>1312.743557069987</v>
      </c>
      <c r="AD1053" s="5">
        <f t="shared" si="1067"/>
        <v>1369.3505687711568</v>
      </c>
      <c r="AE1053" s="5">
        <f t="shared" si="1067"/>
        <v>1425.9575804723268</v>
      </c>
      <c r="AF1053" s="5">
        <f t="shared" si="1067"/>
        <v>1482.5645921734965</v>
      </c>
      <c r="AG1053" s="5">
        <f t="shared" si="1067"/>
        <v>1539.1716038746665</v>
      </c>
      <c r="AH1053" s="5">
        <f t="shared" si="1067"/>
        <v>1595.7786155758363</v>
      </c>
    </row>
    <row r="1054" spans="1:34" x14ac:dyDescent="0.35">
      <c r="A1054" t="s">
        <v>1074</v>
      </c>
      <c r="B1054" s="3" t="s">
        <v>1266</v>
      </c>
      <c r="C1054" s="4" t="s">
        <v>1263</v>
      </c>
      <c r="D1054" s="2">
        <f t="shared" si="1041"/>
        <v>7714.5599999999995</v>
      </c>
      <c r="E1054" s="5">
        <v>964.31999999999994</v>
      </c>
      <c r="F1054" s="5">
        <v>964.31999999999982</v>
      </c>
      <c r="G1054" s="5">
        <v>1607.1999999999998</v>
      </c>
      <c r="H1054" s="5">
        <v>1607.1999999999998</v>
      </c>
      <c r="I1054" s="5">
        <v>642.87999999999988</v>
      </c>
      <c r="J1054" s="5">
        <v>642.87999999999988</v>
      </c>
      <c r="K1054" s="5">
        <v>642.87999999999988</v>
      </c>
      <c r="L1054" s="5">
        <v>642.87999999999988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f t="shared" ref="W1054:AH1054" si="1068">IF(OR((SLOPE($E1054:$V1054,$E$1:$V$1)*W$1+INTERCEPT($E1054:$V1054,$E$1:$V$1))&gt;(AVERAGE($E1054:$V1054)+_xlfn.STDEV.P($E1054:$V1054)),(SLOPE($E1054:$V1054,$E$1:$V$1)*W$1+INTERCEPT($E1054:$V1054,$E$1:$V$1))&lt;(AVERAGE($E1054:$V1054)-_xlfn.STDEV.P($E1054:$V1054))),V1054,(SLOPE($E1054:$V1054,$E$1:$V$1)*W$1+INTERCEPT($E1054:$V1054,$E$1:$V$1)))</f>
        <v>0</v>
      </c>
      <c r="X1054" s="5">
        <f t="shared" si="1068"/>
        <v>0</v>
      </c>
      <c r="Y1054" s="5">
        <f t="shared" si="1068"/>
        <v>0</v>
      </c>
      <c r="Z1054" s="5">
        <f t="shared" si="1068"/>
        <v>0</v>
      </c>
      <c r="AA1054" s="5">
        <f t="shared" si="1068"/>
        <v>0</v>
      </c>
      <c r="AB1054" s="5">
        <f t="shared" si="1068"/>
        <v>0</v>
      </c>
      <c r="AC1054" s="5">
        <f t="shared" si="1068"/>
        <v>0</v>
      </c>
      <c r="AD1054" s="5">
        <f t="shared" si="1068"/>
        <v>0</v>
      </c>
      <c r="AE1054" s="5">
        <f t="shared" si="1068"/>
        <v>0</v>
      </c>
      <c r="AF1054" s="5">
        <f t="shared" si="1068"/>
        <v>0</v>
      </c>
      <c r="AG1054" s="5">
        <f t="shared" si="1068"/>
        <v>0</v>
      </c>
      <c r="AH1054" s="5">
        <f t="shared" si="1068"/>
        <v>0</v>
      </c>
    </row>
    <row r="1055" spans="1:34" x14ac:dyDescent="0.35">
      <c r="A1055" t="s">
        <v>1075</v>
      </c>
      <c r="B1055" s="3" t="s">
        <v>1264</v>
      </c>
      <c r="C1055" s="4" t="s">
        <v>1267</v>
      </c>
      <c r="D1055" s="2">
        <f t="shared" si="1041"/>
        <v>7714.1998485393915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7714.1998485393915</v>
      </c>
      <c r="S1055" s="5">
        <v>0</v>
      </c>
      <c r="T1055" s="5">
        <v>0</v>
      </c>
      <c r="U1055" s="5">
        <v>0</v>
      </c>
      <c r="V1055" s="5">
        <v>0</v>
      </c>
      <c r="W1055" s="5">
        <f t="shared" ref="W1055:AH1055" si="1069">IF(OR((SLOPE($E1055:$V1055,$E$1:$V$1)*W$1+INTERCEPT($E1055:$V1055,$E$1:$V$1))&gt;(AVERAGE($E1055:$V1055)+_xlfn.STDEV.P($E1055:$V1055)),(SLOPE($E1055:$V1055,$E$1:$V$1)*W$1+INTERCEPT($E1055:$V1055,$E$1:$V$1))&lt;(AVERAGE($E1055:$V1055)-_xlfn.STDEV.P($E1055:$V1055))),V1055,(SLOPE($E1055:$V1055,$E$1:$V$1)*W$1+INTERCEPT($E1055:$V1055,$E$1:$V$1)))</f>
        <v>1109.2313507703698</v>
      </c>
      <c r="X1055" s="5">
        <f t="shared" si="1069"/>
        <v>1180.8802657722836</v>
      </c>
      <c r="Y1055" s="5">
        <f t="shared" si="1069"/>
        <v>1252.5291807741974</v>
      </c>
      <c r="Z1055" s="5">
        <f t="shared" si="1069"/>
        <v>1324.1780957761111</v>
      </c>
      <c r="AA1055" s="5">
        <f t="shared" si="1069"/>
        <v>1395.8270107780249</v>
      </c>
      <c r="AB1055" s="5">
        <f t="shared" si="1069"/>
        <v>1467.4759257799387</v>
      </c>
      <c r="AC1055" s="5">
        <f t="shared" si="1069"/>
        <v>1539.124840781853</v>
      </c>
      <c r="AD1055" s="5">
        <f t="shared" si="1069"/>
        <v>1610.7737557837668</v>
      </c>
      <c r="AE1055" s="5">
        <f t="shared" si="1069"/>
        <v>1682.4226707856806</v>
      </c>
      <c r="AF1055" s="5">
        <f t="shared" si="1069"/>
        <v>1754.0715857875944</v>
      </c>
      <c r="AG1055" s="5">
        <f t="shared" si="1069"/>
        <v>1825.7205007895082</v>
      </c>
      <c r="AH1055" s="5">
        <f t="shared" si="1069"/>
        <v>1897.3694157914219</v>
      </c>
    </row>
    <row r="1056" spans="1:34" x14ac:dyDescent="0.35">
      <c r="A1056" t="s">
        <v>1076</v>
      </c>
      <c r="B1056" s="3" t="s">
        <v>1264</v>
      </c>
      <c r="C1056" s="4" t="s">
        <v>1267</v>
      </c>
      <c r="D1056" s="2">
        <f t="shared" si="1041"/>
        <v>7651.5862825885933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7651.5862825885933</v>
      </c>
      <c r="S1056" s="5">
        <v>0</v>
      </c>
      <c r="T1056" s="5">
        <v>0</v>
      </c>
      <c r="U1056" s="5">
        <v>0</v>
      </c>
      <c r="V1056" s="5">
        <v>0</v>
      </c>
      <c r="W1056" s="5">
        <f t="shared" ref="W1056:AH1056" si="1070">IF(OR((SLOPE($E1056:$V1056,$E$1:$V$1)*W$1+INTERCEPT($E1056:$V1056,$E$1:$V$1))&gt;(AVERAGE($E1056:$V1056)+_xlfn.STDEV.P($E1056:$V1056)),(SLOPE($E1056:$V1056,$E$1:$V$1)*W$1+INTERCEPT($E1056:$V1056,$E$1:$V$1))&lt;(AVERAGE($E1056:$V1056)-_xlfn.STDEV.P($E1056:$V1056))),V1056,(SLOPE($E1056:$V1056,$E$1:$V$1)*W$1+INTERCEPT($E1056:$V1056,$E$1:$V$1)))</f>
        <v>1100.2280929212357</v>
      </c>
      <c r="X1056" s="5">
        <f t="shared" si="1070"/>
        <v>1171.2954577749997</v>
      </c>
      <c r="Y1056" s="5">
        <f t="shared" si="1070"/>
        <v>1242.3628226287638</v>
      </c>
      <c r="Z1056" s="5">
        <f t="shared" si="1070"/>
        <v>1313.4301874825278</v>
      </c>
      <c r="AA1056" s="5">
        <f t="shared" si="1070"/>
        <v>1384.4975523362918</v>
      </c>
      <c r="AB1056" s="5">
        <f t="shared" si="1070"/>
        <v>1455.5649171900559</v>
      </c>
      <c r="AC1056" s="5">
        <f t="shared" si="1070"/>
        <v>1526.6322820438199</v>
      </c>
      <c r="AD1056" s="5">
        <f t="shared" si="1070"/>
        <v>1597.699646897584</v>
      </c>
      <c r="AE1056" s="5">
        <f t="shared" si="1070"/>
        <v>1668.767011751348</v>
      </c>
      <c r="AF1056" s="5">
        <f t="shared" si="1070"/>
        <v>1739.8343766051121</v>
      </c>
      <c r="AG1056" s="5">
        <f t="shared" si="1070"/>
        <v>1810.9017414588761</v>
      </c>
      <c r="AH1056" s="5">
        <f t="shared" si="1070"/>
        <v>1881.9691063126402</v>
      </c>
    </row>
    <row r="1057" spans="1:34" x14ac:dyDescent="0.35">
      <c r="A1057" t="s">
        <v>1077</v>
      </c>
      <c r="B1057" s="3" t="s">
        <v>1264</v>
      </c>
      <c r="C1057" s="4" t="s">
        <v>1263</v>
      </c>
      <c r="D1057" s="2">
        <f t="shared" si="1041"/>
        <v>7592.4893685845436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7592.4893685845436</v>
      </c>
      <c r="U1057" s="5">
        <v>0</v>
      </c>
      <c r="V1057" s="5">
        <v>0</v>
      </c>
      <c r="W1057" s="5">
        <f t="shared" ref="W1057:AH1057" si="1071">IF(OR((SLOPE($E1057:$V1057,$E$1:$V$1)*W$1+INTERCEPT($E1057:$V1057,$E$1:$V$1))&gt;(AVERAGE($E1057:$V1057)+_xlfn.STDEV.P($E1057:$V1057)),(SLOPE($E1057:$V1057,$E$1:$V$1)*W$1+INTERCEPT($E1057:$V1057,$E$1:$V$1))&lt;(AVERAGE($E1057:$V1057)-_xlfn.STDEV.P($E1057:$V1057))),V1057,(SLOPE($E1057:$V1057,$E$1:$V$1)*W$1+INTERCEPT($E1057:$V1057,$E$1:$V$1)))</f>
        <v>1389.4751785644917</v>
      </c>
      <c r="X1057" s="5">
        <f t="shared" si="1071"/>
        <v>1491.3352010532417</v>
      </c>
      <c r="Y1057" s="5">
        <f t="shared" si="1071"/>
        <v>1593.1952235419922</v>
      </c>
      <c r="Z1057" s="5">
        <f t="shared" si="1071"/>
        <v>1695.0552460307422</v>
      </c>
      <c r="AA1057" s="5">
        <f t="shared" si="1071"/>
        <v>1796.9152685194927</v>
      </c>
      <c r="AB1057" s="5">
        <f t="shared" si="1071"/>
        <v>1898.7752910082431</v>
      </c>
      <c r="AC1057" s="5">
        <f t="shared" si="1071"/>
        <v>2000.6353134969931</v>
      </c>
      <c r="AD1057" s="5">
        <f t="shared" si="1071"/>
        <v>2102.4953359857436</v>
      </c>
      <c r="AE1057" s="5">
        <f t="shared" si="1071"/>
        <v>2102.4953359857436</v>
      </c>
      <c r="AF1057" s="5">
        <f t="shared" si="1071"/>
        <v>2102.4953359857436</v>
      </c>
      <c r="AG1057" s="5">
        <f t="shared" si="1071"/>
        <v>2102.4953359857436</v>
      </c>
      <c r="AH1057" s="5">
        <f t="shared" si="1071"/>
        <v>2102.4953359857436</v>
      </c>
    </row>
    <row r="1058" spans="1:34" x14ac:dyDescent="0.35">
      <c r="A1058" t="s">
        <v>1078</v>
      </c>
      <c r="B1058" s="3" t="s">
        <v>1265</v>
      </c>
      <c r="C1058" s="4" t="s">
        <v>1263</v>
      </c>
      <c r="D1058" s="2">
        <f t="shared" si="1041"/>
        <v>7096.8660000000009</v>
      </c>
      <c r="E1058" s="5">
        <v>0</v>
      </c>
      <c r="F1058" s="5">
        <v>0</v>
      </c>
      <c r="G1058" s="5">
        <v>28.106399999999997</v>
      </c>
      <c r="H1058" s="5">
        <v>0</v>
      </c>
      <c r="I1058" s="5">
        <v>0</v>
      </c>
      <c r="J1058" s="5">
        <v>0</v>
      </c>
      <c r="K1058" s="5">
        <v>28.106399999999997</v>
      </c>
      <c r="L1058" s="5">
        <v>182.69160000000002</v>
      </c>
      <c r="M1058" s="5">
        <v>1180.4687999999999</v>
      </c>
      <c r="N1058" s="5">
        <v>899.40480000000002</v>
      </c>
      <c r="O1058" s="5">
        <v>716.7131999999998</v>
      </c>
      <c r="P1058" s="5">
        <v>421.59600000000006</v>
      </c>
      <c r="Q1058" s="5">
        <v>365.38320000000004</v>
      </c>
      <c r="R1058" s="5">
        <v>393.48960000000005</v>
      </c>
      <c r="S1058" s="5">
        <v>449.70240000000007</v>
      </c>
      <c r="T1058" s="5">
        <v>505.91520000000008</v>
      </c>
      <c r="U1058" s="5">
        <v>997.77719999999999</v>
      </c>
      <c r="V1058" s="5">
        <v>927.51120000000003</v>
      </c>
      <c r="W1058" s="5">
        <f t="shared" ref="W1058:AH1058" si="1072">IF(OR((SLOPE($E1058:$V1058,$E$1:$V$1)*W$1+INTERCEPT($E1058:$V1058,$E$1:$V$1))&gt;(AVERAGE($E1058:$V1058)+_xlfn.STDEV.P($E1058:$V1058)),(SLOPE($E1058:$V1058,$E$1:$V$1)*W$1+INTERCEPT($E1058:$V1058,$E$1:$V$1))&lt;(AVERAGE($E1058:$V1058)-_xlfn.STDEV.P($E1058:$V1058))),V1058,(SLOPE($E1058:$V1058,$E$1:$V$1)*W$1+INTERCEPT($E1058:$V1058,$E$1:$V$1)))</f>
        <v>927.51120000000003</v>
      </c>
      <c r="X1058" s="5">
        <f t="shared" si="1072"/>
        <v>927.51120000000003</v>
      </c>
      <c r="Y1058" s="5">
        <f t="shared" si="1072"/>
        <v>927.51120000000003</v>
      </c>
      <c r="Z1058" s="5">
        <f t="shared" si="1072"/>
        <v>927.51120000000003</v>
      </c>
      <c r="AA1058" s="5">
        <f t="shared" si="1072"/>
        <v>927.51120000000003</v>
      </c>
      <c r="AB1058" s="5">
        <f t="shared" si="1072"/>
        <v>927.51120000000003</v>
      </c>
      <c r="AC1058" s="5">
        <f t="shared" si="1072"/>
        <v>927.51120000000003</v>
      </c>
      <c r="AD1058" s="5">
        <f t="shared" si="1072"/>
        <v>927.51120000000003</v>
      </c>
      <c r="AE1058" s="5">
        <f t="shared" si="1072"/>
        <v>927.51120000000003</v>
      </c>
      <c r="AF1058" s="5">
        <f t="shared" si="1072"/>
        <v>927.51120000000003</v>
      </c>
      <c r="AG1058" s="5">
        <f t="shared" si="1072"/>
        <v>927.51120000000003</v>
      </c>
      <c r="AH1058" s="5">
        <f t="shared" si="1072"/>
        <v>927.51120000000003</v>
      </c>
    </row>
    <row r="1059" spans="1:34" x14ac:dyDescent="0.35">
      <c r="A1059" t="s">
        <v>1079</v>
      </c>
      <c r="B1059" s="3" t="s">
        <v>1264</v>
      </c>
      <c r="C1059" s="4" t="s">
        <v>1263</v>
      </c>
      <c r="D1059" s="2">
        <f t="shared" si="1041"/>
        <v>7516.0904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206.48599999999999</v>
      </c>
      <c r="M1059" s="5">
        <v>165.18879999999999</v>
      </c>
      <c r="N1059" s="5">
        <v>412.97200000000004</v>
      </c>
      <c r="O1059" s="5">
        <v>1651.8880000000004</v>
      </c>
      <c r="P1059" s="5">
        <v>1651.8880000000001</v>
      </c>
      <c r="Q1059" s="5">
        <v>0</v>
      </c>
      <c r="R1059" s="5">
        <v>247.78319999999997</v>
      </c>
      <c r="S1059" s="5">
        <v>1940.9684000000002</v>
      </c>
      <c r="T1059" s="5">
        <v>1238.9160000000002</v>
      </c>
      <c r="U1059" s="5">
        <v>0</v>
      </c>
      <c r="V1059" s="5">
        <v>0</v>
      </c>
      <c r="W1059" s="5">
        <f t="shared" ref="W1059:AH1059" si="1073">IF(OR((SLOPE($E1059:$V1059,$E$1:$V$1)*W$1+INTERCEPT($E1059:$V1059,$E$1:$V$1))&gt;(AVERAGE($E1059:$V1059)+_xlfn.STDEV.P($E1059:$V1059)),(SLOPE($E1059:$V1059,$E$1:$V$1)*W$1+INTERCEPT($E1059:$V1059,$E$1:$V$1))&lt;(AVERAGE($E1059:$V1059)-_xlfn.STDEV.P($E1059:$V1059))),V1059,(SLOPE($E1059:$V1059,$E$1:$V$1)*W$1+INTERCEPT($E1059:$V1059,$E$1:$V$1)))</f>
        <v>932.5609542483661</v>
      </c>
      <c r="X1059" s="5">
        <f t="shared" si="1073"/>
        <v>986.7715201926386</v>
      </c>
      <c r="Y1059" s="5">
        <f t="shared" si="1073"/>
        <v>1040.9820861369108</v>
      </c>
      <c r="Z1059" s="5">
        <f t="shared" si="1073"/>
        <v>1040.9820861369108</v>
      </c>
      <c r="AA1059" s="5">
        <f t="shared" si="1073"/>
        <v>1040.9820861369108</v>
      </c>
      <c r="AB1059" s="5">
        <f t="shared" si="1073"/>
        <v>1040.9820861369108</v>
      </c>
      <c r="AC1059" s="5">
        <f t="shared" si="1073"/>
        <v>1040.9820861369108</v>
      </c>
      <c r="AD1059" s="5">
        <f t="shared" si="1073"/>
        <v>1040.9820861369108</v>
      </c>
      <c r="AE1059" s="5">
        <f t="shared" si="1073"/>
        <v>1040.9820861369108</v>
      </c>
      <c r="AF1059" s="5">
        <f t="shared" si="1073"/>
        <v>1040.9820861369108</v>
      </c>
      <c r="AG1059" s="5">
        <f t="shared" si="1073"/>
        <v>1040.9820861369108</v>
      </c>
      <c r="AH1059" s="5">
        <f t="shared" si="1073"/>
        <v>1040.9820861369108</v>
      </c>
    </row>
    <row r="1060" spans="1:34" x14ac:dyDescent="0.35">
      <c r="A1060" t="s">
        <v>1080</v>
      </c>
      <c r="B1060" s="3" t="s">
        <v>1266</v>
      </c>
      <c r="C1060" s="4" t="s">
        <v>1266</v>
      </c>
      <c r="D1060" s="2">
        <f t="shared" si="1041"/>
        <v>7437.0325125725813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2169.5690920267839</v>
      </c>
      <c r="P1060" s="5">
        <v>0</v>
      </c>
      <c r="Q1060" s="5">
        <v>0</v>
      </c>
      <c r="R1060" s="5">
        <v>0</v>
      </c>
      <c r="S1060" s="5">
        <v>5267.4634205457978</v>
      </c>
      <c r="T1060" s="5">
        <v>0</v>
      </c>
      <c r="U1060" s="5">
        <v>0</v>
      </c>
      <c r="V1060" s="5">
        <v>0</v>
      </c>
      <c r="W1060" s="5">
        <f t="shared" ref="W1060:AH1060" si="1074">IF(OR((SLOPE($E1060:$V1060,$E$1:$V$1)*W$1+INTERCEPT($E1060:$V1060,$E$1:$V$1))&gt;(AVERAGE($E1060:$V1060)+_xlfn.STDEV.P($E1060:$V1060)),(SLOPE($E1060:$V1060,$E$1:$V$1)*W$1+INTERCEPT($E1060:$V1060,$E$1:$V$1))&lt;(AVERAGE($E1060:$V1060)-_xlfn.STDEV.P($E1060:$V1060))),V1060,(SLOPE($E1060:$V1060,$E$1:$V$1)*W$1+INTERCEPT($E1060:$V1060,$E$1:$V$1)))</f>
        <v>1045.0391092156415</v>
      </c>
      <c r="X1060" s="5">
        <f t="shared" si="1074"/>
        <v>1111.5518077730035</v>
      </c>
      <c r="Y1060" s="5">
        <f t="shared" si="1074"/>
        <v>1178.0645063303659</v>
      </c>
      <c r="Z1060" s="5">
        <f t="shared" si="1074"/>
        <v>1244.5772048877284</v>
      </c>
      <c r="AA1060" s="5">
        <f t="shared" si="1074"/>
        <v>1311.0899034450908</v>
      </c>
      <c r="AB1060" s="5">
        <f t="shared" si="1074"/>
        <v>1377.6026020024533</v>
      </c>
      <c r="AC1060" s="5">
        <f t="shared" si="1074"/>
        <v>1444.1153005598153</v>
      </c>
      <c r="AD1060" s="5">
        <f t="shared" si="1074"/>
        <v>1510.6279991171778</v>
      </c>
      <c r="AE1060" s="5">
        <f t="shared" si="1074"/>
        <v>1577.1406976745402</v>
      </c>
      <c r="AF1060" s="5">
        <f t="shared" si="1074"/>
        <v>1643.6533962319027</v>
      </c>
      <c r="AG1060" s="5">
        <f t="shared" si="1074"/>
        <v>1643.6533962319027</v>
      </c>
      <c r="AH1060" s="5">
        <f t="shared" si="1074"/>
        <v>1643.6533962319027</v>
      </c>
    </row>
    <row r="1061" spans="1:34" x14ac:dyDescent="0.35">
      <c r="A1061" t="s">
        <v>1081</v>
      </c>
      <c r="B1061" s="3" t="s">
        <v>1264</v>
      </c>
      <c r="C1061" s="4" t="s">
        <v>1263</v>
      </c>
      <c r="D1061" s="2">
        <f t="shared" si="1041"/>
        <v>7117.110475212854</v>
      </c>
      <c r="E1061" s="5">
        <v>0</v>
      </c>
      <c r="F1061" s="5">
        <v>0</v>
      </c>
      <c r="G1061" s="5">
        <v>2846.8441900851417</v>
      </c>
      <c r="H1061" s="5">
        <v>4270.2662851277128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f t="shared" ref="W1061:AH1061" si="1075">IF(OR((SLOPE($E1061:$V1061,$E$1:$V$1)*W$1+INTERCEPT($E1061:$V1061,$E$1:$V$1))&gt;(AVERAGE($E1061:$V1061)+_xlfn.STDEV.P($E1061:$V1061)),(SLOPE($E1061:$V1061,$E$1:$V$1)*W$1+INTERCEPT($E1061:$V1061,$E$1:$V$1))&lt;(AVERAGE($E1061:$V1061)-_xlfn.STDEV.P($E1061:$V1061))),V1061,(SLOPE($E1061:$V1061,$E$1:$V$1)*W$1+INTERCEPT($E1061:$V1061,$E$1:$V$1)))</f>
        <v>-427.95696975136138</v>
      </c>
      <c r="X1061" s="5">
        <f t="shared" si="1075"/>
        <v>-514.62560092526405</v>
      </c>
      <c r="Y1061" s="5">
        <f t="shared" si="1075"/>
        <v>-601.29423209916672</v>
      </c>
      <c r="Z1061" s="5">
        <f t="shared" si="1075"/>
        <v>-687.96286327306939</v>
      </c>
      <c r="AA1061" s="5">
        <f t="shared" si="1075"/>
        <v>-687.96286327306939</v>
      </c>
      <c r="AB1061" s="5">
        <f t="shared" si="1075"/>
        <v>-687.96286327306939</v>
      </c>
      <c r="AC1061" s="5">
        <f t="shared" si="1075"/>
        <v>-687.96286327306939</v>
      </c>
      <c r="AD1061" s="5">
        <f t="shared" si="1075"/>
        <v>-687.96286327306939</v>
      </c>
      <c r="AE1061" s="5">
        <f t="shared" si="1075"/>
        <v>-687.96286327306939</v>
      </c>
      <c r="AF1061" s="5">
        <f t="shared" si="1075"/>
        <v>-687.96286327306939</v>
      </c>
      <c r="AG1061" s="5">
        <f t="shared" si="1075"/>
        <v>-687.96286327306939</v>
      </c>
      <c r="AH1061" s="5">
        <f t="shared" si="1075"/>
        <v>-687.96286327306939</v>
      </c>
    </row>
    <row r="1062" spans="1:34" x14ac:dyDescent="0.35">
      <c r="A1062" t="s">
        <v>1082</v>
      </c>
      <c r="B1062" s="3" t="s">
        <v>1266</v>
      </c>
      <c r="C1062" s="4" t="s">
        <v>1267</v>
      </c>
      <c r="D1062" s="2">
        <f t="shared" si="1041"/>
        <v>7105.7974475214687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1819.7773950969611</v>
      </c>
      <c r="P1062" s="5">
        <v>0</v>
      </c>
      <c r="Q1062" s="5">
        <v>0</v>
      </c>
      <c r="R1062" s="5">
        <v>0</v>
      </c>
      <c r="S1062" s="5">
        <v>0</v>
      </c>
      <c r="T1062" s="5">
        <v>5286.0200524245074</v>
      </c>
      <c r="U1062" s="5">
        <v>0</v>
      </c>
      <c r="V1062" s="5">
        <v>0</v>
      </c>
      <c r="W1062" s="5">
        <f t="shared" ref="W1062:AH1062" si="1076">IF(OR((SLOPE($E1062:$V1062,$E$1:$V$1)*W$1+INTERCEPT($E1062:$V1062,$E$1:$V$1))&gt;(AVERAGE($E1062:$V1062)+_xlfn.STDEV.P($E1062:$V1062)),(SLOPE($E1062:$V1062,$E$1:$V$1)*W$1+INTERCEPT($E1062:$V1062,$E$1:$V$1))&lt;(AVERAGE($E1062:$V1062)-_xlfn.STDEV.P($E1062:$V1062))),V1062,(SLOPE($E1062:$V1062,$E$1:$V$1)*W$1+INTERCEPT($E1062:$V1062,$E$1:$V$1)))</f>
        <v>1121.9978274780829</v>
      </c>
      <c r="X1062" s="5">
        <f t="shared" si="1076"/>
        <v>1198.5484909113227</v>
      </c>
      <c r="Y1062" s="5">
        <f t="shared" si="1076"/>
        <v>1275.0991543445627</v>
      </c>
      <c r="Z1062" s="5">
        <f t="shared" si="1076"/>
        <v>1351.6498177778026</v>
      </c>
      <c r="AA1062" s="5">
        <f t="shared" si="1076"/>
        <v>1428.2004812110424</v>
      </c>
      <c r="AB1062" s="5">
        <f t="shared" si="1076"/>
        <v>1504.7511446442825</v>
      </c>
      <c r="AC1062" s="5">
        <f t="shared" si="1076"/>
        <v>1581.3018080775223</v>
      </c>
      <c r="AD1062" s="5">
        <f t="shared" si="1076"/>
        <v>1581.3018080775223</v>
      </c>
      <c r="AE1062" s="5">
        <f t="shared" si="1076"/>
        <v>1581.3018080775223</v>
      </c>
      <c r="AF1062" s="5">
        <f t="shared" si="1076"/>
        <v>1581.3018080775223</v>
      </c>
      <c r="AG1062" s="5">
        <f t="shared" si="1076"/>
        <v>1581.3018080775223</v>
      </c>
      <c r="AH1062" s="5">
        <f t="shared" si="1076"/>
        <v>1581.3018080775223</v>
      </c>
    </row>
    <row r="1063" spans="1:34" x14ac:dyDescent="0.35">
      <c r="A1063" t="s">
        <v>1083</v>
      </c>
      <c r="B1063" s="3" t="s">
        <v>1264</v>
      </c>
      <c r="C1063" s="4" t="s">
        <v>1263</v>
      </c>
      <c r="D1063" s="2">
        <f t="shared" si="1041"/>
        <v>7075.3277835438375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7075.3277835438375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f t="shared" ref="W1063:AH1063" si="1077">IF(OR((SLOPE($E1063:$V1063,$E$1:$V$1)*W$1+INTERCEPT($E1063:$V1063,$E$1:$V$1))&gt;(AVERAGE($E1063:$V1063)+_xlfn.STDEV.P($E1063:$V1063)),(SLOPE($E1063:$V1063,$E$1:$V$1)*W$1+INTERCEPT($E1063:$V1063,$E$1:$V$1))&lt;(AVERAGE($E1063:$V1063)-_xlfn.STDEV.P($E1063:$V1063))),V1063,(SLOPE($E1063:$V1063,$E$1:$V$1)*W$1+INTERCEPT($E1063:$V1063,$E$1:$V$1)))</f>
        <v>739.90355906340778</v>
      </c>
      <c r="X1063" s="5">
        <f t="shared" si="1077"/>
        <v>776.41195835929966</v>
      </c>
      <c r="Y1063" s="5">
        <f t="shared" si="1077"/>
        <v>812.92035765519154</v>
      </c>
      <c r="Z1063" s="5">
        <f t="shared" si="1077"/>
        <v>849.42875695108341</v>
      </c>
      <c r="AA1063" s="5">
        <f t="shared" si="1077"/>
        <v>885.93715624697506</v>
      </c>
      <c r="AB1063" s="5">
        <f t="shared" si="1077"/>
        <v>922.44555554286694</v>
      </c>
      <c r="AC1063" s="5">
        <f t="shared" si="1077"/>
        <v>958.95395483875882</v>
      </c>
      <c r="AD1063" s="5">
        <f t="shared" si="1077"/>
        <v>995.4623541346507</v>
      </c>
      <c r="AE1063" s="5">
        <f t="shared" si="1077"/>
        <v>1031.9707534305426</v>
      </c>
      <c r="AF1063" s="5">
        <f t="shared" si="1077"/>
        <v>1068.4791527264344</v>
      </c>
      <c r="AG1063" s="5">
        <f t="shared" si="1077"/>
        <v>1104.9875520223263</v>
      </c>
      <c r="AH1063" s="5">
        <f t="shared" si="1077"/>
        <v>1141.495951318218</v>
      </c>
    </row>
    <row r="1064" spans="1:34" x14ac:dyDescent="0.35">
      <c r="A1064" t="s">
        <v>1084</v>
      </c>
      <c r="B1064" s="3" t="s">
        <v>1266</v>
      </c>
      <c r="C1064" s="4" t="s">
        <v>1267</v>
      </c>
      <c r="D1064" s="2">
        <f t="shared" si="1041"/>
        <v>7062.4694143048737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2151.9589830908508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4910.5104312140229</v>
      </c>
      <c r="V1064" s="5">
        <v>0</v>
      </c>
      <c r="W1064" s="5">
        <f t="shared" ref="W1064:AH1064" si="1078">IF(OR((SLOPE($E1064:$V1064,$E$1:$V$1)*W$1+INTERCEPT($E1064:$V1064,$E$1:$V$1))&gt;(AVERAGE($E1064:$V1064)+_xlfn.STDEV.P($E1064:$V1064)),(SLOPE($E1064:$V1064,$E$1:$V$1)*W$1+INTERCEPT($E1064:$V1064,$E$1:$V$1))&lt;(AVERAGE($E1064:$V1064)-_xlfn.STDEV.P($E1064:$V1064))),V1064,(SLOPE($E1064:$V1064,$E$1:$V$1)*W$1+INTERCEPT($E1064:$V1064,$E$1:$V$1)))</f>
        <v>1177.786210116443</v>
      </c>
      <c r="X1064" s="5">
        <f t="shared" si="1078"/>
        <v>1260.4627151912448</v>
      </c>
      <c r="Y1064" s="5">
        <f t="shared" si="1078"/>
        <v>1343.1392202660466</v>
      </c>
      <c r="Z1064" s="5">
        <f t="shared" si="1078"/>
        <v>1425.8157253408483</v>
      </c>
      <c r="AA1064" s="5">
        <f t="shared" si="1078"/>
        <v>1508.4922304156501</v>
      </c>
      <c r="AB1064" s="5">
        <f t="shared" si="1078"/>
        <v>1591.1687354904518</v>
      </c>
      <c r="AC1064" s="5">
        <f t="shared" si="1078"/>
        <v>1591.1687354904518</v>
      </c>
      <c r="AD1064" s="5">
        <f t="shared" si="1078"/>
        <v>1591.1687354904518</v>
      </c>
      <c r="AE1064" s="5">
        <f t="shared" si="1078"/>
        <v>1591.1687354904518</v>
      </c>
      <c r="AF1064" s="5">
        <f t="shared" si="1078"/>
        <v>1591.1687354904518</v>
      </c>
      <c r="AG1064" s="5">
        <f t="shared" si="1078"/>
        <v>1591.1687354904518</v>
      </c>
      <c r="AH1064" s="5">
        <f t="shared" si="1078"/>
        <v>1591.1687354904518</v>
      </c>
    </row>
    <row r="1065" spans="1:34" x14ac:dyDescent="0.35">
      <c r="A1065" t="s">
        <v>1085</v>
      </c>
      <c r="B1065" s="3" t="s">
        <v>1264</v>
      </c>
      <c r="C1065" s="4" t="s">
        <v>1263</v>
      </c>
      <c r="D1065" s="2">
        <f t="shared" si="1041"/>
        <v>7027.4227026546287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1479.4574110851852</v>
      </c>
      <c r="M1065" s="5">
        <v>0</v>
      </c>
      <c r="N1065" s="5">
        <v>0</v>
      </c>
      <c r="O1065" s="5">
        <v>0</v>
      </c>
      <c r="P1065" s="5">
        <v>739.72870554259259</v>
      </c>
      <c r="Q1065" s="5">
        <v>0</v>
      </c>
      <c r="R1065" s="5">
        <v>369.8643527712963</v>
      </c>
      <c r="S1065" s="5">
        <v>0</v>
      </c>
      <c r="T1065" s="5">
        <v>2219.1861166277777</v>
      </c>
      <c r="U1065" s="5">
        <v>1479.4574110851852</v>
      </c>
      <c r="V1065" s="5">
        <v>739.72870554259259</v>
      </c>
      <c r="W1065" s="5">
        <f t="shared" ref="W1065:AH1065" si="1079">IF(OR((SLOPE($E1065:$V1065,$E$1:$V$1)*W$1+INTERCEPT($E1065:$V1065,$E$1:$V$1))&gt;(AVERAGE($E1065:$V1065)+_xlfn.STDEV.P($E1065:$V1065)),(SLOPE($E1065:$V1065,$E$1:$V$1)*W$1+INTERCEPT($E1065:$V1065,$E$1:$V$1))&lt;(AVERAGE($E1065:$V1065)-_xlfn.STDEV.P($E1065:$V1065))),V1065,(SLOPE($E1065:$V1065,$E$1:$V$1)*W$1+INTERCEPT($E1065:$V1065,$E$1:$V$1)))</f>
        <v>1039.4880502722706</v>
      </c>
      <c r="X1065" s="5">
        <f t="shared" si="1079"/>
        <v>1039.4880502722706</v>
      </c>
      <c r="Y1065" s="5">
        <f t="shared" si="1079"/>
        <v>1039.4880502722706</v>
      </c>
      <c r="Z1065" s="5">
        <f t="shared" si="1079"/>
        <v>1039.4880502722706</v>
      </c>
      <c r="AA1065" s="5">
        <f t="shared" si="1079"/>
        <v>1039.4880502722706</v>
      </c>
      <c r="AB1065" s="5">
        <f t="shared" si="1079"/>
        <v>1039.4880502722706</v>
      </c>
      <c r="AC1065" s="5">
        <f t="shared" si="1079"/>
        <v>1039.4880502722706</v>
      </c>
      <c r="AD1065" s="5">
        <f t="shared" si="1079"/>
        <v>1039.4880502722706</v>
      </c>
      <c r="AE1065" s="5">
        <f t="shared" si="1079"/>
        <v>1039.4880502722706</v>
      </c>
      <c r="AF1065" s="5">
        <f t="shared" si="1079"/>
        <v>1039.4880502722706</v>
      </c>
      <c r="AG1065" s="5">
        <f t="shared" si="1079"/>
        <v>1039.4880502722706</v>
      </c>
      <c r="AH1065" s="5">
        <f t="shared" si="1079"/>
        <v>1039.4880502722706</v>
      </c>
    </row>
    <row r="1066" spans="1:34" x14ac:dyDescent="0.35">
      <c r="A1066" t="s">
        <v>1086</v>
      </c>
      <c r="B1066" s="3" t="s">
        <v>1265</v>
      </c>
      <c r="C1066" s="4" t="s">
        <v>1263</v>
      </c>
      <c r="D1066" s="2">
        <f t="shared" si="1041"/>
        <v>7015.9908217272714</v>
      </c>
      <c r="E1066" s="5">
        <v>0</v>
      </c>
      <c r="F1066" s="5">
        <v>0</v>
      </c>
      <c r="G1066" s="5">
        <v>0</v>
      </c>
      <c r="H1066" s="5">
        <v>1931.006648181818</v>
      </c>
      <c r="I1066" s="5">
        <v>3298.8030239772725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96.550332409090899</v>
      </c>
      <c r="S1066" s="5">
        <v>0</v>
      </c>
      <c r="T1066" s="5">
        <v>643.66888272727272</v>
      </c>
      <c r="U1066" s="5">
        <v>965.50332409090902</v>
      </c>
      <c r="V1066" s="5">
        <v>80.45861034090909</v>
      </c>
      <c r="W1066" s="5">
        <f t="shared" ref="W1066:AH1066" si="1080">IF(OR((SLOPE($E1066:$V1066,$E$1:$V$1)*W$1+INTERCEPT($E1066:$V1066,$E$1:$V$1))&gt;(AVERAGE($E1066:$V1066)+_xlfn.STDEV.P($E1066:$V1066)),(SLOPE($E1066:$V1066,$E$1:$V$1)*W$1+INTERCEPT($E1066:$V1066,$E$1:$V$1))&lt;(AVERAGE($E1066:$V1066)-_xlfn.STDEV.P($E1066:$V1066))),V1066,(SLOPE($E1066:$V1066,$E$1:$V$1)*W$1+INTERCEPT($E1066:$V1066,$E$1:$V$1)))</f>
        <v>136.41152629040397</v>
      </c>
      <c r="X1066" s="5">
        <f t="shared" si="1080"/>
        <v>109.74144822900041</v>
      </c>
      <c r="Y1066" s="5">
        <f t="shared" si="1080"/>
        <v>83.071370167596911</v>
      </c>
      <c r="Z1066" s="5">
        <f t="shared" si="1080"/>
        <v>56.401292106193409</v>
      </c>
      <c r="AA1066" s="5">
        <f t="shared" si="1080"/>
        <v>29.731214044789908</v>
      </c>
      <c r="AB1066" s="5">
        <f t="shared" si="1080"/>
        <v>3.0611359833864071</v>
      </c>
      <c r="AC1066" s="5">
        <f t="shared" si="1080"/>
        <v>-23.608942078017094</v>
      </c>
      <c r="AD1066" s="5">
        <f t="shared" si="1080"/>
        <v>-50.279020139420595</v>
      </c>
      <c r="AE1066" s="5">
        <f t="shared" si="1080"/>
        <v>-76.949098200824096</v>
      </c>
      <c r="AF1066" s="5">
        <f t="shared" si="1080"/>
        <v>-103.6191762622276</v>
      </c>
      <c r="AG1066" s="5">
        <f t="shared" si="1080"/>
        <v>-130.2892543236311</v>
      </c>
      <c r="AH1066" s="5">
        <f t="shared" si="1080"/>
        <v>-156.9593323850346</v>
      </c>
    </row>
    <row r="1067" spans="1:34" x14ac:dyDescent="0.35">
      <c r="A1067" t="s">
        <v>1087</v>
      </c>
      <c r="B1067" s="3" t="s">
        <v>1266</v>
      </c>
      <c r="C1067" s="4" t="s">
        <v>1266</v>
      </c>
      <c r="D1067" s="2">
        <f t="shared" si="1041"/>
        <v>6995.0702515235043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2084.5598203094819</v>
      </c>
      <c r="P1067" s="5">
        <v>0</v>
      </c>
      <c r="Q1067" s="5">
        <v>0</v>
      </c>
      <c r="R1067" s="5">
        <v>0</v>
      </c>
      <c r="S1067" s="5">
        <v>4910.5104312140229</v>
      </c>
      <c r="T1067" s="5">
        <v>0</v>
      </c>
      <c r="U1067" s="5">
        <v>0</v>
      </c>
      <c r="V1067" s="5">
        <v>0</v>
      </c>
      <c r="W1067" s="5">
        <f t="shared" ref="W1067:AH1067" si="1081">IF(OR((SLOPE($E1067:$V1067,$E$1:$V$1)*W$1+INTERCEPT($E1067:$V1067,$E$1:$V$1))&gt;(AVERAGE($E1067:$V1067)+_xlfn.STDEV.P($E1067:$V1067)),(SLOPE($E1067:$V1067,$E$1:$V$1)*W$1+INTERCEPT($E1067:$V1067,$E$1:$V$1))&lt;(AVERAGE($E1067:$V1067)-_xlfn.STDEV.P($E1067:$V1067))),V1067,(SLOPE($E1067:$V1067,$E$1:$V$1)*W$1+INTERCEPT($E1067:$V1067,$E$1:$V$1)))</f>
        <v>979.49044734884853</v>
      </c>
      <c r="X1067" s="5">
        <f t="shared" si="1081"/>
        <v>1041.6878613883559</v>
      </c>
      <c r="Y1067" s="5">
        <f t="shared" si="1081"/>
        <v>1103.8852754278632</v>
      </c>
      <c r="Z1067" s="5">
        <f t="shared" si="1081"/>
        <v>1166.0826894673705</v>
      </c>
      <c r="AA1067" s="5">
        <f t="shared" si="1081"/>
        <v>1228.2801035068783</v>
      </c>
      <c r="AB1067" s="5">
        <f t="shared" si="1081"/>
        <v>1290.4775175463856</v>
      </c>
      <c r="AC1067" s="5">
        <f t="shared" si="1081"/>
        <v>1352.6749315858929</v>
      </c>
      <c r="AD1067" s="5">
        <f t="shared" si="1081"/>
        <v>1414.8723456254006</v>
      </c>
      <c r="AE1067" s="5">
        <f t="shared" si="1081"/>
        <v>1477.0697596649079</v>
      </c>
      <c r="AF1067" s="5">
        <f t="shared" si="1081"/>
        <v>1539.2671737044152</v>
      </c>
      <c r="AG1067" s="5">
        <f t="shared" si="1081"/>
        <v>1539.2671737044152</v>
      </c>
      <c r="AH1067" s="5">
        <f t="shared" si="1081"/>
        <v>1539.2671737044152</v>
      </c>
    </row>
    <row r="1068" spans="1:34" x14ac:dyDescent="0.35">
      <c r="A1068" t="s">
        <v>1088</v>
      </c>
      <c r="B1068" s="3" t="s">
        <v>1264</v>
      </c>
      <c r="C1068" s="4" t="s">
        <v>1267</v>
      </c>
      <c r="D1068" s="2">
        <f t="shared" si="1041"/>
        <v>6881.4500021668073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6881.4500021668073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f t="shared" ref="W1068:AH1068" si="1082">IF(OR((SLOPE($E1068:$V1068,$E$1:$V$1)*W$1+INTERCEPT($E1068:$V1068,$E$1:$V$1))&gt;(AVERAGE($E1068:$V1068)+_xlfn.STDEV.P($E1068:$V1068)),(SLOPE($E1068:$V1068,$E$1:$V$1)*W$1+INTERCEPT($E1068:$V1068,$E$1:$V$1))&lt;(AVERAGE($E1068:$V1068)-_xlfn.STDEV.P($E1068:$V1068))),V1068,(SLOPE($E1068:$V1068,$E$1:$V$1)*W$1+INTERCEPT($E1068:$V1068,$E$1:$V$1)))</f>
        <v>854.55915059587801</v>
      </c>
      <c r="X1068" s="5">
        <f t="shared" si="1082"/>
        <v>904.27034772195407</v>
      </c>
      <c r="Y1068" s="5">
        <f t="shared" si="1082"/>
        <v>953.98154484803013</v>
      </c>
      <c r="Z1068" s="5">
        <f t="shared" si="1082"/>
        <v>1003.692741974106</v>
      </c>
      <c r="AA1068" s="5">
        <f t="shared" si="1082"/>
        <v>1053.403939100182</v>
      </c>
      <c r="AB1068" s="5">
        <f t="shared" si="1082"/>
        <v>1103.1151362262581</v>
      </c>
      <c r="AC1068" s="5">
        <f t="shared" si="1082"/>
        <v>1152.8263333523341</v>
      </c>
      <c r="AD1068" s="5">
        <f t="shared" si="1082"/>
        <v>1202.5375304784102</v>
      </c>
      <c r="AE1068" s="5">
        <f t="shared" si="1082"/>
        <v>1252.248727604486</v>
      </c>
      <c r="AF1068" s="5">
        <f t="shared" si="1082"/>
        <v>1301.9599247305621</v>
      </c>
      <c r="AG1068" s="5">
        <f t="shared" si="1082"/>
        <v>1351.6711218566381</v>
      </c>
      <c r="AH1068" s="5">
        <f t="shared" si="1082"/>
        <v>1401.382318982714</v>
      </c>
    </row>
    <row r="1069" spans="1:34" x14ac:dyDescent="0.35">
      <c r="A1069" t="s">
        <v>1089</v>
      </c>
      <c r="B1069" s="3" t="s">
        <v>1266</v>
      </c>
      <c r="C1069" s="4" t="s">
        <v>1263</v>
      </c>
      <c r="D1069" s="2">
        <f t="shared" si="1041"/>
        <v>6773.5194994404465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6773.5194994404465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f t="shared" ref="W1069:AH1069" si="1083">IF(OR((SLOPE($E1069:$V1069,$E$1:$V$1)*W$1+INTERCEPT($E1069:$V1069,$E$1:$V$1))&gt;(AVERAGE($E1069:$V1069)+_xlfn.STDEV.P($E1069:$V1069)),(SLOPE($E1069:$V1069,$E$1:$V$1)*W$1+INTERCEPT($E1069:$V1069,$E$1:$V$1))&lt;(AVERAGE($E1069:$V1069)-_xlfn.STDEV.P($E1069:$V1069))),V1069,(SLOPE($E1069:$V1069,$E$1:$V$1)*W$1+INTERCEPT($E1069:$V1069,$E$1:$V$1)))</f>
        <v>177.08547710955412</v>
      </c>
      <c r="X1069" s="5">
        <f t="shared" si="1083"/>
        <v>156.11482850447533</v>
      </c>
      <c r="Y1069" s="5">
        <f t="shared" si="1083"/>
        <v>135.14417989939659</v>
      </c>
      <c r="Z1069" s="5">
        <f t="shared" si="1083"/>
        <v>114.1735312943178</v>
      </c>
      <c r="AA1069" s="5">
        <f t="shared" si="1083"/>
        <v>93.202882689239004</v>
      </c>
      <c r="AB1069" s="5">
        <f t="shared" si="1083"/>
        <v>72.232234084160211</v>
      </c>
      <c r="AC1069" s="5">
        <f t="shared" si="1083"/>
        <v>51.261585479081418</v>
      </c>
      <c r="AD1069" s="5">
        <f t="shared" si="1083"/>
        <v>30.290936874002682</v>
      </c>
      <c r="AE1069" s="5">
        <f t="shared" si="1083"/>
        <v>9.3202882689238322</v>
      </c>
      <c r="AF1069" s="5">
        <f t="shared" si="1083"/>
        <v>-11.650360336154904</v>
      </c>
      <c r="AG1069" s="5">
        <f t="shared" si="1083"/>
        <v>-32.621008941233754</v>
      </c>
      <c r="AH1069" s="5">
        <f t="shared" si="1083"/>
        <v>-53.59165754631249</v>
      </c>
    </row>
    <row r="1070" spans="1:34" x14ac:dyDescent="0.35">
      <c r="A1070" t="s">
        <v>1090</v>
      </c>
      <c r="B1070" s="3" t="s">
        <v>1264</v>
      </c>
      <c r="C1070" s="4" t="s">
        <v>1263</v>
      </c>
      <c r="D1070" s="2">
        <f t="shared" si="1041"/>
        <v>6609.6691512463494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5008.0764011694018</v>
      </c>
      <c r="N1070" s="5">
        <v>99.169829726126778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441.30574228126409</v>
      </c>
      <c r="V1070" s="5">
        <v>1061.1171780695565</v>
      </c>
      <c r="W1070" s="5">
        <f t="shared" ref="W1070:AH1070" si="1084">IF(OR((SLOPE($E1070:$V1070,$E$1:$V$1)*W$1+INTERCEPT($E1070:$V1070,$E$1:$V$1))&gt;(AVERAGE($E1070:$V1070)+_xlfn.STDEV.P($E1070:$V1070)),(SLOPE($E1070:$V1070,$E$1:$V$1)*W$1+INTERCEPT($E1070:$V1070,$E$1:$V$1))&lt;(AVERAGE($E1070:$V1070)-_xlfn.STDEV.P($E1070:$V1070))),V1070,(SLOPE($E1070:$V1070,$E$1:$V$1)*W$1+INTERCEPT($E1070:$V1070,$E$1:$V$1)))</f>
        <v>560.82807301000776</v>
      </c>
      <c r="X1070" s="5">
        <f t="shared" si="1084"/>
        <v>581.2095710388603</v>
      </c>
      <c r="Y1070" s="5">
        <f t="shared" si="1084"/>
        <v>601.59106906771285</v>
      </c>
      <c r="Z1070" s="5">
        <f t="shared" si="1084"/>
        <v>621.97256709656551</v>
      </c>
      <c r="AA1070" s="5">
        <f t="shared" si="1084"/>
        <v>642.35406512541817</v>
      </c>
      <c r="AB1070" s="5">
        <f t="shared" si="1084"/>
        <v>662.73556315427072</v>
      </c>
      <c r="AC1070" s="5">
        <f t="shared" si="1084"/>
        <v>683.11706118312327</v>
      </c>
      <c r="AD1070" s="5">
        <f t="shared" si="1084"/>
        <v>703.49855921197582</v>
      </c>
      <c r="AE1070" s="5">
        <f t="shared" si="1084"/>
        <v>723.88005724082836</v>
      </c>
      <c r="AF1070" s="5">
        <f t="shared" si="1084"/>
        <v>744.26155526968091</v>
      </c>
      <c r="AG1070" s="5">
        <f t="shared" si="1084"/>
        <v>764.64305329853346</v>
      </c>
      <c r="AH1070" s="5">
        <f t="shared" si="1084"/>
        <v>785.02455132738623</v>
      </c>
    </row>
    <row r="1071" spans="1:34" x14ac:dyDescent="0.35">
      <c r="A1071" t="s">
        <v>1091</v>
      </c>
      <c r="B1071" s="3" t="s">
        <v>1266</v>
      </c>
      <c r="C1071" s="4" t="s">
        <v>1263</v>
      </c>
      <c r="D1071" s="2">
        <f t="shared" si="1041"/>
        <v>6420.8108314101582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6420.8108314101582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f t="shared" ref="W1071:AH1071" si="1085">IF(OR((SLOPE($E1071:$V1071,$E$1:$V$1)*W$1+INTERCEPT($E1071:$V1071,$E$1:$V$1))&gt;(AVERAGE($E1071:$V1071)+_xlfn.STDEV.P($E1071:$V1071)),(SLOPE($E1071:$V1071,$E$1:$V$1)*W$1+INTERCEPT($E1071:$V1071,$E$1:$V$1))&lt;(AVERAGE($E1071:$V1071)-_xlfn.STDEV.P($E1071:$V1071))),V1071,(SLOPE($E1071:$V1071,$E$1:$V$1)*W$1+INTERCEPT($E1071:$V1071,$E$1:$V$1)))</f>
        <v>-83.932167730851802</v>
      </c>
      <c r="X1071" s="5">
        <f t="shared" si="1085"/>
        <v>-130.3157341084277</v>
      </c>
      <c r="Y1071" s="5">
        <f t="shared" si="1085"/>
        <v>-176.69930048600372</v>
      </c>
      <c r="Z1071" s="5">
        <f t="shared" si="1085"/>
        <v>-223.08286686357962</v>
      </c>
      <c r="AA1071" s="5">
        <f t="shared" si="1085"/>
        <v>-269.46643324115564</v>
      </c>
      <c r="AB1071" s="5">
        <f t="shared" si="1085"/>
        <v>-315.84999961873166</v>
      </c>
      <c r="AC1071" s="5">
        <f t="shared" si="1085"/>
        <v>-362.23356599630768</v>
      </c>
      <c r="AD1071" s="5">
        <f t="shared" si="1085"/>
        <v>-408.61713237388346</v>
      </c>
      <c r="AE1071" s="5">
        <f t="shared" si="1085"/>
        <v>-455.00069875145948</v>
      </c>
      <c r="AF1071" s="5">
        <f t="shared" si="1085"/>
        <v>-501.3842651290355</v>
      </c>
      <c r="AG1071" s="5">
        <f t="shared" si="1085"/>
        <v>-547.76783150661151</v>
      </c>
      <c r="AH1071" s="5">
        <f t="shared" si="1085"/>
        <v>-594.1513978841873</v>
      </c>
    </row>
    <row r="1072" spans="1:34" x14ac:dyDescent="0.35">
      <c r="A1072" t="s">
        <v>1092</v>
      </c>
      <c r="B1072" s="3" t="s">
        <v>1264</v>
      </c>
      <c r="C1072" s="4" t="s">
        <v>1263</v>
      </c>
      <c r="D1072" s="2">
        <f t="shared" si="1041"/>
        <v>6310.9614505160325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4728.5393657427248</v>
      </c>
      <c r="N1072" s="5">
        <v>93.634442885994545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505.62599158437058</v>
      </c>
      <c r="V1072" s="5">
        <v>983.1616503029428</v>
      </c>
      <c r="W1072" s="5">
        <f t="shared" ref="W1072:AH1072" si="1086">IF(OR((SLOPE($E1072:$V1072,$E$1:$V$1)*W$1+INTERCEPT($E1072:$V1072,$E$1:$V$1))&gt;(AVERAGE($E1072:$V1072)+_xlfn.STDEV.P($E1072:$V1072)),(SLOPE($E1072:$V1072,$E$1:$V$1)*W$1+INTERCEPT($E1072:$V1072,$E$1:$V$1))&lt;(AVERAGE($E1072:$V1072)-_xlfn.STDEV.P($E1072:$V1072))),V1072,(SLOPE($E1072:$V1072,$E$1:$V$1)*W$1+INTERCEPT($E1072:$V1072,$E$1:$V$1)))</f>
        <v>543.38576365016047</v>
      </c>
      <c r="X1072" s="5">
        <f t="shared" si="1086"/>
        <v>563.67805777406033</v>
      </c>
      <c r="Y1072" s="5">
        <f t="shared" si="1086"/>
        <v>583.97035189795997</v>
      </c>
      <c r="Z1072" s="5">
        <f t="shared" si="1086"/>
        <v>604.26264602185984</v>
      </c>
      <c r="AA1072" s="5">
        <f t="shared" si="1086"/>
        <v>624.55494014575947</v>
      </c>
      <c r="AB1072" s="5">
        <f t="shared" si="1086"/>
        <v>644.84723426965934</v>
      </c>
      <c r="AC1072" s="5">
        <f t="shared" si="1086"/>
        <v>665.13952839355898</v>
      </c>
      <c r="AD1072" s="5">
        <f t="shared" si="1086"/>
        <v>685.43182251745884</v>
      </c>
      <c r="AE1072" s="5">
        <f t="shared" si="1086"/>
        <v>705.72411664135848</v>
      </c>
      <c r="AF1072" s="5">
        <f t="shared" si="1086"/>
        <v>726.01641076525834</v>
      </c>
      <c r="AG1072" s="5">
        <f t="shared" si="1086"/>
        <v>746.30870488915798</v>
      </c>
      <c r="AH1072" s="5">
        <f t="shared" si="1086"/>
        <v>766.60099901305784</v>
      </c>
    </row>
    <row r="1073" spans="1:34" x14ac:dyDescent="0.35">
      <c r="A1073" t="s">
        <v>1093</v>
      </c>
      <c r="B1073" s="3" t="s">
        <v>1264</v>
      </c>
      <c r="C1073" s="4" t="s">
        <v>1263</v>
      </c>
      <c r="D1073" s="2">
        <f t="shared" si="1041"/>
        <v>6301.3058474772133</v>
      </c>
      <c r="E1073" s="5">
        <v>700.14509416413466</v>
      </c>
      <c r="F1073" s="5">
        <v>2100.4352824924044</v>
      </c>
      <c r="G1073" s="5">
        <v>1400.2901883282696</v>
      </c>
      <c r="H1073" s="5">
        <v>0</v>
      </c>
      <c r="I1073" s="5">
        <v>2100.4352824924044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f t="shared" ref="W1073:AH1073" si="1087">IF(OR((SLOPE($E1073:$V1073,$E$1:$V$1)*W$1+INTERCEPT($E1073:$V1073,$E$1:$V$1))&gt;(AVERAGE($E1073:$V1073)+_xlfn.STDEV.P($E1073:$V1073)),(SLOPE($E1073:$V1073,$E$1:$V$1)*W$1+INTERCEPT($E1073:$V1073,$E$1:$V$1))&lt;(AVERAGE($E1073:$V1073)-_xlfn.STDEV.P($E1073:$V1073))),V1073,(SLOPE($E1073:$V1073,$E$1:$V$1)*W$1+INTERCEPT($E1073:$V1073,$E$1:$V$1)))</f>
        <v>0</v>
      </c>
      <c r="X1073" s="5">
        <f t="shared" si="1087"/>
        <v>0</v>
      </c>
      <c r="Y1073" s="5">
        <f t="shared" si="1087"/>
        <v>0</v>
      </c>
      <c r="Z1073" s="5">
        <f t="shared" si="1087"/>
        <v>0</v>
      </c>
      <c r="AA1073" s="5">
        <f t="shared" si="1087"/>
        <v>0</v>
      </c>
      <c r="AB1073" s="5">
        <f t="shared" si="1087"/>
        <v>0</v>
      </c>
      <c r="AC1073" s="5">
        <f t="shared" si="1087"/>
        <v>0</v>
      </c>
      <c r="AD1073" s="5">
        <f t="shared" si="1087"/>
        <v>0</v>
      </c>
      <c r="AE1073" s="5">
        <f t="shared" si="1087"/>
        <v>0</v>
      </c>
      <c r="AF1073" s="5">
        <f t="shared" si="1087"/>
        <v>0</v>
      </c>
      <c r="AG1073" s="5">
        <f t="shared" si="1087"/>
        <v>0</v>
      </c>
      <c r="AH1073" s="5">
        <f t="shared" si="1087"/>
        <v>0</v>
      </c>
    </row>
    <row r="1074" spans="1:34" x14ac:dyDescent="0.35">
      <c r="A1074" t="s">
        <v>1094</v>
      </c>
      <c r="B1074" s="3" t="s">
        <v>1264</v>
      </c>
      <c r="C1074" s="4" t="s">
        <v>1267</v>
      </c>
      <c r="D1074" s="2">
        <f t="shared" si="1041"/>
        <v>5991.5748881882337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5991.5748881882337</v>
      </c>
      <c r="S1074" s="5">
        <v>0</v>
      </c>
      <c r="T1074" s="5">
        <v>0</v>
      </c>
      <c r="U1074" s="5">
        <v>0</v>
      </c>
      <c r="V1074" s="5">
        <v>0</v>
      </c>
      <c r="W1074" s="5">
        <f t="shared" ref="W1074:AH1074" si="1088">IF(OR((SLOPE($E1074:$V1074,$E$1:$V$1)*W$1+INTERCEPT($E1074:$V1074,$E$1:$V$1))&gt;(AVERAGE($E1074:$V1074)+_xlfn.STDEV.P($E1074:$V1074)),(SLOPE($E1074:$V1074,$E$1:$V$1)*W$1+INTERCEPT($E1074:$V1074,$E$1:$V$1))&lt;(AVERAGE($E1074:$V1074)-_xlfn.STDEV.P($E1074:$V1074))),V1074,(SLOPE($E1074:$V1074,$E$1:$V$1)*W$1+INTERCEPT($E1074:$V1074,$E$1:$V$1)))</f>
        <v>861.5336440532102</v>
      </c>
      <c r="X1074" s="5">
        <f t="shared" si="1088"/>
        <v>917.18294642028366</v>
      </c>
      <c r="Y1074" s="5">
        <f t="shared" si="1088"/>
        <v>972.83224878735689</v>
      </c>
      <c r="Z1074" s="5">
        <f t="shared" si="1088"/>
        <v>1028.4815511544302</v>
      </c>
      <c r="AA1074" s="5">
        <f t="shared" si="1088"/>
        <v>1084.1308535215039</v>
      </c>
      <c r="AB1074" s="5">
        <f t="shared" si="1088"/>
        <v>1139.7801558885772</v>
      </c>
      <c r="AC1074" s="5">
        <f t="shared" si="1088"/>
        <v>1195.4294582556504</v>
      </c>
      <c r="AD1074" s="5">
        <f t="shared" si="1088"/>
        <v>1251.0787606227241</v>
      </c>
      <c r="AE1074" s="5">
        <f t="shared" si="1088"/>
        <v>1306.7280629897973</v>
      </c>
      <c r="AF1074" s="5">
        <f t="shared" si="1088"/>
        <v>1362.3773653568705</v>
      </c>
      <c r="AG1074" s="5">
        <f t="shared" si="1088"/>
        <v>1418.0266677239442</v>
      </c>
      <c r="AH1074" s="5">
        <f t="shared" si="1088"/>
        <v>1473.6759700910175</v>
      </c>
    </row>
    <row r="1075" spans="1:34" x14ac:dyDescent="0.35">
      <c r="A1075" t="s">
        <v>1095</v>
      </c>
      <c r="B1075" s="3" t="s">
        <v>1266</v>
      </c>
      <c r="C1075" s="4" t="s">
        <v>1266</v>
      </c>
      <c r="D1075" s="2">
        <f t="shared" si="1041"/>
        <v>5940.4463999999998</v>
      </c>
      <c r="E1075" s="5">
        <v>5940.4463999999998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f t="shared" ref="W1075:AH1075" si="1089">IF(OR((SLOPE($E1075:$V1075,$E$1:$V$1)*W$1+INTERCEPT($E1075:$V1075,$E$1:$V$1))&gt;(AVERAGE($E1075:$V1075)+_xlfn.STDEV.P($E1075:$V1075)),(SLOPE($E1075:$V1075,$E$1:$V$1)*W$1+INTERCEPT($E1075:$V1075,$E$1:$V$1))&lt;(AVERAGE($E1075:$V1075)-_xlfn.STDEV.P($E1075:$V1075))),V1075,(SLOPE($E1075:$V1075,$E$1:$V$1)*W$1+INTERCEPT($E1075:$V1075,$E$1:$V$1)))</f>
        <v>-660.04960000000005</v>
      </c>
      <c r="X1075" s="5">
        <f t="shared" si="1089"/>
        <v>-764.26795789473704</v>
      </c>
      <c r="Y1075" s="5">
        <f t="shared" si="1089"/>
        <v>-868.48631578947357</v>
      </c>
      <c r="Z1075" s="5">
        <f t="shared" si="1089"/>
        <v>-972.70467368421055</v>
      </c>
      <c r="AA1075" s="5">
        <f t="shared" si="1089"/>
        <v>-972.70467368421055</v>
      </c>
      <c r="AB1075" s="5">
        <f t="shared" si="1089"/>
        <v>-972.70467368421055</v>
      </c>
      <c r="AC1075" s="5">
        <f t="shared" si="1089"/>
        <v>-972.70467368421055</v>
      </c>
      <c r="AD1075" s="5">
        <f t="shared" si="1089"/>
        <v>-972.70467368421055</v>
      </c>
      <c r="AE1075" s="5">
        <f t="shared" si="1089"/>
        <v>-972.70467368421055</v>
      </c>
      <c r="AF1075" s="5">
        <f t="shared" si="1089"/>
        <v>-972.70467368421055</v>
      </c>
      <c r="AG1075" s="5">
        <f t="shared" si="1089"/>
        <v>-972.70467368421055</v>
      </c>
      <c r="AH1075" s="5">
        <f t="shared" si="1089"/>
        <v>-972.70467368421055</v>
      </c>
    </row>
    <row r="1076" spans="1:34" x14ac:dyDescent="0.35">
      <c r="A1076" t="s">
        <v>1096</v>
      </c>
      <c r="B1076" s="3" t="s">
        <v>1262</v>
      </c>
      <c r="C1076" s="4" t="s">
        <v>1268</v>
      </c>
      <c r="D1076" s="2">
        <f t="shared" si="1041"/>
        <v>5904.5881608000009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5904.5881608000009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f t="shared" ref="W1076:AH1076" si="1090">IF(OR((SLOPE($E1076:$V1076,$E$1:$V$1)*W$1+INTERCEPT($E1076:$V1076,$E$1:$V$1))&gt;(AVERAGE($E1076:$V1076)+_xlfn.STDEV.P($E1076:$V1076)),(SLOPE($E1076:$V1076,$E$1:$V$1)*W$1+INTERCEPT($E1076:$V1076,$E$1:$V$1))&lt;(AVERAGE($E1076:$V1076)-_xlfn.STDEV.P($E1076:$V1076))),V1076,(SLOPE($E1076:$V1076,$E$1:$V$1)*W$1+INTERCEPT($E1076:$V1076,$E$1:$V$1)))</f>
        <v>501.69703327058829</v>
      </c>
      <c r="X1076" s="5">
        <f t="shared" si="1090"/>
        <v>519.97749197275539</v>
      </c>
      <c r="Y1076" s="5">
        <f t="shared" si="1090"/>
        <v>538.25795067492254</v>
      </c>
      <c r="Z1076" s="5">
        <f t="shared" si="1090"/>
        <v>556.53840937708981</v>
      </c>
      <c r="AA1076" s="5">
        <f t="shared" si="1090"/>
        <v>574.81886807925707</v>
      </c>
      <c r="AB1076" s="5">
        <f t="shared" si="1090"/>
        <v>593.09932678142422</v>
      </c>
      <c r="AC1076" s="5">
        <f t="shared" si="1090"/>
        <v>611.37978548359138</v>
      </c>
      <c r="AD1076" s="5">
        <f t="shared" si="1090"/>
        <v>629.66024418575853</v>
      </c>
      <c r="AE1076" s="5">
        <f t="shared" si="1090"/>
        <v>647.94070288792568</v>
      </c>
      <c r="AF1076" s="5">
        <f t="shared" si="1090"/>
        <v>666.22116159009283</v>
      </c>
      <c r="AG1076" s="5">
        <f t="shared" si="1090"/>
        <v>684.50162029225999</v>
      </c>
      <c r="AH1076" s="5">
        <f t="shared" si="1090"/>
        <v>702.78207899442737</v>
      </c>
    </row>
    <row r="1077" spans="1:34" x14ac:dyDescent="0.35">
      <c r="A1077" t="s">
        <v>1097</v>
      </c>
      <c r="B1077" s="3" t="s">
        <v>1266</v>
      </c>
      <c r="C1077" s="4" t="s">
        <v>1267</v>
      </c>
      <c r="D1077" s="2">
        <f t="shared" si="1041"/>
        <v>5810.2968306982984</v>
      </c>
      <c r="E1077" s="5">
        <v>2000.9950820006893</v>
      </c>
      <c r="F1077" s="5">
        <v>1593.3849727042527</v>
      </c>
      <c r="G1077" s="5">
        <v>2008.4061748969884</v>
      </c>
      <c r="H1077" s="5">
        <v>200.09950820006895</v>
      </c>
      <c r="I1077" s="5">
        <v>0</v>
      </c>
      <c r="J1077" s="5">
        <v>7.4110928962988494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f t="shared" ref="W1077:AH1077" si="1091">IF(OR((SLOPE($E1077:$V1077,$E$1:$V$1)*W$1+INTERCEPT($E1077:$V1077,$E$1:$V$1))&gt;(AVERAGE($E1077:$V1077)+_xlfn.STDEV.P($E1077:$V1077)),(SLOPE($E1077:$V1077,$E$1:$V$1)*W$1+INTERCEPT($E1077:$V1077,$E$1:$V$1))&lt;(AVERAGE($E1077:$V1077)-_xlfn.STDEV.P($E1077:$V1077))),V1077,(SLOPE($E1077:$V1077,$E$1:$V$1)*W$1+INTERCEPT($E1077:$V1077,$E$1:$V$1)))</f>
        <v>0</v>
      </c>
      <c r="X1077" s="5">
        <f t="shared" si="1091"/>
        <v>0</v>
      </c>
      <c r="Y1077" s="5">
        <f t="shared" si="1091"/>
        <v>0</v>
      </c>
      <c r="Z1077" s="5">
        <f t="shared" si="1091"/>
        <v>0</v>
      </c>
      <c r="AA1077" s="5">
        <f t="shared" si="1091"/>
        <v>0</v>
      </c>
      <c r="AB1077" s="5">
        <f t="shared" si="1091"/>
        <v>0</v>
      </c>
      <c r="AC1077" s="5">
        <f t="shared" si="1091"/>
        <v>0</v>
      </c>
      <c r="AD1077" s="5">
        <f t="shared" si="1091"/>
        <v>0</v>
      </c>
      <c r="AE1077" s="5">
        <f t="shared" si="1091"/>
        <v>0</v>
      </c>
      <c r="AF1077" s="5">
        <f t="shared" si="1091"/>
        <v>0</v>
      </c>
      <c r="AG1077" s="5">
        <f t="shared" si="1091"/>
        <v>0</v>
      </c>
      <c r="AH1077" s="5">
        <f t="shared" si="1091"/>
        <v>0</v>
      </c>
    </row>
    <row r="1078" spans="1:34" x14ac:dyDescent="0.35">
      <c r="A1078" t="s">
        <v>1098</v>
      </c>
      <c r="B1078" s="3" t="s">
        <v>1264</v>
      </c>
      <c r="C1078" s="4" t="s">
        <v>1267</v>
      </c>
      <c r="D1078" s="2">
        <f t="shared" si="1041"/>
        <v>5795.6324809477301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2611.2190298775486</v>
      </c>
      <c r="R1078" s="5">
        <v>0</v>
      </c>
      <c r="S1078" s="5">
        <v>0</v>
      </c>
      <c r="T1078" s="5">
        <v>0</v>
      </c>
      <c r="U1078" s="5">
        <v>0</v>
      </c>
      <c r="V1078" s="5">
        <v>3184.4134510701811</v>
      </c>
      <c r="W1078" s="5">
        <f t="shared" ref="W1078:AH1078" si="1092">IF(OR((SLOPE($E1078:$V1078,$E$1:$V$1)*W$1+INTERCEPT($E1078:$V1078,$E$1:$V$1))&gt;(AVERAGE($E1078:$V1078)+_xlfn.STDEV.P($E1078:$V1078)),(SLOPE($E1078:$V1078,$E$1:$V$1)*W$1+INTERCEPT($E1078:$V1078,$E$1:$V$1))&lt;(AVERAGE($E1078:$V1078)-_xlfn.STDEV.P($E1078:$V1078))),V1078,(SLOPE($E1078:$V1078,$E$1:$V$1)*W$1+INTERCEPT($E1078:$V1078,$E$1:$V$1)))</f>
        <v>1031.9164634252261</v>
      </c>
      <c r="X1078" s="5">
        <f t="shared" si="1092"/>
        <v>1106.6466614410526</v>
      </c>
      <c r="Y1078" s="5">
        <f t="shared" si="1092"/>
        <v>1181.3768594568792</v>
      </c>
      <c r="Z1078" s="5">
        <f t="shared" si="1092"/>
        <v>1181.3768594568792</v>
      </c>
      <c r="AA1078" s="5">
        <f t="shared" si="1092"/>
        <v>1181.3768594568792</v>
      </c>
      <c r="AB1078" s="5">
        <f t="shared" si="1092"/>
        <v>1181.3768594568792</v>
      </c>
      <c r="AC1078" s="5">
        <f t="shared" si="1092"/>
        <v>1181.3768594568792</v>
      </c>
      <c r="AD1078" s="5">
        <f t="shared" si="1092"/>
        <v>1181.3768594568792</v>
      </c>
      <c r="AE1078" s="5">
        <f t="shared" si="1092"/>
        <v>1181.3768594568792</v>
      </c>
      <c r="AF1078" s="5">
        <f t="shared" si="1092"/>
        <v>1181.3768594568792</v>
      </c>
      <c r="AG1078" s="5">
        <f t="shared" si="1092"/>
        <v>1181.3768594568792</v>
      </c>
      <c r="AH1078" s="5">
        <f t="shared" si="1092"/>
        <v>1181.3768594568792</v>
      </c>
    </row>
    <row r="1079" spans="1:34" x14ac:dyDescent="0.35">
      <c r="A1079" t="s">
        <v>1099</v>
      </c>
      <c r="B1079" s="3" t="s">
        <v>1266</v>
      </c>
      <c r="C1079" s="4" t="s">
        <v>1263</v>
      </c>
      <c r="D1079" s="2">
        <f t="shared" si="1041"/>
        <v>5725.6976585751381</v>
      </c>
      <c r="E1079" s="5">
        <v>633.19479988948569</v>
      </c>
      <c r="F1079" s="5">
        <v>552.36142118018972</v>
      </c>
      <c r="G1079" s="5">
        <v>458.05581268601094</v>
      </c>
      <c r="H1079" s="5">
        <v>628.70405662785834</v>
      </c>
      <c r="I1079" s="5">
        <v>682.59297576738891</v>
      </c>
      <c r="J1079" s="5">
        <v>0</v>
      </c>
      <c r="K1079" s="5">
        <v>700.55594881389914</v>
      </c>
      <c r="L1079" s="5">
        <v>224.53716308137794</v>
      </c>
      <c r="M1079" s="5">
        <v>121.25006806394404</v>
      </c>
      <c r="N1079" s="5">
        <v>368.24094745345985</v>
      </c>
      <c r="O1079" s="5">
        <v>260.46310917439831</v>
      </c>
      <c r="P1079" s="5">
        <v>476.01878573252105</v>
      </c>
      <c r="Q1079" s="5">
        <v>619.72257010460316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f t="shared" ref="W1079:AH1079" si="1093">IF(OR((SLOPE($E1079:$V1079,$E$1:$V$1)*W$1+INTERCEPT($E1079:$V1079,$E$1:$V$1))&gt;(AVERAGE($E1079:$V1079)+_xlfn.STDEV.P($E1079:$V1079)),(SLOPE($E1079:$V1079,$E$1:$V$1)*W$1+INTERCEPT($E1079:$V1079,$E$1:$V$1))&lt;(AVERAGE($E1079:$V1079)-_xlfn.STDEV.P($E1079:$V1079))),V1079,(SLOPE($E1079:$V1079,$E$1:$V$1)*W$1+INTERCEPT($E1079:$V1079,$E$1:$V$1)))</f>
        <v>0</v>
      </c>
      <c r="X1079" s="5">
        <f t="shared" si="1093"/>
        <v>0</v>
      </c>
      <c r="Y1079" s="5">
        <f t="shared" si="1093"/>
        <v>0</v>
      </c>
      <c r="Z1079" s="5">
        <f t="shared" si="1093"/>
        <v>0</v>
      </c>
      <c r="AA1079" s="5">
        <f t="shared" si="1093"/>
        <v>0</v>
      </c>
      <c r="AB1079" s="5">
        <f t="shared" si="1093"/>
        <v>0</v>
      </c>
      <c r="AC1079" s="5">
        <f t="shared" si="1093"/>
        <v>0</v>
      </c>
      <c r="AD1079" s="5">
        <f t="shared" si="1093"/>
        <v>0</v>
      </c>
      <c r="AE1079" s="5">
        <f t="shared" si="1093"/>
        <v>0</v>
      </c>
      <c r="AF1079" s="5">
        <f t="shared" si="1093"/>
        <v>0</v>
      </c>
      <c r="AG1079" s="5">
        <f t="shared" si="1093"/>
        <v>0</v>
      </c>
      <c r="AH1079" s="5">
        <f t="shared" si="1093"/>
        <v>0</v>
      </c>
    </row>
    <row r="1080" spans="1:34" x14ac:dyDescent="0.35">
      <c r="A1080" t="s">
        <v>1100</v>
      </c>
      <c r="B1080" s="3" t="s">
        <v>1266</v>
      </c>
      <c r="C1080" s="4" t="s">
        <v>1263</v>
      </c>
      <c r="D1080" s="2">
        <f t="shared" si="1041"/>
        <v>5529.963600000001</v>
      </c>
      <c r="E1080" s="5">
        <v>243.43200000000002</v>
      </c>
      <c r="F1080" s="5">
        <v>499.03560000000004</v>
      </c>
      <c r="G1080" s="5">
        <v>1460.5920000000001</v>
      </c>
      <c r="H1080" s="5">
        <v>2069.1720000000005</v>
      </c>
      <c r="I1080" s="5">
        <v>1176.5880000000002</v>
      </c>
      <c r="J1080" s="5">
        <v>81.144000000000005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f t="shared" ref="W1080:AH1080" si="1094">IF(OR((SLOPE($E1080:$V1080,$E$1:$V$1)*W$1+INTERCEPT($E1080:$V1080,$E$1:$V$1))&gt;(AVERAGE($E1080:$V1080)+_xlfn.STDEV.P($E1080:$V1080)),(SLOPE($E1080:$V1080,$E$1:$V$1)*W$1+INTERCEPT($E1080:$V1080,$E$1:$V$1))&lt;(AVERAGE($E1080:$V1080)-_xlfn.STDEV.P($E1080:$V1080))),V1080,(SLOPE($E1080:$V1080,$E$1:$V$1)*W$1+INTERCEPT($E1080:$V1080,$E$1:$V$1)))</f>
        <v>0</v>
      </c>
      <c r="X1080" s="5">
        <f t="shared" si="1094"/>
        <v>0</v>
      </c>
      <c r="Y1080" s="5">
        <f t="shared" si="1094"/>
        <v>0</v>
      </c>
      <c r="Z1080" s="5">
        <f t="shared" si="1094"/>
        <v>0</v>
      </c>
      <c r="AA1080" s="5">
        <f t="shared" si="1094"/>
        <v>0</v>
      </c>
      <c r="AB1080" s="5">
        <f t="shared" si="1094"/>
        <v>0</v>
      </c>
      <c r="AC1080" s="5">
        <f t="shared" si="1094"/>
        <v>0</v>
      </c>
      <c r="AD1080" s="5">
        <f t="shared" si="1094"/>
        <v>0</v>
      </c>
      <c r="AE1080" s="5">
        <f t="shared" si="1094"/>
        <v>0</v>
      </c>
      <c r="AF1080" s="5">
        <f t="shared" si="1094"/>
        <v>0</v>
      </c>
      <c r="AG1080" s="5">
        <f t="shared" si="1094"/>
        <v>0</v>
      </c>
      <c r="AH1080" s="5">
        <f t="shared" si="1094"/>
        <v>0</v>
      </c>
    </row>
    <row r="1081" spans="1:34" x14ac:dyDescent="0.35">
      <c r="A1081" t="s">
        <v>1101</v>
      </c>
      <c r="B1081" s="3" t="s">
        <v>1264</v>
      </c>
      <c r="C1081" s="4" t="s">
        <v>1263</v>
      </c>
      <c r="D1081" s="2">
        <f t="shared" si="1041"/>
        <v>5400.9600471256344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1989.3536173579421</v>
      </c>
      <c r="L1081" s="5">
        <v>0</v>
      </c>
      <c r="M1081" s="5">
        <v>0</v>
      </c>
      <c r="N1081" s="5">
        <v>1521.2704132737204</v>
      </c>
      <c r="O1081" s="5">
        <v>1890.3360164939722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f t="shared" ref="W1081:AH1081" si="1095">IF(OR((SLOPE($E1081:$V1081,$E$1:$V$1)*W$1+INTERCEPT($E1081:$V1081,$E$1:$V$1))&gt;(AVERAGE($E1081:$V1081)+_xlfn.STDEV.P($E1081:$V1081)),(SLOPE($E1081:$V1081,$E$1:$V$1)*W$1+INTERCEPT($E1081:$V1081,$E$1:$V$1))&lt;(AVERAGE($E1081:$V1081)-_xlfn.STDEV.P($E1081:$V1081))),V1081,(SLOPE($E1081:$V1081,$E$1:$V$1)*W$1+INTERCEPT($E1081:$V1081,$E$1:$V$1)))</f>
        <v>273.04853571579599</v>
      </c>
      <c r="X1081" s="5">
        <f t="shared" si="1095"/>
        <v>270.20592516467724</v>
      </c>
      <c r="Y1081" s="5">
        <f t="shared" si="1095"/>
        <v>267.36331461355849</v>
      </c>
      <c r="Z1081" s="5">
        <f t="shared" si="1095"/>
        <v>264.52070406243973</v>
      </c>
      <c r="AA1081" s="5">
        <f t="shared" si="1095"/>
        <v>261.67809351132098</v>
      </c>
      <c r="AB1081" s="5">
        <f t="shared" si="1095"/>
        <v>258.83548296020223</v>
      </c>
      <c r="AC1081" s="5">
        <f t="shared" si="1095"/>
        <v>255.99287240908347</v>
      </c>
      <c r="AD1081" s="5">
        <f t="shared" si="1095"/>
        <v>253.15026185796472</v>
      </c>
      <c r="AE1081" s="5">
        <f t="shared" si="1095"/>
        <v>250.30765130684597</v>
      </c>
      <c r="AF1081" s="5">
        <f t="shared" si="1095"/>
        <v>247.46504075572722</v>
      </c>
      <c r="AG1081" s="5">
        <f t="shared" si="1095"/>
        <v>244.62243020460846</v>
      </c>
      <c r="AH1081" s="5">
        <f t="shared" si="1095"/>
        <v>241.77981965348971</v>
      </c>
    </row>
    <row r="1082" spans="1:34" x14ac:dyDescent="0.35">
      <c r="A1082" t="s">
        <v>1102</v>
      </c>
      <c r="B1082" s="3" t="s">
        <v>1264</v>
      </c>
      <c r="C1082" s="4" t="s">
        <v>1263</v>
      </c>
      <c r="D1082" s="2">
        <f t="shared" si="1041"/>
        <v>4594.7496000000001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51.626399999999997</v>
      </c>
      <c r="M1082" s="5">
        <v>77.439599999999984</v>
      </c>
      <c r="N1082" s="5">
        <v>387.19799999999998</v>
      </c>
      <c r="O1082" s="5">
        <v>154.87919999999997</v>
      </c>
      <c r="P1082" s="5">
        <v>309.75839999999999</v>
      </c>
      <c r="Q1082" s="5">
        <v>154.87919999999997</v>
      </c>
      <c r="R1082" s="5">
        <v>413.01119999999997</v>
      </c>
      <c r="S1082" s="5">
        <v>1109.9675999999999</v>
      </c>
      <c r="T1082" s="5">
        <v>671.14319999999998</v>
      </c>
      <c r="U1082" s="5">
        <v>309.75839999999999</v>
      </c>
      <c r="V1082" s="5">
        <v>955.08839999999998</v>
      </c>
      <c r="W1082" s="5">
        <f t="shared" ref="W1082:AH1082" si="1096">IF(OR((SLOPE($E1082:$V1082,$E$1:$V$1)*W$1+INTERCEPT($E1082:$V1082,$E$1:$V$1))&gt;(AVERAGE($E1082:$V1082)+_xlfn.STDEV.P($E1082:$V1082)),(SLOPE($E1082:$V1082,$E$1:$V$1)*W$1+INTERCEPT($E1082:$V1082,$E$1:$V$1))&lt;(AVERAGE($E1082:$V1082)-_xlfn.STDEV.P($E1082:$V1082))),V1082,(SLOPE($E1082:$V1082,$E$1:$V$1)*W$1+INTERCEPT($E1082:$V1082,$E$1:$V$1)))</f>
        <v>955.08839999999998</v>
      </c>
      <c r="X1082" s="5">
        <f t="shared" si="1096"/>
        <v>955.08839999999998</v>
      </c>
      <c r="Y1082" s="5">
        <f t="shared" si="1096"/>
        <v>955.08839999999998</v>
      </c>
      <c r="Z1082" s="5">
        <f t="shared" si="1096"/>
        <v>955.08839999999998</v>
      </c>
      <c r="AA1082" s="5">
        <f t="shared" si="1096"/>
        <v>955.08839999999998</v>
      </c>
      <c r="AB1082" s="5">
        <f t="shared" si="1096"/>
        <v>955.08839999999998</v>
      </c>
      <c r="AC1082" s="5">
        <f t="shared" si="1096"/>
        <v>955.08839999999998</v>
      </c>
      <c r="AD1082" s="5">
        <f t="shared" si="1096"/>
        <v>955.08839999999998</v>
      </c>
      <c r="AE1082" s="5">
        <f t="shared" si="1096"/>
        <v>955.08839999999998</v>
      </c>
      <c r="AF1082" s="5">
        <f t="shared" si="1096"/>
        <v>955.08839999999998</v>
      </c>
      <c r="AG1082" s="5">
        <f t="shared" si="1096"/>
        <v>955.08839999999998</v>
      </c>
      <c r="AH1082" s="5">
        <f t="shared" si="1096"/>
        <v>955.08839999999998</v>
      </c>
    </row>
    <row r="1083" spans="1:34" x14ac:dyDescent="0.35">
      <c r="A1083" t="s">
        <v>1103</v>
      </c>
      <c r="B1083" s="3" t="s">
        <v>1264</v>
      </c>
      <c r="C1083" s="4" t="s">
        <v>1263</v>
      </c>
      <c r="D1083" s="2">
        <f t="shared" si="1041"/>
        <v>4922.6619634457347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2704.2949842105322</v>
      </c>
      <c r="R1083" s="5">
        <v>0</v>
      </c>
      <c r="S1083" s="5">
        <v>0</v>
      </c>
      <c r="T1083" s="5">
        <v>0</v>
      </c>
      <c r="U1083" s="5">
        <v>0</v>
      </c>
      <c r="V1083" s="5">
        <v>2218.3669792352021</v>
      </c>
      <c r="W1083" s="5">
        <f t="shared" ref="W1083:AH1083" si="1097">IF(OR((SLOPE($E1083:$V1083,$E$1:$V$1)*W$1+INTERCEPT($E1083:$V1083,$E$1:$V$1))&gt;(AVERAGE($E1083:$V1083)+_xlfn.STDEV.P($E1083:$V1083)),(SLOPE($E1083:$V1083,$E$1:$V$1)*W$1+INTERCEPT($E1083:$V1083,$E$1:$V$1))&lt;(AVERAGE($E1083:$V1083)-_xlfn.STDEV.P($E1083:$V1083))),V1083,(SLOPE($E1083:$V1083,$E$1:$V$1)*W$1+INTERCEPT($E1083:$V1083,$E$1:$V$1)))</f>
        <v>828.79792152939194</v>
      </c>
      <c r="X1083" s="5">
        <f t="shared" si="1097"/>
        <v>887.25231114391431</v>
      </c>
      <c r="Y1083" s="5">
        <f t="shared" si="1097"/>
        <v>945.70670075843668</v>
      </c>
      <c r="Z1083" s="5">
        <f t="shared" si="1097"/>
        <v>1004.1610903729591</v>
      </c>
      <c r="AA1083" s="5">
        <f t="shared" si="1097"/>
        <v>1004.1610903729591</v>
      </c>
      <c r="AB1083" s="5">
        <f t="shared" si="1097"/>
        <v>1004.1610903729591</v>
      </c>
      <c r="AC1083" s="5">
        <f t="shared" si="1097"/>
        <v>1004.1610903729591</v>
      </c>
      <c r="AD1083" s="5">
        <f t="shared" si="1097"/>
        <v>1004.1610903729591</v>
      </c>
      <c r="AE1083" s="5">
        <f t="shared" si="1097"/>
        <v>1004.1610903729591</v>
      </c>
      <c r="AF1083" s="5">
        <f t="shared" si="1097"/>
        <v>1004.1610903729591</v>
      </c>
      <c r="AG1083" s="5">
        <f t="shared" si="1097"/>
        <v>1004.1610903729591</v>
      </c>
      <c r="AH1083" s="5">
        <f t="shared" si="1097"/>
        <v>1004.1610903729591</v>
      </c>
    </row>
    <row r="1084" spans="1:34" x14ac:dyDescent="0.35">
      <c r="A1084" t="s">
        <v>1104</v>
      </c>
      <c r="B1084" s="3" t="s">
        <v>1265</v>
      </c>
      <c r="C1084" s="4" t="s">
        <v>1263</v>
      </c>
      <c r="D1084" s="2">
        <f t="shared" si="1041"/>
        <v>4767.6083355613273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4767.6083355613273</v>
      </c>
      <c r="U1084" s="5">
        <v>0</v>
      </c>
      <c r="V1084" s="5">
        <v>0</v>
      </c>
      <c r="W1084" s="5">
        <f t="shared" ref="W1084:AH1084" si="1098">IF(OR((SLOPE($E1084:$V1084,$E$1:$V$1)*W$1+INTERCEPT($E1084:$V1084,$E$1:$V$1))&gt;(AVERAGE($E1084:$V1084)+_xlfn.STDEV.P($E1084:$V1084)),(SLOPE($E1084:$V1084,$E$1:$V$1)*W$1+INTERCEPT($E1084:$V1084,$E$1:$V$1))&lt;(AVERAGE($E1084:$V1084)-_xlfn.STDEV.P($E1084:$V1084))),V1084,(SLOPE($E1084:$V1084,$E$1:$V$1)*W$1+INTERCEPT($E1084:$V1084,$E$1:$V$1)))</f>
        <v>872.50348624651747</v>
      </c>
      <c r="X1084" s="5">
        <f t="shared" si="1098"/>
        <v>936.46520798263418</v>
      </c>
      <c r="Y1084" s="5">
        <f t="shared" si="1098"/>
        <v>1000.4269297187511</v>
      </c>
      <c r="Z1084" s="5">
        <f t="shared" si="1098"/>
        <v>1064.3886514548681</v>
      </c>
      <c r="AA1084" s="5">
        <f t="shared" si="1098"/>
        <v>1128.350373190985</v>
      </c>
      <c r="AB1084" s="5">
        <f t="shared" si="1098"/>
        <v>1192.3120949271017</v>
      </c>
      <c r="AC1084" s="5">
        <f t="shared" si="1098"/>
        <v>1256.2738166632187</v>
      </c>
      <c r="AD1084" s="5">
        <f t="shared" si="1098"/>
        <v>1320.2355383993356</v>
      </c>
      <c r="AE1084" s="5">
        <f t="shared" si="1098"/>
        <v>1320.2355383993356</v>
      </c>
      <c r="AF1084" s="5">
        <f t="shared" si="1098"/>
        <v>1320.2355383993356</v>
      </c>
      <c r="AG1084" s="5">
        <f t="shared" si="1098"/>
        <v>1320.2355383993356</v>
      </c>
      <c r="AH1084" s="5">
        <f t="shared" si="1098"/>
        <v>1320.2355383993356</v>
      </c>
    </row>
    <row r="1085" spans="1:34" x14ac:dyDescent="0.35">
      <c r="A1085" t="s">
        <v>1105</v>
      </c>
      <c r="B1085" s="3" t="s">
        <v>1264</v>
      </c>
      <c r="C1085" s="4" t="s">
        <v>1263</v>
      </c>
      <c r="D1085" s="2">
        <f t="shared" si="1041"/>
        <v>4741.6524019559201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4741.6524019559201</v>
      </c>
      <c r="U1085" s="5">
        <v>0</v>
      </c>
      <c r="V1085" s="5">
        <v>0</v>
      </c>
      <c r="W1085" s="5">
        <f t="shared" ref="W1085:AH1085" si="1099">IF(OR((SLOPE($E1085:$V1085,$E$1:$V$1)*W$1+INTERCEPT($E1085:$V1085,$E$1:$V$1))&gt;(AVERAGE($E1085:$V1085)+_xlfn.STDEV.P($E1085:$V1085)),(SLOPE($E1085:$V1085,$E$1:$V$1)*W$1+INTERCEPT($E1085:$V1085,$E$1:$V$1))&lt;(AVERAGE($E1085:$V1085)-_xlfn.STDEV.P($E1085:$V1085))),V1085,(SLOPE($E1085:$V1085,$E$1:$V$1)*W$1+INTERCEPT($E1085:$V1085,$E$1:$V$1)))</f>
        <v>867.75338075010291</v>
      </c>
      <c r="X1085" s="5">
        <f t="shared" si="1099"/>
        <v>931.36688046674567</v>
      </c>
      <c r="Y1085" s="5">
        <f t="shared" si="1099"/>
        <v>994.98038018338866</v>
      </c>
      <c r="Z1085" s="5">
        <f t="shared" si="1099"/>
        <v>1058.5938799000314</v>
      </c>
      <c r="AA1085" s="5">
        <f t="shared" si="1099"/>
        <v>1122.2073796166744</v>
      </c>
      <c r="AB1085" s="5">
        <f t="shared" si="1099"/>
        <v>1185.8208793333172</v>
      </c>
      <c r="AC1085" s="5">
        <f t="shared" si="1099"/>
        <v>1249.4343790499602</v>
      </c>
      <c r="AD1085" s="5">
        <f t="shared" si="1099"/>
        <v>1313.0478787666029</v>
      </c>
      <c r="AE1085" s="5">
        <f t="shared" si="1099"/>
        <v>1313.0478787666029</v>
      </c>
      <c r="AF1085" s="5">
        <f t="shared" si="1099"/>
        <v>1313.0478787666029</v>
      </c>
      <c r="AG1085" s="5">
        <f t="shared" si="1099"/>
        <v>1313.0478787666029</v>
      </c>
      <c r="AH1085" s="5">
        <f t="shared" si="1099"/>
        <v>1313.0478787666029</v>
      </c>
    </row>
    <row r="1086" spans="1:34" x14ac:dyDescent="0.35">
      <c r="A1086" t="s">
        <v>1106</v>
      </c>
      <c r="B1086" s="3" t="s">
        <v>1265</v>
      </c>
      <c r="C1086" s="4" t="s">
        <v>1263</v>
      </c>
      <c r="D1086" s="2">
        <f t="shared" si="1041"/>
        <v>4495.4689066989777</v>
      </c>
      <c r="E1086" s="5">
        <v>0</v>
      </c>
      <c r="F1086" s="5">
        <v>561.93361333737221</v>
      </c>
      <c r="G1086" s="5">
        <v>561.93361333737221</v>
      </c>
      <c r="H1086" s="5">
        <v>0</v>
      </c>
      <c r="I1086" s="5">
        <v>561.93361333737221</v>
      </c>
      <c r="J1086" s="5">
        <v>0</v>
      </c>
      <c r="K1086" s="5">
        <v>1123.8672266747444</v>
      </c>
      <c r="L1086" s="5">
        <v>0</v>
      </c>
      <c r="M1086" s="5">
        <v>0</v>
      </c>
      <c r="N1086" s="5">
        <v>0</v>
      </c>
      <c r="O1086" s="5">
        <v>0</v>
      </c>
      <c r="P1086" s="5">
        <v>561.93361333737221</v>
      </c>
      <c r="Q1086" s="5">
        <v>0</v>
      </c>
      <c r="R1086" s="5">
        <v>0</v>
      </c>
      <c r="S1086" s="5">
        <v>0</v>
      </c>
      <c r="T1086" s="5">
        <v>1123.8672266747444</v>
      </c>
      <c r="U1086" s="5">
        <v>0</v>
      </c>
      <c r="V1086" s="5">
        <v>0</v>
      </c>
      <c r="W1086" s="5">
        <f t="shared" ref="W1086:AH1086" si="1100">IF(OR((SLOPE($E1086:$V1086,$E$1:$V$1)*W$1+INTERCEPT($E1086:$V1086,$E$1:$V$1))&gt;(AVERAGE($E1086:$V1086)+_xlfn.STDEV.P($E1086:$V1086)),(SLOPE($E1086:$V1086,$E$1:$V$1)*W$1+INTERCEPT($E1086:$V1086,$E$1:$V$1))&lt;(AVERAGE($E1086:$V1086)-_xlfn.STDEV.P($E1086:$V1086))),V1086,(SLOPE($E1086:$V1086,$E$1:$V$1)*W$1+INTERCEPT($E1086:$V1086,$E$1:$V$1)))</f>
        <v>161.60182344342732</v>
      </c>
      <c r="X1086" s="5">
        <f t="shared" si="1100"/>
        <v>152.3232498485894</v>
      </c>
      <c r="Y1086" s="5">
        <f t="shared" si="1100"/>
        <v>143.04467625375145</v>
      </c>
      <c r="Z1086" s="5">
        <f t="shared" si="1100"/>
        <v>133.76610265891352</v>
      </c>
      <c r="AA1086" s="5">
        <f t="shared" si="1100"/>
        <v>124.4875290640756</v>
      </c>
      <c r="AB1086" s="5">
        <f t="shared" si="1100"/>
        <v>115.20895546923765</v>
      </c>
      <c r="AC1086" s="5">
        <f t="shared" si="1100"/>
        <v>105.93038187439973</v>
      </c>
      <c r="AD1086" s="5">
        <f t="shared" si="1100"/>
        <v>96.651808279561806</v>
      </c>
      <c r="AE1086" s="5">
        <f t="shared" si="1100"/>
        <v>87.373234684723883</v>
      </c>
      <c r="AF1086" s="5">
        <f t="shared" si="1100"/>
        <v>78.09466108988596</v>
      </c>
      <c r="AG1086" s="5">
        <f t="shared" si="1100"/>
        <v>68.816087495048009</v>
      </c>
      <c r="AH1086" s="5">
        <f t="shared" si="1100"/>
        <v>59.537513900210058</v>
      </c>
    </row>
    <row r="1087" spans="1:34" x14ac:dyDescent="0.35">
      <c r="A1087" t="s">
        <v>1107</v>
      </c>
      <c r="B1087" s="3" t="s">
        <v>1264</v>
      </c>
      <c r="C1087" s="4" t="s">
        <v>1263</v>
      </c>
      <c r="D1087" s="2">
        <f t="shared" si="1041"/>
        <v>4489.2035999999998</v>
      </c>
      <c r="E1087" s="5">
        <v>0</v>
      </c>
      <c r="F1087" s="5">
        <v>0</v>
      </c>
      <c r="G1087" s="5">
        <v>4489.2035999999998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f t="shared" ref="W1087:AH1087" si="1101">IF(OR((SLOPE($E1087:$V1087,$E$1:$V$1)*W$1+INTERCEPT($E1087:$V1087,$E$1:$V$1))&gt;(AVERAGE($E1087:$V1087)+_xlfn.STDEV.P($E1087:$V1087)),(SLOPE($E1087:$V1087,$E$1:$V$1)*W$1+INTERCEPT($E1087:$V1087,$E$1:$V$1))&lt;(AVERAGE($E1087:$V1087)-_xlfn.STDEV.P($E1087:$V1087))),V1087,(SLOPE($E1087:$V1087,$E$1:$V$1)*W$1+INTERCEPT($E1087:$V1087,$E$1:$V$1)))</f>
        <v>-322.75319999999988</v>
      </c>
      <c r="X1087" s="5">
        <f t="shared" si="1101"/>
        <v>-382.97987368421036</v>
      </c>
      <c r="Y1087" s="5">
        <f t="shared" si="1101"/>
        <v>-443.20654736842107</v>
      </c>
      <c r="Z1087" s="5">
        <f t="shared" si="1101"/>
        <v>-503.43322105263155</v>
      </c>
      <c r="AA1087" s="5">
        <f t="shared" si="1101"/>
        <v>-563.65989473684203</v>
      </c>
      <c r="AB1087" s="5">
        <f t="shared" si="1101"/>
        <v>-623.88656842105252</v>
      </c>
      <c r="AC1087" s="5">
        <f t="shared" si="1101"/>
        <v>-684.113242105263</v>
      </c>
      <c r="AD1087" s="5">
        <f t="shared" si="1101"/>
        <v>-744.33991578947348</v>
      </c>
      <c r="AE1087" s="5">
        <f t="shared" si="1101"/>
        <v>-744.33991578947348</v>
      </c>
      <c r="AF1087" s="5">
        <f t="shared" si="1101"/>
        <v>-744.33991578947348</v>
      </c>
      <c r="AG1087" s="5">
        <f t="shared" si="1101"/>
        <v>-744.33991578947348</v>
      </c>
      <c r="AH1087" s="5">
        <f t="shared" si="1101"/>
        <v>-744.33991578947348</v>
      </c>
    </row>
    <row r="1088" spans="1:34" x14ac:dyDescent="0.35">
      <c r="A1088" t="s">
        <v>1108</v>
      </c>
      <c r="B1088" s="3" t="s">
        <v>1266</v>
      </c>
      <c r="C1088" s="4" t="s">
        <v>1267</v>
      </c>
      <c r="D1088" s="2">
        <f t="shared" si="1041"/>
        <v>4397.1577930540743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4397.1577930540743</v>
      </c>
      <c r="S1088" s="5">
        <v>0</v>
      </c>
      <c r="T1088" s="5">
        <v>0</v>
      </c>
      <c r="U1088" s="5">
        <v>0</v>
      </c>
      <c r="V1088" s="5">
        <v>0</v>
      </c>
      <c r="W1088" s="5">
        <f t="shared" ref="W1088:AH1088" si="1102">IF(OR((SLOPE($E1088:$V1088,$E$1:$V$1)*W$1+INTERCEPT($E1088:$V1088,$E$1:$V$1))&gt;(AVERAGE($E1088:$V1088)+_xlfn.STDEV.P($E1088:$V1088)),(SLOPE($E1088:$V1088,$E$1:$V$1)*W$1+INTERCEPT($E1088:$V1088,$E$1:$V$1))&lt;(AVERAGE($E1088:$V1088)-_xlfn.STDEV.P($E1088:$V1088))),V1088,(SLOPE($E1088:$V1088,$E$1:$V$1)*W$1+INTERCEPT($E1088:$V1088,$E$1:$V$1)))</f>
        <v>632.2710552103897</v>
      </c>
      <c r="X1088" s="5">
        <f t="shared" si="1102"/>
        <v>673.11153006847701</v>
      </c>
      <c r="Y1088" s="5">
        <f t="shared" si="1102"/>
        <v>713.95200492656443</v>
      </c>
      <c r="Z1088" s="5">
        <f t="shared" si="1102"/>
        <v>754.79247978465173</v>
      </c>
      <c r="AA1088" s="5">
        <f t="shared" si="1102"/>
        <v>795.63295464273915</v>
      </c>
      <c r="AB1088" s="5">
        <f t="shared" si="1102"/>
        <v>836.47342950082657</v>
      </c>
      <c r="AC1088" s="5">
        <f t="shared" si="1102"/>
        <v>877.31390435891387</v>
      </c>
      <c r="AD1088" s="5">
        <f t="shared" si="1102"/>
        <v>918.15437921700118</v>
      </c>
      <c r="AE1088" s="5">
        <f t="shared" si="1102"/>
        <v>958.9948540750886</v>
      </c>
      <c r="AF1088" s="5">
        <f t="shared" si="1102"/>
        <v>999.83532893317602</v>
      </c>
      <c r="AG1088" s="5">
        <f t="shared" si="1102"/>
        <v>1040.6758037912634</v>
      </c>
      <c r="AH1088" s="5">
        <f t="shared" si="1102"/>
        <v>1081.5162786493506</v>
      </c>
    </row>
    <row r="1089" spans="1:34" x14ac:dyDescent="0.35">
      <c r="A1089" t="s">
        <v>1109</v>
      </c>
      <c r="B1089" s="3" t="s">
        <v>1262</v>
      </c>
      <c r="C1089" s="4" t="s">
        <v>1267</v>
      </c>
      <c r="D1089" s="2">
        <f t="shared" si="1041"/>
        <v>4378.4065043478258</v>
      </c>
      <c r="E1089" s="5">
        <v>0</v>
      </c>
      <c r="F1089" s="5">
        <v>0</v>
      </c>
      <c r="G1089" s="5">
        <v>0</v>
      </c>
      <c r="H1089" s="5">
        <v>2189.2032521739129</v>
      </c>
      <c r="I1089" s="5">
        <v>0</v>
      </c>
      <c r="J1089" s="5">
        <v>2189.2032521739129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f t="shared" ref="W1089:AH1089" si="1103">IF(OR((SLOPE($E1089:$V1089,$E$1:$V$1)*W$1+INTERCEPT($E1089:$V1089,$E$1:$V$1))&gt;(AVERAGE($E1089:$V1089)+_xlfn.STDEV.P($E1089:$V1089)),(SLOPE($E1089:$V1089,$E$1:$V$1)*W$1+INTERCEPT($E1089:$V1089,$E$1:$V$1))&lt;(AVERAGE($E1089:$V1089)-_xlfn.STDEV.P($E1089:$V1089))),V1089,(SLOPE($E1089:$V1089,$E$1:$V$1)*W$1+INTERCEPT($E1089:$V1089,$E$1:$V$1)))</f>
        <v>-143.08517988064796</v>
      </c>
      <c r="X1089" s="5">
        <f t="shared" si="1103"/>
        <v>-183.75149416251634</v>
      </c>
      <c r="Y1089" s="5">
        <f t="shared" si="1103"/>
        <v>-224.41780844438472</v>
      </c>
      <c r="Z1089" s="5">
        <f t="shared" si="1103"/>
        <v>-265.0841227262531</v>
      </c>
      <c r="AA1089" s="5">
        <f t="shared" si="1103"/>
        <v>-305.75043700812148</v>
      </c>
      <c r="AB1089" s="5">
        <f t="shared" si="1103"/>
        <v>-346.41675128998986</v>
      </c>
      <c r="AC1089" s="5">
        <f t="shared" si="1103"/>
        <v>-387.08306557185813</v>
      </c>
      <c r="AD1089" s="5">
        <f t="shared" si="1103"/>
        <v>-427.74937985372662</v>
      </c>
      <c r="AE1089" s="5">
        <f t="shared" si="1103"/>
        <v>-427.74937985372662</v>
      </c>
      <c r="AF1089" s="5">
        <f t="shared" si="1103"/>
        <v>-427.74937985372662</v>
      </c>
      <c r="AG1089" s="5">
        <f t="shared" si="1103"/>
        <v>-427.74937985372662</v>
      </c>
      <c r="AH1089" s="5">
        <f t="shared" si="1103"/>
        <v>-427.74937985372662</v>
      </c>
    </row>
    <row r="1090" spans="1:34" x14ac:dyDescent="0.35">
      <c r="A1090" t="s">
        <v>1110</v>
      </c>
      <c r="B1090" s="3" t="s">
        <v>1264</v>
      </c>
      <c r="C1090" s="4" t="s">
        <v>1267</v>
      </c>
      <c r="D1090" s="2">
        <f t="shared" si="1041"/>
        <v>4267.6352202645485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4267.6352202645485</v>
      </c>
      <c r="S1090" s="5">
        <v>0</v>
      </c>
      <c r="T1090" s="5">
        <v>0</v>
      </c>
      <c r="U1090" s="5">
        <v>0</v>
      </c>
      <c r="V1090" s="5">
        <v>0</v>
      </c>
      <c r="W1090" s="5">
        <f t="shared" ref="W1090:AH1090" si="1104">IF(OR((SLOPE($E1090:$V1090,$E$1:$V$1)*W$1+INTERCEPT($E1090:$V1090,$E$1:$V$1))&gt;(AVERAGE($E1090:$V1090)+_xlfn.STDEV.P($E1090:$V1090)),(SLOPE($E1090:$V1090,$E$1:$V$1)*W$1+INTERCEPT($E1090:$V1090,$E$1:$V$1))&lt;(AVERAGE($E1090:$V1090)-_xlfn.STDEV.P($E1090:$V1090))),V1090,(SLOPE($E1090:$V1090,$E$1:$V$1)*W$1+INTERCEPT($E1090:$V1090,$E$1:$V$1)))</f>
        <v>613.6468944171246</v>
      </c>
      <c r="X1090" s="5">
        <f t="shared" si="1104"/>
        <v>653.28437324311119</v>
      </c>
      <c r="Y1090" s="5">
        <f t="shared" si="1104"/>
        <v>692.92185206909767</v>
      </c>
      <c r="Z1090" s="5">
        <f t="shared" si="1104"/>
        <v>732.55933089508414</v>
      </c>
      <c r="AA1090" s="5">
        <f t="shared" si="1104"/>
        <v>772.19680972107074</v>
      </c>
      <c r="AB1090" s="5">
        <f t="shared" si="1104"/>
        <v>811.83428854705721</v>
      </c>
      <c r="AC1090" s="5">
        <f t="shared" si="1104"/>
        <v>851.47176737304369</v>
      </c>
      <c r="AD1090" s="5">
        <f t="shared" si="1104"/>
        <v>891.10924619903028</v>
      </c>
      <c r="AE1090" s="5">
        <f t="shared" si="1104"/>
        <v>930.74672502501687</v>
      </c>
      <c r="AF1090" s="5">
        <f t="shared" si="1104"/>
        <v>970.38420385100324</v>
      </c>
      <c r="AG1090" s="5">
        <f t="shared" si="1104"/>
        <v>1010.0216826769898</v>
      </c>
      <c r="AH1090" s="5">
        <f t="shared" si="1104"/>
        <v>1049.6591615029765</v>
      </c>
    </row>
    <row r="1091" spans="1:34" x14ac:dyDescent="0.35">
      <c r="A1091" t="s">
        <v>1111</v>
      </c>
      <c r="B1091" s="3" t="s">
        <v>1264</v>
      </c>
      <c r="C1091" s="4" t="s">
        <v>1263</v>
      </c>
      <c r="D1091" s="2">
        <f t="shared" si="1041"/>
        <v>4244.1063839999997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4244.1063839999997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f t="shared" ref="W1091:AH1091" si="1105">IF(OR((SLOPE($E1091:$V1091,$E$1:$V$1)*W$1+INTERCEPT($E1091:$V1091,$E$1:$V$1))&gt;(AVERAGE($E1091:$V1091)+_xlfn.STDEV.P($E1091:$V1091)),(SLOPE($E1091:$V1091,$E$1:$V$1)*W$1+INTERCEPT($E1091:$V1091,$E$1:$V$1))&lt;(AVERAGE($E1091:$V1091)-_xlfn.STDEV.P($E1091:$V1091))),V1091,(SLOPE($E1091:$V1091,$E$1:$V$1)*W$1+INTERCEPT($E1091:$V1091,$E$1:$V$1)))</f>
        <v>194.17480188235294</v>
      </c>
      <c r="X1091" s="5">
        <f t="shared" si="1105"/>
        <v>189.79491913312694</v>
      </c>
      <c r="Y1091" s="5">
        <f t="shared" si="1105"/>
        <v>185.41503638390094</v>
      </c>
      <c r="Z1091" s="5">
        <f t="shared" si="1105"/>
        <v>181.03515363467491</v>
      </c>
      <c r="AA1091" s="5">
        <f t="shared" si="1105"/>
        <v>176.65527088544891</v>
      </c>
      <c r="AB1091" s="5">
        <f t="shared" si="1105"/>
        <v>172.27538813622292</v>
      </c>
      <c r="AC1091" s="5">
        <f t="shared" si="1105"/>
        <v>167.89550538699689</v>
      </c>
      <c r="AD1091" s="5">
        <f t="shared" si="1105"/>
        <v>163.51562263777089</v>
      </c>
      <c r="AE1091" s="5">
        <f t="shared" si="1105"/>
        <v>159.13573988854489</v>
      </c>
      <c r="AF1091" s="5">
        <f t="shared" si="1105"/>
        <v>154.75585713931889</v>
      </c>
      <c r="AG1091" s="5">
        <f t="shared" si="1105"/>
        <v>150.37597439009289</v>
      </c>
      <c r="AH1091" s="5">
        <f t="shared" si="1105"/>
        <v>145.99609164086687</v>
      </c>
    </row>
    <row r="1092" spans="1:34" x14ac:dyDescent="0.35">
      <c r="A1092" t="s">
        <v>1112</v>
      </c>
      <c r="B1092" s="3" t="s">
        <v>1266</v>
      </c>
      <c r="C1092" s="4" t="s">
        <v>1267</v>
      </c>
      <c r="D1092" s="2">
        <f t="shared" ref="D1092:D1155" si="1106">SUM(E1092:V1092)</f>
        <v>4112.7733553152111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4112.7733553152111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f t="shared" ref="W1092:AH1092" si="1107">IF(OR((SLOPE($E1092:$V1092,$E$1:$V$1)*W$1+INTERCEPT($E1092:$V1092,$E$1:$V$1))&gt;(AVERAGE($E1092:$V1092)+_xlfn.STDEV.P($E1092:$V1092)),(SLOPE($E1092:$V1092,$E$1:$V$1)*W$1+INTERCEPT($E1092:$V1092,$E$1:$V$1))&lt;(AVERAGE($E1092:$V1092)-_xlfn.STDEV.P($E1092:$V1092))),V1092,(SLOPE($E1092:$V1092,$E$1:$V$1)*W$1+INTERCEPT($E1092:$V1092,$E$1:$V$1)))</f>
        <v>430.09394565387822</v>
      </c>
      <c r="X1092" s="5">
        <f t="shared" si="1107"/>
        <v>451.31568639337888</v>
      </c>
      <c r="Y1092" s="5">
        <f t="shared" si="1107"/>
        <v>472.53742713287943</v>
      </c>
      <c r="Z1092" s="5">
        <f t="shared" si="1107"/>
        <v>493.75916787237998</v>
      </c>
      <c r="AA1092" s="5">
        <f t="shared" si="1107"/>
        <v>514.98090861188052</v>
      </c>
      <c r="AB1092" s="5">
        <f t="shared" si="1107"/>
        <v>536.20264935138107</v>
      </c>
      <c r="AC1092" s="5">
        <f t="shared" si="1107"/>
        <v>557.42439009088162</v>
      </c>
      <c r="AD1092" s="5">
        <f t="shared" si="1107"/>
        <v>578.64613083038228</v>
      </c>
      <c r="AE1092" s="5">
        <f t="shared" si="1107"/>
        <v>599.86787156988282</v>
      </c>
      <c r="AF1092" s="5">
        <f t="shared" si="1107"/>
        <v>621.08961230938337</v>
      </c>
      <c r="AG1092" s="5">
        <f t="shared" si="1107"/>
        <v>642.31135304888392</v>
      </c>
      <c r="AH1092" s="5">
        <f t="shared" si="1107"/>
        <v>663.53309378838458</v>
      </c>
    </row>
    <row r="1093" spans="1:34" x14ac:dyDescent="0.35">
      <c r="A1093" t="s">
        <v>1113</v>
      </c>
      <c r="B1093" s="3" t="s">
        <v>1264</v>
      </c>
      <c r="C1093" s="4" t="s">
        <v>1263</v>
      </c>
      <c r="D1093" s="2">
        <f t="shared" si="1106"/>
        <v>4038.384</v>
      </c>
      <c r="E1093" s="5">
        <v>0</v>
      </c>
      <c r="F1093" s="5">
        <v>0</v>
      </c>
      <c r="G1093" s="5">
        <v>0</v>
      </c>
      <c r="H1093" s="5">
        <v>0</v>
      </c>
      <c r="I1093" s="5">
        <v>39.591999999999999</v>
      </c>
      <c r="J1093" s="5">
        <v>39.591999999999999</v>
      </c>
      <c r="K1093" s="5">
        <v>79.183999999999997</v>
      </c>
      <c r="L1093" s="5">
        <v>79.183999999999997</v>
      </c>
      <c r="M1093" s="5">
        <v>118.77599999999998</v>
      </c>
      <c r="N1093" s="5">
        <v>316.73599999999999</v>
      </c>
      <c r="O1093" s="5">
        <v>237.55199999999996</v>
      </c>
      <c r="P1093" s="5">
        <v>237.55199999999996</v>
      </c>
      <c r="Q1093" s="5">
        <v>593.88</v>
      </c>
      <c r="R1093" s="5">
        <v>1187.76</v>
      </c>
      <c r="S1093" s="5">
        <v>356.32799999999997</v>
      </c>
      <c r="T1093" s="5">
        <v>197.95999999999998</v>
      </c>
      <c r="U1093" s="5">
        <v>356.32799999999997</v>
      </c>
      <c r="V1093" s="5">
        <v>197.95999999999998</v>
      </c>
      <c r="W1093" s="5">
        <f t="shared" ref="W1093:AH1093" si="1108">IF(OR((SLOPE($E1093:$V1093,$E$1:$V$1)*W$1+INTERCEPT($E1093:$V1093,$E$1:$V$1))&gt;(AVERAGE($E1093:$V1093)+_xlfn.STDEV.P($E1093:$V1093)),(SLOPE($E1093:$V1093,$E$1:$V$1)*W$1+INTERCEPT($E1093:$V1093,$E$1:$V$1))&lt;(AVERAGE($E1093:$V1093)-_xlfn.STDEV.P($E1093:$V1093))),V1093,(SLOPE($E1093:$V1093,$E$1:$V$1)*W$1+INTERCEPT($E1093:$V1093,$E$1:$V$1)))</f>
        <v>197.95999999999998</v>
      </c>
      <c r="X1093" s="5">
        <f t="shared" si="1108"/>
        <v>197.95999999999998</v>
      </c>
      <c r="Y1093" s="5">
        <f t="shared" si="1108"/>
        <v>197.95999999999998</v>
      </c>
      <c r="Z1093" s="5">
        <f t="shared" si="1108"/>
        <v>197.95999999999998</v>
      </c>
      <c r="AA1093" s="5">
        <f t="shared" si="1108"/>
        <v>197.95999999999998</v>
      </c>
      <c r="AB1093" s="5">
        <f t="shared" si="1108"/>
        <v>197.95999999999998</v>
      </c>
      <c r="AC1093" s="5">
        <f t="shared" si="1108"/>
        <v>197.95999999999998</v>
      </c>
      <c r="AD1093" s="5">
        <f t="shared" si="1108"/>
        <v>197.95999999999998</v>
      </c>
      <c r="AE1093" s="5">
        <f t="shared" si="1108"/>
        <v>197.95999999999998</v>
      </c>
      <c r="AF1093" s="5">
        <f t="shared" si="1108"/>
        <v>197.95999999999998</v>
      </c>
      <c r="AG1093" s="5">
        <f t="shared" si="1108"/>
        <v>197.95999999999998</v>
      </c>
      <c r="AH1093" s="5">
        <f t="shared" si="1108"/>
        <v>197.95999999999998</v>
      </c>
    </row>
    <row r="1094" spans="1:34" x14ac:dyDescent="0.35">
      <c r="A1094" t="s">
        <v>1114</v>
      </c>
      <c r="B1094" s="3" t="s">
        <v>1266</v>
      </c>
      <c r="C1094" s="4" t="s">
        <v>1267</v>
      </c>
      <c r="D1094" s="2">
        <f t="shared" si="1106"/>
        <v>4030.9042059825001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4030.9042059825001</v>
      </c>
      <c r="V1094" s="5">
        <v>0</v>
      </c>
      <c r="W1094" s="5">
        <f t="shared" ref="W1094:AH1094" si="1109">IF(OR((SLOPE($E1094:$V1094,$E$1:$V$1)*W$1+INTERCEPT($E1094:$V1094,$E$1:$V$1))&gt;(AVERAGE($E1094:$V1094)+_xlfn.STDEV.P($E1094:$V1094)),(SLOPE($E1094:$V1094,$E$1:$V$1)*W$1+INTERCEPT($E1094:$V1094,$E$1:$V$1))&lt;(AVERAGE($E1094:$V1094)-_xlfn.STDEV.P($E1094:$V1094))),V1094,(SLOPE($E1094:$V1094,$E$1:$V$1)*W$1+INTERCEPT($E1094:$V1094,$E$1:$V$1)))</f>
        <v>816.7191528461276</v>
      </c>
      <c r="X1094" s="5">
        <f t="shared" si="1109"/>
        <v>879.11705077155329</v>
      </c>
      <c r="Y1094" s="5">
        <f t="shared" si="1109"/>
        <v>941.51494869697899</v>
      </c>
      <c r="Z1094" s="5">
        <f t="shared" si="1109"/>
        <v>1003.9128466224047</v>
      </c>
      <c r="AA1094" s="5">
        <f t="shared" si="1109"/>
        <v>1066.3107445478304</v>
      </c>
      <c r="AB1094" s="5">
        <f t="shared" si="1109"/>
        <v>1128.7086424732561</v>
      </c>
      <c r="AC1094" s="5">
        <f t="shared" si="1109"/>
        <v>1128.7086424732561</v>
      </c>
      <c r="AD1094" s="5">
        <f t="shared" si="1109"/>
        <v>1128.7086424732561</v>
      </c>
      <c r="AE1094" s="5">
        <f t="shared" si="1109"/>
        <v>1128.7086424732561</v>
      </c>
      <c r="AF1094" s="5">
        <f t="shared" si="1109"/>
        <v>1128.7086424732561</v>
      </c>
      <c r="AG1094" s="5">
        <f t="shared" si="1109"/>
        <v>1128.7086424732561</v>
      </c>
      <c r="AH1094" s="5">
        <f t="shared" si="1109"/>
        <v>1128.7086424732561</v>
      </c>
    </row>
    <row r="1095" spans="1:34" x14ac:dyDescent="0.35">
      <c r="A1095" t="s">
        <v>1115</v>
      </c>
      <c r="B1095" s="3" t="s">
        <v>1266</v>
      </c>
      <c r="C1095" s="4" t="s">
        <v>1266</v>
      </c>
      <c r="D1095" s="2">
        <f t="shared" si="1106"/>
        <v>4022.9616535588748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4022.9616535588748</v>
      </c>
      <c r="S1095" s="5">
        <v>0</v>
      </c>
      <c r="T1095" s="5">
        <v>0</v>
      </c>
      <c r="U1095" s="5">
        <v>0</v>
      </c>
      <c r="V1095" s="5">
        <v>0</v>
      </c>
      <c r="W1095" s="5">
        <f t="shared" ref="W1095:AH1095" si="1110">IF(OR((SLOPE($E1095:$V1095,$E$1:$V$1)*W$1+INTERCEPT($E1095:$V1095,$E$1:$V$1))&gt;(AVERAGE($E1095:$V1095)+_xlfn.STDEV.P($E1095:$V1095)),(SLOPE($E1095:$V1095,$E$1:$V$1)*W$1+INTERCEPT($E1095:$V1095,$E$1:$V$1))&lt;(AVERAGE($E1095:$V1095)-_xlfn.STDEV.P($E1095:$V1095))),V1095,(SLOPE($E1095:$V1095,$E$1:$V$1)*W$1+INTERCEPT($E1095:$V1095,$E$1:$V$1)))</f>
        <v>578.46507436794275</v>
      </c>
      <c r="X1095" s="5">
        <f t="shared" si="1110"/>
        <v>615.8300432864462</v>
      </c>
      <c r="Y1095" s="5">
        <f t="shared" si="1110"/>
        <v>653.19501220494965</v>
      </c>
      <c r="Z1095" s="5">
        <f t="shared" si="1110"/>
        <v>690.5599811234531</v>
      </c>
      <c r="AA1095" s="5">
        <f t="shared" si="1110"/>
        <v>727.92495004195655</v>
      </c>
      <c r="AB1095" s="5">
        <f t="shared" si="1110"/>
        <v>765.28991896046</v>
      </c>
      <c r="AC1095" s="5">
        <f t="shared" si="1110"/>
        <v>802.65488787896356</v>
      </c>
      <c r="AD1095" s="5">
        <f t="shared" si="1110"/>
        <v>840.01985679746701</v>
      </c>
      <c r="AE1095" s="5">
        <f t="shared" si="1110"/>
        <v>877.38482571597046</v>
      </c>
      <c r="AF1095" s="5">
        <f t="shared" si="1110"/>
        <v>914.74979463447403</v>
      </c>
      <c r="AG1095" s="5">
        <f t="shared" si="1110"/>
        <v>952.11476355297737</v>
      </c>
      <c r="AH1095" s="5">
        <f t="shared" si="1110"/>
        <v>989.47973247148093</v>
      </c>
    </row>
    <row r="1096" spans="1:34" x14ac:dyDescent="0.35">
      <c r="A1096" t="s">
        <v>1116</v>
      </c>
      <c r="B1096" s="3" t="s">
        <v>1264</v>
      </c>
      <c r="C1096" s="4" t="s">
        <v>1267</v>
      </c>
      <c r="D1096" s="2">
        <f t="shared" si="1106"/>
        <v>3944.4314804923697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2528.9656382104185</v>
      </c>
      <c r="R1096" s="5">
        <v>0</v>
      </c>
      <c r="S1096" s="5">
        <v>0</v>
      </c>
      <c r="T1096" s="5">
        <v>0</v>
      </c>
      <c r="U1096" s="5">
        <v>0</v>
      </c>
      <c r="V1096" s="5">
        <v>1415.4658422819509</v>
      </c>
      <c r="W1096" s="5">
        <f t="shared" ref="W1096:AH1096" si="1111">IF(OR((SLOPE($E1096:$V1096,$E$1:$V$1)*W$1+INTERCEPT($E1096:$V1096,$E$1:$V$1))&gt;(AVERAGE($E1096:$V1096)+_xlfn.STDEV.P($E1096:$V1096)),(SLOPE($E1096:$V1096,$E$1:$V$1)*W$1+INTERCEPT($E1096:$V1096,$E$1:$V$1))&lt;(AVERAGE($E1096:$V1096)-_xlfn.STDEV.P($E1096:$V1096))),V1096,(SLOPE($E1096:$V1096,$E$1:$V$1)*W$1+INTERCEPT($E1096:$V1096,$E$1:$V$1)))</f>
        <v>628.60252133061636</v>
      </c>
      <c r="X1096" s="5">
        <f t="shared" si="1111"/>
        <v>671.70435702335749</v>
      </c>
      <c r="Y1096" s="5">
        <f t="shared" si="1111"/>
        <v>714.80619271609862</v>
      </c>
      <c r="Z1096" s="5">
        <f t="shared" si="1111"/>
        <v>757.90802840883953</v>
      </c>
      <c r="AA1096" s="5">
        <f t="shared" si="1111"/>
        <v>801.00986410158066</v>
      </c>
      <c r="AB1096" s="5">
        <f t="shared" si="1111"/>
        <v>844.11169979432179</v>
      </c>
      <c r="AC1096" s="5">
        <f t="shared" si="1111"/>
        <v>844.11169979432179</v>
      </c>
      <c r="AD1096" s="5">
        <f t="shared" si="1111"/>
        <v>844.11169979432179</v>
      </c>
      <c r="AE1096" s="5">
        <f t="shared" si="1111"/>
        <v>844.11169979432179</v>
      </c>
      <c r="AF1096" s="5">
        <f t="shared" si="1111"/>
        <v>844.11169979432179</v>
      </c>
      <c r="AG1096" s="5">
        <f t="shared" si="1111"/>
        <v>844.11169979432179</v>
      </c>
      <c r="AH1096" s="5">
        <f t="shared" si="1111"/>
        <v>844.11169979432179</v>
      </c>
    </row>
    <row r="1097" spans="1:34" x14ac:dyDescent="0.35">
      <c r="A1097" t="s">
        <v>1117</v>
      </c>
      <c r="B1097" s="3" t="s">
        <v>1264</v>
      </c>
      <c r="C1097" s="4" t="s">
        <v>1263</v>
      </c>
      <c r="D1097" s="2">
        <f t="shared" si="1106"/>
        <v>3145.7666369899557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1525.3573477203095</v>
      </c>
      <c r="U1097" s="5">
        <v>597.46934688154556</v>
      </c>
      <c r="V1097" s="5">
        <v>1022.9399423881008</v>
      </c>
      <c r="W1097" s="5">
        <f t="shared" ref="W1097:AH1097" si="1112">IF(OR((SLOPE($E1097:$V1097,$E$1:$V$1)*W$1+INTERCEPT($E1097:$V1097,$E$1:$V$1))&gt;(AVERAGE($E1097:$V1097)+_xlfn.STDEV.P($E1097:$V1097)),(SLOPE($E1097:$V1097,$E$1:$V$1)*W$1+INTERCEPT($E1097:$V1097,$E$1:$V$1))&lt;(AVERAGE($E1097:$V1097)-_xlfn.STDEV.P($E1097:$V1097))),V1097,(SLOPE($E1097:$V1097,$E$1:$V$1)*W$1+INTERCEPT($E1097:$V1097,$E$1:$V$1)))</f>
        <v>1022.9399423881008</v>
      </c>
      <c r="X1097" s="5">
        <f t="shared" si="1112"/>
        <v>1022.9399423881008</v>
      </c>
      <c r="Y1097" s="5">
        <f t="shared" si="1112"/>
        <v>1022.9399423881008</v>
      </c>
      <c r="Z1097" s="5">
        <f t="shared" si="1112"/>
        <v>1022.9399423881008</v>
      </c>
      <c r="AA1097" s="5">
        <f t="shared" si="1112"/>
        <v>1022.9399423881008</v>
      </c>
      <c r="AB1097" s="5">
        <f t="shared" si="1112"/>
        <v>1022.9399423881008</v>
      </c>
      <c r="AC1097" s="5">
        <f t="shared" si="1112"/>
        <v>1022.9399423881008</v>
      </c>
      <c r="AD1097" s="5">
        <f t="shared" si="1112"/>
        <v>1022.9399423881008</v>
      </c>
      <c r="AE1097" s="5">
        <f t="shared" si="1112"/>
        <v>1022.9399423881008</v>
      </c>
      <c r="AF1097" s="5">
        <f t="shared" si="1112"/>
        <v>1022.9399423881008</v>
      </c>
      <c r="AG1097" s="5">
        <f t="shared" si="1112"/>
        <v>1022.9399423881008</v>
      </c>
      <c r="AH1097" s="5">
        <f t="shared" si="1112"/>
        <v>1022.9399423881008</v>
      </c>
    </row>
    <row r="1098" spans="1:34" x14ac:dyDescent="0.35">
      <c r="A1098" t="s">
        <v>1118</v>
      </c>
      <c r="B1098" s="3" t="s">
        <v>1266</v>
      </c>
      <c r="C1098" s="4" t="s">
        <v>1266</v>
      </c>
      <c r="D1098" s="2">
        <f t="shared" si="1106"/>
        <v>3732.0360000000001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339.27600000000001</v>
      </c>
      <c r="Q1098" s="5">
        <v>0</v>
      </c>
      <c r="R1098" s="5">
        <v>0</v>
      </c>
      <c r="S1098" s="5">
        <v>0</v>
      </c>
      <c r="T1098" s="5">
        <v>3392.76</v>
      </c>
      <c r="U1098" s="5">
        <v>0</v>
      </c>
      <c r="V1098" s="5">
        <v>0</v>
      </c>
      <c r="W1098" s="5">
        <f t="shared" ref="W1098:AH1098" si="1113">IF(OR((SLOPE($E1098:$V1098,$E$1:$V$1)*W$1+INTERCEPT($E1098:$V1098,$E$1:$V$1))&gt;(AVERAGE($E1098:$V1098)+_xlfn.STDEV.P($E1098:$V1098)),(SLOPE($E1098:$V1098,$E$1:$V$1)*W$1+INTERCEPT($E1098:$V1098,$E$1:$V$1))&lt;(AVERAGE($E1098:$V1098)-_xlfn.STDEV.P($E1098:$V1098))),V1098,(SLOPE($E1098:$V1098,$E$1:$V$1)*W$1+INTERCEPT($E1098:$V1098,$E$1:$V$1)))</f>
        <v>656.37709803921575</v>
      </c>
      <c r="X1098" s="5">
        <f t="shared" si="1113"/>
        <v>703.64465221878231</v>
      </c>
      <c r="Y1098" s="5">
        <f t="shared" si="1113"/>
        <v>750.91220639834899</v>
      </c>
      <c r="Z1098" s="5">
        <f t="shared" si="1113"/>
        <v>798.17976057791543</v>
      </c>
      <c r="AA1098" s="5">
        <f t="shared" si="1113"/>
        <v>845.44731475748199</v>
      </c>
      <c r="AB1098" s="5">
        <f t="shared" si="1113"/>
        <v>892.71486893704878</v>
      </c>
      <c r="AC1098" s="5">
        <f t="shared" si="1113"/>
        <v>939.98242311661534</v>
      </c>
      <c r="AD1098" s="5">
        <f t="shared" si="1113"/>
        <v>939.98242311661534</v>
      </c>
      <c r="AE1098" s="5">
        <f t="shared" si="1113"/>
        <v>939.98242311661534</v>
      </c>
      <c r="AF1098" s="5">
        <f t="shared" si="1113"/>
        <v>939.98242311661534</v>
      </c>
      <c r="AG1098" s="5">
        <f t="shared" si="1113"/>
        <v>939.98242311661534</v>
      </c>
      <c r="AH1098" s="5">
        <f t="shared" si="1113"/>
        <v>939.98242311661534</v>
      </c>
    </row>
    <row r="1099" spans="1:34" x14ac:dyDescent="0.35">
      <c r="A1099" t="s">
        <v>1119</v>
      </c>
      <c r="B1099" s="3" t="s">
        <v>1264</v>
      </c>
      <c r="C1099" s="4" t="s">
        <v>1267</v>
      </c>
      <c r="D1099" s="2">
        <f t="shared" si="1106"/>
        <v>3640.072799999999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112.07279999999999</v>
      </c>
      <c r="K1099" s="5">
        <v>0</v>
      </c>
      <c r="L1099" s="5">
        <v>1175.9999999999998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2351.9999999999995</v>
      </c>
      <c r="W1099" s="5">
        <f t="shared" ref="W1099:AH1099" si="1114">IF(OR((SLOPE($E1099:$V1099,$E$1:$V$1)*W$1+INTERCEPT($E1099:$V1099,$E$1:$V$1))&gt;(AVERAGE($E1099:$V1099)+_xlfn.STDEV.P($E1099:$V1099)),(SLOPE($E1099:$V1099,$E$1:$V$1)*W$1+INTERCEPT($E1099:$V1099,$E$1:$V$1))&lt;(AVERAGE($E1099:$V1099)-_xlfn.STDEV.P($E1099:$V1099))),V1099,(SLOPE($E1099:$V1099,$E$1:$V$1)*W$1+INTERCEPT($E1099:$V1099,$E$1:$V$1)))</f>
        <v>551.94676078431371</v>
      </c>
      <c r="X1099" s="5">
        <f t="shared" si="1114"/>
        <v>588.75944437564499</v>
      </c>
      <c r="Y1099" s="5">
        <f t="shared" si="1114"/>
        <v>625.57212796697604</v>
      </c>
      <c r="Z1099" s="5">
        <f t="shared" si="1114"/>
        <v>662.38481155830732</v>
      </c>
      <c r="AA1099" s="5">
        <f t="shared" si="1114"/>
        <v>699.1974951496386</v>
      </c>
      <c r="AB1099" s="5">
        <f t="shared" si="1114"/>
        <v>736.01017874096988</v>
      </c>
      <c r="AC1099" s="5">
        <f t="shared" si="1114"/>
        <v>772.82286233230116</v>
      </c>
      <c r="AD1099" s="5">
        <f t="shared" si="1114"/>
        <v>772.82286233230116</v>
      </c>
      <c r="AE1099" s="5">
        <f t="shared" si="1114"/>
        <v>772.82286233230116</v>
      </c>
      <c r="AF1099" s="5">
        <f t="shared" si="1114"/>
        <v>772.82286233230116</v>
      </c>
      <c r="AG1099" s="5">
        <f t="shared" si="1114"/>
        <v>772.82286233230116</v>
      </c>
      <c r="AH1099" s="5">
        <f t="shared" si="1114"/>
        <v>772.82286233230116</v>
      </c>
    </row>
    <row r="1100" spans="1:34" x14ac:dyDescent="0.35">
      <c r="A1100" t="s">
        <v>1120</v>
      </c>
      <c r="B1100" s="3" t="s">
        <v>1264</v>
      </c>
      <c r="C1100" s="4" t="s">
        <v>1263</v>
      </c>
      <c r="D1100" s="2">
        <f t="shared" si="1106"/>
        <v>3628.740807937224</v>
      </c>
      <c r="E1100" s="5">
        <v>0</v>
      </c>
      <c r="F1100" s="5">
        <v>0</v>
      </c>
      <c r="G1100" s="5">
        <v>0</v>
      </c>
      <c r="H1100" s="5">
        <v>747.33792383146499</v>
      </c>
      <c r="I1100" s="5">
        <v>1411.6383005705447</v>
      </c>
      <c r="J1100" s="5">
        <v>0</v>
      </c>
      <c r="K1100" s="5">
        <v>0</v>
      </c>
      <c r="L1100" s="5">
        <v>0</v>
      </c>
      <c r="M1100" s="5">
        <v>0</v>
      </c>
      <c r="N1100" s="5">
        <v>830.37547092385</v>
      </c>
      <c r="O1100" s="5">
        <v>0</v>
      </c>
      <c r="P1100" s="5">
        <v>0</v>
      </c>
      <c r="Q1100" s="5">
        <v>0</v>
      </c>
      <c r="R1100" s="5">
        <v>58.126282964669507</v>
      </c>
      <c r="S1100" s="5">
        <v>0</v>
      </c>
      <c r="T1100" s="5">
        <v>207.5938677309625</v>
      </c>
      <c r="U1100" s="5">
        <v>124.5563206385775</v>
      </c>
      <c r="V1100" s="5">
        <v>249.11264127715501</v>
      </c>
      <c r="W1100" s="5">
        <f t="shared" ref="W1100:AH1100" si="1115">IF(OR((SLOPE($E1100:$V1100,$E$1:$V$1)*W$1+INTERCEPT($E1100:$V1100,$E$1:$V$1))&gt;(AVERAGE($E1100:$V1100)+_xlfn.STDEV.P($E1100:$V1100)),(SLOPE($E1100:$V1100,$E$1:$V$1)*W$1+INTERCEPT($E1100:$V1100,$E$1:$V$1))&lt;(AVERAGE($E1100:$V1100)-_xlfn.STDEV.P($E1100:$V1100))),V1100,(SLOPE($E1100:$V1100,$E$1:$V$1)*W$1+INTERCEPT($E1100:$V1100,$E$1:$V$1)))</f>
        <v>96.008771768907849</v>
      </c>
      <c r="X1100" s="5">
        <f t="shared" si="1115"/>
        <v>84.894251791733097</v>
      </c>
      <c r="Y1100" s="5">
        <f t="shared" si="1115"/>
        <v>73.779731814558346</v>
      </c>
      <c r="Z1100" s="5">
        <f t="shared" si="1115"/>
        <v>62.665211837383595</v>
      </c>
      <c r="AA1100" s="5">
        <f t="shared" si="1115"/>
        <v>51.550691860208843</v>
      </c>
      <c r="AB1100" s="5">
        <f t="shared" si="1115"/>
        <v>40.436171883034092</v>
      </c>
      <c r="AC1100" s="5">
        <f t="shared" si="1115"/>
        <v>29.321651905859369</v>
      </c>
      <c r="AD1100" s="5">
        <f t="shared" si="1115"/>
        <v>18.207131928684589</v>
      </c>
      <c r="AE1100" s="5">
        <f t="shared" si="1115"/>
        <v>7.0926119515098094</v>
      </c>
      <c r="AF1100" s="5">
        <f t="shared" si="1115"/>
        <v>-4.0219080256649136</v>
      </c>
      <c r="AG1100" s="5">
        <f t="shared" si="1115"/>
        <v>-15.136428002839637</v>
      </c>
      <c r="AH1100" s="5">
        <f t="shared" si="1115"/>
        <v>-26.250947980014416</v>
      </c>
    </row>
    <row r="1101" spans="1:34" x14ac:dyDescent="0.35">
      <c r="A1101" t="s">
        <v>1121</v>
      </c>
      <c r="B1101" s="3" t="s">
        <v>1265</v>
      </c>
      <c r="C1101" s="4" t="s">
        <v>1263</v>
      </c>
      <c r="D1101" s="2">
        <f t="shared" si="1106"/>
        <v>3612.8237913143084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3612.8237913143084</v>
      </c>
      <c r="U1101" s="5">
        <v>0</v>
      </c>
      <c r="V1101" s="5">
        <v>0</v>
      </c>
      <c r="W1101" s="5">
        <f t="shared" ref="W1101:AH1101" si="1116">IF(OR((SLOPE($E1101:$V1101,$E$1:$V$1)*W$1+INTERCEPT($E1101:$V1101,$E$1:$V$1))&gt;(AVERAGE($E1101:$V1101)+_xlfn.STDEV.P($E1101:$V1101)),(SLOPE($E1101:$V1101,$E$1:$V$1)*W$1+INTERCEPT($E1101:$V1101,$E$1:$V$1))&lt;(AVERAGE($E1101:$V1101)-_xlfn.STDEV.P($E1101:$V1101))),V1101,(SLOPE($E1101:$V1101,$E$1:$V$1)*W$1+INTERCEPT($E1101:$V1101,$E$1:$V$1)))</f>
        <v>661.17036703791268</v>
      </c>
      <c r="X1101" s="5">
        <f t="shared" si="1116"/>
        <v>709.63962326813567</v>
      </c>
      <c r="Y1101" s="5">
        <f t="shared" si="1116"/>
        <v>758.10887949835842</v>
      </c>
      <c r="Z1101" s="5">
        <f t="shared" si="1116"/>
        <v>806.5781357285814</v>
      </c>
      <c r="AA1101" s="5">
        <f t="shared" si="1116"/>
        <v>855.04739195880438</v>
      </c>
      <c r="AB1101" s="5">
        <f t="shared" si="1116"/>
        <v>903.51664818902714</v>
      </c>
      <c r="AC1101" s="5">
        <f t="shared" si="1116"/>
        <v>951.98590441925012</v>
      </c>
      <c r="AD1101" s="5">
        <f t="shared" si="1116"/>
        <v>1000.4551606494731</v>
      </c>
      <c r="AE1101" s="5">
        <f t="shared" si="1116"/>
        <v>1000.4551606494731</v>
      </c>
      <c r="AF1101" s="5">
        <f t="shared" si="1116"/>
        <v>1000.4551606494731</v>
      </c>
      <c r="AG1101" s="5">
        <f t="shared" si="1116"/>
        <v>1000.4551606494731</v>
      </c>
      <c r="AH1101" s="5">
        <f t="shared" si="1116"/>
        <v>1000.4551606494731</v>
      </c>
    </row>
    <row r="1102" spans="1:34" x14ac:dyDescent="0.35">
      <c r="A1102" t="s">
        <v>1122</v>
      </c>
      <c r="B1102" s="3" t="s">
        <v>1266</v>
      </c>
      <c r="C1102" s="4" t="s">
        <v>1266</v>
      </c>
      <c r="D1102" s="2">
        <f t="shared" si="1106"/>
        <v>3580.92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3580.92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f t="shared" ref="W1102:AH1102" si="1117">IF(OR((SLOPE($E1102:$V1102,$E$1:$V$1)*W$1+INTERCEPT($E1102:$V1102,$E$1:$V$1))&gt;(AVERAGE($E1102:$V1102)+_xlfn.STDEV.P($E1102:$V1102)),(SLOPE($E1102:$V1102,$E$1:$V$1)*W$1+INTERCEPT($E1102:$V1102,$E$1:$V$1))&lt;(AVERAGE($E1102:$V1102)-_xlfn.STDEV.P($E1102:$V1102))),V1102,(SLOPE($E1102:$V1102,$E$1:$V$1)*W$1+INTERCEPT($E1102:$V1102,$E$1:$V$1)))</f>
        <v>-46.809411764705885</v>
      </c>
      <c r="X1102" s="5">
        <f t="shared" si="1117"/>
        <v>-72.677770897832829</v>
      </c>
      <c r="Y1102" s="5">
        <f t="shared" si="1117"/>
        <v>-98.546130030959716</v>
      </c>
      <c r="Z1102" s="5">
        <f t="shared" si="1117"/>
        <v>-124.41448916408672</v>
      </c>
      <c r="AA1102" s="5">
        <f t="shared" si="1117"/>
        <v>-150.2828482972136</v>
      </c>
      <c r="AB1102" s="5">
        <f t="shared" si="1117"/>
        <v>-176.15120743034049</v>
      </c>
      <c r="AC1102" s="5">
        <f t="shared" si="1117"/>
        <v>-202.01956656346749</v>
      </c>
      <c r="AD1102" s="5">
        <f t="shared" si="1117"/>
        <v>-227.88792569659438</v>
      </c>
      <c r="AE1102" s="5">
        <f t="shared" si="1117"/>
        <v>-253.75628482972138</v>
      </c>
      <c r="AF1102" s="5">
        <f t="shared" si="1117"/>
        <v>-279.62464396284827</v>
      </c>
      <c r="AG1102" s="5">
        <f t="shared" si="1117"/>
        <v>-305.49300309597527</v>
      </c>
      <c r="AH1102" s="5">
        <f t="shared" si="1117"/>
        <v>-331.36136222910216</v>
      </c>
    </row>
    <row r="1103" spans="1:34" x14ac:dyDescent="0.35">
      <c r="A1103" t="s">
        <v>1123</v>
      </c>
      <c r="B1103" s="3" t="s">
        <v>1264</v>
      </c>
      <c r="C1103" s="4" t="s">
        <v>1263</v>
      </c>
      <c r="D1103" s="2">
        <f t="shared" si="1106"/>
        <v>3574.1787533948259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3574.1787533948259</v>
      </c>
      <c r="V1103" s="5">
        <v>0</v>
      </c>
      <c r="W1103" s="5">
        <f t="shared" ref="W1103:AH1103" si="1118">IF(OR((SLOPE($E1103:$V1103,$E$1:$V$1)*W$1+INTERCEPT($E1103:$V1103,$E$1:$V$1))&gt;(AVERAGE($E1103:$V1103)+_xlfn.STDEV.P($E1103:$V1103)),(SLOPE($E1103:$V1103,$E$1:$V$1)*W$1+INTERCEPT($E1103:$V1103,$E$1:$V$1))&lt;(AVERAGE($E1103:$V1103)-_xlfn.STDEV.P($E1103:$V1103))),V1103,(SLOPE($E1103:$V1103,$E$1:$V$1)*W$1+INTERCEPT($E1103:$V1103,$E$1:$V$1)))</f>
        <v>724.18000885777519</v>
      </c>
      <c r="X1103" s="5">
        <f t="shared" si="1118"/>
        <v>779.50785333757131</v>
      </c>
      <c r="Y1103" s="5">
        <f t="shared" si="1118"/>
        <v>834.83569781736742</v>
      </c>
      <c r="Z1103" s="5">
        <f t="shared" si="1118"/>
        <v>890.16354229716353</v>
      </c>
      <c r="AA1103" s="5">
        <f t="shared" si="1118"/>
        <v>945.49138677695964</v>
      </c>
      <c r="AB1103" s="5">
        <f t="shared" si="1118"/>
        <v>1000.8192312567558</v>
      </c>
      <c r="AC1103" s="5">
        <f t="shared" si="1118"/>
        <v>1000.8192312567558</v>
      </c>
      <c r="AD1103" s="5">
        <f t="shared" si="1118"/>
        <v>1000.8192312567558</v>
      </c>
      <c r="AE1103" s="5">
        <f t="shared" si="1118"/>
        <v>1000.8192312567558</v>
      </c>
      <c r="AF1103" s="5">
        <f t="shared" si="1118"/>
        <v>1000.8192312567558</v>
      </c>
      <c r="AG1103" s="5">
        <f t="shared" si="1118"/>
        <v>1000.8192312567558</v>
      </c>
      <c r="AH1103" s="5">
        <f t="shared" si="1118"/>
        <v>1000.8192312567558</v>
      </c>
    </row>
    <row r="1104" spans="1:34" x14ac:dyDescent="0.35">
      <c r="A1104" t="s">
        <v>1124</v>
      </c>
      <c r="B1104" s="3" t="s">
        <v>1266</v>
      </c>
      <c r="C1104" s="4" t="s">
        <v>1267</v>
      </c>
      <c r="D1104" s="2">
        <f t="shared" si="1106"/>
        <v>3539.7599999999998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2107</v>
      </c>
      <c r="U1104" s="5">
        <v>1348.4799999999998</v>
      </c>
      <c r="V1104" s="5">
        <v>84.28</v>
      </c>
      <c r="W1104" s="5">
        <f t="shared" ref="W1104:AH1104" si="1119">IF(OR((SLOPE($E1104:$V1104,$E$1:$V$1)*W$1+INTERCEPT($E1104:$V1104,$E$1:$V$1))&gt;(AVERAGE($E1104:$V1104)+_xlfn.STDEV.P($E1104:$V1104)),(SLOPE($E1104:$V1104,$E$1:$V$1)*W$1+INTERCEPT($E1104:$V1104,$E$1:$V$1))&lt;(AVERAGE($E1104:$V1104)-_xlfn.STDEV.P($E1104:$V1104))),V1104,(SLOPE($E1104:$V1104,$E$1:$V$1)*W$1+INTERCEPT($E1104:$V1104,$E$1:$V$1)))</f>
        <v>677.54509803921565</v>
      </c>
      <c r="X1104" s="5">
        <f t="shared" si="1119"/>
        <v>728.16528379772944</v>
      </c>
      <c r="Y1104" s="5">
        <f t="shared" si="1119"/>
        <v>728.16528379772944</v>
      </c>
      <c r="Z1104" s="5">
        <f t="shared" si="1119"/>
        <v>728.16528379772944</v>
      </c>
      <c r="AA1104" s="5">
        <f t="shared" si="1119"/>
        <v>728.16528379772944</v>
      </c>
      <c r="AB1104" s="5">
        <f t="shared" si="1119"/>
        <v>728.16528379772944</v>
      </c>
      <c r="AC1104" s="5">
        <f t="shared" si="1119"/>
        <v>728.16528379772944</v>
      </c>
      <c r="AD1104" s="5">
        <f t="shared" si="1119"/>
        <v>728.16528379772944</v>
      </c>
      <c r="AE1104" s="5">
        <f t="shared" si="1119"/>
        <v>728.16528379772944</v>
      </c>
      <c r="AF1104" s="5">
        <f t="shared" si="1119"/>
        <v>728.16528379772944</v>
      </c>
      <c r="AG1104" s="5">
        <f t="shared" si="1119"/>
        <v>728.16528379772944</v>
      </c>
      <c r="AH1104" s="5">
        <f t="shared" si="1119"/>
        <v>728.16528379772944</v>
      </c>
    </row>
    <row r="1105" spans="1:34" x14ac:dyDescent="0.35">
      <c r="A1105" t="s">
        <v>1125</v>
      </c>
      <c r="B1105" s="3" t="s">
        <v>1264</v>
      </c>
      <c r="C1105" s="4" t="s">
        <v>1267</v>
      </c>
      <c r="D1105" s="2">
        <f t="shared" si="1106"/>
        <v>3531.7582854021794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540.74768006157763</v>
      </c>
      <c r="R1105" s="5">
        <v>0</v>
      </c>
      <c r="S1105" s="5">
        <v>0</v>
      </c>
      <c r="T1105" s="5">
        <v>1723.6332301962789</v>
      </c>
      <c r="U1105" s="5">
        <v>0</v>
      </c>
      <c r="V1105" s="5">
        <v>1267.3773751443225</v>
      </c>
      <c r="W1105" s="5">
        <f t="shared" ref="W1105:AH1105" si="1120">IF(OR((SLOPE($E1105:$V1105,$E$1:$V$1)*W$1+INTERCEPT($E1105:$V1105,$E$1:$V$1))&gt;(AVERAGE($E1105:$V1105)+_xlfn.STDEV.P($E1105:$V1105)),(SLOPE($E1105:$V1105,$E$1:$V$1)*W$1+INTERCEPT($E1105:$V1105,$E$1:$V$1))&lt;(AVERAGE($E1105:$V1105)-_xlfn.STDEV.P($E1105:$V1105))),V1105,(SLOPE($E1105:$V1105,$E$1:$V$1)*W$1+INTERCEPT($E1105:$V1105,$E$1:$V$1)))</f>
        <v>664.2272360887107</v>
      </c>
      <c r="X1105" s="5">
        <f t="shared" si="1120"/>
        <v>664.2272360887107</v>
      </c>
      <c r="Y1105" s="5">
        <f t="shared" si="1120"/>
        <v>664.2272360887107</v>
      </c>
      <c r="Z1105" s="5">
        <f t="shared" si="1120"/>
        <v>664.2272360887107</v>
      </c>
      <c r="AA1105" s="5">
        <f t="shared" si="1120"/>
        <v>664.2272360887107</v>
      </c>
      <c r="AB1105" s="5">
        <f t="shared" si="1120"/>
        <v>664.2272360887107</v>
      </c>
      <c r="AC1105" s="5">
        <f t="shared" si="1120"/>
        <v>664.2272360887107</v>
      </c>
      <c r="AD1105" s="5">
        <f t="shared" si="1120"/>
        <v>664.2272360887107</v>
      </c>
      <c r="AE1105" s="5">
        <f t="shared" si="1120"/>
        <v>664.2272360887107</v>
      </c>
      <c r="AF1105" s="5">
        <f t="shared" si="1120"/>
        <v>664.2272360887107</v>
      </c>
      <c r="AG1105" s="5">
        <f t="shared" si="1120"/>
        <v>664.2272360887107</v>
      </c>
      <c r="AH1105" s="5">
        <f t="shared" si="1120"/>
        <v>664.2272360887107</v>
      </c>
    </row>
    <row r="1106" spans="1:34" x14ac:dyDescent="0.35">
      <c r="A1106" t="s">
        <v>1126</v>
      </c>
      <c r="B1106" s="3" t="s">
        <v>1264</v>
      </c>
      <c r="C1106" s="4" t="s">
        <v>1267</v>
      </c>
      <c r="D1106" s="2">
        <f t="shared" si="1106"/>
        <v>3483.9000000000005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696.78000000000009</v>
      </c>
      <c r="K1106" s="5">
        <v>0</v>
      </c>
      <c r="L1106" s="5">
        <v>1393.5600000000002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1393.5600000000002</v>
      </c>
      <c r="W1106" s="5">
        <f t="shared" ref="W1106:AH1106" si="1121">IF(OR((SLOPE($E1106:$V1106,$E$1:$V$1)*W$1+INTERCEPT($E1106:$V1106,$E$1:$V$1))&gt;(AVERAGE($E1106:$V1106)+_xlfn.STDEV.P($E1106:$V1106)),(SLOPE($E1106:$V1106,$E$1:$V$1)*W$1+INTERCEPT($E1106:$V1106,$E$1:$V$1))&lt;(AVERAGE($E1106:$V1106)-_xlfn.STDEV.P($E1106:$V1106))),V1106,(SLOPE($E1106:$V1106,$E$1:$V$1)*W$1+INTERCEPT($E1106:$V1106,$E$1:$V$1)))</f>
        <v>337.00470588235305</v>
      </c>
      <c r="X1106" s="5">
        <f t="shared" si="1121"/>
        <v>352.10520123839024</v>
      </c>
      <c r="Y1106" s="5">
        <f t="shared" si="1121"/>
        <v>367.20569659442742</v>
      </c>
      <c r="Z1106" s="5">
        <f t="shared" si="1121"/>
        <v>382.30619195046449</v>
      </c>
      <c r="AA1106" s="5">
        <f t="shared" si="1121"/>
        <v>397.40668730650168</v>
      </c>
      <c r="AB1106" s="5">
        <f t="shared" si="1121"/>
        <v>412.50718266253887</v>
      </c>
      <c r="AC1106" s="5">
        <f t="shared" si="1121"/>
        <v>427.60767801857605</v>
      </c>
      <c r="AD1106" s="5">
        <f t="shared" si="1121"/>
        <v>442.70817337461312</v>
      </c>
      <c r="AE1106" s="5">
        <f t="shared" si="1121"/>
        <v>457.80866873065031</v>
      </c>
      <c r="AF1106" s="5">
        <f t="shared" si="1121"/>
        <v>472.9091640866875</v>
      </c>
      <c r="AG1106" s="5">
        <f t="shared" si="1121"/>
        <v>488.00965944272468</v>
      </c>
      <c r="AH1106" s="5">
        <f t="shared" si="1121"/>
        <v>503.11015479876176</v>
      </c>
    </row>
    <row r="1107" spans="1:34" x14ac:dyDescent="0.35">
      <c r="A1107" t="s">
        <v>1127</v>
      </c>
      <c r="B1107" s="3" t="s">
        <v>1266</v>
      </c>
      <c r="C1107" s="4" t="s">
        <v>1267</v>
      </c>
      <c r="D1107" s="2">
        <f t="shared" si="1106"/>
        <v>3429.1902997269576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3429.1902997269576</v>
      </c>
      <c r="W1107" s="5">
        <f t="shared" ref="W1107:AH1107" si="1122">IF(OR((SLOPE($E1107:$V1107,$E$1:$V$1)*W$1+INTERCEPT($E1107:$V1107,$E$1:$V$1))&gt;(AVERAGE($E1107:$V1107)+_xlfn.STDEV.P($E1107:$V1107)),(SLOPE($E1107:$V1107,$E$1:$V$1)*W$1+INTERCEPT($E1107:$V1107,$E$1:$V$1))&lt;(AVERAGE($E1107:$V1107)-_xlfn.STDEV.P($E1107:$V1107))),V1107,(SLOPE($E1107:$V1107,$E$1:$V$1)*W$1+INTERCEPT($E1107:$V1107,$E$1:$V$1)))</f>
        <v>762.0422888282128</v>
      </c>
      <c r="X1107" s="5">
        <f t="shared" si="1122"/>
        <v>822.20352215675598</v>
      </c>
      <c r="Y1107" s="5">
        <f t="shared" si="1122"/>
        <v>882.36475548529916</v>
      </c>
      <c r="Z1107" s="5">
        <f t="shared" si="1122"/>
        <v>942.5259888138421</v>
      </c>
      <c r="AA1107" s="5">
        <f t="shared" si="1122"/>
        <v>942.5259888138421</v>
      </c>
      <c r="AB1107" s="5">
        <f t="shared" si="1122"/>
        <v>942.5259888138421</v>
      </c>
      <c r="AC1107" s="5">
        <f t="shared" si="1122"/>
        <v>942.5259888138421</v>
      </c>
      <c r="AD1107" s="5">
        <f t="shared" si="1122"/>
        <v>942.5259888138421</v>
      </c>
      <c r="AE1107" s="5">
        <f t="shared" si="1122"/>
        <v>942.5259888138421</v>
      </c>
      <c r="AF1107" s="5">
        <f t="shared" si="1122"/>
        <v>942.5259888138421</v>
      </c>
      <c r="AG1107" s="5">
        <f t="shared" si="1122"/>
        <v>942.5259888138421</v>
      </c>
      <c r="AH1107" s="5">
        <f t="shared" si="1122"/>
        <v>942.5259888138421</v>
      </c>
    </row>
    <row r="1108" spans="1:34" x14ac:dyDescent="0.35">
      <c r="A1108" t="s">
        <v>1128</v>
      </c>
      <c r="B1108" s="3" t="s">
        <v>1266</v>
      </c>
      <c r="C1108" s="4" t="s">
        <v>1266</v>
      </c>
      <c r="D1108" s="2">
        <f t="shared" si="1106"/>
        <v>3351.5503825956093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3351.5503825956093</v>
      </c>
      <c r="S1108" s="5">
        <v>0</v>
      </c>
      <c r="T1108" s="5">
        <v>0</v>
      </c>
      <c r="U1108" s="5">
        <v>0</v>
      </c>
      <c r="V1108" s="5">
        <v>0</v>
      </c>
      <c r="W1108" s="5">
        <f t="shared" ref="W1108:AH1108" si="1123">IF(OR((SLOPE($E1108:$V1108,$E$1:$V$1)*W$1+INTERCEPT($E1108:$V1108,$E$1:$V$1))&gt;(AVERAGE($E1108:$V1108)+_xlfn.STDEV.P($E1108:$V1108)),(SLOPE($E1108:$V1108,$E$1:$V$1)*W$1+INTERCEPT($E1108:$V1108,$E$1:$V$1))&lt;(AVERAGE($E1108:$V1108)-_xlfn.STDEV.P($E1108:$V1108))),V1108,(SLOPE($E1108:$V1108,$E$1:$V$1)*W$1+INTERCEPT($E1108:$V1108,$E$1:$V$1)))</f>
        <v>481.92227723596994</v>
      </c>
      <c r="X1108" s="5">
        <f t="shared" si="1123"/>
        <v>513.0512281579106</v>
      </c>
      <c r="Y1108" s="5">
        <f t="shared" si="1123"/>
        <v>544.18017907985131</v>
      </c>
      <c r="Z1108" s="5">
        <f t="shared" si="1123"/>
        <v>575.3091300017918</v>
      </c>
      <c r="AA1108" s="5">
        <f t="shared" si="1123"/>
        <v>606.43808092373251</v>
      </c>
      <c r="AB1108" s="5">
        <f t="shared" si="1123"/>
        <v>637.56703184567323</v>
      </c>
      <c r="AC1108" s="5">
        <f t="shared" si="1123"/>
        <v>668.69598276761371</v>
      </c>
      <c r="AD1108" s="5">
        <f t="shared" si="1123"/>
        <v>699.82493368955443</v>
      </c>
      <c r="AE1108" s="5">
        <f t="shared" si="1123"/>
        <v>730.95388461149514</v>
      </c>
      <c r="AF1108" s="5">
        <f t="shared" si="1123"/>
        <v>762.08283553343563</v>
      </c>
      <c r="AG1108" s="5">
        <f t="shared" si="1123"/>
        <v>793.21178645537634</v>
      </c>
      <c r="AH1108" s="5">
        <f t="shared" si="1123"/>
        <v>824.34073737731705</v>
      </c>
    </row>
    <row r="1109" spans="1:34" x14ac:dyDescent="0.35">
      <c r="A1109" t="s">
        <v>1129</v>
      </c>
      <c r="B1109" s="3" t="s">
        <v>1266</v>
      </c>
      <c r="C1109" s="4" t="s">
        <v>1266</v>
      </c>
      <c r="D1109" s="2">
        <f t="shared" si="1106"/>
        <v>3183.1053715730636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3183.1053715730636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f t="shared" ref="W1109:AH1109" si="1124">IF(OR((SLOPE($E1109:$V1109,$E$1:$V$1)*W$1+INTERCEPT($E1109:$V1109,$E$1:$V$1))&gt;(AVERAGE($E1109:$V1109)+_xlfn.STDEV.P($E1109:$V1109)),(SLOPE($E1109:$V1109,$E$1:$V$1)*W$1+INTERCEPT($E1109:$V1109,$E$1:$V$1))&lt;(AVERAGE($E1109:$V1109)-_xlfn.STDEV.P($E1109:$V1109))),V1109,(SLOPE($E1109:$V1109,$E$1:$V$1)*W$1+INTERCEPT($E1109:$V1109,$E$1:$V$1)))</f>
        <v>-41.609220543438767</v>
      </c>
      <c r="X1109" s="5">
        <f t="shared" si="1124"/>
        <v>-64.603789791128634</v>
      </c>
      <c r="Y1109" s="5">
        <f t="shared" si="1124"/>
        <v>-87.598359038818444</v>
      </c>
      <c r="Z1109" s="5">
        <f t="shared" si="1124"/>
        <v>-110.59292828650825</v>
      </c>
      <c r="AA1109" s="5">
        <f t="shared" si="1124"/>
        <v>-133.58749753419806</v>
      </c>
      <c r="AB1109" s="5">
        <f t="shared" si="1124"/>
        <v>-156.58206678188787</v>
      </c>
      <c r="AC1109" s="5">
        <f t="shared" si="1124"/>
        <v>-179.5766360295778</v>
      </c>
      <c r="AD1109" s="5">
        <f t="shared" si="1124"/>
        <v>-202.57120527726761</v>
      </c>
      <c r="AE1109" s="5">
        <f t="shared" si="1124"/>
        <v>-225.56577452495742</v>
      </c>
      <c r="AF1109" s="5">
        <f t="shared" si="1124"/>
        <v>-248.56034377264723</v>
      </c>
      <c r="AG1109" s="5">
        <f t="shared" si="1124"/>
        <v>-271.55491302033704</v>
      </c>
      <c r="AH1109" s="5">
        <f t="shared" si="1124"/>
        <v>-294.54948226802696</v>
      </c>
    </row>
    <row r="1110" spans="1:34" x14ac:dyDescent="0.35">
      <c r="A1110" t="s">
        <v>1130</v>
      </c>
      <c r="B1110" s="3" t="s">
        <v>1266</v>
      </c>
      <c r="C1110" s="4" t="s">
        <v>1263</v>
      </c>
      <c r="D1110" s="2">
        <f t="shared" si="1106"/>
        <v>3146.9759999999992</v>
      </c>
      <c r="E1110" s="5">
        <v>3146.9759999999992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f t="shared" ref="W1110:AH1110" si="1125">IF(OR((SLOPE($E1110:$V1110,$E$1:$V$1)*W$1+INTERCEPT($E1110:$V1110,$E$1:$V$1))&gt;(AVERAGE($E1110:$V1110)+_xlfn.STDEV.P($E1110:$V1110)),(SLOPE($E1110:$V1110,$E$1:$V$1)*W$1+INTERCEPT($E1110:$V1110,$E$1:$V$1))&lt;(AVERAGE($E1110:$V1110)-_xlfn.STDEV.P($E1110:$V1110))),V1110,(SLOPE($E1110:$V1110,$E$1:$V$1)*W$1+INTERCEPT($E1110:$V1110,$E$1:$V$1)))</f>
        <v>-349.66399999999987</v>
      </c>
      <c r="X1110" s="5">
        <f t="shared" si="1125"/>
        <v>-404.87410526315773</v>
      </c>
      <c r="Y1110" s="5">
        <f t="shared" si="1125"/>
        <v>-460.08421052631581</v>
      </c>
      <c r="Z1110" s="5">
        <f t="shared" si="1125"/>
        <v>-515.29431578947367</v>
      </c>
      <c r="AA1110" s="5">
        <f t="shared" si="1125"/>
        <v>-515.29431578947367</v>
      </c>
      <c r="AB1110" s="5">
        <f t="shared" si="1125"/>
        <v>-515.29431578947367</v>
      </c>
      <c r="AC1110" s="5">
        <f t="shared" si="1125"/>
        <v>-515.29431578947367</v>
      </c>
      <c r="AD1110" s="5">
        <f t="shared" si="1125"/>
        <v>-515.29431578947367</v>
      </c>
      <c r="AE1110" s="5">
        <f t="shared" si="1125"/>
        <v>-515.29431578947367</v>
      </c>
      <c r="AF1110" s="5">
        <f t="shared" si="1125"/>
        <v>-515.29431578947367</v>
      </c>
      <c r="AG1110" s="5">
        <f t="shared" si="1125"/>
        <v>-515.29431578947367</v>
      </c>
      <c r="AH1110" s="5">
        <f t="shared" si="1125"/>
        <v>-515.29431578947367</v>
      </c>
    </row>
    <row r="1111" spans="1:34" x14ac:dyDescent="0.35">
      <c r="A1111" t="s">
        <v>1131</v>
      </c>
      <c r="B1111" s="3" t="s">
        <v>1264</v>
      </c>
      <c r="C1111" s="4" t="s">
        <v>1263</v>
      </c>
      <c r="D1111" s="2">
        <f t="shared" si="1106"/>
        <v>2784.0623999999998</v>
      </c>
      <c r="E1111" s="5">
        <v>0</v>
      </c>
      <c r="F1111" s="5">
        <v>0</v>
      </c>
      <c r="G1111" s="5">
        <v>732.64800000000002</v>
      </c>
      <c r="H1111" s="5">
        <v>0</v>
      </c>
      <c r="I1111" s="5">
        <v>1465.296</v>
      </c>
      <c r="J1111" s="5">
        <v>0</v>
      </c>
      <c r="K1111" s="5">
        <v>0</v>
      </c>
      <c r="L1111" s="5">
        <v>586.11839999999995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f t="shared" ref="W1111:AH1111" si="1126">IF(OR((SLOPE($E1111:$V1111,$E$1:$V$1)*W$1+INTERCEPT($E1111:$V1111,$E$1:$V$1))&gt;(AVERAGE($E1111:$V1111)+_xlfn.STDEV.P($E1111:$V1111)),(SLOPE($E1111:$V1111,$E$1:$V$1)*W$1+INTERCEPT($E1111:$V1111,$E$1:$V$1))&lt;(AVERAGE($E1111:$V1111)-_xlfn.STDEV.P($E1111:$V1111))),V1111,(SLOPE($E1111:$V1111,$E$1:$V$1)*W$1+INTERCEPT($E1111:$V1111,$E$1:$V$1)))</f>
        <v>-85.236172549019557</v>
      </c>
      <c r="X1111" s="5">
        <f t="shared" si="1126"/>
        <v>-110.4894679050567</v>
      </c>
      <c r="Y1111" s="5">
        <f t="shared" si="1126"/>
        <v>-135.74276326109384</v>
      </c>
      <c r="Z1111" s="5">
        <f t="shared" si="1126"/>
        <v>-160.99605861713098</v>
      </c>
      <c r="AA1111" s="5">
        <f t="shared" si="1126"/>
        <v>-186.24935397316813</v>
      </c>
      <c r="AB1111" s="5">
        <f t="shared" si="1126"/>
        <v>-211.50264932920538</v>
      </c>
      <c r="AC1111" s="5">
        <f t="shared" si="1126"/>
        <v>-211.50264932920538</v>
      </c>
      <c r="AD1111" s="5">
        <f t="shared" si="1126"/>
        <v>-211.50264932920538</v>
      </c>
      <c r="AE1111" s="5">
        <f t="shared" si="1126"/>
        <v>-211.50264932920538</v>
      </c>
      <c r="AF1111" s="5">
        <f t="shared" si="1126"/>
        <v>-211.50264932920538</v>
      </c>
      <c r="AG1111" s="5">
        <f t="shared" si="1126"/>
        <v>-211.50264932920538</v>
      </c>
      <c r="AH1111" s="5">
        <f t="shared" si="1126"/>
        <v>-211.50264932920538</v>
      </c>
    </row>
    <row r="1112" spans="1:34" x14ac:dyDescent="0.35">
      <c r="A1112" t="s">
        <v>1132</v>
      </c>
      <c r="B1112" s="3" t="s">
        <v>1265</v>
      </c>
      <c r="C1112" s="4" t="s">
        <v>1263</v>
      </c>
      <c r="D1112" s="2">
        <f t="shared" si="1106"/>
        <v>2716.56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246.95999999999998</v>
      </c>
      <c r="S1112" s="5">
        <v>0</v>
      </c>
      <c r="T1112" s="5">
        <v>2469.6</v>
      </c>
      <c r="U1112" s="5">
        <v>0</v>
      </c>
      <c r="V1112" s="5">
        <v>0</v>
      </c>
      <c r="W1112" s="5">
        <f t="shared" ref="W1112:AH1112" si="1127">IF(OR((SLOPE($E1112:$V1112,$E$1:$V$1)*W$1+INTERCEPT($E1112:$V1112,$E$1:$V$1))&gt;(AVERAGE($E1112:$V1112)+_xlfn.STDEV.P($E1112:$V1112)),(SLOPE($E1112:$V1112,$E$1:$V$1)*W$1+INTERCEPT($E1112:$V1112,$E$1:$V$1))&lt;(AVERAGE($E1112:$V1112)-_xlfn.STDEV.P($E1112:$V1112))),V1112,(SLOPE($E1112:$V1112,$E$1:$V$1)*W$1+INTERCEPT($E1112:$V1112,$E$1:$V$1)))</f>
        <v>487.46352941176463</v>
      </c>
      <c r="X1112" s="5">
        <f t="shared" si="1127"/>
        <v>522.88916408668729</v>
      </c>
      <c r="Y1112" s="5">
        <f t="shared" si="1127"/>
        <v>558.31479876160984</v>
      </c>
      <c r="Z1112" s="5">
        <f t="shared" si="1127"/>
        <v>593.7404334365325</v>
      </c>
      <c r="AA1112" s="5">
        <f t="shared" si="1127"/>
        <v>629.16606811145505</v>
      </c>
      <c r="AB1112" s="5">
        <f t="shared" si="1127"/>
        <v>664.5917027863776</v>
      </c>
      <c r="AC1112" s="5">
        <f t="shared" si="1127"/>
        <v>700.01733746130026</v>
      </c>
      <c r="AD1112" s="5">
        <f t="shared" si="1127"/>
        <v>700.01733746130026</v>
      </c>
      <c r="AE1112" s="5">
        <f t="shared" si="1127"/>
        <v>700.01733746130026</v>
      </c>
      <c r="AF1112" s="5">
        <f t="shared" si="1127"/>
        <v>700.01733746130026</v>
      </c>
      <c r="AG1112" s="5">
        <f t="shared" si="1127"/>
        <v>700.01733746130026</v>
      </c>
      <c r="AH1112" s="5">
        <f t="shared" si="1127"/>
        <v>700.01733746130026</v>
      </c>
    </row>
    <row r="1113" spans="1:34" x14ac:dyDescent="0.35">
      <c r="A1113" t="s">
        <v>1133</v>
      </c>
      <c r="B1113" s="3" t="s">
        <v>1264</v>
      </c>
      <c r="C1113" s="4" t="s">
        <v>1267</v>
      </c>
      <c r="D1113" s="2">
        <f t="shared" si="1106"/>
        <v>2650.7040000000002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946.68</v>
      </c>
      <c r="U1113" s="5">
        <v>1262.24</v>
      </c>
      <c r="V1113" s="5">
        <v>441.78399999999999</v>
      </c>
      <c r="W1113" s="5">
        <f t="shared" ref="W1113:AH1113" si="1128">IF(OR((SLOPE($E1113:$V1113,$E$1:$V$1)*W$1+INTERCEPT($E1113:$V1113,$E$1:$V$1))&gt;(AVERAGE($E1113:$V1113)+_xlfn.STDEV.P($E1113:$V1113)),(SLOPE($E1113:$V1113,$E$1:$V$1)*W$1+INTERCEPT($E1113:$V1113,$E$1:$V$1))&lt;(AVERAGE($E1113:$V1113)-_xlfn.STDEV.P($E1113:$V1113))),V1113,(SLOPE($E1113:$V1113,$E$1:$V$1)*W$1+INTERCEPT($E1113:$V1113,$E$1:$V$1)))</f>
        <v>441.78399999999999</v>
      </c>
      <c r="X1113" s="5">
        <f t="shared" si="1128"/>
        <v>441.78399999999999</v>
      </c>
      <c r="Y1113" s="5">
        <f t="shared" si="1128"/>
        <v>441.78399999999999</v>
      </c>
      <c r="Z1113" s="5">
        <f t="shared" si="1128"/>
        <v>441.78399999999999</v>
      </c>
      <c r="AA1113" s="5">
        <f t="shared" si="1128"/>
        <v>441.78399999999999</v>
      </c>
      <c r="AB1113" s="5">
        <f t="shared" si="1128"/>
        <v>441.78399999999999</v>
      </c>
      <c r="AC1113" s="5">
        <f t="shared" si="1128"/>
        <v>441.78399999999999</v>
      </c>
      <c r="AD1113" s="5">
        <f t="shared" si="1128"/>
        <v>441.78399999999999</v>
      </c>
      <c r="AE1113" s="5">
        <f t="shared" si="1128"/>
        <v>441.78399999999999</v>
      </c>
      <c r="AF1113" s="5">
        <f t="shared" si="1128"/>
        <v>441.78399999999999</v>
      </c>
      <c r="AG1113" s="5">
        <f t="shared" si="1128"/>
        <v>441.78399999999999</v>
      </c>
      <c r="AH1113" s="5">
        <f t="shared" si="1128"/>
        <v>441.78399999999999</v>
      </c>
    </row>
    <row r="1114" spans="1:34" x14ac:dyDescent="0.35">
      <c r="A1114" t="s">
        <v>1134</v>
      </c>
      <c r="B1114" s="3" t="s">
        <v>1266</v>
      </c>
      <c r="C1114" s="4" t="s">
        <v>1267</v>
      </c>
      <c r="D1114" s="2">
        <f t="shared" si="1106"/>
        <v>2538.3568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1269.1784</v>
      </c>
      <c r="O1114" s="5">
        <v>0</v>
      </c>
      <c r="P1114" s="5">
        <v>1269.1784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f t="shared" ref="W1114:AH1114" si="1129">IF(OR((SLOPE($E1114:$V1114,$E$1:$V$1)*W$1+INTERCEPT($E1114:$V1114,$E$1:$V$1))&gt;(AVERAGE($E1114:$V1114)+_xlfn.STDEV.P($E1114:$V1114)),(SLOPE($E1114:$V1114,$E$1:$V$1)*W$1+INTERCEPT($E1114:$V1114,$E$1:$V$1))&lt;(AVERAGE($E1114:$V1114)-_xlfn.STDEV.P($E1114:$V1114))),V1114,(SLOPE($E1114:$V1114,$E$1:$V$1)*W$1+INTERCEPT($E1114:$V1114,$E$1:$V$1)))</f>
        <v>215.67737516339872</v>
      </c>
      <c r="X1114" s="5">
        <f t="shared" si="1129"/>
        <v>223.53606494668043</v>
      </c>
      <c r="Y1114" s="5">
        <f t="shared" si="1129"/>
        <v>231.39475472996219</v>
      </c>
      <c r="Z1114" s="5">
        <f t="shared" si="1129"/>
        <v>239.25344451324395</v>
      </c>
      <c r="AA1114" s="5">
        <f t="shared" si="1129"/>
        <v>247.11213429652565</v>
      </c>
      <c r="AB1114" s="5">
        <f t="shared" si="1129"/>
        <v>254.97082407980741</v>
      </c>
      <c r="AC1114" s="5">
        <f t="shared" si="1129"/>
        <v>262.82951386308912</v>
      </c>
      <c r="AD1114" s="5">
        <f t="shared" si="1129"/>
        <v>270.68820364637088</v>
      </c>
      <c r="AE1114" s="5">
        <f t="shared" si="1129"/>
        <v>278.54689342965258</v>
      </c>
      <c r="AF1114" s="5">
        <f t="shared" si="1129"/>
        <v>286.40558321293435</v>
      </c>
      <c r="AG1114" s="5">
        <f t="shared" si="1129"/>
        <v>294.26427299621611</v>
      </c>
      <c r="AH1114" s="5">
        <f t="shared" si="1129"/>
        <v>302.12296277949781</v>
      </c>
    </row>
    <row r="1115" spans="1:34" x14ac:dyDescent="0.35">
      <c r="A1115" t="s">
        <v>1135</v>
      </c>
      <c r="B1115" s="3" t="s">
        <v>1264</v>
      </c>
      <c r="C1115" s="4" t="s">
        <v>1263</v>
      </c>
      <c r="D1115" s="2">
        <f t="shared" si="1106"/>
        <v>2535.3742539972391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2535.3742539972391</v>
      </c>
      <c r="W1115" s="5">
        <f t="shared" ref="W1115:AH1115" si="1130">IF(OR((SLOPE($E1115:$V1115,$E$1:$V$1)*W$1+INTERCEPT($E1115:$V1115,$E$1:$V$1))&gt;(AVERAGE($E1115:$V1115)+_xlfn.STDEV.P($E1115:$V1115)),(SLOPE($E1115:$V1115,$E$1:$V$1)*W$1+INTERCEPT($E1115:$V1115,$E$1:$V$1))&lt;(AVERAGE($E1115:$V1115)-_xlfn.STDEV.P($E1115:$V1115))),V1115,(SLOPE($E1115:$V1115,$E$1:$V$1)*W$1+INTERCEPT($E1115:$V1115,$E$1:$V$1)))</f>
        <v>563.41650088827532</v>
      </c>
      <c r="X1115" s="5">
        <f t="shared" si="1130"/>
        <v>607.89675095840232</v>
      </c>
      <c r="Y1115" s="5">
        <f t="shared" si="1130"/>
        <v>652.37700102852932</v>
      </c>
      <c r="Z1115" s="5">
        <f t="shared" si="1130"/>
        <v>696.85725109865632</v>
      </c>
      <c r="AA1115" s="5">
        <f t="shared" si="1130"/>
        <v>696.85725109865632</v>
      </c>
      <c r="AB1115" s="5">
        <f t="shared" si="1130"/>
        <v>696.85725109865632</v>
      </c>
      <c r="AC1115" s="5">
        <f t="shared" si="1130"/>
        <v>696.85725109865632</v>
      </c>
      <c r="AD1115" s="5">
        <f t="shared" si="1130"/>
        <v>696.85725109865632</v>
      </c>
      <c r="AE1115" s="5">
        <f t="shared" si="1130"/>
        <v>696.85725109865632</v>
      </c>
      <c r="AF1115" s="5">
        <f t="shared" si="1130"/>
        <v>696.85725109865632</v>
      </c>
      <c r="AG1115" s="5">
        <f t="shared" si="1130"/>
        <v>696.85725109865632</v>
      </c>
      <c r="AH1115" s="5">
        <f t="shared" si="1130"/>
        <v>696.85725109865632</v>
      </c>
    </row>
    <row r="1116" spans="1:34" x14ac:dyDescent="0.35">
      <c r="A1116" t="s">
        <v>1136</v>
      </c>
      <c r="B1116" s="3" t="s">
        <v>1266</v>
      </c>
      <c r="C1116" s="4" t="s">
        <v>1266</v>
      </c>
      <c r="D1116" s="2">
        <f t="shared" si="1106"/>
        <v>2413.9359999999992</v>
      </c>
      <c r="E1116" s="5">
        <v>0</v>
      </c>
      <c r="F1116" s="5">
        <v>0</v>
      </c>
      <c r="G1116" s="5">
        <v>0</v>
      </c>
      <c r="H1116" s="5">
        <v>2413.9359999999992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f t="shared" ref="W1116:AH1116" si="1131">IF(OR((SLOPE($E1116:$V1116,$E$1:$V$1)*W$1+INTERCEPT($E1116:$V1116,$E$1:$V$1))&gt;(AVERAGE($E1116:$V1116)+_xlfn.STDEV.P($E1116:$V1116)),(SLOPE($E1116:$V1116,$E$1:$V$1)*W$1+INTERCEPT($E1116:$V1116,$E$1:$V$1))&lt;(AVERAGE($E1116:$V1116)-_xlfn.STDEV.P($E1116:$V1116))),V1116,(SLOPE($E1116:$V1116,$E$1:$V$1)*W$1+INTERCEPT($E1116:$V1116,$E$1:$V$1)))</f>
        <v>-126.21887581699337</v>
      </c>
      <c r="X1116" s="5">
        <f t="shared" si="1131"/>
        <v>-153.62165806673539</v>
      </c>
      <c r="Y1116" s="5">
        <f t="shared" si="1131"/>
        <v>-181.02444031647741</v>
      </c>
      <c r="Z1116" s="5">
        <f t="shared" si="1131"/>
        <v>-208.42722256621931</v>
      </c>
      <c r="AA1116" s="5">
        <f t="shared" si="1131"/>
        <v>-235.83000481596133</v>
      </c>
      <c r="AB1116" s="5">
        <f t="shared" si="1131"/>
        <v>-263.23278706570335</v>
      </c>
      <c r="AC1116" s="5">
        <f t="shared" si="1131"/>
        <v>-290.63556931544537</v>
      </c>
      <c r="AD1116" s="5">
        <f t="shared" si="1131"/>
        <v>-318.03835156518738</v>
      </c>
      <c r="AE1116" s="5">
        <f t="shared" si="1131"/>
        <v>-345.44113381492929</v>
      </c>
      <c r="AF1116" s="5">
        <f t="shared" si="1131"/>
        <v>-372.8439160646713</v>
      </c>
      <c r="AG1116" s="5">
        <f t="shared" si="1131"/>
        <v>-400.24669831441332</v>
      </c>
      <c r="AH1116" s="5">
        <f t="shared" si="1131"/>
        <v>-400.24669831441332</v>
      </c>
    </row>
    <row r="1117" spans="1:34" x14ac:dyDescent="0.35">
      <c r="A1117" t="s">
        <v>1137</v>
      </c>
      <c r="B1117" s="3" t="s">
        <v>1264</v>
      </c>
      <c r="C1117" s="4" t="s">
        <v>1263</v>
      </c>
      <c r="D1117" s="2">
        <f t="shared" si="1106"/>
        <v>2184.4753170801873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1344.2925028185768</v>
      </c>
      <c r="U1117" s="5">
        <v>0</v>
      </c>
      <c r="V1117" s="5">
        <v>840.18281426161047</v>
      </c>
      <c r="W1117" s="5">
        <f t="shared" ref="W1117:AH1117" si="1132">IF(OR((SLOPE($E1117:$V1117,$E$1:$V$1)*W$1+INTERCEPT($E1117:$V1117,$E$1:$V$1))&gt;(AVERAGE($E1117:$V1117)+_xlfn.STDEV.P($E1117:$V1117)),(SLOPE($E1117:$V1117,$E$1:$V$1)*W$1+INTERCEPT($E1117:$V1117,$E$1:$V$1))&lt;(AVERAGE($E1117:$V1117)-_xlfn.STDEV.P($E1117:$V1117))),V1117,(SLOPE($E1117:$V1117,$E$1:$V$1)*W$1+INTERCEPT($E1117:$V1117,$E$1:$V$1)))</f>
        <v>432.72160629944386</v>
      </c>
      <c r="X1117" s="5">
        <f t="shared" si="1132"/>
        <v>465.49653961119708</v>
      </c>
      <c r="Y1117" s="5">
        <f t="shared" si="1132"/>
        <v>465.49653961119708</v>
      </c>
      <c r="Z1117" s="5">
        <f t="shared" si="1132"/>
        <v>465.49653961119708</v>
      </c>
      <c r="AA1117" s="5">
        <f t="shared" si="1132"/>
        <v>465.49653961119708</v>
      </c>
      <c r="AB1117" s="5">
        <f t="shared" si="1132"/>
        <v>465.49653961119708</v>
      </c>
      <c r="AC1117" s="5">
        <f t="shared" si="1132"/>
        <v>465.49653961119708</v>
      </c>
      <c r="AD1117" s="5">
        <f t="shared" si="1132"/>
        <v>465.49653961119708</v>
      </c>
      <c r="AE1117" s="5">
        <f t="shared" si="1132"/>
        <v>465.49653961119708</v>
      </c>
      <c r="AF1117" s="5">
        <f t="shared" si="1132"/>
        <v>465.49653961119708</v>
      </c>
      <c r="AG1117" s="5">
        <f t="shared" si="1132"/>
        <v>465.49653961119708</v>
      </c>
      <c r="AH1117" s="5">
        <f t="shared" si="1132"/>
        <v>465.49653961119708</v>
      </c>
    </row>
    <row r="1118" spans="1:34" x14ac:dyDescent="0.35">
      <c r="A1118" t="s">
        <v>1138</v>
      </c>
      <c r="B1118" s="3" t="s">
        <v>1266</v>
      </c>
      <c r="C1118" s="4" t="s">
        <v>1266</v>
      </c>
      <c r="D1118" s="2">
        <f t="shared" si="1106"/>
        <v>2163.5099407004946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2163.5099407004946</v>
      </c>
      <c r="S1118" s="5">
        <v>0</v>
      </c>
      <c r="T1118" s="5">
        <v>0</v>
      </c>
      <c r="U1118" s="5">
        <v>0</v>
      </c>
      <c r="V1118" s="5">
        <v>0</v>
      </c>
      <c r="W1118" s="5">
        <f t="shared" ref="W1118:AH1118" si="1133">IF(OR((SLOPE($E1118:$V1118,$E$1:$V$1)*W$1+INTERCEPT($E1118:$V1118,$E$1:$V$1))&gt;(AVERAGE($E1118:$V1118)+_xlfn.STDEV.P($E1118:$V1118)),(SLOPE($E1118:$V1118,$E$1:$V$1)*W$1+INTERCEPT($E1118:$V1118,$E$1:$V$1))&lt;(AVERAGE($E1118:$V1118)-_xlfn.STDEV.P($E1118:$V1118))),V1118,(SLOPE($E1118:$V1118,$E$1:$V$1)*W$1+INTERCEPT($E1118:$V1118,$E$1:$V$1)))</f>
        <v>311.09293264974434</v>
      </c>
      <c r="X1118" s="5">
        <f t="shared" si="1133"/>
        <v>331.18745222281399</v>
      </c>
      <c r="Y1118" s="5">
        <f t="shared" si="1133"/>
        <v>351.28197179588358</v>
      </c>
      <c r="Z1118" s="5">
        <f t="shared" si="1133"/>
        <v>371.37649136895317</v>
      </c>
      <c r="AA1118" s="5">
        <f t="shared" si="1133"/>
        <v>391.47101094202282</v>
      </c>
      <c r="AB1118" s="5">
        <f t="shared" si="1133"/>
        <v>411.56553051509241</v>
      </c>
      <c r="AC1118" s="5">
        <f t="shared" si="1133"/>
        <v>431.660050088162</v>
      </c>
      <c r="AD1118" s="5">
        <f t="shared" si="1133"/>
        <v>451.75456966123164</v>
      </c>
      <c r="AE1118" s="5">
        <f t="shared" si="1133"/>
        <v>471.84908923430129</v>
      </c>
      <c r="AF1118" s="5">
        <f t="shared" si="1133"/>
        <v>491.94360880737082</v>
      </c>
      <c r="AG1118" s="5">
        <f t="shared" si="1133"/>
        <v>512.03812838044041</v>
      </c>
      <c r="AH1118" s="5">
        <f t="shared" si="1133"/>
        <v>532.13264795351006</v>
      </c>
    </row>
    <row r="1119" spans="1:34" x14ac:dyDescent="0.35">
      <c r="A1119" t="s">
        <v>1139</v>
      </c>
      <c r="B1119" s="3" t="s">
        <v>1264</v>
      </c>
      <c r="C1119" s="4" t="s">
        <v>1267</v>
      </c>
      <c r="D1119" s="2">
        <f t="shared" si="1106"/>
        <v>2106.9335591395761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2106.9335591395761</v>
      </c>
      <c r="S1119" s="5">
        <v>0</v>
      </c>
      <c r="T1119" s="5">
        <v>0</v>
      </c>
      <c r="U1119" s="5">
        <v>0</v>
      </c>
      <c r="V1119" s="5">
        <v>0</v>
      </c>
      <c r="W1119" s="5">
        <f t="shared" ref="W1119:AH1119" si="1134">IF(OR((SLOPE($E1119:$V1119,$E$1:$V$1)*W$1+INTERCEPT($E1119:$V1119,$E$1:$V$1))&gt;(AVERAGE($E1119:$V1119)+_xlfn.STDEV.P($E1119:$V1119)),(SLOPE($E1119:$V1119,$E$1:$V$1)*W$1+INTERCEPT($E1119:$V1119,$E$1:$V$1))&lt;(AVERAGE($E1119:$V1119)-_xlfn.STDEV.P($E1119:$V1119))),V1119,(SLOPE($E1119:$V1119,$E$1:$V$1)*W$1+INTERCEPT($E1119:$V1119,$E$1:$V$1)))</f>
        <v>302.95776667366448</v>
      </c>
      <c r="X1119" s="5">
        <f t="shared" si="1134"/>
        <v>322.52680901861413</v>
      </c>
      <c r="Y1119" s="5">
        <f t="shared" si="1134"/>
        <v>342.09585136356372</v>
      </c>
      <c r="Z1119" s="5">
        <f t="shared" si="1134"/>
        <v>361.66489370851338</v>
      </c>
      <c r="AA1119" s="5">
        <f t="shared" si="1134"/>
        <v>381.23393605346297</v>
      </c>
      <c r="AB1119" s="5">
        <f t="shared" si="1134"/>
        <v>400.80297839841256</v>
      </c>
      <c r="AC1119" s="5">
        <f t="shared" si="1134"/>
        <v>420.37202074336221</v>
      </c>
      <c r="AD1119" s="5">
        <f t="shared" si="1134"/>
        <v>439.94106308831181</v>
      </c>
      <c r="AE1119" s="5">
        <f t="shared" si="1134"/>
        <v>459.51010543326146</v>
      </c>
      <c r="AF1119" s="5">
        <f t="shared" si="1134"/>
        <v>479.07914777821105</v>
      </c>
      <c r="AG1119" s="5">
        <f t="shared" si="1134"/>
        <v>498.64819012316065</v>
      </c>
      <c r="AH1119" s="5">
        <f t="shared" si="1134"/>
        <v>518.2172324681103</v>
      </c>
    </row>
    <row r="1120" spans="1:34" x14ac:dyDescent="0.35">
      <c r="A1120" t="s">
        <v>1140</v>
      </c>
      <c r="B1120" s="3" t="s">
        <v>1264</v>
      </c>
      <c r="C1120" s="4" t="s">
        <v>1267</v>
      </c>
      <c r="D1120" s="2">
        <f t="shared" si="1106"/>
        <v>2052.9118641348473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2052.9118641348473</v>
      </c>
      <c r="S1120" s="5">
        <v>0</v>
      </c>
      <c r="T1120" s="5">
        <v>0</v>
      </c>
      <c r="U1120" s="5">
        <v>0</v>
      </c>
      <c r="V1120" s="5">
        <v>0</v>
      </c>
      <c r="W1120" s="5">
        <f t="shared" ref="W1120:AH1120" si="1135">IF(OR((SLOPE($E1120:$V1120,$E$1:$V$1)*W$1+INTERCEPT($E1120:$V1120,$E$1:$V$1))&gt;(AVERAGE($E1120:$V1120)+_xlfn.STDEV.P($E1120:$V1120)),(SLOPE($E1120:$V1120,$E$1:$V$1)*W$1+INTERCEPT($E1120:$V1120,$E$1:$V$1))&lt;(AVERAGE($E1120:$V1120)-_xlfn.STDEV.P($E1120:$V1120))),V1120,(SLOPE($E1120:$V1120,$E$1:$V$1)*W$1+INTERCEPT($E1120:$V1120,$E$1:$V$1)))</f>
        <v>295.18994124814799</v>
      </c>
      <c r="X1120" s="5">
        <f t="shared" si="1135"/>
        <v>314.25723410388957</v>
      </c>
      <c r="Y1120" s="5">
        <f t="shared" si="1135"/>
        <v>333.32452695963127</v>
      </c>
      <c r="Z1120" s="5">
        <f t="shared" si="1135"/>
        <v>352.39181981537286</v>
      </c>
      <c r="AA1120" s="5">
        <f t="shared" si="1135"/>
        <v>371.45911267111444</v>
      </c>
      <c r="AB1120" s="5">
        <f t="shared" si="1135"/>
        <v>390.52640552685614</v>
      </c>
      <c r="AC1120" s="5">
        <f t="shared" si="1135"/>
        <v>409.59369838259772</v>
      </c>
      <c r="AD1120" s="5">
        <f t="shared" si="1135"/>
        <v>428.66099123833931</v>
      </c>
      <c r="AE1120" s="5">
        <f t="shared" si="1135"/>
        <v>447.72828409408089</v>
      </c>
      <c r="AF1120" s="5">
        <f t="shared" si="1135"/>
        <v>466.79557694982259</v>
      </c>
      <c r="AG1120" s="5">
        <f t="shared" si="1135"/>
        <v>485.86286980556417</v>
      </c>
      <c r="AH1120" s="5">
        <f t="shared" si="1135"/>
        <v>504.93016266130576</v>
      </c>
    </row>
    <row r="1121" spans="1:34" x14ac:dyDescent="0.35">
      <c r="A1121" t="s">
        <v>1141</v>
      </c>
      <c r="B1121" s="3" t="s">
        <v>1264</v>
      </c>
      <c r="C1121" s="4" t="s">
        <v>1267</v>
      </c>
      <c r="D1121" s="2">
        <f t="shared" si="1106"/>
        <v>2031.8174914875151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607.64635259439706</v>
      </c>
      <c r="R1121" s="5">
        <v>0</v>
      </c>
      <c r="S1121" s="5">
        <v>0</v>
      </c>
      <c r="T1121" s="5">
        <v>0</v>
      </c>
      <c r="U1121" s="5">
        <v>0</v>
      </c>
      <c r="V1121" s="5">
        <v>1424.171138893118</v>
      </c>
      <c r="W1121" s="5">
        <f t="shared" ref="W1121:AH1121" si="1136">IF(OR((SLOPE($E1121:$V1121,$E$1:$V$1)*W$1+INTERCEPT($E1121:$V1121,$E$1:$V$1))&gt;(AVERAGE($E1121:$V1121)+_xlfn.STDEV.P($E1121:$V1121)),(SLOPE($E1121:$V1121,$E$1:$V$1)*W$1+INTERCEPT($E1121:$V1121,$E$1:$V$1))&lt;(AVERAGE($E1121:$V1121)-_xlfn.STDEV.P($E1121:$V1121))),V1121,(SLOPE($E1121:$V1121,$E$1:$V$1)*W$1+INTERCEPT($E1121:$V1121,$E$1:$V$1)))</f>
        <v>391.94182628535657</v>
      </c>
      <c r="X1121" s="5">
        <f t="shared" si="1136"/>
        <v>421.31688699675374</v>
      </c>
      <c r="Y1121" s="5">
        <f t="shared" si="1136"/>
        <v>450.69194770815079</v>
      </c>
      <c r="Z1121" s="5">
        <f t="shared" si="1136"/>
        <v>450.69194770815079</v>
      </c>
      <c r="AA1121" s="5">
        <f t="shared" si="1136"/>
        <v>450.69194770815079</v>
      </c>
      <c r="AB1121" s="5">
        <f t="shared" si="1136"/>
        <v>450.69194770815079</v>
      </c>
      <c r="AC1121" s="5">
        <f t="shared" si="1136"/>
        <v>450.69194770815079</v>
      </c>
      <c r="AD1121" s="5">
        <f t="shared" si="1136"/>
        <v>450.69194770815079</v>
      </c>
      <c r="AE1121" s="5">
        <f t="shared" si="1136"/>
        <v>450.69194770815079</v>
      </c>
      <c r="AF1121" s="5">
        <f t="shared" si="1136"/>
        <v>450.69194770815079</v>
      </c>
      <c r="AG1121" s="5">
        <f t="shared" si="1136"/>
        <v>450.69194770815079</v>
      </c>
      <c r="AH1121" s="5">
        <f t="shared" si="1136"/>
        <v>450.69194770815079</v>
      </c>
    </row>
    <row r="1122" spans="1:34" x14ac:dyDescent="0.35">
      <c r="A1122" t="s">
        <v>1142</v>
      </c>
      <c r="B1122" s="3" t="s">
        <v>1265</v>
      </c>
      <c r="C1122" s="4" t="s">
        <v>1268</v>
      </c>
      <c r="D1122" s="2">
        <f t="shared" si="1106"/>
        <v>1872.1077787999998</v>
      </c>
      <c r="E1122" s="5">
        <v>0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1872.1077787999998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f t="shared" ref="W1122:AH1122" si="1137">IF(OR((SLOPE($E1122:$V1122,$E$1:$V$1)*W$1+INTERCEPT($E1122:$V1122,$E$1:$V$1))&gt;(AVERAGE($E1122:$V1122)+_xlfn.STDEV.P($E1122:$V1122)),(SLOPE($E1122:$V1122,$E$1:$V$1)*W$1+INTERCEPT($E1122:$V1122,$E$1:$V$1))&lt;(AVERAGE($E1122:$V1122)-_xlfn.STDEV.P($E1122:$V1122))),V1122,(SLOPE($E1122:$V1122,$E$1:$V$1)*W$1+INTERCEPT($E1122:$V1122,$E$1:$V$1)))</f>
        <v>159.06798120522876</v>
      </c>
      <c r="X1122" s="5">
        <f t="shared" si="1137"/>
        <v>164.86398052039902</v>
      </c>
      <c r="Y1122" s="5">
        <f t="shared" si="1137"/>
        <v>170.65997983556929</v>
      </c>
      <c r="Z1122" s="5">
        <f t="shared" si="1137"/>
        <v>176.45597915073958</v>
      </c>
      <c r="AA1122" s="5">
        <f t="shared" si="1137"/>
        <v>182.25197846590987</v>
      </c>
      <c r="AB1122" s="5">
        <f t="shared" si="1137"/>
        <v>188.04797778108014</v>
      </c>
      <c r="AC1122" s="5">
        <f t="shared" si="1137"/>
        <v>193.8439770962504</v>
      </c>
      <c r="AD1122" s="5">
        <f t="shared" si="1137"/>
        <v>199.63997641142072</v>
      </c>
      <c r="AE1122" s="5">
        <f t="shared" si="1137"/>
        <v>205.43597572659098</v>
      </c>
      <c r="AF1122" s="5">
        <f t="shared" si="1137"/>
        <v>211.23197504176125</v>
      </c>
      <c r="AG1122" s="5">
        <f t="shared" si="1137"/>
        <v>217.02797435693151</v>
      </c>
      <c r="AH1122" s="5">
        <f t="shared" si="1137"/>
        <v>222.82397367210183</v>
      </c>
    </row>
    <row r="1123" spans="1:34" x14ac:dyDescent="0.35">
      <c r="A1123" t="s">
        <v>1143</v>
      </c>
      <c r="B1123" s="3" t="s">
        <v>1264</v>
      </c>
      <c r="C1123" s="4" t="s">
        <v>1263</v>
      </c>
      <c r="D1123" s="2">
        <f t="shared" si="1106"/>
        <v>1738.726867315542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1738.726867315542</v>
      </c>
      <c r="W1123" s="5">
        <f t="shared" ref="W1123:AH1123" si="1138">IF(OR((SLOPE($E1123:$V1123,$E$1:$V$1)*W$1+INTERCEPT($E1123:$V1123,$E$1:$V$1))&gt;(AVERAGE($E1123:$V1123)+_xlfn.STDEV.P($E1123:$V1123)),(SLOPE($E1123:$V1123,$E$1:$V$1)*W$1+INTERCEPT($E1123:$V1123,$E$1:$V$1))&lt;(AVERAGE($E1123:$V1123)-_xlfn.STDEV.P($E1123:$V1123))),V1123,(SLOPE($E1123:$V1123,$E$1:$V$1)*W$1+INTERCEPT($E1123:$V1123,$E$1:$V$1)))</f>
        <v>386.38374829234266</v>
      </c>
      <c r="X1123" s="5">
        <f t="shared" si="1138"/>
        <v>416.88772842068551</v>
      </c>
      <c r="Y1123" s="5">
        <f t="shared" si="1138"/>
        <v>447.39170854902835</v>
      </c>
      <c r="Z1123" s="5">
        <f t="shared" si="1138"/>
        <v>477.8956886773712</v>
      </c>
      <c r="AA1123" s="5">
        <f t="shared" si="1138"/>
        <v>477.8956886773712</v>
      </c>
      <c r="AB1123" s="5">
        <f t="shared" si="1138"/>
        <v>477.8956886773712</v>
      </c>
      <c r="AC1123" s="5">
        <f t="shared" si="1138"/>
        <v>477.8956886773712</v>
      </c>
      <c r="AD1123" s="5">
        <f t="shared" si="1138"/>
        <v>477.8956886773712</v>
      </c>
      <c r="AE1123" s="5">
        <f t="shared" si="1138"/>
        <v>477.8956886773712</v>
      </c>
      <c r="AF1123" s="5">
        <f t="shared" si="1138"/>
        <v>477.8956886773712</v>
      </c>
      <c r="AG1123" s="5">
        <f t="shared" si="1138"/>
        <v>477.8956886773712</v>
      </c>
      <c r="AH1123" s="5">
        <f t="shared" si="1138"/>
        <v>477.8956886773712</v>
      </c>
    </row>
    <row r="1124" spans="1:34" x14ac:dyDescent="0.35">
      <c r="A1124" t="s">
        <v>1144</v>
      </c>
      <c r="B1124" s="3" t="s">
        <v>1264</v>
      </c>
      <c r="C1124" s="4" t="s">
        <v>1263</v>
      </c>
      <c r="D1124" s="2">
        <f t="shared" si="1106"/>
        <v>1709.7810193556118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627.44257591031624</v>
      </c>
      <c r="U1124" s="5">
        <v>1082.3384434452955</v>
      </c>
      <c r="V1124" s="5">
        <v>0</v>
      </c>
      <c r="W1124" s="5">
        <f t="shared" ref="W1124:AH1124" si="1139">IF(OR((SLOPE($E1124:$V1124,$E$1:$V$1)*W$1+INTERCEPT($E1124:$V1124,$E$1:$V$1))&gt;(AVERAGE($E1124:$V1124)+_xlfn.STDEV.P($E1124:$V1124)),(SLOPE($E1124:$V1124,$E$1:$V$1)*W$1+INTERCEPT($E1124:$V1124,$E$1:$V$1))&lt;(AVERAGE($E1124:$V1124)-_xlfn.STDEV.P($E1124:$V1124))),V1124,(SLOPE($E1124:$V1124,$E$1:$V$1)*W$1+INTERCEPT($E1124:$V1124,$E$1:$V$1)))</f>
        <v>334.12342400191511</v>
      </c>
      <c r="X1124" s="5">
        <f t="shared" si="1139"/>
        <v>359.29559132752252</v>
      </c>
      <c r="Y1124" s="5">
        <f t="shared" si="1139"/>
        <v>359.29559132752252</v>
      </c>
      <c r="Z1124" s="5">
        <f t="shared" si="1139"/>
        <v>359.29559132752252</v>
      </c>
      <c r="AA1124" s="5">
        <f t="shared" si="1139"/>
        <v>359.29559132752252</v>
      </c>
      <c r="AB1124" s="5">
        <f t="shared" si="1139"/>
        <v>359.29559132752252</v>
      </c>
      <c r="AC1124" s="5">
        <f t="shared" si="1139"/>
        <v>359.29559132752252</v>
      </c>
      <c r="AD1124" s="5">
        <f t="shared" si="1139"/>
        <v>359.29559132752252</v>
      </c>
      <c r="AE1124" s="5">
        <f t="shared" si="1139"/>
        <v>359.29559132752252</v>
      </c>
      <c r="AF1124" s="5">
        <f t="shared" si="1139"/>
        <v>359.29559132752252</v>
      </c>
      <c r="AG1124" s="5">
        <f t="shared" si="1139"/>
        <v>359.29559132752252</v>
      </c>
      <c r="AH1124" s="5">
        <f t="shared" si="1139"/>
        <v>359.29559132752252</v>
      </c>
    </row>
    <row r="1125" spans="1:34" x14ac:dyDescent="0.35">
      <c r="A1125" t="s">
        <v>1145</v>
      </c>
      <c r="B1125" s="3" t="s">
        <v>1266</v>
      </c>
      <c r="C1125" s="4" t="s">
        <v>1267</v>
      </c>
      <c r="D1125" s="2">
        <f t="shared" si="1106"/>
        <v>1692.2639999999999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846.13199999999995</v>
      </c>
      <c r="O1125" s="5">
        <v>0</v>
      </c>
      <c r="P1125" s="5">
        <v>846.13199999999995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f t="shared" ref="W1125:AH1125" si="1140">IF(OR((SLOPE($E1125:$V1125,$E$1:$V$1)*W$1+INTERCEPT($E1125:$V1125,$E$1:$V$1))&gt;(AVERAGE($E1125:$V1125)+_xlfn.STDEV.P($E1125:$V1125)),(SLOPE($E1125:$V1125,$E$1:$V$1)*W$1+INTERCEPT($E1125:$V1125,$E$1:$V$1))&lt;(AVERAGE($E1125:$V1125)-_xlfn.STDEV.P($E1125:$V1125))),V1125,(SLOPE($E1125:$V1125,$E$1:$V$1)*W$1+INTERCEPT($E1125:$V1125,$E$1:$V$1)))</f>
        <v>143.78713725490195</v>
      </c>
      <c r="X1125" s="5">
        <f t="shared" si="1140"/>
        <v>149.02634468524249</v>
      </c>
      <c r="Y1125" s="5">
        <f t="shared" si="1140"/>
        <v>154.26555211558306</v>
      </c>
      <c r="Z1125" s="5">
        <f t="shared" si="1140"/>
        <v>159.5047595459236</v>
      </c>
      <c r="AA1125" s="5">
        <f t="shared" si="1140"/>
        <v>164.74396697626418</v>
      </c>
      <c r="AB1125" s="5">
        <f t="shared" si="1140"/>
        <v>169.98317440660472</v>
      </c>
      <c r="AC1125" s="5">
        <f t="shared" si="1140"/>
        <v>175.22238183694529</v>
      </c>
      <c r="AD1125" s="5">
        <f t="shared" si="1140"/>
        <v>180.46158926728583</v>
      </c>
      <c r="AE1125" s="5">
        <f t="shared" si="1140"/>
        <v>185.70079669762637</v>
      </c>
      <c r="AF1125" s="5">
        <f t="shared" si="1140"/>
        <v>190.94000412796694</v>
      </c>
      <c r="AG1125" s="5">
        <f t="shared" si="1140"/>
        <v>196.17921155830751</v>
      </c>
      <c r="AH1125" s="5">
        <f t="shared" si="1140"/>
        <v>201.41841898864806</v>
      </c>
    </row>
    <row r="1126" spans="1:34" x14ac:dyDescent="0.35">
      <c r="A1126" t="s">
        <v>1146</v>
      </c>
      <c r="B1126" s="3" t="s">
        <v>1266</v>
      </c>
      <c r="C1126" s="4" t="s">
        <v>1267</v>
      </c>
      <c r="D1126" s="2">
        <f t="shared" si="1106"/>
        <v>1692.2639999999999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846.13199999999995</v>
      </c>
      <c r="O1126" s="5">
        <v>0</v>
      </c>
      <c r="P1126" s="5">
        <v>846.13199999999995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f t="shared" ref="W1126:AH1126" si="1141">IF(OR((SLOPE($E1126:$V1126,$E$1:$V$1)*W$1+INTERCEPT($E1126:$V1126,$E$1:$V$1))&gt;(AVERAGE($E1126:$V1126)+_xlfn.STDEV.P($E1126:$V1126)),(SLOPE($E1126:$V1126,$E$1:$V$1)*W$1+INTERCEPT($E1126:$V1126,$E$1:$V$1))&lt;(AVERAGE($E1126:$V1126)-_xlfn.STDEV.P($E1126:$V1126))),V1126,(SLOPE($E1126:$V1126,$E$1:$V$1)*W$1+INTERCEPT($E1126:$V1126,$E$1:$V$1)))</f>
        <v>143.78713725490195</v>
      </c>
      <c r="X1126" s="5">
        <f t="shared" si="1141"/>
        <v>149.02634468524249</v>
      </c>
      <c r="Y1126" s="5">
        <f t="shared" si="1141"/>
        <v>154.26555211558306</v>
      </c>
      <c r="Z1126" s="5">
        <f t="shared" si="1141"/>
        <v>159.5047595459236</v>
      </c>
      <c r="AA1126" s="5">
        <f t="shared" si="1141"/>
        <v>164.74396697626418</v>
      </c>
      <c r="AB1126" s="5">
        <f t="shared" si="1141"/>
        <v>169.98317440660472</v>
      </c>
      <c r="AC1126" s="5">
        <f t="shared" si="1141"/>
        <v>175.22238183694529</v>
      </c>
      <c r="AD1126" s="5">
        <f t="shared" si="1141"/>
        <v>180.46158926728583</v>
      </c>
      <c r="AE1126" s="5">
        <f t="shared" si="1141"/>
        <v>185.70079669762637</v>
      </c>
      <c r="AF1126" s="5">
        <f t="shared" si="1141"/>
        <v>190.94000412796694</v>
      </c>
      <c r="AG1126" s="5">
        <f t="shared" si="1141"/>
        <v>196.17921155830751</v>
      </c>
      <c r="AH1126" s="5">
        <f t="shared" si="1141"/>
        <v>201.41841898864806</v>
      </c>
    </row>
    <row r="1127" spans="1:34" x14ac:dyDescent="0.35">
      <c r="A1127" t="s">
        <v>1147</v>
      </c>
      <c r="B1127" s="3" t="s">
        <v>1266</v>
      </c>
      <c r="C1127" s="4" t="s">
        <v>1263</v>
      </c>
      <c r="D1127" s="2">
        <f t="shared" si="1106"/>
        <v>1644.9887999999994</v>
      </c>
      <c r="E1127" s="5">
        <v>1644.9887999999994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f t="shared" ref="W1127:AH1127" si="1142">IF(OR((SLOPE($E1127:$V1127,$E$1:$V$1)*W$1+INTERCEPT($E1127:$V1127,$E$1:$V$1))&gt;(AVERAGE($E1127:$V1127)+_xlfn.STDEV.P($E1127:$V1127)),(SLOPE($E1127:$V1127,$E$1:$V$1)*W$1+INTERCEPT($E1127:$V1127,$E$1:$V$1))&lt;(AVERAGE($E1127:$V1127)-_xlfn.STDEV.P($E1127:$V1127))),V1127,(SLOPE($E1127:$V1127,$E$1:$V$1)*W$1+INTERCEPT($E1127:$V1127,$E$1:$V$1)))</f>
        <v>-182.77653333333325</v>
      </c>
      <c r="X1127" s="5">
        <f t="shared" si="1142"/>
        <v>-211.63598596491221</v>
      </c>
      <c r="Y1127" s="5">
        <f t="shared" si="1142"/>
        <v>-240.49543859649117</v>
      </c>
      <c r="Z1127" s="5">
        <f t="shared" si="1142"/>
        <v>-269.35489122807013</v>
      </c>
      <c r="AA1127" s="5">
        <f t="shared" si="1142"/>
        <v>-269.35489122807013</v>
      </c>
      <c r="AB1127" s="5">
        <f t="shared" si="1142"/>
        <v>-269.35489122807013</v>
      </c>
      <c r="AC1127" s="5">
        <f t="shared" si="1142"/>
        <v>-269.35489122807013</v>
      </c>
      <c r="AD1127" s="5">
        <f t="shared" si="1142"/>
        <v>-269.35489122807013</v>
      </c>
      <c r="AE1127" s="5">
        <f t="shared" si="1142"/>
        <v>-269.35489122807013</v>
      </c>
      <c r="AF1127" s="5">
        <f t="shared" si="1142"/>
        <v>-269.35489122807013</v>
      </c>
      <c r="AG1127" s="5">
        <f t="shared" si="1142"/>
        <v>-269.35489122807013</v>
      </c>
      <c r="AH1127" s="5">
        <f t="shared" si="1142"/>
        <v>-269.35489122807013</v>
      </c>
    </row>
    <row r="1128" spans="1:34" x14ac:dyDescent="0.35">
      <c r="A1128" t="s">
        <v>1148</v>
      </c>
      <c r="B1128" s="3" t="s">
        <v>1264</v>
      </c>
      <c r="C1128" s="4" t="s">
        <v>1263</v>
      </c>
      <c r="D1128" s="2">
        <f t="shared" si="1106"/>
        <v>1469.3924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1469.3924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f t="shared" ref="W1128:AH1128" si="1143">IF(OR((SLOPE($E1128:$V1128,$E$1:$V$1)*W$1+INTERCEPT($E1128:$V1128,$E$1:$V$1))&gt;(AVERAGE($E1128:$V1128)+_xlfn.STDEV.P($E1128:$V1128)),(SLOPE($E1128:$V1128,$E$1:$V$1)*W$1+INTERCEPT($E1128:$V1128,$E$1:$V$1))&lt;(AVERAGE($E1128:$V1128)-_xlfn.STDEV.P($E1128:$V1128))),V1128,(SLOPE($E1128:$V1128,$E$1:$V$1)*W$1+INTERCEPT($E1128:$V1128,$E$1:$V$1)))</f>
        <v>-19.20774379084969</v>
      </c>
      <c r="X1128" s="5">
        <f t="shared" si="1143"/>
        <v>-29.822549570003474</v>
      </c>
      <c r="Y1128" s="5">
        <f t="shared" si="1143"/>
        <v>-40.43735534915723</v>
      </c>
      <c r="Z1128" s="5">
        <f t="shared" si="1143"/>
        <v>-51.052161128311013</v>
      </c>
      <c r="AA1128" s="5">
        <f t="shared" si="1143"/>
        <v>-61.666966907464769</v>
      </c>
      <c r="AB1128" s="5">
        <f t="shared" si="1143"/>
        <v>-72.281772686618524</v>
      </c>
      <c r="AC1128" s="5">
        <f t="shared" si="1143"/>
        <v>-82.896578465772279</v>
      </c>
      <c r="AD1128" s="5">
        <f t="shared" si="1143"/>
        <v>-93.511384244926091</v>
      </c>
      <c r="AE1128" s="5">
        <f t="shared" si="1143"/>
        <v>-104.12619002407985</v>
      </c>
      <c r="AF1128" s="5">
        <f t="shared" si="1143"/>
        <v>-114.7409958032336</v>
      </c>
      <c r="AG1128" s="5">
        <f t="shared" si="1143"/>
        <v>-125.35580158238736</v>
      </c>
      <c r="AH1128" s="5">
        <f t="shared" si="1143"/>
        <v>-135.97060736154117</v>
      </c>
    </row>
    <row r="1129" spans="1:34" x14ac:dyDescent="0.35">
      <c r="A1129" t="s">
        <v>1149</v>
      </c>
      <c r="B1129" s="3" t="s">
        <v>1266</v>
      </c>
      <c r="C1129" s="4" t="s">
        <v>1263</v>
      </c>
      <c r="D1129" s="2">
        <f t="shared" si="1106"/>
        <v>1329.2327999999998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1075.3344</v>
      </c>
      <c r="N1129" s="5">
        <v>253.89839999999992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f t="shared" ref="W1129:AH1129" si="1144">IF(OR((SLOPE($E1129:$V1129,$E$1:$V$1)*W$1+INTERCEPT($E1129:$V1129,$E$1:$V$1))&gt;(AVERAGE($E1129:$V1129)+_xlfn.STDEV.P($E1129:$V1129)),(SLOPE($E1129:$V1129,$E$1:$V$1)*W$1+INTERCEPT($E1129:$V1129,$E$1:$V$1))&lt;(AVERAGE($E1129:$V1129)-_xlfn.STDEV.P($E1129:$V1129))),V1129,(SLOPE($E1129:$V1129,$E$1:$V$1)*W$1+INTERCEPT($E1129:$V1129,$E$1:$V$1)))</f>
        <v>65.792972549019595</v>
      </c>
      <c r="X1129" s="5">
        <f t="shared" si="1144"/>
        <v>64.945257378740962</v>
      </c>
      <c r="Y1129" s="5">
        <f t="shared" si="1144"/>
        <v>64.097542208462329</v>
      </c>
      <c r="Z1129" s="5">
        <f t="shared" si="1144"/>
        <v>63.249827038183682</v>
      </c>
      <c r="AA1129" s="5">
        <f t="shared" si="1144"/>
        <v>62.402111867905049</v>
      </c>
      <c r="AB1129" s="5">
        <f t="shared" si="1144"/>
        <v>61.554396697626409</v>
      </c>
      <c r="AC1129" s="5">
        <f t="shared" si="1144"/>
        <v>60.706681527347769</v>
      </c>
      <c r="AD1129" s="5">
        <f t="shared" si="1144"/>
        <v>59.858966357069136</v>
      </c>
      <c r="AE1129" s="5">
        <f t="shared" si="1144"/>
        <v>59.011251186790496</v>
      </c>
      <c r="AF1129" s="5">
        <f t="shared" si="1144"/>
        <v>58.163536016511856</v>
      </c>
      <c r="AG1129" s="5">
        <f t="shared" si="1144"/>
        <v>57.315820846233223</v>
      </c>
      <c r="AH1129" s="5">
        <f t="shared" si="1144"/>
        <v>56.468105675954583</v>
      </c>
    </row>
    <row r="1130" spans="1:34" x14ac:dyDescent="0.35">
      <c r="A1130" t="s">
        <v>1150</v>
      </c>
      <c r="B1130" s="3" t="s">
        <v>1266</v>
      </c>
      <c r="C1130" s="4" t="s">
        <v>1263</v>
      </c>
      <c r="D1130" s="2">
        <f t="shared" si="1106"/>
        <v>1306.5515725371197</v>
      </c>
      <c r="E1130" s="5">
        <v>782.60449522527983</v>
      </c>
      <c r="F1130" s="5">
        <v>454.30854171975983</v>
      </c>
      <c r="G1130" s="5">
        <v>69.63853559207999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f t="shared" ref="W1130:AH1130" si="1145">IF(OR((SLOPE($E1130:$V1130,$E$1:$V$1)*W$1+INTERCEPT($E1130:$V1130,$E$1:$V$1))&gt;(AVERAGE($E1130:$V1130)+_xlfn.STDEV.P($E1130:$V1130)),(SLOPE($E1130:$V1130,$E$1:$V$1)*W$1+INTERCEPT($E1130:$V1130,$E$1:$V$1))&lt;(AVERAGE($E1130:$V1130)-_xlfn.STDEV.P($E1130:$V1130))),V1130,(SLOPE($E1130:$V1130,$E$1:$V$1)*W$1+INTERCEPT($E1130:$V1130,$E$1:$V$1)))</f>
        <v>0</v>
      </c>
      <c r="X1130" s="5">
        <f t="shared" si="1145"/>
        <v>0</v>
      </c>
      <c r="Y1130" s="5">
        <f t="shared" si="1145"/>
        <v>0</v>
      </c>
      <c r="Z1130" s="5">
        <f t="shared" si="1145"/>
        <v>0</v>
      </c>
      <c r="AA1130" s="5">
        <f t="shared" si="1145"/>
        <v>0</v>
      </c>
      <c r="AB1130" s="5">
        <f t="shared" si="1145"/>
        <v>0</v>
      </c>
      <c r="AC1130" s="5">
        <f t="shared" si="1145"/>
        <v>0</v>
      </c>
      <c r="AD1130" s="5">
        <f t="shared" si="1145"/>
        <v>0</v>
      </c>
      <c r="AE1130" s="5">
        <f t="shared" si="1145"/>
        <v>0</v>
      </c>
      <c r="AF1130" s="5">
        <f t="shared" si="1145"/>
        <v>0</v>
      </c>
      <c r="AG1130" s="5">
        <f t="shared" si="1145"/>
        <v>0</v>
      </c>
      <c r="AH1130" s="5">
        <f t="shared" si="1145"/>
        <v>0</v>
      </c>
    </row>
    <row r="1131" spans="1:34" x14ac:dyDescent="0.35">
      <c r="A1131" t="s">
        <v>1151</v>
      </c>
      <c r="B1131" s="3" t="s">
        <v>1266</v>
      </c>
      <c r="C1131" s="4" t="s">
        <v>1263</v>
      </c>
      <c r="D1131" s="2">
        <f t="shared" si="1106"/>
        <v>1275.9599999999998</v>
      </c>
      <c r="E1131" s="5">
        <v>0</v>
      </c>
      <c r="F1131" s="5">
        <v>1275.9599999999998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f t="shared" ref="W1131:AH1131" si="1146">IF(OR((SLOPE($E1131:$V1131,$E$1:$V$1)*W$1+INTERCEPT($E1131:$V1131,$E$1:$V$1))&gt;(AVERAGE($E1131:$V1131)+_xlfn.STDEV.P($E1131:$V1131)),(SLOPE($E1131:$V1131,$E$1:$V$1)*W$1+INTERCEPT($E1131:$V1131,$E$1:$V$1))&lt;(AVERAGE($E1131:$V1131)-_xlfn.STDEV.P($E1131:$V1131))),V1131,(SLOPE($E1131:$V1131,$E$1:$V$1)*W$1+INTERCEPT($E1131:$V1131,$E$1:$V$1)))</f>
        <v>-116.75450980392156</v>
      </c>
      <c r="X1131" s="5">
        <f t="shared" si="1146"/>
        <v>-136.50621259029924</v>
      </c>
      <c r="Y1131" s="5">
        <f t="shared" si="1146"/>
        <v>-156.25791537667692</v>
      </c>
      <c r="Z1131" s="5">
        <f t="shared" si="1146"/>
        <v>-176.00961816305465</v>
      </c>
      <c r="AA1131" s="5">
        <f t="shared" si="1146"/>
        <v>-195.76132094943239</v>
      </c>
      <c r="AB1131" s="5">
        <f t="shared" si="1146"/>
        <v>-215.51302373581007</v>
      </c>
      <c r="AC1131" s="5">
        <f t="shared" si="1146"/>
        <v>-215.51302373581007</v>
      </c>
      <c r="AD1131" s="5">
        <f t="shared" si="1146"/>
        <v>-215.51302373581007</v>
      </c>
      <c r="AE1131" s="5">
        <f t="shared" si="1146"/>
        <v>-215.51302373581007</v>
      </c>
      <c r="AF1131" s="5">
        <f t="shared" si="1146"/>
        <v>-215.51302373581007</v>
      </c>
      <c r="AG1131" s="5">
        <f t="shared" si="1146"/>
        <v>-215.51302373581007</v>
      </c>
      <c r="AH1131" s="5">
        <f t="shared" si="1146"/>
        <v>-215.51302373581007</v>
      </c>
    </row>
    <row r="1132" spans="1:34" x14ac:dyDescent="0.35">
      <c r="A1132" t="s">
        <v>1152</v>
      </c>
      <c r="B1132" s="3" t="s">
        <v>1266</v>
      </c>
      <c r="C1132" s="4" t="s">
        <v>1267</v>
      </c>
      <c r="D1132" s="2">
        <f t="shared" si="1106"/>
        <v>1128.1759999999999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564.08799999999997</v>
      </c>
      <c r="O1132" s="5">
        <v>0</v>
      </c>
      <c r="P1132" s="5">
        <v>564.08799999999997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f t="shared" ref="W1132:AH1132" si="1147">IF(OR((SLOPE($E1132:$V1132,$E$1:$V$1)*W$1+INTERCEPT($E1132:$V1132,$E$1:$V$1))&gt;(AVERAGE($E1132:$V1132)+_xlfn.STDEV.P($E1132:$V1132)),(SLOPE($E1132:$V1132,$E$1:$V$1)*W$1+INTERCEPT($E1132:$V1132,$E$1:$V$1))&lt;(AVERAGE($E1132:$V1132)-_xlfn.STDEV.P($E1132:$V1132))),V1132,(SLOPE($E1132:$V1132,$E$1:$V$1)*W$1+INTERCEPT($E1132:$V1132,$E$1:$V$1)))</f>
        <v>95.858091503267985</v>
      </c>
      <c r="X1132" s="5">
        <f t="shared" si="1147"/>
        <v>99.350896456828366</v>
      </c>
      <c r="Y1132" s="5">
        <f t="shared" si="1147"/>
        <v>102.84370141038872</v>
      </c>
      <c r="Z1132" s="5">
        <f t="shared" si="1147"/>
        <v>106.3365063639491</v>
      </c>
      <c r="AA1132" s="5">
        <f t="shared" si="1147"/>
        <v>109.82931131750948</v>
      </c>
      <c r="AB1132" s="5">
        <f t="shared" si="1147"/>
        <v>113.32211627106983</v>
      </c>
      <c r="AC1132" s="5">
        <f t="shared" si="1147"/>
        <v>116.81492122463021</v>
      </c>
      <c r="AD1132" s="5">
        <f t="shared" si="1147"/>
        <v>120.30772617819059</v>
      </c>
      <c r="AE1132" s="5">
        <f t="shared" si="1147"/>
        <v>123.80053113175097</v>
      </c>
      <c r="AF1132" s="5">
        <f t="shared" si="1147"/>
        <v>127.29333608531132</v>
      </c>
      <c r="AG1132" s="5">
        <f t="shared" si="1147"/>
        <v>130.7861410388717</v>
      </c>
      <c r="AH1132" s="5">
        <f t="shared" si="1147"/>
        <v>134.27894599243209</v>
      </c>
    </row>
    <row r="1133" spans="1:34" x14ac:dyDescent="0.35">
      <c r="A1133" t="s">
        <v>1153</v>
      </c>
      <c r="B1133" s="3" t="s">
        <v>1266</v>
      </c>
      <c r="C1133" s="4" t="s">
        <v>1267</v>
      </c>
      <c r="D1133" s="2">
        <f t="shared" si="1106"/>
        <v>1128.1759999999999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564.08799999999997</v>
      </c>
      <c r="O1133" s="5">
        <v>0</v>
      </c>
      <c r="P1133" s="5">
        <v>564.08799999999997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f t="shared" ref="W1133:AH1133" si="1148">IF(OR((SLOPE($E1133:$V1133,$E$1:$V$1)*W$1+INTERCEPT($E1133:$V1133,$E$1:$V$1))&gt;(AVERAGE($E1133:$V1133)+_xlfn.STDEV.P($E1133:$V1133)),(SLOPE($E1133:$V1133,$E$1:$V$1)*W$1+INTERCEPT($E1133:$V1133,$E$1:$V$1))&lt;(AVERAGE($E1133:$V1133)-_xlfn.STDEV.P($E1133:$V1133))),V1133,(SLOPE($E1133:$V1133,$E$1:$V$1)*W$1+INTERCEPT($E1133:$V1133,$E$1:$V$1)))</f>
        <v>95.858091503267985</v>
      </c>
      <c r="X1133" s="5">
        <f t="shared" si="1148"/>
        <v>99.350896456828366</v>
      </c>
      <c r="Y1133" s="5">
        <f t="shared" si="1148"/>
        <v>102.84370141038872</v>
      </c>
      <c r="Z1133" s="5">
        <f t="shared" si="1148"/>
        <v>106.3365063639491</v>
      </c>
      <c r="AA1133" s="5">
        <f t="shared" si="1148"/>
        <v>109.82931131750948</v>
      </c>
      <c r="AB1133" s="5">
        <f t="shared" si="1148"/>
        <v>113.32211627106983</v>
      </c>
      <c r="AC1133" s="5">
        <f t="shared" si="1148"/>
        <v>116.81492122463021</v>
      </c>
      <c r="AD1133" s="5">
        <f t="shared" si="1148"/>
        <v>120.30772617819059</v>
      </c>
      <c r="AE1133" s="5">
        <f t="shared" si="1148"/>
        <v>123.80053113175097</v>
      </c>
      <c r="AF1133" s="5">
        <f t="shared" si="1148"/>
        <v>127.29333608531132</v>
      </c>
      <c r="AG1133" s="5">
        <f t="shared" si="1148"/>
        <v>130.7861410388717</v>
      </c>
      <c r="AH1133" s="5">
        <f t="shared" si="1148"/>
        <v>134.27894599243209</v>
      </c>
    </row>
    <row r="1134" spans="1:34" x14ac:dyDescent="0.35">
      <c r="A1134" t="s">
        <v>1154</v>
      </c>
      <c r="B1134" s="3" t="s">
        <v>1266</v>
      </c>
      <c r="C1134" s="4" t="s">
        <v>1263</v>
      </c>
      <c r="D1134" s="2">
        <f t="shared" si="1106"/>
        <v>865.16438399999993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5">
        <v>144.194064</v>
      </c>
      <c r="K1134" s="5">
        <v>720.9703199999999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f t="shared" ref="W1134:AH1134" si="1149">IF(OR((SLOPE($E1134:$V1134,$E$1:$V$1)*W$1+INTERCEPT($E1134:$V1134,$E$1:$V$1))&gt;(AVERAGE($E1134:$V1134)+_xlfn.STDEV.P($E1134:$V1134)),(SLOPE($E1134:$V1134,$E$1:$V$1)*W$1+INTERCEPT($E1134:$V1134,$E$1:$V$1))&lt;(AVERAGE($E1134:$V1134)-_xlfn.STDEV.P($E1134:$V1134))),V1134,(SLOPE($E1134:$V1134,$E$1:$V$1)*W$1+INTERCEPT($E1134:$V1134,$E$1:$V$1)))</f>
        <v>2.8273345882352885</v>
      </c>
      <c r="X1134" s="5">
        <f t="shared" si="1149"/>
        <v>-1.9344920866873139</v>
      </c>
      <c r="Y1134" s="5">
        <f t="shared" si="1149"/>
        <v>-6.696318761609902</v>
      </c>
      <c r="Z1134" s="5">
        <f t="shared" si="1149"/>
        <v>-11.458145436532504</v>
      </c>
      <c r="AA1134" s="5">
        <f t="shared" si="1149"/>
        <v>-16.219972111455107</v>
      </c>
      <c r="AB1134" s="5">
        <f t="shared" si="1149"/>
        <v>-20.981798786377709</v>
      </c>
      <c r="AC1134" s="5">
        <f t="shared" si="1149"/>
        <v>-25.743625461300311</v>
      </c>
      <c r="AD1134" s="5">
        <f t="shared" si="1149"/>
        <v>-30.505452136222914</v>
      </c>
      <c r="AE1134" s="5">
        <f t="shared" si="1149"/>
        <v>-35.267278811145516</v>
      </c>
      <c r="AF1134" s="5">
        <f t="shared" si="1149"/>
        <v>-40.029105486068104</v>
      </c>
      <c r="AG1134" s="5">
        <f t="shared" si="1149"/>
        <v>-44.790932160990721</v>
      </c>
      <c r="AH1134" s="5">
        <f t="shared" si="1149"/>
        <v>-49.552758835913309</v>
      </c>
    </row>
    <row r="1135" spans="1:34" x14ac:dyDescent="0.35">
      <c r="A1135" t="s">
        <v>1155</v>
      </c>
      <c r="B1135" s="3" t="s">
        <v>1264</v>
      </c>
      <c r="C1135" s="4" t="s">
        <v>1267</v>
      </c>
      <c r="D1135" s="2">
        <f t="shared" si="1106"/>
        <v>856.36923076923063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856.36923076923063</v>
      </c>
      <c r="T1135" s="5">
        <v>0</v>
      </c>
      <c r="U1135" s="5">
        <v>0</v>
      </c>
      <c r="V1135" s="5">
        <v>0</v>
      </c>
      <c r="W1135" s="5">
        <f t="shared" ref="W1135:AH1135" si="1150">IF(OR((SLOPE($E1135:$V1135,$E$1:$V$1)*W$1+INTERCEPT($E1135:$V1135,$E$1:$V$1))&gt;(AVERAGE($E1135:$V1135)+_xlfn.STDEV.P($E1135:$V1135)),(SLOPE($E1135:$V1135,$E$1:$V$1)*W$1+INTERCEPT($E1135:$V1135,$E$1:$V$1))&lt;(AVERAGE($E1135:$V1135)-_xlfn.STDEV.P($E1135:$V1135))),V1135,(SLOPE($E1135:$V1135,$E$1:$V$1)*W$1+INTERCEPT($E1135:$V1135,$E$1:$V$1)))</f>
        <v>139.92961287078933</v>
      </c>
      <c r="X1135" s="5">
        <f t="shared" si="1150"/>
        <v>149.65103860707575</v>
      </c>
      <c r="Y1135" s="5">
        <f t="shared" si="1150"/>
        <v>159.37246434336214</v>
      </c>
      <c r="Z1135" s="5">
        <f t="shared" si="1150"/>
        <v>169.09389007964856</v>
      </c>
      <c r="AA1135" s="5">
        <f t="shared" si="1150"/>
        <v>178.81531581593498</v>
      </c>
      <c r="AB1135" s="5">
        <f t="shared" si="1150"/>
        <v>188.5367415522214</v>
      </c>
      <c r="AC1135" s="5">
        <f t="shared" si="1150"/>
        <v>198.25816728850782</v>
      </c>
      <c r="AD1135" s="5">
        <f t="shared" si="1150"/>
        <v>207.97959302479424</v>
      </c>
      <c r="AE1135" s="5">
        <f t="shared" si="1150"/>
        <v>217.70101876108066</v>
      </c>
      <c r="AF1135" s="5">
        <f t="shared" si="1150"/>
        <v>227.42244449736705</v>
      </c>
      <c r="AG1135" s="5">
        <f t="shared" si="1150"/>
        <v>237.1438702336535</v>
      </c>
      <c r="AH1135" s="5">
        <f t="shared" si="1150"/>
        <v>237.1438702336535</v>
      </c>
    </row>
    <row r="1136" spans="1:34" x14ac:dyDescent="0.35">
      <c r="A1136" t="s">
        <v>1156</v>
      </c>
      <c r="B1136" s="3" t="s">
        <v>1266</v>
      </c>
      <c r="C1136" s="4" t="s">
        <v>1267</v>
      </c>
      <c r="D1136" s="2">
        <f t="shared" si="1106"/>
        <v>846.71999999999991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423.35999999999996</v>
      </c>
      <c r="O1136" s="5">
        <v>0</v>
      </c>
      <c r="P1136" s="5">
        <v>423.35999999999996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f t="shared" ref="W1136:AH1136" si="1151">IF(OR((SLOPE($E1136:$V1136,$E$1:$V$1)*W$1+INTERCEPT($E1136:$V1136,$E$1:$V$1))&gt;(AVERAGE($E1136:$V1136)+_xlfn.STDEV.P($E1136:$V1136)),(SLOPE($E1136:$V1136,$E$1:$V$1)*W$1+INTERCEPT($E1136:$V1136,$E$1:$V$1))&lt;(AVERAGE($E1136:$V1136)-_xlfn.STDEV.P($E1136:$V1136))),V1136,(SLOPE($E1136:$V1136,$E$1:$V$1)*W$1+INTERCEPT($E1136:$V1136,$E$1:$V$1)))</f>
        <v>71.9435294117647</v>
      </c>
      <c r="X1136" s="5">
        <f t="shared" si="1151"/>
        <v>74.564953560371492</v>
      </c>
      <c r="Y1136" s="5">
        <f t="shared" si="1151"/>
        <v>77.186377708978313</v>
      </c>
      <c r="Z1136" s="5">
        <f t="shared" si="1151"/>
        <v>79.807801857585133</v>
      </c>
      <c r="AA1136" s="5">
        <f t="shared" si="1151"/>
        <v>82.429226006191925</v>
      </c>
      <c r="AB1136" s="5">
        <f t="shared" si="1151"/>
        <v>85.050650154798745</v>
      </c>
      <c r="AC1136" s="5">
        <f t="shared" si="1151"/>
        <v>87.672074303405566</v>
      </c>
      <c r="AD1136" s="5">
        <f t="shared" si="1151"/>
        <v>90.293498452012358</v>
      </c>
      <c r="AE1136" s="5">
        <f t="shared" si="1151"/>
        <v>92.914922600619178</v>
      </c>
      <c r="AF1136" s="5">
        <f t="shared" si="1151"/>
        <v>95.536346749225999</v>
      </c>
      <c r="AG1136" s="5">
        <f t="shared" si="1151"/>
        <v>98.157770897832791</v>
      </c>
      <c r="AH1136" s="5">
        <f t="shared" si="1151"/>
        <v>100.77919504643961</v>
      </c>
    </row>
    <row r="1137" spans="1:34" x14ac:dyDescent="0.35">
      <c r="A1137" t="s">
        <v>1157</v>
      </c>
      <c r="B1137" s="3" t="s">
        <v>1264</v>
      </c>
      <c r="C1137" s="4" t="s">
        <v>1267</v>
      </c>
      <c r="D1137" s="2">
        <f t="shared" si="1106"/>
        <v>843.19199999999989</v>
      </c>
      <c r="E1137" s="5">
        <v>0</v>
      </c>
      <c r="F1137" s="5">
        <v>0</v>
      </c>
      <c r="G1137" s="5">
        <v>843.19199999999989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f t="shared" ref="W1137:AH1137" si="1152">IF(OR((SLOPE($E1137:$V1137,$E$1:$V$1)*W$1+INTERCEPT($E1137:$V1137,$E$1:$V$1))&gt;(AVERAGE($E1137:$V1137)+_xlfn.STDEV.P($E1137:$V1137)),(SLOPE($E1137:$V1137,$E$1:$V$1)*W$1+INTERCEPT($E1137:$V1137,$E$1:$V$1))&lt;(AVERAGE($E1137:$V1137)-_xlfn.STDEV.P($E1137:$V1137))),V1137,(SLOPE($E1137:$V1137,$E$1:$V$1)*W$1+INTERCEPT($E1137:$V1137,$E$1:$V$1)))</f>
        <v>-60.621647058823527</v>
      </c>
      <c r="X1137" s="5">
        <f t="shared" si="1152"/>
        <v>-71.933820433436523</v>
      </c>
      <c r="Y1137" s="5">
        <f t="shared" si="1152"/>
        <v>-83.245993808049519</v>
      </c>
      <c r="Z1137" s="5">
        <f t="shared" si="1152"/>
        <v>-94.558167182662515</v>
      </c>
      <c r="AA1137" s="5">
        <f t="shared" si="1152"/>
        <v>-105.87034055727551</v>
      </c>
      <c r="AB1137" s="5">
        <f t="shared" si="1152"/>
        <v>-117.18251393188851</v>
      </c>
      <c r="AC1137" s="5">
        <f t="shared" si="1152"/>
        <v>-128.4946873065015</v>
      </c>
      <c r="AD1137" s="5">
        <f t="shared" si="1152"/>
        <v>-139.8068606811145</v>
      </c>
      <c r="AE1137" s="5">
        <f t="shared" si="1152"/>
        <v>-139.8068606811145</v>
      </c>
      <c r="AF1137" s="5">
        <f t="shared" si="1152"/>
        <v>-139.8068606811145</v>
      </c>
      <c r="AG1137" s="5">
        <f t="shared" si="1152"/>
        <v>-139.8068606811145</v>
      </c>
      <c r="AH1137" s="5">
        <f t="shared" si="1152"/>
        <v>-139.8068606811145</v>
      </c>
    </row>
    <row r="1138" spans="1:34" x14ac:dyDescent="0.35">
      <c r="A1138" t="s">
        <v>1158</v>
      </c>
      <c r="B1138" s="3" t="s">
        <v>1266</v>
      </c>
      <c r="C1138" s="4" t="s">
        <v>1263</v>
      </c>
      <c r="D1138" s="2">
        <f t="shared" si="1106"/>
        <v>810.14639999999997</v>
      </c>
      <c r="E1138" s="5">
        <v>0</v>
      </c>
      <c r="F1138" s="5">
        <v>0</v>
      </c>
      <c r="G1138" s="5">
        <v>0</v>
      </c>
      <c r="H1138" s="5">
        <v>307.46519999999998</v>
      </c>
      <c r="I1138" s="5">
        <v>0</v>
      </c>
      <c r="J1138" s="5">
        <v>195.21600000000001</v>
      </c>
      <c r="K1138" s="5">
        <v>204.9768</v>
      </c>
      <c r="L1138" s="5">
        <v>102.4884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f t="shared" ref="W1138:AH1138" si="1153">IF(OR((SLOPE($E1138:$V1138,$E$1:$V$1)*W$1+INTERCEPT($E1138:$V1138,$E$1:$V$1))&gt;(AVERAGE($E1138:$V1138)+_xlfn.STDEV.P($E1138:$V1138)),(SLOPE($E1138:$V1138,$E$1:$V$1)*W$1+INTERCEPT($E1138:$V1138,$E$1:$V$1))&lt;(AVERAGE($E1138:$V1138)-_xlfn.STDEV.P($E1138:$V1138))),V1138,(SLOPE($E1138:$V1138,$E$1:$V$1)*W$1+INTERCEPT($E1138:$V1138,$E$1:$V$1)))</f>
        <v>-14.609301960784322</v>
      </c>
      <c r="X1138" s="5">
        <f t="shared" si="1153"/>
        <v>-20.884821465428288</v>
      </c>
      <c r="Y1138" s="5">
        <f t="shared" si="1153"/>
        <v>-27.160340970072241</v>
      </c>
      <c r="Z1138" s="5">
        <f t="shared" si="1153"/>
        <v>-33.435860474716208</v>
      </c>
      <c r="AA1138" s="5">
        <f t="shared" si="1153"/>
        <v>-39.711379979360174</v>
      </c>
      <c r="AB1138" s="5">
        <f t="shared" si="1153"/>
        <v>-39.711379979360174</v>
      </c>
      <c r="AC1138" s="5">
        <f t="shared" si="1153"/>
        <v>-39.711379979360174</v>
      </c>
      <c r="AD1138" s="5">
        <f t="shared" si="1153"/>
        <v>-39.711379979360174</v>
      </c>
      <c r="AE1138" s="5">
        <f t="shared" si="1153"/>
        <v>-39.711379979360174</v>
      </c>
      <c r="AF1138" s="5">
        <f t="shared" si="1153"/>
        <v>-39.711379979360174</v>
      </c>
      <c r="AG1138" s="5">
        <f t="shared" si="1153"/>
        <v>-39.711379979360174</v>
      </c>
      <c r="AH1138" s="5">
        <f t="shared" si="1153"/>
        <v>-39.711379979360174</v>
      </c>
    </row>
    <row r="1139" spans="1:34" x14ac:dyDescent="0.35">
      <c r="A1139" t="s">
        <v>1159</v>
      </c>
      <c r="B1139" s="3" t="s">
        <v>1264</v>
      </c>
      <c r="C1139" s="4" t="s">
        <v>1263</v>
      </c>
      <c r="D1139" s="2">
        <f t="shared" si="1106"/>
        <v>647.75227201403629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647.75227201403629</v>
      </c>
      <c r="W1139" s="5">
        <f t="shared" ref="W1139:AH1139" si="1154">IF(OR((SLOPE($E1139:$V1139,$E$1:$V$1)*W$1+INTERCEPT($E1139:$V1139,$E$1:$V$1))&gt;(AVERAGE($E1139:$V1139)+_xlfn.STDEV.P($E1139:$V1139)),(SLOPE($E1139:$V1139,$E$1:$V$1)*W$1+INTERCEPT($E1139:$V1139,$E$1:$V$1))&lt;(AVERAGE($E1139:$V1139)-_xlfn.STDEV.P($E1139:$V1139))),V1139,(SLOPE($E1139:$V1139,$E$1:$V$1)*W$1+INTERCEPT($E1139:$V1139,$E$1:$V$1)))</f>
        <v>143.94494933645251</v>
      </c>
      <c r="X1139" s="5">
        <f t="shared" si="1154"/>
        <v>155.30902428406722</v>
      </c>
      <c r="Y1139" s="5">
        <f t="shared" si="1154"/>
        <v>166.67309923168187</v>
      </c>
      <c r="Z1139" s="5">
        <f t="shared" si="1154"/>
        <v>178.03717417929653</v>
      </c>
      <c r="AA1139" s="5">
        <f t="shared" si="1154"/>
        <v>178.03717417929653</v>
      </c>
      <c r="AB1139" s="5">
        <f t="shared" si="1154"/>
        <v>178.03717417929653</v>
      </c>
      <c r="AC1139" s="5">
        <f t="shared" si="1154"/>
        <v>178.03717417929653</v>
      </c>
      <c r="AD1139" s="5">
        <f t="shared" si="1154"/>
        <v>178.03717417929653</v>
      </c>
      <c r="AE1139" s="5">
        <f t="shared" si="1154"/>
        <v>178.03717417929653</v>
      </c>
      <c r="AF1139" s="5">
        <f t="shared" si="1154"/>
        <v>178.03717417929653</v>
      </c>
      <c r="AG1139" s="5">
        <f t="shared" si="1154"/>
        <v>178.03717417929653</v>
      </c>
      <c r="AH1139" s="5">
        <f t="shared" si="1154"/>
        <v>178.03717417929653</v>
      </c>
    </row>
    <row r="1140" spans="1:34" x14ac:dyDescent="0.35">
      <c r="A1140" t="s">
        <v>1160</v>
      </c>
      <c r="B1140" s="3" t="s">
        <v>1266</v>
      </c>
      <c r="C1140" s="4" t="s">
        <v>1267</v>
      </c>
      <c r="D1140" s="2">
        <f t="shared" si="1106"/>
        <v>627.19999999999993</v>
      </c>
      <c r="E1140" s="5">
        <v>0</v>
      </c>
      <c r="F1140" s="5">
        <v>0</v>
      </c>
      <c r="G1140" s="5">
        <v>313.59999999999997</v>
      </c>
      <c r="H1140" s="5">
        <v>313.59999999999997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f t="shared" ref="W1140:AH1140" si="1155">IF(OR((SLOPE($E1140:$V1140,$E$1:$V$1)*W$1+INTERCEPT($E1140:$V1140,$E$1:$V$1))&gt;(AVERAGE($E1140:$V1140)+_xlfn.STDEV.P($E1140:$V1140)),(SLOPE($E1140:$V1140,$E$1:$V$1)*W$1+INTERCEPT($E1140:$V1140,$E$1:$V$1))&lt;(AVERAGE($E1140:$V1140)-_xlfn.STDEV.P($E1140:$V1140))),V1140,(SLOPE($E1140:$V1140,$E$1:$V$1)*W$1+INTERCEPT($E1140:$V1140,$E$1:$V$1)))</f>
        <v>-38.943790849673235</v>
      </c>
      <c r="X1140" s="5">
        <f t="shared" si="1155"/>
        <v>-46.710973512211922</v>
      </c>
      <c r="Y1140" s="5">
        <f t="shared" si="1155"/>
        <v>-54.478156174750609</v>
      </c>
      <c r="Z1140" s="5">
        <f t="shared" si="1155"/>
        <v>-62.245338837289324</v>
      </c>
      <c r="AA1140" s="5">
        <f t="shared" si="1155"/>
        <v>-62.245338837289324</v>
      </c>
      <c r="AB1140" s="5">
        <f t="shared" si="1155"/>
        <v>-62.245338837289324</v>
      </c>
      <c r="AC1140" s="5">
        <f t="shared" si="1155"/>
        <v>-62.245338837289324</v>
      </c>
      <c r="AD1140" s="5">
        <f t="shared" si="1155"/>
        <v>-62.245338837289324</v>
      </c>
      <c r="AE1140" s="5">
        <f t="shared" si="1155"/>
        <v>-62.245338837289324</v>
      </c>
      <c r="AF1140" s="5">
        <f t="shared" si="1155"/>
        <v>-62.245338837289324</v>
      </c>
      <c r="AG1140" s="5">
        <f t="shared" si="1155"/>
        <v>-62.245338837289324</v>
      </c>
      <c r="AH1140" s="5">
        <f t="shared" si="1155"/>
        <v>-62.245338837289324</v>
      </c>
    </row>
    <row r="1141" spans="1:34" x14ac:dyDescent="0.35">
      <c r="A1141" t="s">
        <v>1161</v>
      </c>
      <c r="B1141" s="3" t="s">
        <v>1264</v>
      </c>
      <c r="C1141" s="4" t="s">
        <v>1267</v>
      </c>
      <c r="D1141" s="2">
        <f t="shared" si="1106"/>
        <v>528.80799999999999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528.80799999999999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f t="shared" ref="W1141:AH1141" si="1156">IF(OR((SLOPE($E1141:$V1141,$E$1:$V$1)*W$1+INTERCEPT($E1141:$V1141,$E$1:$V$1))&gt;(AVERAGE($E1141:$V1141)+_xlfn.STDEV.P($E1141:$V1141)),(SLOPE($E1141:$V1141,$E$1:$V$1)*W$1+INTERCEPT($E1141:$V1141,$E$1:$V$1))&lt;(AVERAGE($E1141:$V1141)-_xlfn.STDEV.P($E1141:$V1141))),V1141,(SLOPE($E1141:$V1141,$E$1:$V$1)*W$1+INTERCEPT($E1141:$V1141,$E$1:$V$1)))</f>
        <v>44.931398692810461</v>
      </c>
      <c r="X1141" s="5">
        <f t="shared" si="1156"/>
        <v>46.568575163398691</v>
      </c>
      <c r="Y1141" s="5">
        <f t="shared" si="1156"/>
        <v>48.205751633986928</v>
      </c>
      <c r="Z1141" s="5">
        <f t="shared" si="1156"/>
        <v>49.842928104575165</v>
      </c>
      <c r="AA1141" s="5">
        <f t="shared" si="1156"/>
        <v>51.480104575163402</v>
      </c>
      <c r="AB1141" s="5">
        <f t="shared" si="1156"/>
        <v>53.117281045751639</v>
      </c>
      <c r="AC1141" s="5">
        <f t="shared" si="1156"/>
        <v>54.754457516339869</v>
      </c>
      <c r="AD1141" s="5">
        <f t="shared" si="1156"/>
        <v>56.391633986928106</v>
      </c>
      <c r="AE1141" s="5">
        <f t="shared" si="1156"/>
        <v>58.028810457516343</v>
      </c>
      <c r="AF1141" s="5">
        <f t="shared" si="1156"/>
        <v>59.66598692810458</v>
      </c>
      <c r="AG1141" s="5">
        <f t="shared" si="1156"/>
        <v>61.303163398692817</v>
      </c>
      <c r="AH1141" s="5">
        <f t="shared" si="1156"/>
        <v>62.940339869281047</v>
      </c>
    </row>
    <row r="1142" spans="1:34" x14ac:dyDescent="0.35">
      <c r="A1142" t="s">
        <v>1162</v>
      </c>
      <c r="B1142" s="3" t="s">
        <v>1264</v>
      </c>
      <c r="C1142" s="4" t="s">
        <v>1268</v>
      </c>
      <c r="D1142" s="2">
        <f t="shared" si="1106"/>
        <v>519.08835999999997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519.08835999999997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f t="shared" ref="W1142:AH1142" si="1157">IF(OR((SLOPE($E1142:$V1142,$E$1:$V$1)*W$1+INTERCEPT($E1142:$V1142,$E$1:$V$1))&gt;(AVERAGE($E1142:$V1142)+_xlfn.STDEV.P($E1142:$V1142)),(SLOPE($E1142:$V1142,$E$1:$V$1)*W$1+INTERCEPT($E1142:$V1142,$E$1:$V$1))&lt;(AVERAGE($E1142:$V1142)-_xlfn.STDEV.P($E1142:$V1142))),V1142,(SLOPE($E1142:$V1142,$E$1:$V$1)*W$1+INTERCEPT($E1142:$V1142,$E$1:$V$1)))</f>
        <v>23.749140653594772</v>
      </c>
      <c r="X1142" s="5">
        <f t="shared" si="1157"/>
        <v>23.213445751633987</v>
      </c>
      <c r="Y1142" s="5">
        <f t="shared" si="1157"/>
        <v>22.677750849673203</v>
      </c>
      <c r="Z1142" s="5">
        <f t="shared" si="1157"/>
        <v>22.142055947712421</v>
      </c>
      <c r="AA1142" s="5">
        <f t="shared" si="1157"/>
        <v>21.606361045751633</v>
      </c>
      <c r="AB1142" s="5">
        <f t="shared" si="1157"/>
        <v>21.070666143790852</v>
      </c>
      <c r="AC1142" s="5">
        <f t="shared" si="1157"/>
        <v>20.534971241830068</v>
      </c>
      <c r="AD1142" s="5">
        <f t="shared" si="1157"/>
        <v>19.999276339869283</v>
      </c>
      <c r="AE1142" s="5">
        <f t="shared" si="1157"/>
        <v>19.463581437908498</v>
      </c>
      <c r="AF1142" s="5">
        <f t="shared" si="1157"/>
        <v>18.927886535947714</v>
      </c>
      <c r="AG1142" s="5">
        <f t="shared" si="1157"/>
        <v>18.392191633986933</v>
      </c>
      <c r="AH1142" s="5">
        <f t="shared" si="1157"/>
        <v>17.856496732026148</v>
      </c>
    </row>
    <row r="1143" spans="1:34" x14ac:dyDescent="0.35">
      <c r="A1143" t="s">
        <v>1163</v>
      </c>
      <c r="B1143" s="3" t="s">
        <v>1266</v>
      </c>
      <c r="C1143" s="4" t="s">
        <v>1263</v>
      </c>
      <c r="D1143" s="2">
        <f t="shared" si="1106"/>
        <v>492.15599999999995</v>
      </c>
      <c r="E1143" s="5">
        <v>0</v>
      </c>
      <c r="F1143" s="5">
        <v>0</v>
      </c>
      <c r="G1143" s="5">
        <v>0</v>
      </c>
      <c r="H1143" s="5">
        <v>0</v>
      </c>
      <c r="I1143" s="5">
        <v>164.05199999999999</v>
      </c>
      <c r="J1143" s="5">
        <v>328.10399999999998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f t="shared" ref="W1143:AH1143" si="1158">IF(OR((SLOPE($E1143:$V1143,$E$1:$V$1)*W$1+INTERCEPT($E1143:$V1143,$E$1:$V$1))&gt;(AVERAGE($E1143:$V1143)+_xlfn.STDEV.P($E1143:$V1143)),(SLOPE($E1143:$V1143,$E$1:$V$1)*W$1+INTERCEPT($E1143:$V1143,$E$1:$V$1))&lt;(AVERAGE($E1143:$V1143)-_xlfn.STDEV.P($E1143:$V1143))),V1143,(SLOPE($E1143:$V1143,$E$1:$V$1)*W$1+INTERCEPT($E1143:$V1143,$E$1:$V$1)))</f>
        <v>-9.6501176470588206</v>
      </c>
      <c r="X1143" s="5">
        <f t="shared" si="1158"/>
        <v>-13.544024767801858</v>
      </c>
      <c r="Y1143" s="5">
        <f t="shared" si="1158"/>
        <v>-17.437931888544895</v>
      </c>
      <c r="Z1143" s="5">
        <f t="shared" si="1158"/>
        <v>-21.331839009287918</v>
      </c>
      <c r="AA1143" s="5">
        <f t="shared" si="1158"/>
        <v>-25.225746130030956</v>
      </c>
      <c r="AB1143" s="5">
        <f t="shared" si="1158"/>
        <v>-29.119653250773993</v>
      </c>
      <c r="AC1143" s="5">
        <f t="shared" si="1158"/>
        <v>-33.01356037151703</v>
      </c>
      <c r="AD1143" s="5">
        <f t="shared" si="1158"/>
        <v>-36.907467492260068</v>
      </c>
      <c r="AE1143" s="5">
        <f t="shared" si="1158"/>
        <v>-40.801374613003091</v>
      </c>
      <c r="AF1143" s="5">
        <f t="shared" si="1158"/>
        <v>-44.695281733746128</v>
      </c>
      <c r="AG1143" s="5">
        <f t="shared" si="1158"/>
        <v>-48.589188854489166</v>
      </c>
      <c r="AH1143" s="5">
        <f t="shared" si="1158"/>
        <v>-52.483095975232189</v>
      </c>
    </row>
    <row r="1144" spans="1:34" x14ac:dyDescent="0.35">
      <c r="A1144" t="s">
        <v>1164</v>
      </c>
      <c r="B1144" s="3" t="s">
        <v>1264</v>
      </c>
      <c r="C1144" s="4" t="s">
        <v>1268</v>
      </c>
      <c r="D1144" s="2">
        <f t="shared" si="1106"/>
        <v>431.51850000000002</v>
      </c>
      <c r="E1144" s="5">
        <v>0</v>
      </c>
      <c r="F1144" s="5">
        <v>227.11500000000001</v>
      </c>
      <c r="G1144" s="5">
        <v>0</v>
      </c>
      <c r="H1144" s="5">
        <v>0</v>
      </c>
      <c r="I1144" s="5">
        <v>204.40350000000001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f t="shared" ref="W1144:AH1144" si="1159">IF(OR((SLOPE($E1144:$V1144,$E$1:$V$1)*W$1+INTERCEPT($E1144:$V1144,$E$1:$V$1))&gt;(AVERAGE($E1144:$V1144)+_xlfn.STDEV.P($E1144:$V1144)),(SLOPE($E1144:$V1144,$E$1:$V$1)*W$1+INTERCEPT($E1144:$V1144,$E$1:$V$1))&lt;(AVERAGE($E1144:$V1144)-_xlfn.STDEV.P($E1144:$V1144))),V1144,(SLOPE($E1144:$V1144,$E$1:$V$1)*W$1+INTERCEPT($E1144:$V1144,$E$1:$V$1)))</f>
        <v>-27.46161764705883</v>
      </c>
      <c r="X1144" s="5">
        <f t="shared" si="1159"/>
        <v>-32.875814241486083</v>
      </c>
      <c r="Y1144" s="5">
        <f t="shared" si="1159"/>
        <v>-38.290010835913321</v>
      </c>
      <c r="Z1144" s="5">
        <f t="shared" si="1159"/>
        <v>-43.704207430340574</v>
      </c>
      <c r="AA1144" s="5">
        <f t="shared" si="1159"/>
        <v>-43.704207430340574</v>
      </c>
      <c r="AB1144" s="5">
        <f t="shared" si="1159"/>
        <v>-43.704207430340574</v>
      </c>
      <c r="AC1144" s="5">
        <f t="shared" si="1159"/>
        <v>-43.704207430340574</v>
      </c>
      <c r="AD1144" s="5">
        <f t="shared" si="1159"/>
        <v>-43.704207430340574</v>
      </c>
      <c r="AE1144" s="5">
        <f t="shared" si="1159"/>
        <v>-43.704207430340574</v>
      </c>
      <c r="AF1144" s="5">
        <f t="shared" si="1159"/>
        <v>-43.704207430340574</v>
      </c>
      <c r="AG1144" s="5">
        <f t="shared" si="1159"/>
        <v>-43.704207430340574</v>
      </c>
      <c r="AH1144" s="5">
        <f t="shared" si="1159"/>
        <v>-43.704207430340574</v>
      </c>
    </row>
    <row r="1145" spans="1:34" x14ac:dyDescent="0.35">
      <c r="A1145" t="s">
        <v>1165</v>
      </c>
      <c r="B1145" s="3" t="s">
        <v>1266</v>
      </c>
      <c r="C1145" s="4" t="s">
        <v>1263</v>
      </c>
      <c r="D1145" s="2">
        <f t="shared" si="1106"/>
        <v>392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392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f t="shared" ref="W1145:AH1145" si="1160">IF(OR((SLOPE($E1145:$V1145,$E$1:$V$1)*W$1+INTERCEPT($E1145:$V1145,$E$1:$V$1))&gt;(AVERAGE($E1145:$V1145)+_xlfn.STDEV.P($E1145:$V1145)),(SLOPE($E1145:$V1145,$E$1:$V$1)*W$1+INTERCEPT($E1145:$V1145,$E$1:$V$1))&lt;(AVERAGE($E1145:$V1145)-_xlfn.STDEV.P($E1145:$V1145))),V1145,(SLOPE($E1145:$V1145,$E$1:$V$1)*W$1+INTERCEPT($E1145:$V1145,$E$1:$V$1)))</f>
        <v>-5.1241830065359508</v>
      </c>
      <c r="X1145" s="5">
        <f t="shared" si="1160"/>
        <v>-7.955968352253187</v>
      </c>
      <c r="Y1145" s="5">
        <f t="shared" si="1160"/>
        <v>-10.787753697970423</v>
      </c>
      <c r="Z1145" s="5">
        <f t="shared" si="1160"/>
        <v>-13.619539043687652</v>
      </c>
      <c r="AA1145" s="5">
        <f t="shared" si="1160"/>
        <v>-16.451324389404888</v>
      </c>
      <c r="AB1145" s="5">
        <f t="shared" si="1160"/>
        <v>-19.283109735122125</v>
      </c>
      <c r="AC1145" s="5">
        <f t="shared" si="1160"/>
        <v>-22.114895080839361</v>
      </c>
      <c r="AD1145" s="5">
        <f t="shared" si="1160"/>
        <v>-24.946680426556597</v>
      </c>
      <c r="AE1145" s="5">
        <f t="shared" si="1160"/>
        <v>-27.778465772273833</v>
      </c>
      <c r="AF1145" s="5">
        <f t="shared" si="1160"/>
        <v>-30.610251117991055</v>
      </c>
      <c r="AG1145" s="5">
        <f t="shared" si="1160"/>
        <v>-33.442036463708291</v>
      </c>
      <c r="AH1145" s="5">
        <f t="shared" si="1160"/>
        <v>-36.273821809425527</v>
      </c>
    </row>
    <row r="1146" spans="1:34" x14ac:dyDescent="0.35">
      <c r="A1146" t="s">
        <v>1166</v>
      </c>
      <c r="B1146" s="3" t="s">
        <v>1264</v>
      </c>
      <c r="C1146" s="4" t="s">
        <v>1268</v>
      </c>
      <c r="D1146" s="2">
        <f t="shared" si="1106"/>
        <v>352.8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352.8</v>
      </c>
      <c r="T1146" s="5">
        <v>0</v>
      </c>
      <c r="U1146" s="5">
        <v>0</v>
      </c>
      <c r="V1146" s="5">
        <v>0</v>
      </c>
      <c r="W1146" s="5">
        <f t="shared" ref="W1146:AH1146" si="1161">IF(OR((SLOPE($E1146:$V1146,$E$1:$V$1)*W$1+INTERCEPT($E1146:$V1146,$E$1:$V$1))&gt;(AVERAGE($E1146:$V1146)+_xlfn.STDEV.P($E1146:$V1146)),(SLOPE($E1146:$V1146,$E$1:$V$1)*W$1+INTERCEPT($E1146:$V1146,$E$1:$V$1))&lt;(AVERAGE($E1146:$V1146)-_xlfn.STDEV.P($E1146:$V1146))),V1146,(SLOPE($E1146:$V1146,$E$1:$V$1)*W$1+INTERCEPT($E1146:$V1146,$E$1:$V$1)))</f>
        <v>57.647058823529399</v>
      </c>
      <c r="X1146" s="5">
        <f t="shared" si="1161"/>
        <v>61.652012383900917</v>
      </c>
      <c r="Y1146" s="5">
        <f t="shared" si="1161"/>
        <v>65.656965944272429</v>
      </c>
      <c r="Z1146" s="5">
        <f t="shared" si="1161"/>
        <v>69.661919504643947</v>
      </c>
      <c r="AA1146" s="5">
        <f t="shared" si="1161"/>
        <v>73.666873065015466</v>
      </c>
      <c r="AB1146" s="5">
        <f t="shared" si="1161"/>
        <v>77.671826625386984</v>
      </c>
      <c r="AC1146" s="5">
        <f t="shared" si="1161"/>
        <v>81.676780185758503</v>
      </c>
      <c r="AD1146" s="5">
        <f t="shared" si="1161"/>
        <v>85.681733746130021</v>
      </c>
      <c r="AE1146" s="5">
        <f t="shared" si="1161"/>
        <v>89.68668730650154</v>
      </c>
      <c r="AF1146" s="5">
        <f t="shared" si="1161"/>
        <v>93.691640866873058</v>
      </c>
      <c r="AG1146" s="5">
        <f t="shared" si="1161"/>
        <v>97.696594427244577</v>
      </c>
      <c r="AH1146" s="5">
        <f t="shared" si="1161"/>
        <v>97.696594427244577</v>
      </c>
    </row>
    <row r="1147" spans="1:34" x14ac:dyDescent="0.35">
      <c r="A1147" t="s">
        <v>1167</v>
      </c>
      <c r="B1147" s="3" t="s">
        <v>1264</v>
      </c>
      <c r="C1147" s="4" t="s">
        <v>1268</v>
      </c>
      <c r="D1147" s="2">
        <f t="shared" si="1106"/>
        <v>278.18280000000004</v>
      </c>
      <c r="E1147" s="5">
        <v>109.809</v>
      </c>
      <c r="F1147" s="5">
        <v>0</v>
      </c>
      <c r="G1147" s="5">
        <v>168.37380000000002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f t="shared" ref="W1147:AH1147" si="1162">IF(OR((SLOPE($E1147:$V1147,$E$1:$V$1)*W$1+INTERCEPT($E1147:$V1147,$E$1:$V$1))&gt;(AVERAGE($E1147:$V1147)+_xlfn.STDEV.P($E1147:$V1147)),(SLOPE($E1147:$V1147,$E$1:$V$1)*W$1+INTERCEPT($E1147:$V1147,$E$1:$V$1))&lt;(AVERAGE($E1147:$V1147)-_xlfn.STDEV.P($E1147:$V1147))),V1147,(SLOPE($E1147:$V1147,$E$1:$V$1)*W$1+INTERCEPT($E1147:$V1147,$E$1:$V$1)))</f>
        <v>-24.306305882352945</v>
      </c>
      <c r="X1147" s="5">
        <f t="shared" si="1162"/>
        <v>-28.491664396284833</v>
      </c>
      <c r="Y1147" s="5">
        <f t="shared" si="1162"/>
        <v>-28.491664396284833</v>
      </c>
      <c r="Z1147" s="5">
        <f t="shared" si="1162"/>
        <v>-28.491664396284833</v>
      </c>
      <c r="AA1147" s="5">
        <f t="shared" si="1162"/>
        <v>-28.491664396284833</v>
      </c>
      <c r="AB1147" s="5">
        <f t="shared" si="1162"/>
        <v>-28.491664396284833</v>
      </c>
      <c r="AC1147" s="5">
        <f t="shared" si="1162"/>
        <v>-28.491664396284833</v>
      </c>
      <c r="AD1147" s="5">
        <f t="shared" si="1162"/>
        <v>-28.491664396284833</v>
      </c>
      <c r="AE1147" s="5">
        <f t="shared" si="1162"/>
        <v>-28.491664396284833</v>
      </c>
      <c r="AF1147" s="5">
        <f t="shared" si="1162"/>
        <v>-28.491664396284833</v>
      </c>
      <c r="AG1147" s="5">
        <f t="shared" si="1162"/>
        <v>-28.491664396284833</v>
      </c>
      <c r="AH1147" s="5">
        <f t="shared" si="1162"/>
        <v>-28.491664396284833</v>
      </c>
    </row>
    <row r="1148" spans="1:34" x14ac:dyDescent="0.35">
      <c r="A1148" t="s">
        <v>1168</v>
      </c>
      <c r="B1148" s="3" t="s">
        <v>1266</v>
      </c>
      <c r="C1148" s="4" t="s">
        <v>1263</v>
      </c>
      <c r="D1148" s="2">
        <f t="shared" si="1106"/>
        <v>228.81503722071983</v>
      </c>
      <c r="E1148" s="5">
        <v>0</v>
      </c>
      <c r="F1148" s="5">
        <v>0</v>
      </c>
      <c r="G1148" s="5">
        <v>198.96959758323464</v>
      </c>
      <c r="H1148" s="5">
        <v>0</v>
      </c>
      <c r="I1148" s="5">
        <v>29.845439637485192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f t="shared" ref="W1148:AH1148" si="1163">IF(OR((SLOPE($E1148:$V1148,$E$1:$V$1)*W$1+INTERCEPT($E1148:$V1148,$E$1:$V$1))&gt;(AVERAGE($E1148:$V1148)+_xlfn.STDEV.P($E1148:$V1148)),(SLOPE($E1148:$V1148,$E$1:$V$1)*W$1+INTERCEPT($E1148:$V1148,$E$1:$V$1))&lt;(AVERAGE($E1148:$V1148)-_xlfn.STDEV.P($E1148:$V1148))),V1148,(SLOPE($E1148:$V1148,$E$1:$V$1)*W$1+INTERCEPT($E1148:$V1148,$E$1:$V$1)))</f>
        <v>-15.280344912437954</v>
      </c>
      <c r="X1148" s="5">
        <f t="shared" si="1163"/>
        <v>-18.226901904511656</v>
      </c>
      <c r="Y1148" s="5">
        <f t="shared" si="1163"/>
        <v>-21.173458896585359</v>
      </c>
      <c r="Z1148" s="5">
        <f t="shared" si="1163"/>
        <v>-24.120015888659054</v>
      </c>
      <c r="AA1148" s="5">
        <f t="shared" si="1163"/>
        <v>-27.066572880732764</v>
      </c>
      <c r="AB1148" s="5">
        <f t="shared" si="1163"/>
        <v>-30.013129872806459</v>
      </c>
      <c r="AC1148" s="5">
        <f t="shared" si="1163"/>
        <v>-32.959686864880169</v>
      </c>
      <c r="AD1148" s="5">
        <f t="shared" si="1163"/>
        <v>-32.959686864880169</v>
      </c>
      <c r="AE1148" s="5">
        <f t="shared" si="1163"/>
        <v>-32.959686864880169</v>
      </c>
      <c r="AF1148" s="5">
        <f t="shared" si="1163"/>
        <v>-32.959686864880169</v>
      </c>
      <c r="AG1148" s="5">
        <f t="shared" si="1163"/>
        <v>-32.959686864880169</v>
      </c>
      <c r="AH1148" s="5">
        <f t="shared" si="1163"/>
        <v>-32.959686864880169</v>
      </c>
    </row>
    <row r="1149" spans="1:34" x14ac:dyDescent="0.35">
      <c r="A1149" t="s">
        <v>1169</v>
      </c>
      <c r="B1149" s="3" t="s">
        <v>1264</v>
      </c>
      <c r="C1149" s="4" t="s">
        <v>1263</v>
      </c>
      <c r="D1149" s="2">
        <f t="shared" si="1106"/>
        <v>218.88187848800001</v>
      </c>
      <c r="E1149" s="5">
        <v>0</v>
      </c>
      <c r="F1149" s="5">
        <v>43.776375697600002</v>
      </c>
      <c r="G1149" s="5">
        <v>175.10550279040001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f t="shared" ref="W1149:AH1149" si="1164">IF(OR((SLOPE($E1149:$V1149,$E$1:$V$1)*W$1+INTERCEPT($E1149:$V1149,$E$1:$V$1))&gt;(AVERAGE($E1149:$V1149)+_xlfn.STDEV.P($E1149:$V1149)),(SLOPE($E1149:$V1149,$E$1:$V$1)*W$1+INTERCEPT($E1149:$V1149,$E$1:$V$1))&lt;(AVERAGE($E1149:$V1149)-_xlfn.STDEV.P($E1149:$V1149))),V1149,(SLOPE($E1149:$V1149,$E$1:$V$1)*W$1+INTERCEPT($E1149:$V1149,$E$1:$V$1)))</f>
        <v>-16.59496595072418</v>
      </c>
      <c r="X1149" s="5">
        <f t="shared" si="1164"/>
        <v>-19.621815457162981</v>
      </c>
      <c r="Y1149" s="5">
        <f t="shared" si="1164"/>
        <v>-22.648664963601789</v>
      </c>
      <c r="Z1149" s="5">
        <f t="shared" si="1164"/>
        <v>-25.675514470040582</v>
      </c>
      <c r="AA1149" s="5">
        <f t="shared" si="1164"/>
        <v>-25.675514470040582</v>
      </c>
      <c r="AB1149" s="5">
        <f t="shared" si="1164"/>
        <v>-25.675514470040582</v>
      </c>
      <c r="AC1149" s="5">
        <f t="shared" si="1164"/>
        <v>-25.675514470040582</v>
      </c>
      <c r="AD1149" s="5">
        <f t="shared" si="1164"/>
        <v>-25.675514470040582</v>
      </c>
      <c r="AE1149" s="5">
        <f t="shared" si="1164"/>
        <v>-25.675514470040582</v>
      </c>
      <c r="AF1149" s="5">
        <f t="shared" si="1164"/>
        <v>-25.675514470040582</v>
      </c>
      <c r="AG1149" s="5">
        <f t="shared" si="1164"/>
        <v>-25.675514470040582</v>
      </c>
      <c r="AH1149" s="5">
        <f t="shared" si="1164"/>
        <v>-25.675514470040582</v>
      </c>
    </row>
    <row r="1150" spans="1:34" x14ac:dyDescent="0.35">
      <c r="A1150" t="s">
        <v>1170</v>
      </c>
      <c r="B1150" s="3" t="s">
        <v>1266</v>
      </c>
      <c r="C1150" s="4" t="s">
        <v>1267</v>
      </c>
      <c r="D1150" s="2">
        <f t="shared" si="1106"/>
        <v>205.79999999999998</v>
      </c>
      <c r="E1150" s="5">
        <v>205.79999999999998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f t="shared" ref="W1150:AH1150" si="1165">IF(OR((SLOPE($E1150:$V1150,$E$1:$V$1)*W$1+INTERCEPT($E1150:$V1150,$E$1:$V$1))&gt;(AVERAGE($E1150:$V1150)+_xlfn.STDEV.P($E1150:$V1150)),(SLOPE($E1150:$V1150,$E$1:$V$1)*W$1+INTERCEPT($E1150:$V1150,$E$1:$V$1))&lt;(AVERAGE($E1150:$V1150)-_xlfn.STDEV.P($E1150:$V1150))),V1150,(SLOPE($E1150:$V1150,$E$1:$V$1)*W$1+INTERCEPT($E1150:$V1150,$E$1:$V$1)))</f>
        <v>-22.86666666666666</v>
      </c>
      <c r="X1150" s="5">
        <f t="shared" si="1165"/>
        <v>-26.477192982456131</v>
      </c>
      <c r="Y1150" s="5">
        <f t="shared" si="1165"/>
        <v>-30.087719298245617</v>
      </c>
      <c r="Z1150" s="5">
        <f t="shared" si="1165"/>
        <v>-33.698245614035088</v>
      </c>
      <c r="AA1150" s="5">
        <f t="shared" si="1165"/>
        <v>-33.698245614035088</v>
      </c>
      <c r="AB1150" s="5">
        <f t="shared" si="1165"/>
        <v>-33.698245614035088</v>
      </c>
      <c r="AC1150" s="5">
        <f t="shared" si="1165"/>
        <v>-33.698245614035088</v>
      </c>
      <c r="AD1150" s="5">
        <f t="shared" si="1165"/>
        <v>-33.698245614035088</v>
      </c>
      <c r="AE1150" s="5">
        <f t="shared" si="1165"/>
        <v>-33.698245614035088</v>
      </c>
      <c r="AF1150" s="5">
        <f t="shared" si="1165"/>
        <v>-33.698245614035088</v>
      </c>
      <c r="AG1150" s="5">
        <f t="shared" si="1165"/>
        <v>-33.698245614035088</v>
      </c>
      <c r="AH1150" s="5">
        <f t="shared" si="1165"/>
        <v>-33.698245614035088</v>
      </c>
    </row>
    <row r="1151" spans="1:34" x14ac:dyDescent="0.35">
      <c r="A1151" t="s">
        <v>1171</v>
      </c>
      <c r="B1151" s="3" t="s">
        <v>1266</v>
      </c>
      <c r="C1151" s="4" t="s">
        <v>1267</v>
      </c>
      <c r="D1151" s="2">
        <f t="shared" si="1106"/>
        <v>171.696</v>
      </c>
      <c r="E1151" s="5">
        <v>85.847999999999999</v>
      </c>
      <c r="F1151" s="5">
        <v>0</v>
      </c>
      <c r="G1151" s="5">
        <v>0</v>
      </c>
      <c r="H1151" s="5">
        <v>85.847999999999999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f t="shared" ref="W1151:AH1151" si="1166">IF(OR((SLOPE($E1151:$V1151,$E$1:$V$1)*W$1+INTERCEPT($E1151:$V1151,$E$1:$V$1))&gt;(AVERAGE($E1151:$V1151)+_xlfn.STDEV.P($E1151:$V1151)),(SLOPE($E1151:$V1151,$E$1:$V$1)*W$1+INTERCEPT($E1151:$V1151,$E$1:$V$1))&lt;(AVERAGE($E1151:$V1151)-_xlfn.STDEV.P($E1151:$V1151))),V1151,(SLOPE($E1151:$V1151,$E$1:$V$1)*W$1+INTERCEPT($E1151:$V1151,$E$1:$V$1)))</f>
        <v>-14.027450980392153</v>
      </c>
      <c r="X1151" s="5">
        <f t="shared" si="1166"/>
        <v>-16.508094943240451</v>
      </c>
      <c r="Y1151" s="5">
        <f t="shared" si="1166"/>
        <v>-16.508094943240451</v>
      </c>
      <c r="Z1151" s="5">
        <f t="shared" si="1166"/>
        <v>-16.508094943240451</v>
      </c>
      <c r="AA1151" s="5">
        <f t="shared" si="1166"/>
        <v>-16.508094943240451</v>
      </c>
      <c r="AB1151" s="5">
        <f t="shared" si="1166"/>
        <v>-16.508094943240451</v>
      </c>
      <c r="AC1151" s="5">
        <f t="shared" si="1166"/>
        <v>-16.508094943240451</v>
      </c>
      <c r="AD1151" s="5">
        <f t="shared" si="1166"/>
        <v>-16.508094943240451</v>
      </c>
      <c r="AE1151" s="5">
        <f t="shared" si="1166"/>
        <v>-16.508094943240451</v>
      </c>
      <c r="AF1151" s="5">
        <f t="shared" si="1166"/>
        <v>-16.508094943240451</v>
      </c>
      <c r="AG1151" s="5">
        <f t="shared" si="1166"/>
        <v>-16.508094943240451</v>
      </c>
      <c r="AH1151" s="5">
        <f t="shared" si="1166"/>
        <v>-16.508094943240451</v>
      </c>
    </row>
    <row r="1152" spans="1:34" x14ac:dyDescent="0.35">
      <c r="A1152" t="s">
        <v>1172</v>
      </c>
      <c r="B1152" s="3" t="s">
        <v>1266</v>
      </c>
      <c r="C1152" s="4" t="s">
        <v>1263</v>
      </c>
      <c r="D1152" s="2">
        <f t="shared" si="1106"/>
        <v>169.73600000000002</v>
      </c>
      <c r="E1152" s="5">
        <v>0</v>
      </c>
      <c r="F1152" s="5">
        <v>169.73600000000002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f t="shared" ref="W1152:AH1152" si="1167">IF(OR((SLOPE($E1152:$V1152,$E$1:$V$1)*W$1+INTERCEPT($E1152:$V1152,$E$1:$V$1))&gt;(AVERAGE($E1152:$V1152)+_xlfn.STDEV.P($E1152:$V1152)),(SLOPE($E1152:$V1152,$E$1:$V$1)*W$1+INTERCEPT($E1152:$V1152,$E$1:$V$1))&lt;(AVERAGE($E1152:$V1152)-_xlfn.STDEV.P($E1152:$V1152))),V1152,(SLOPE($E1152:$V1152,$E$1:$V$1)*W$1+INTERCEPT($E1152:$V1152,$E$1:$V$1)))</f>
        <v>-15.531398692810448</v>
      </c>
      <c r="X1152" s="5">
        <f t="shared" si="1167"/>
        <v>-18.158890952872369</v>
      </c>
      <c r="Y1152" s="5">
        <f t="shared" si="1167"/>
        <v>-20.78638321293429</v>
      </c>
      <c r="Z1152" s="5">
        <f t="shared" si="1167"/>
        <v>-23.41387547299621</v>
      </c>
      <c r="AA1152" s="5">
        <f t="shared" si="1167"/>
        <v>-26.041367733058131</v>
      </c>
      <c r="AB1152" s="5">
        <f t="shared" si="1167"/>
        <v>-28.668859993120051</v>
      </c>
      <c r="AC1152" s="5">
        <f t="shared" si="1167"/>
        <v>-28.668859993120051</v>
      </c>
      <c r="AD1152" s="5">
        <f t="shared" si="1167"/>
        <v>-28.668859993120051</v>
      </c>
      <c r="AE1152" s="5">
        <f t="shared" si="1167"/>
        <v>-28.668859993120051</v>
      </c>
      <c r="AF1152" s="5">
        <f t="shared" si="1167"/>
        <v>-28.668859993120051</v>
      </c>
      <c r="AG1152" s="5">
        <f t="shared" si="1167"/>
        <v>-28.668859993120051</v>
      </c>
      <c r="AH1152" s="5">
        <f t="shared" si="1167"/>
        <v>-28.668859993120051</v>
      </c>
    </row>
    <row r="1153" spans="1:34" x14ac:dyDescent="0.35">
      <c r="A1153" t="s">
        <v>1173</v>
      </c>
      <c r="B1153" s="3" t="s">
        <v>1266</v>
      </c>
      <c r="C1153" s="4" t="s">
        <v>1267</v>
      </c>
      <c r="D1153" s="2">
        <f t="shared" si="1106"/>
        <v>164.64</v>
      </c>
      <c r="E1153" s="5">
        <v>82.32</v>
      </c>
      <c r="F1153" s="5">
        <v>0</v>
      </c>
      <c r="G1153" s="5">
        <v>0</v>
      </c>
      <c r="H1153" s="5">
        <v>82.32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f t="shared" ref="W1153:AH1153" si="1168">IF(OR((SLOPE($E1153:$V1153,$E$1:$V$1)*W$1+INTERCEPT($E1153:$V1153,$E$1:$V$1))&gt;(AVERAGE($E1153:$V1153)+_xlfn.STDEV.P($E1153:$V1153)),(SLOPE($E1153:$V1153,$E$1:$V$1)*W$1+INTERCEPT($E1153:$V1153,$E$1:$V$1))&lt;(AVERAGE($E1153:$V1153)-_xlfn.STDEV.P($E1153:$V1153))),V1153,(SLOPE($E1153:$V1153,$E$1:$V$1)*W$1+INTERCEPT($E1153:$V1153,$E$1:$V$1)))</f>
        <v>-13.450980392156865</v>
      </c>
      <c r="X1153" s="5">
        <f t="shared" si="1168"/>
        <v>-15.829680082559342</v>
      </c>
      <c r="Y1153" s="5">
        <f t="shared" si="1168"/>
        <v>-15.829680082559342</v>
      </c>
      <c r="Z1153" s="5">
        <f t="shared" si="1168"/>
        <v>-15.829680082559342</v>
      </c>
      <c r="AA1153" s="5">
        <f t="shared" si="1168"/>
        <v>-15.829680082559342</v>
      </c>
      <c r="AB1153" s="5">
        <f t="shared" si="1168"/>
        <v>-15.829680082559342</v>
      </c>
      <c r="AC1153" s="5">
        <f t="shared" si="1168"/>
        <v>-15.829680082559342</v>
      </c>
      <c r="AD1153" s="5">
        <f t="shared" si="1168"/>
        <v>-15.829680082559342</v>
      </c>
      <c r="AE1153" s="5">
        <f t="shared" si="1168"/>
        <v>-15.829680082559342</v>
      </c>
      <c r="AF1153" s="5">
        <f t="shared" si="1168"/>
        <v>-15.829680082559342</v>
      </c>
      <c r="AG1153" s="5">
        <f t="shared" si="1168"/>
        <v>-15.829680082559342</v>
      </c>
      <c r="AH1153" s="5">
        <f t="shared" si="1168"/>
        <v>-15.829680082559342</v>
      </c>
    </row>
    <row r="1154" spans="1:34" x14ac:dyDescent="0.35">
      <c r="A1154" t="s">
        <v>1174</v>
      </c>
      <c r="B1154" s="3" t="s">
        <v>1266</v>
      </c>
      <c r="C1154" s="4" t="s">
        <v>1263</v>
      </c>
      <c r="D1154" s="2">
        <f t="shared" si="1106"/>
        <v>150.04926607999997</v>
      </c>
      <c r="E1154" s="5">
        <v>0</v>
      </c>
      <c r="F1154" s="5">
        <v>0</v>
      </c>
      <c r="G1154" s="5">
        <v>150.04926607999997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f t="shared" ref="W1154:AH1154" si="1169">IF(OR((SLOPE($E1154:$V1154,$E$1:$V$1)*W$1+INTERCEPT($E1154:$V1154,$E$1:$V$1))&gt;(AVERAGE($E1154:$V1154)+_xlfn.STDEV.P($E1154:$V1154)),(SLOPE($E1154:$V1154,$E$1:$V$1)*W$1+INTERCEPT($E1154:$V1154,$E$1:$V$1))&lt;(AVERAGE($E1154:$V1154)-_xlfn.STDEV.P($E1154:$V1154))),V1154,(SLOPE($E1154:$V1154,$E$1:$V$1)*W$1+INTERCEPT($E1154:$V1154,$E$1:$V$1)))</f>
        <v>-10.787855731241827</v>
      </c>
      <c r="X1154" s="5">
        <f t="shared" si="1169"/>
        <v>-12.800900580612307</v>
      </c>
      <c r="Y1154" s="5">
        <f t="shared" si="1169"/>
        <v>-14.813945429982795</v>
      </c>
      <c r="Z1154" s="5">
        <f t="shared" si="1169"/>
        <v>-16.826990279353275</v>
      </c>
      <c r="AA1154" s="5">
        <f t="shared" si="1169"/>
        <v>-18.840035128723763</v>
      </c>
      <c r="AB1154" s="5">
        <f t="shared" si="1169"/>
        <v>-20.85307997809425</v>
      </c>
      <c r="AC1154" s="5">
        <f t="shared" si="1169"/>
        <v>-22.866124827464731</v>
      </c>
      <c r="AD1154" s="5">
        <f t="shared" si="1169"/>
        <v>-24.879169676835218</v>
      </c>
      <c r="AE1154" s="5">
        <f t="shared" si="1169"/>
        <v>-24.879169676835218</v>
      </c>
      <c r="AF1154" s="5">
        <f t="shared" si="1169"/>
        <v>-24.879169676835218</v>
      </c>
      <c r="AG1154" s="5">
        <f t="shared" si="1169"/>
        <v>-24.879169676835218</v>
      </c>
      <c r="AH1154" s="5">
        <f t="shared" si="1169"/>
        <v>-24.879169676835218</v>
      </c>
    </row>
    <row r="1155" spans="1:34" x14ac:dyDescent="0.35">
      <c r="A1155" t="s">
        <v>1175</v>
      </c>
      <c r="B1155" s="3" t="s">
        <v>1264</v>
      </c>
      <c r="C1155" s="4" t="s">
        <v>1263</v>
      </c>
      <c r="D1155" s="2">
        <f t="shared" si="1106"/>
        <v>147.89894138449921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147.89894138449921</v>
      </c>
      <c r="T1155" s="5">
        <v>0</v>
      </c>
      <c r="U1155" s="5">
        <v>0</v>
      </c>
      <c r="V1155" s="5">
        <v>0</v>
      </c>
      <c r="W1155" s="5">
        <f t="shared" ref="W1155:AH1155" si="1170">IF(OR((SLOPE($E1155:$V1155,$E$1:$V$1)*W$1+INTERCEPT($E1155:$V1155,$E$1:$V$1))&gt;(AVERAGE($E1155:$V1155)+_xlfn.STDEV.P($E1155:$V1155)),(SLOPE($E1155:$V1155,$E$1:$V$1)*W$1+INTERCEPT($E1155:$V1155,$E$1:$V$1))&lt;(AVERAGE($E1155:$V1155)-_xlfn.STDEV.P($E1155:$V1155))),V1155,(SLOPE($E1155:$V1155,$E$1:$V$1)*W$1+INTERCEPT($E1155:$V1155,$E$1:$V$1)))</f>
        <v>24.166493690277651</v>
      </c>
      <c r="X1155" s="5">
        <f t="shared" si="1170"/>
        <v>25.845429041391675</v>
      </c>
      <c r="Y1155" s="5">
        <f t="shared" si="1170"/>
        <v>27.524364392505703</v>
      </c>
      <c r="Z1155" s="5">
        <f t="shared" si="1170"/>
        <v>29.203299743619731</v>
      </c>
      <c r="AA1155" s="5">
        <f t="shared" si="1170"/>
        <v>30.882235094733758</v>
      </c>
      <c r="AB1155" s="5">
        <f t="shared" si="1170"/>
        <v>32.561170445847786</v>
      </c>
      <c r="AC1155" s="5">
        <f t="shared" si="1170"/>
        <v>34.240105796961807</v>
      </c>
      <c r="AD1155" s="5">
        <f t="shared" si="1170"/>
        <v>35.919041148075834</v>
      </c>
      <c r="AE1155" s="5">
        <f t="shared" si="1170"/>
        <v>37.597976499189862</v>
      </c>
      <c r="AF1155" s="5">
        <f t="shared" si="1170"/>
        <v>39.27691185030389</v>
      </c>
      <c r="AG1155" s="5">
        <f t="shared" si="1170"/>
        <v>40.955847201417917</v>
      </c>
      <c r="AH1155" s="5">
        <f t="shared" si="1170"/>
        <v>40.955847201417917</v>
      </c>
    </row>
    <row r="1156" spans="1:34" x14ac:dyDescent="0.35">
      <c r="A1156" t="s">
        <v>1176</v>
      </c>
      <c r="B1156" s="3" t="s">
        <v>1266</v>
      </c>
      <c r="C1156" s="4" t="s">
        <v>1267</v>
      </c>
      <c r="D1156" s="2">
        <f t="shared" ref="D1156:D1219" si="1171">SUM(E1156:V1156)</f>
        <v>144.28093903999999</v>
      </c>
      <c r="E1156" s="5">
        <v>0</v>
      </c>
      <c r="F1156" s="5">
        <v>72.140469519999996</v>
      </c>
      <c r="G1156" s="5">
        <v>0</v>
      </c>
      <c r="H1156" s="5">
        <v>72.140469519999996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f t="shared" ref="W1156:AH1156" si="1172">IF(OR((SLOPE($E1156:$V1156,$E$1:$V$1)*W$1+INTERCEPT($E1156:$V1156,$E$1:$V$1))&gt;(AVERAGE($E1156:$V1156)+_xlfn.STDEV.P($E1156:$V1156)),(SLOPE($E1156:$V1156,$E$1:$V$1)*W$1+INTERCEPT($E1156:$V1156,$E$1:$V$1))&lt;(AVERAGE($E1156:$V1156)-_xlfn.STDEV.P($E1156:$V1156))),V1156,(SLOPE($E1156:$V1156,$E$1:$V$1)*W$1+INTERCEPT($E1156:$V1156,$E$1:$V$1)))</f>
        <v>-10.373139408104574</v>
      </c>
      <c r="X1156" s="5">
        <f t="shared" si="1172"/>
        <v>-12.308797001004475</v>
      </c>
      <c r="Y1156" s="5">
        <f t="shared" si="1172"/>
        <v>-14.244454593904369</v>
      </c>
      <c r="Z1156" s="5">
        <f t="shared" si="1172"/>
        <v>-14.244454593904369</v>
      </c>
      <c r="AA1156" s="5">
        <f t="shared" si="1172"/>
        <v>-14.244454593904369</v>
      </c>
      <c r="AB1156" s="5">
        <f t="shared" si="1172"/>
        <v>-14.244454593904369</v>
      </c>
      <c r="AC1156" s="5">
        <f t="shared" si="1172"/>
        <v>-14.244454593904369</v>
      </c>
      <c r="AD1156" s="5">
        <f t="shared" si="1172"/>
        <v>-14.244454593904369</v>
      </c>
      <c r="AE1156" s="5">
        <f t="shared" si="1172"/>
        <v>-14.244454593904369</v>
      </c>
      <c r="AF1156" s="5">
        <f t="shared" si="1172"/>
        <v>-14.244454593904369</v>
      </c>
      <c r="AG1156" s="5">
        <f t="shared" si="1172"/>
        <v>-14.244454593904369</v>
      </c>
      <c r="AH1156" s="5">
        <f t="shared" si="1172"/>
        <v>-14.244454593904369</v>
      </c>
    </row>
    <row r="1157" spans="1:34" x14ac:dyDescent="0.35">
      <c r="A1157" t="s">
        <v>1177</v>
      </c>
      <c r="B1157" s="3" t="s">
        <v>1264</v>
      </c>
      <c r="C1157" s="4" t="s">
        <v>1267</v>
      </c>
      <c r="D1157" s="2">
        <f t="shared" si="1171"/>
        <v>138.05063999999996</v>
      </c>
      <c r="E1157" s="5">
        <v>14.570639999999997</v>
      </c>
      <c r="F1157" s="5">
        <v>0</v>
      </c>
      <c r="G1157" s="5">
        <v>123.47999999999996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f t="shared" ref="W1157:AH1157" si="1173">IF(OR((SLOPE($E1157:$V1157,$E$1:$V$1)*W$1+INTERCEPT($E1157:$V1157,$E$1:$V$1))&gt;(AVERAGE($E1157:$V1157)+_xlfn.STDEV.P($E1157:$V1157)),(SLOPE($E1157:$V1157,$E$1:$V$1)*W$1+INTERCEPT($E1157:$V1157,$E$1:$V$1))&lt;(AVERAGE($E1157:$V1157)-_xlfn.STDEV.P($E1157:$V1157))),V1157,(SLOPE($E1157:$V1157,$E$1:$V$1)*W$1+INTERCEPT($E1157:$V1157,$E$1:$V$1)))</f>
        <v>-10.496607058823528</v>
      </c>
      <c r="X1157" s="5">
        <f t="shared" si="1173"/>
        <v>-12.408826749226002</v>
      </c>
      <c r="Y1157" s="5">
        <f t="shared" si="1173"/>
        <v>-14.321046439628482</v>
      </c>
      <c r="Z1157" s="5">
        <f t="shared" si="1173"/>
        <v>-16.233266130030955</v>
      </c>
      <c r="AA1157" s="5">
        <f t="shared" si="1173"/>
        <v>-18.145485820433429</v>
      </c>
      <c r="AB1157" s="5">
        <f t="shared" si="1173"/>
        <v>-20.057705510835909</v>
      </c>
      <c r="AC1157" s="5">
        <f t="shared" si="1173"/>
        <v>-20.057705510835909</v>
      </c>
      <c r="AD1157" s="5">
        <f t="shared" si="1173"/>
        <v>-20.057705510835909</v>
      </c>
      <c r="AE1157" s="5">
        <f t="shared" si="1173"/>
        <v>-20.057705510835909</v>
      </c>
      <c r="AF1157" s="5">
        <f t="shared" si="1173"/>
        <v>-20.057705510835909</v>
      </c>
      <c r="AG1157" s="5">
        <f t="shared" si="1173"/>
        <v>-20.057705510835909</v>
      </c>
      <c r="AH1157" s="5">
        <f t="shared" si="1173"/>
        <v>-20.057705510835909</v>
      </c>
    </row>
    <row r="1158" spans="1:34" x14ac:dyDescent="0.35">
      <c r="A1158" t="s">
        <v>1178</v>
      </c>
      <c r="B1158" s="3" t="s">
        <v>1266</v>
      </c>
      <c r="C1158" s="4" t="s">
        <v>1267</v>
      </c>
      <c r="D1158" s="2">
        <f t="shared" si="1171"/>
        <v>137.19999999999999</v>
      </c>
      <c r="E1158" s="5">
        <v>68.599999999999994</v>
      </c>
      <c r="F1158" s="5">
        <v>0</v>
      </c>
      <c r="G1158" s="5">
        <v>0</v>
      </c>
      <c r="H1158" s="5">
        <v>68.599999999999994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f t="shared" ref="W1158:AH1158" si="1174">IF(OR((SLOPE($E1158:$V1158,$E$1:$V$1)*W$1+INTERCEPT($E1158:$V1158,$E$1:$V$1))&gt;(AVERAGE($E1158:$V1158)+_xlfn.STDEV.P($E1158:$V1158)),(SLOPE($E1158:$V1158,$E$1:$V$1)*W$1+INTERCEPT($E1158:$V1158,$E$1:$V$1))&lt;(AVERAGE($E1158:$V1158)-_xlfn.STDEV.P($E1158:$V1158))),V1158,(SLOPE($E1158:$V1158,$E$1:$V$1)*W$1+INTERCEPT($E1158:$V1158,$E$1:$V$1)))</f>
        <v>-11.209150326797385</v>
      </c>
      <c r="X1158" s="5">
        <f t="shared" si="1174"/>
        <v>-13.191400068799446</v>
      </c>
      <c r="Y1158" s="5">
        <f t="shared" si="1174"/>
        <v>-13.191400068799446</v>
      </c>
      <c r="Z1158" s="5">
        <f t="shared" si="1174"/>
        <v>-13.191400068799446</v>
      </c>
      <c r="AA1158" s="5">
        <f t="shared" si="1174"/>
        <v>-13.191400068799446</v>
      </c>
      <c r="AB1158" s="5">
        <f t="shared" si="1174"/>
        <v>-13.191400068799446</v>
      </c>
      <c r="AC1158" s="5">
        <f t="shared" si="1174"/>
        <v>-13.191400068799446</v>
      </c>
      <c r="AD1158" s="5">
        <f t="shared" si="1174"/>
        <v>-13.191400068799446</v>
      </c>
      <c r="AE1158" s="5">
        <f t="shared" si="1174"/>
        <v>-13.191400068799446</v>
      </c>
      <c r="AF1158" s="5">
        <f t="shared" si="1174"/>
        <v>-13.191400068799446</v>
      </c>
      <c r="AG1158" s="5">
        <f t="shared" si="1174"/>
        <v>-13.191400068799446</v>
      </c>
      <c r="AH1158" s="5">
        <f t="shared" si="1174"/>
        <v>-13.191400068799446</v>
      </c>
    </row>
    <row r="1159" spans="1:34" x14ac:dyDescent="0.35">
      <c r="A1159" t="s">
        <v>1179</v>
      </c>
      <c r="B1159" s="3" t="s">
        <v>1266</v>
      </c>
      <c r="C1159" s="4" t="s">
        <v>1263</v>
      </c>
      <c r="D1159" s="2">
        <f t="shared" si="1171"/>
        <v>132.01909290112215</v>
      </c>
      <c r="E1159" s="5">
        <v>0</v>
      </c>
      <c r="F1159" s="5">
        <v>0</v>
      </c>
      <c r="G1159" s="5">
        <v>94.299352072230107</v>
      </c>
      <c r="H1159" s="5">
        <v>0</v>
      </c>
      <c r="I1159" s="5">
        <v>37.719740828892043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f t="shared" ref="W1159:AH1159" si="1175">IF(OR((SLOPE($E1159:$V1159,$E$1:$V$1)*W$1+INTERCEPT($E1159:$V1159,$E$1:$V$1))&gt;(AVERAGE($E1159:$V1159)+_xlfn.STDEV.P($E1159:$V1159)),(SLOPE($E1159:$V1159,$E$1:$V$1)*W$1+INTERCEPT($E1159:$V1159,$E$1:$V$1))&lt;(AVERAGE($E1159:$V1159)-_xlfn.STDEV.P($E1159:$V1159))),V1159,(SLOPE($E1159:$V1159,$E$1:$V$1)*W$1+INTERCEPT($E1159:$V1159,$E$1:$V$1)))</f>
        <v>-8.0123632479672651</v>
      </c>
      <c r="X1159" s="5">
        <f t="shared" si="1175"/>
        <v>-9.6278113846019622</v>
      </c>
      <c r="Y1159" s="5">
        <f t="shared" si="1175"/>
        <v>-11.243259521236659</v>
      </c>
      <c r="Z1159" s="5">
        <f t="shared" si="1175"/>
        <v>-12.858707657871349</v>
      </c>
      <c r="AA1159" s="5">
        <f t="shared" si="1175"/>
        <v>-14.474155794506046</v>
      </c>
      <c r="AB1159" s="5">
        <f t="shared" si="1175"/>
        <v>-14.474155794506046</v>
      </c>
      <c r="AC1159" s="5">
        <f t="shared" si="1175"/>
        <v>-14.474155794506046</v>
      </c>
      <c r="AD1159" s="5">
        <f t="shared" si="1175"/>
        <v>-14.474155794506046</v>
      </c>
      <c r="AE1159" s="5">
        <f t="shared" si="1175"/>
        <v>-14.474155794506046</v>
      </c>
      <c r="AF1159" s="5">
        <f t="shared" si="1175"/>
        <v>-14.474155794506046</v>
      </c>
      <c r="AG1159" s="5">
        <f t="shared" si="1175"/>
        <v>-14.474155794506046</v>
      </c>
      <c r="AH1159" s="5">
        <f t="shared" si="1175"/>
        <v>-14.474155794506046</v>
      </c>
    </row>
    <row r="1160" spans="1:34" x14ac:dyDescent="0.35">
      <c r="A1160" t="s">
        <v>1180</v>
      </c>
      <c r="B1160" s="3" t="s">
        <v>1266</v>
      </c>
      <c r="C1160" s="4" t="s">
        <v>1267</v>
      </c>
      <c r="D1160" s="2">
        <f t="shared" si="1171"/>
        <v>103.49126928</v>
      </c>
      <c r="E1160" s="5">
        <v>0</v>
      </c>
      <c r="F1160" s="5">
        <v>51.745634639999999</v>
      </c>
      <c r="G1160" s="5">
        <v>0</v>
      </c>
      <c r="H1160" s="5">
        <v>51.745634639999999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f t="shared" ref="W1160:AH1160" si="1176">IF(OR((SLOPE($E1160:$V1160,$E$1:$V$1)*W$1+INTERCEPT($E1160:$V1160,$E$1:$V$1))&gt;(AVERAGE($E1160:$V1160)+_xlfn.STDEV.P($E1160:$V1160)),(SLOPE($E1160:$V1160,$E$1:$V$1)*W$1+INTERCEPT($E1160:$V1160,$E$1:$V$1))&lt;(AVERAGE($E1160:$V1160)-_xlfn.STDEV.P($E1160:$V1160))),V1160,(SLOPE($E1160:$V1160,$E$1:$V$1)*W$1+INTERCEPT($E1160:$V1160,$E$1:$V$1)))</f>
        <v>-7.4405487717647034</v>
      </c>
      <c r="X1160" s="5">
        <f t="shared" si="1176"/>
        <v>-8.8289765330030932</v>
      </c>
      <c r="Y1160" s="5">
        <f t="shared" si="1176"/>
        <v>-10.217404294241483</v>
      </c>
      <c r="Z1160" s="5">
        <f t="shared" si="1176"/>
        <v>-10.217404294241483</v>
      </c>
      <c r="AA1160" s="5">
        <f t="shared" si="1176"/>
        <v>-10.217404294241483</v>
      </c>
      <c r="AB1160" s="5">
        <f t="shared" si="1176"/>
        <v>-10.217404294241483</v>
      </c>
      <c r="AC1160" s="5">
        <f t="shared" si="1176"/>
        <v>-10.217404294241483</v>
      </c>
      <c r="AD1160" s="5">
        <f t="shared" si="1176"/>
        <v>-10.217404294241483</v>
      </c>
      <c r="AE1160" s="5">
        <f t="shared" si="1176"/>
        <v>-10.217404294241483</v>
      </c>
      <c r="AF1160" s="5">
        <f t="shared" si="1176"/>
        <v>-10.217404294241483</v>
      </c>
      <c r="AG1160" s="5">
        <f t="shared" si="1176"/>
        <v>-10.217404294241483</v>
      </c>
      <c r="AH1160" s="5">
        <f t="shared" si="1176"/>
        <v>-10.217404294241483</v>
      </c>
    </row>
    <row r="1161" spans="1:34" x14ac:dyDescent="0.35">
      <c r="A1161" t="s">
        <v>1181</v>
      </c>
      <c r="B1161" s="3" t="s">
        <v>1266</v>
      </c>
      <c r="C1161" s="4" t="s">
        <v>1263</v>
      </c>
      <c r="D1161" s="2">
        <f t="shared" si="1171"/>
        <v>100.4764136963328</v>
      </c>
      <c r="E1161" s="5">
        <v>50.238206848166399</v>
      </c>
      <c r="F1161" s="5">
        <v>25.1191034240832</v>
      </c>
      <c r="G1161" s="5">
        <v>0</v>
      </c>
      <c r="H1161" s="5">
        <v>0</v>
      </c>
      <c r="I1161" s="5">
        <v>0</v>
      </c>
      <c r="J1161" s="5">
        <v>0</v>
      </c>
      <c r="K1161" s="5">
        <v>25.1191034240832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f t="shared" ref="W1161:AH1161" si="1177">IF(OR((SLOPE($E1161:$V1161,$E$1:$V$1)*W$1+INTERCEPT($E1161:$V1161,$E$1:$V$1))&gt;(AVERAGE($E1161:$V1161)+_xlfn.STDEV.P($E1161:$V1161)),(SLOPE($E1161:$V1161,$E$1:$V$1)*W$1+INTERCEPT($E1161:$V1161,$E$1:$V$1))&lt;(AVERAGE($E1161:$V1161)-_xlfn.STDEV.P($E1161:$V1161))),V1161,(SLOPE($E1161:$V1161,$E$1:$V$1)*W$1+INTERCEPT($E1161:$V1161,$E$1:$V$1)))</f>
        <v>-7.7163258884438584</v>
      </c>
      <c r="X1161" s="5">
        <f t="shared" si="1177"/>
        <v>-7.7163258884438584</v>
      </c>
      <c r="Y1161" s="5">
        <f t="shared" si="1177"/>
        <v>-7.7163258884438584</v>
      </c>
      <c r="Z1161" s="5">
        <f t="shared" si="1177"/>
        <v>-7.7163258884438584</v>
      </c>
      <c r="AA1161" s="5">
        <f t="shared" si="1177"/>
        <v>-7.7163258884438584</v>
      </c>
      <c r="AB1161" s="5">
        <f t="shared" si="1177"/>
        <v>-7.7163258884438584</v>
      </c>
      <c r="AC1161" s="5">
        <f t="shared" si="1177"/>
        <v>-7.7163258884438584</v>
      </c>
      <c r="AD1161" s="5">
        <f t="shared" si="1177"/>
        <v>-7.7163258884438584</v>
      </c>
      <c r="AE1161" s="5">
        <f t="shared" si="1177"/>
        <v>-7.7163258884438584</v>
      </c>
      <c r="AF1161" s="5">
        <f t="shared" si="1177"/>
        <v>-7.7163258884438584</v>
      </c>
      <c r="AG1161" s="5">
        <f t="shared" si="1177"/>
        <v>-7.7163258884438584</v>
      </c>
      <c r="AH1161" s="5">
        <f t="shared" si="1177"/>
        <v>-7.7163258884438584</v>
      </c>
    </row>
    <row r="1162" spans="1:34" x14ac:dyDescent="0.35">
      <c r="A1162" t="s">
        <v>1182</v>
      </c>
      <c r="B1162" s="3" t="s">
        <v>1264</v>
      </c>
      <c r="C1162" s="4" t="s">
        <v>1263</v>
      </c>
      <c r="D1162" s="2">
        <f t="shared" si="1171"/>
        <v>88.199999999999989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88.199999999999989</v>
      </c>
      <c r="S1162" s="5">
        <v>0</v>
      </c>
      <c r="T1162" s="5">
        <v>0</v>
      </c>
      <c r="U1162" s="5">
        <v>0</v>
      </c>
      <c r="V1162" s="5">
        <v>0</v>
      </c>
      <c r="W1162" s="5">
        <f t="shared" ref="W1162:AH1162" si="1178">IF(OR((SLOPE($E1162:$V1162,$E$1:$V$1)*W$1+INTERCEPT($E1162:$V1162,$E$1:$V$1))&gt;(AVERAGE($E1162:$V1162)+_xlfn.STDEV.P($E1162:$V1162)),(SLOPE($E1162:$V1162,$E$1:$V$1)*W$1+INTERCEPT($E1162:$V1162,$E$1:$V$1))&lt;(AVERAGE($E1162:$V1162)-_xlfn.STDEV.P($E1162:$V1162))),V1162,(SLOPE($E1162:$V1162,$E$1:$V$1)*W$1+INTERCEPT($E1162:$V1162,$E$1:$V$1)))</f>
        <v>12.682352941176468</v>
      </c>
      <c r="X1162" s="5">
        <f t="shared" si="1178"/>
        <v>13.501547987616096</v>
      </c>
      <c r="Y1162" s="5">
        <f t="shared" si="1178"/>
        <v>14.320743034055724</v>
      </c>
      <c r="Z1162" s="5">
        <f t="shared" si="1178"/>
        <v>15.139938080495352</v>
      </c>
      <c r="AA1162" s="5">
        <f t="shared" si="1178"/>
        <v>15.959133126934983</v>
      </c>
      <c r="AB1162" s="5">
        <f t="shared" si="1178"/>
        <v>16.778328173374611</v>
      </c>
      <c r="AC1162" s="5">
        <f t="shared" si="1178"/>
        <v>17.597523219814239</v>
      </c>
      <c r="AD1162" s="5">
        <f t="shared" si="1178"/>
        <v>18.416718266253866</v>
      </c>
      <c r="AE1162" s="5">
        <f t="shared" si="1178"/>
        <v>19.235913312693494</v>
      </c>
      <c r="AF1162" s="5">
        <f t="shared" si="1178"/>
        <v>20.055108359133122</v>
      </c>
      <c r="AG1162" s="5">
        <f t="shared" si="1178"/>
        <v>20.874303405572753</v>
      </c>
      <c r="AH1162" s="5">
        <f t="shared" si="1178"/>
        <v>21.693498452012381</v>
      </c>
    </row>
    <row r="1163" spans="1:34" x14ac:dyDescent="0.35">
      <c r="A1163" t="s">
        <v>1183</v>
      </c>
      <c r="B1163" s="3" t="s">
        <v>1266</v>
      </c>
      <c r="C1163" s="4" t="s">
        <v>1263</v>
      </c>
      <c r="D1163" s="2">
        <f t="shared" si="1171"/>
        <v>78.39215999999999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78.39215999999999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f t="shared" ref="W1163:AH1163" si="1179">IF(OR((SLOPE($E1163:$V1163,$E$1:$V$1)*W$1+INTERCEPT($E1163:$V1163,$E$1:$V$1))&gt;(AVERAGE($E1163:$V1163)+_xlfn.STDEV.P($E1163:$V1163)),(SLOPE($E1163:$V1163,$E$1:$V$1)*W$1+INTERCEPT($E1163:$V1163,$E$1:$V$1))&lt;(AVERAGE($E1163:$V1163)-_xlfn.STDEV.P($E1163:$V1163))),V1163,(SLOPE($E1163:$V1163,$E$1:$V$1)*W$1+INTERCEPT($E1163:$V1163,$E$1:$V$1)))</f>
        <v>-1.0247341176470588</v>
      </c>
      <c r="X1163" s="5">
        <f t="shared" si="1179"/>
        <v>-1.5910345510835917</v>
      </c>
      <c r="Y1163" s="5">
        <f t="shared" si="1179"/>
        <v>-2.1573349845201246</v>
      </c>
      <c r="Z1163" s="5">
        <f t="shared" si="1179"/>
        <v>-2.7236354179566575</v>
      </c>
      <c r="AA1163" s="5">
        <f t="shared" si="1179"/>
        <v>-3.2899358513931904</v>
      </c>
      <c r="AB1163" s="5">
        <f t="shared" si="1179"/>
        <v>-3.8562362848297234</v>
      </c>
      <c r="AC1163" s="5">
        <f t="shared" si="1179"/>
        <v>-4.4225367182662545</v>
      </c>
      <c r="AD1163" s="5">
        <f t="shared" si="1179"/>
        <v>-4.9888371517027874</v>
      </c>
      <c r="AE1163" s="5">
        <f t="shared" si="1179"/>
        <v>-5.5551375851393203</v>
      </c>
      <c r="AF1163" s="5">
        <f t="shared" si="1179"/>
        <v>-6.1214380185758532</v>
      </c>
      <c r="AG1163" s="5">
        <f t="shared" si="1179"/>
        <v>-6.6877384520123861</v>
      </c>
      <c r="AH1163" s="5">
        <f t="shared" si="1179"/>
        <v>-7.2540388854489173</v>
      </c>
    </row>
    <row r="1164" spans="1:34" x14ac:dyDescent="0.35">
      <c r="A1164" t="s">
        <v>1184</v>
      </c>
      <c r="B1164" s="3" t="s">
        <v>1266</v>
      </c>
      <c r="C1164" s="4" t="s">
        <v>1263</v>
      </c>
      <c r="D1164" s="2">
        <f t="shared" si="1171"/>
        <v>40.292595938051797</v>
      </c>
      <c r="E1164" s="5">
        <v>0</v>
      </c>
      <c r="F1164" s="5">
        <v>0</v>
      </c>
      <c r="G1164" s="5">
        <v>0</v>
      </c>
      <c r="H1164" s="5">
        <v>0</v>
      </c>
      <c r="I1164" s="5">
        <v>40.292595938051797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f t="shared" ref="W1164:AH1164" si="1180">IF(OR((SLOPE($E1164:$V1164,$E$1:$V$1)*W$1+INTERCEPT($E1164:$V1164,$E$1:$V$1))&gt;(AVERAGE($E1164:$V1164)+_xlfn.STDEV.P($E1164:$V1164)),(SLOPE($E1164:$V1164,$E$1:$V$1)*W$1+INTERCEPT($E1164:$V1164,$E$1:$V$1))&lt;(AVERAGE($E1164:$V1164)-_xlfn.STDEV.P($E1164:$V1164))),V1164,(SLOPE($E1164:$V1164,$E$1:$V$1)*W$1+INTERCEPT($E1164:$V1164,$E$1:$V$1)))</f>
        <v>-1.3167515012435222</v>
      </c>
      <c r="X1164" s="5">
        <f t="shared" si="1180"/>
        <v>-1.6909861384390492</v>
      </c>
      <c r="Y1164" s="5">
        <f t="shared" si="1180"/>
        <v>-2.0652207756345771</v>
      </c>
      <c r="Z1164" s="5">
        <f t="shared" si="1180"/>
        <v>-2.439455412830104</v>
      </c>
      <c r="AA1164" s="5">
        <f t="shared" si="1180"/>
        <v>-2.8136900500256319</v>
      </c>
      <c r="AB1164" s="5">
        <f t="shared" si="1180"/>
        <v>-3.1879246872211597</v>
      </c>
      <c r="AC1164" s="5">
        <f t="shared" si="1180"/>
        <v>-3.5621593244166876</v>
      </c>
      <c r="AD1164" s="5">
        <f t="shared" si="1180"/>
        <v>-3.9363939616122137</v>
      </c>
      <c r="AE1164" s="5">
        <f t="shared" si="1180"/>
        <v>-4.3106285988077415</v>
      </c>
      <c r="AF1164" s="5">
        <f t="shared" si="1180"/>
        <v>-4.6848632360032694</v>
      </c>
      <c r="AG1164" s="5">
        <f t="shared" si="1180"/>
        <v>-5.0590978731987972</v>
      </c>
      <c r="AH1164" s="5">
        <f t="shared" si="1180"/>
        <v>-5.4333325103943233</v>
      </c>
    </row>
    <row r="1165" spans="1:34" x14ac:dyDescent="0.35">
      <c r="A1165" t="s">
        <v>1185</v>
      </c>
      <c r="B1165" s="3" t="s">
        <v>1264</v>
      </c>
      <c r="C1165" s="4" t="s">
        <v>1268</v>
      </c>
      <c r="D1165" s="2">
        <f t="shared" si="1171"/>
        <v>39.795052079999991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39.795052079999991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f t="shared" ref="W1165:AH1165" si="1181">IF(OR((SLOPE($E1165:$V1165,$E$1:$V$1)*W$1+INTERCEPT($E1165:$V1165,$E$1:$V$1))&gt;(AVERAGE($E1165:$V1165)+_xlfn.STDEV.P($E1165:$V1165)),(SLOPE($E1165:$V1165,$E$1:$V$1)*W$1+INTERCEPT($E1165:$V1165,$E$1:$V$1))&lt;(AVERAGE($E1165:$V1165)-_xlfn.STDEV.P($E1165:$V1165))),V1165,(SLOPE($E1165:$V1165,$E$1:$V$1)*W$1+INTERCEPT($E1165:$V1165,$E$1:$V$1)))</f>
        <v>1.8206886572549019</v>
      </c>
      <c r="X1165" s="5">
        <f t="shared" si="1181"/>
        <v>1.7796204920536636</v>
      </c>
      <c r="Y1165" s="5">
        <f t="shared" si="1181"/>
        <v>1.7385523268524252</v>
      </c>
      <c r="Z1165" s="5">
        <f t="shared" si="1181"/>
        <v>1.6974841616511869</v>
      </c>
      <c r="AA1165" s="5">
        <f t="shared" si="1181"/>
        <v>1.6564159964499485</v>
      </c>
      <c r="AB1165" s="5">
        <f t="shared" si="1181"/>
        <v>1.6153478312487102</v>
      </c>
      <c r="AC1165" s="5">
        <f t="shared" si="1181"/>
        <v>1.5742796660474718</v>
      </c>
      <c r="AD1165" s="5">
        <f t="shared" si="1181"/>
        <v>1.5332115008462335</v>
      </c>
      <c r="AE1165" s="5">
        <f t="shared" si="1181"/>
        <v>1.4921433356449951</v>
      </c>
      <c r="AF1165" s="5">
        <f t="shared" si="1181"/>
        <v>1.4510751704437568</v>
      </c>
      <c r="AG1165" s="5">
        <f t="shared" si="1181"/>
        <v>1.4100070052425184</v>
      </c>
      <c r="AH1165" s="5">
        <f t="shared" si="1181"/>
        <v>1.3689388400412801</v>
      </c>
    </row>
    <row r="1166" spans="1:34" x14ac:dyDescent="0.35">
      <c r="A1166" t="s">
        <v>1186</v>
      </c>
      <c r="B1166" s="3" t="s">
        <v>1264</v>
      </c>
      <c r="C1166" s="4" t="s">
        <v>1263</v>
      </c>
      <c r="D1166" s="2">
        <f t="shared" si="1171"/>
        <v>28.550368857471998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7.1375922143679995</v>
      </c>
      <c r="Q1166" s="5">
        <v>21.412776643103999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f t="shared" ref="W1166:AH1166" si="1182">IF(OR((SLOPE($E1166:$V1166,$E$1:$V$1)*W$1+INTERCEPT($E1166:$V1166,$E$1:$V$1))&gt;(AVERAGE($E1166:$V1166)+_xlfn.STDEV.P($E1166:$V1166)),(SLOPE($E1166:$V1166,$E$1:$V$1)*W$1+INTERCEPT($E1166:$V1166,$E$1:$V$1))&lt;(AVERAGE($E1166:$V1166)-_xlfn.STDEV.P($E1166:$V1166))),V1166,(SLOPE($E1166:$V1166,$E$1:$V$1)*W$1+INTERCEPT($E1166:$V1166,$E$1:$V$1)))</f>
        <v>3.4055178539141435</v>
      </c>
      <c r="X1166" s="5">
        <f t="shared" si="1182"/>
        <v>3.597032196095328</v>
      </c>
      <c r="Y1166" s="5">
        <f t="shared" si="1182"/>
        <v>3.7885465382765124</v>
      </c>
      <c r="Z1166" s="5">
        <f t="shared" si="1182"/>
        <v>3.9800608804576978</v>
      </c>
      <c r="AA1166" s="5">
        <f t="shared" si="1182"/>
        <v>4.1715752226388823</v>
      </c>
      <c r="AB1166" s="5">
        <f t="shared" si="1182"/>
        <v>4.3630895648200667</v>
      </c>
      <c r="AC1166" s="5">
        <f t="shared" si="1182"/>
        <v>4.5546039070012512</v>
      </c>
      <c r="AD1166" s="5">
        <f t="shared" si="1182"/>
        <v>4.7461182491824356</v>
      </c>
      <c r="AE1166" s="5">
        <f t="shared" si="1182"/>
        <v>4.937632591363621</v>
      </c>
      <c r="AF1166" s="5">
        <f t="shared" si="1182"/>
        <v>5.1291469335448054</v>
      </c>
      <c r="AG1166" s="5">
        <f t="shared" si="1182"/>
        <v>5.3206612757259899</v>
      </c>
      <c r="AH1166" s="5">
        <f t="shared" si="1182"/>
        <v>5.5121756179071753</v>
      </c>
    </row>
    <row r="1167" spans="1:34" x14ac:dyDescent="0.35">
      <c r="A1167" t="s">
        <v>1187</v>
      </c>
      <c r="B1167" s="3" t="s">
        <v>1264</v>
      </c>
      <c r="C1167" s="4" t="s">
        <v>1263</v>
      </c>
      <c r="D1167" s="2">
        <f t="shared" si="1171"/>
        <v>20.194618217536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5.048654554384</v>
      </c>
      <c r="Q1167" s="5">
        <v>15.145963663151999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f t="shared" ref="W1167:AH1167" si="1183">IF(OR((SLOPE($E1167:$V1167,$E$1:$V$1)*W$1+INTERCEPT($E1167:$V1167,$E$1:$V$1))&gt;(AVERAGE($E1167:$V1167)+_xlfn.STDEV.P($E1167:$V1167)),(SLOPE($E1167:$V1167,$E$1:$V$1)*W$1+INTERCEPT($E1167:$V1167,$E$1:$V$1))&lt;(AVERAGE($E1167:$V1167)-_xlfn.STDEV.P($E1167:$V1167))),V1167,(SLOPE($E1167:$V1167,$E$1:$V$1)*W$1+INTERCEPT($E1167:$V1167,$E$1:$V$1)))</f>
        <v>2.4088351795426926</v>
      </c>
      <c r="X1167" s="5">
        <f t="shared" si="1183"/>
        <v>2.5442995948306018</v>
      </c>
      <c r="Y1167" s="5">
        <f t="shared" si="1183"/>
        <v>2.6797640101185105</v>
      </c>
      <c r="Z1167" s="5">
        <f t="shared" si="1183"/>
        <v>2.8152284254064197</v>
      </c>
      <c r="AA1167" s="5">
        <f t="shared" si="1183"/>
        <v>2.9506928406943289</v>
      </c>
      <c r="AB1167" s="5">
        <f t="shared" si="1183"/>
        <v>3.0861572559822381</v>
      </c>
      <c r="AC1167" s="5">
        <f t="shared" si="1183"/>
        <v>3.2216216712701473</v>
      </c>
      <c r="AD1167" s="5">
        <f t="shared" si="1183"/>
        <v>3.3570860865580565</v>
      </c>
      <c r="AE1167" s="5">
        <f t="shared" si="1183"/>
        <v>3.4925505018459657</v>
      </c>
      <c r="AF1167" s="5">
        <f t="shared" si="1183"/>
        <v>3.6280149171338745</v>
      </c>
      <c r="AG1167" s="5">
        <f t="shared" si="1183"/>
        <v>3.7634793324217837</v>
      </c>
      <c r="AH1167" s="5">
        <f t="shared" si="1183"/>
        <v>3.8989437477096929</v>
      </c>
    </row>
    <row r="1168" spans="1:34" x14ac:dyDescent="0.35">
      <c r="A1168" t="s">
        <v>1188</v>
      </c>
      <c r="B1168" s="3" t="s">
        <v>1264</v>
      </c>
      <c r="C1168" s="4" t="s">
        <v>1263</v>
      </c>
      <c r="D1168" s="2">
        <f t="shared" si="1171"/>
        <v>10.762828827296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10.762828827296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f t="shared" ref="W1168:AH1168" si="1184">IF(OR((SLOPE($E1168:$V1168,$E$1:$V$1)*W$1+INTERCEPT($E1168:$V1168,$E$1:$V$1))&gt;(AVERAGE($E1168:$V1168)+_xlfn.STDEV.P($E1168:$V1168)),(SLOPE($E1168:$V1168,$E$1:$V$1)*W$1+INTERCEPT($E1168:$V1168,$E$1:$V$1))&lt;(AVERAGE($E1168:$V1168)-_xlfn.STDEV.P($E1168:$V1168))),V1168,(SLOPE($E1168:$V1168,$E$1:$V$1)*W$1+INTERCEPT($E1168:$V1168,$E$1:$V$1)))</f>
        <v>1.3365604426053854</v>
      </c>
      <c r="X1168" s="5">
        <f t="shared" si="1184"/>
        <v>1.4143104960533441</v>
      </c>
      <c r="Y1168" s="5">
        <f t="shared" si="1184"/>
        <v>1.4920605495013028</v>
      </c>
      <c r="Z1168" s="5">
        <f t="shared" si="1184"/>
        <v>1.5698106029492616</v>
      </c>
      <c r="AA1168" s="5">
        <f t="shared" si="1184"/>
        <v>1.6475606563972203</v>
      </c>
      <c r="AB1168" s="5">
        <f t="shared" si="1184"/>
        <v>1.7253107098451788</v>
      </c>
      <c r="AC1168" s="5">
        <f t="shared" si="1184"/>
        <v>1.8030607632931375</v>
      </c>
      <c r="AD1168" s="5">
        <f t="shared" si="1184"/>
        <v>1.8808108167410962</v>
      </c>
      <c r="AE1168" s="5">
        <f t="shared" si="1184"/>
        <v>1.9585608701890551</v>
      </c>
      <c r="AF1168" s="5">
        <f t="shared" si="1184"/>
        <v>2.0363109236370134</v>
      </c>
      <c r="AG1168" s="5">
        <f t="shared" si="1184"/>
        <v>2.1140609770849723</v>
      </c>
      <c r="AH1168" s="5">
        <f t="shared" si="1184"/>
        <v>2.1918110305329312</v>
      </c>
    </row>
    <row r="1169" spans="1:34" x14ac:dyDescent="0.35">
      <c r="A1169" t="s">
        <v>1189</v>
      </c>
      <c r="B1169" s="3" t="s">
        <v>1264</v>
      </c>
      <c r="C1169" s="4" t="s">
        <v>1263</v>
      </c>
      <c r="D1169" s="2">
        <f t="shared" si="1171"/>
        <v>10.468554809887999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10.468554809887999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f t="shared" ref="W1169:AH1169" si="1185">IF(OR((SLOPE($E1169:$V1169,$E$1:$V$1)*W$1+INTERCEPT($E1169:$V1169,$E$1:$V$1))&gt;(AVERAGE($E1169:$V1169)+_xlfn.STDEV.P($E1169:$V1169)),(SLOPE($E1169:$V1169,$E$1:$V$1)*W$1+INTERCEPT($E1169:$V1169,$E$1:$V$1))&lt;(AVERAGE($E1169:$V1169)-_xlfn.STDEV.P($E1169:$V1169))),V1169,(SLOPE($E1169:$V1169,$E$1:$V$1)*W$1+INTERCEPT($E1169:$V1169,$E$1:$V$1)))</f>
        <v>1.3000166103782482</v>
      </c>
      <c r="X1169" s="5">
        <f t="shared" si="1185"/>
        <v>1.3756408453309996</v>
      </c>
      <c r="Y1169" s="5">
        <f t="shared" si="1185"/>
        <v>1.4512650802837506</v>
      </c>
      <c r="Z1169" s="5">
        <f t="shared" si="1185"/>
        <v>1.526889315236502</v>
      </c>
      <c r="AA1169" s="5">
        <f t="shared" si="1185"/>
        <v>1.6025135501892533</v>
      </c>
      <c r="AB1169" s="5">
        <f t="shared" si="1185"/>
        <v>1.6781377851420043</v>
      </c>
      <c r="AC1169" s="5">
        <f t="shared" si="1185"/>
        <v>1.7537620200947557</v>
      </c>
      <c r="AD1169" s="5">
        <f t="shared" si="1185"/>
        <v>1.8293862550475071</v>
      </c>
      <c r="AE1169" s="5">
        <f t="shared" si="1185"/>
        <v>1.905010490000258</v>
      </c>
      <c r="AF1169" s="5">
        <f t="shared" si="1185"/>
        <v>1.9806347249530094</v>
      </c>
      <c r="AG1169" s="5">
        <f t="shared" si="1185"/>
        <v>2.0562589599057608</v>
      </c>
      <c r="AH1169" s="5">
        <f t="shared" si="1185"/>
        <v>2.1318831948585122</v>
      </c>
    </row>
    <row r="1170" spans="1:34" x14ac:dyDescent="0.35">
      <c r="A1170" t="s">
        <v>1190</v>
      </c>
      <c r="B1170" s="3" t="s">
        <v>1265</v>
      </c>
      <c r="C1170" s="4" t="s">
        <v>1263</v>
      </c>
      <c r="D1170" s="2">
        <f t="shared" si="1171"/>
        <v>10.392637686143999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10.392637686143999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f t="shared" ref="W1170:AH1170" si="1186">IF(OR((SLOPE($E1170:$V1170,$E$1:$V$1)*W$1+INTERCEPT($E1170:$V1170,$E$1:$V$1))&gt;(AVERAGE($E1170:$V1170)+_xlfn.STDEV.P($E1170:$V1170)),(SLOPE($E1170:$V1170,$E$1:$V$1)*W$1+INTERCEPT($E1170:$V1170,$E$1:$V$1))&lt;(AVERAGE($E1170:$V1170)-_xlfn.STDEV.P($E1170:$V1170))),V1170,(SLOPE($E1170:$V1170,$E$1:$V$1)*W$1+INTERCEPT($E1170:$V1170,$E$1:$V$1)))</f>
        <v>1.2905889937041566</v>
      </c>
      <c r="X1170" s="5">
        <f t="shared" si="1186"/>
        <v>1.3656648077423486</v>
      </c>
      <c r="Y1170" s="5">
        <f t="shared" si="1186"/>
        <v>1.4407406217805405</v>
      </c>
      <c r="Z1170" s="5">
        <f t="shared" si="1186"/>
        <v>1.5158164358187325</v>
      </c>
      <c r="AA1170" s="5">
        <f t="shared" si="1186"/>
        <v>1.5908922498569245</v>
      </c>
      <c r="AB1170" s="5">
        <f t="shared" si="1186"/>
        <v>1.6659680638951164</v>
      </c>
      <c r="AC1170" s="5">
        <f t="shared" si="1186"/>
        <v>1.7410438779333082</v>
      </c>
      <c r="AD1170" s="5">
        <f t="shared" si="1186"/>
        <v>1.8161196919715001</v>
      </c>
      <c r="AE1170" s="5">
        <f t="shared" si="1186"/>
        <v>1.8911955060096919</v>
      </c>
      <c r="AF1170" s="5">
        <f t="shared" si="1186"/>
        <v>1.9662713200478839</v>
      </c>
      <c r="AG1170" s="5">
        <f t="shared" si="1186"/>
        <v>2.0413471340860756</v>
      </c>
      <c r="AH1170" s="5">
        <f t="shared" si="1186"/>
        <v>2.116422948124268</v>
      </c>
    </row>
    <row r="1171" spans="1:34" x14ac:dyDescent="0.35">
      <c r="A1171" t="s">
        <v>1191</v>
      </c>
      <c r="B1171" s="3" t="s">
        <v>1266</v>
      </c>
      <c r="C1171" s="4" t="s">
        <v>1267</v>
      </c>
      <c r="D1171" s="2">
        <f t="shared" si="1171"/>
        <v>9.9890615999999977</v>
      </c>
      <c r="E1171" s="5">
        <v>0</v>
      </c>
      <c r="F1171" s="5">
        <v>0</v>
      </c>
      <c r="G1171" s="5">
        <v>0</v>
      </c>
      <c r="H1171" s="5">
        <v>9.9890615999999977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f t="shared" ref="W1171:AH1171" si="1187">IF(OR((SLOPE($E1171:$V1171,$E$1:$V$1)*W$1+INTERCEPT($E1171:$V1171,$E$1:$V$1))&gt;(AVERAGE($E1171:$V1171)+_xlfn.STDEV.P($E1171:$V1171)),(SLOPE($E1171:$V1171,$E$1:$V$1)*W$1+INTERCEPT($E1171:$V1171,$E$1:$V$1))&lt;(AVERAGE($E1171:$V1171)-_xlfn.STDEV.P($E1171:$V1171))),V1171,(SLOPE($E1171:$V1171,$E$1:$V$1)*W$1+INTERCEPT($E1171:$V1171,$E$1:$V$1)))</f>
        <v>-0.52230387450980409</v>
      </c>
      <c r="X1171" s="5">
        <f t="shared" si="1187"/>
        <v>-0.63569879463364343</v>
      </c>
      <c r="Y1171" s="5">
        <f t="shared" si="1187"/>
        <v>-0.74909371475748232</v>
      </c>
      <c r="Z1171" s="5">
        <f t="shared" si="1187"/>
        <v>-0.86248863488132121</v>
      </c>
      <c r="AA1171" s="5">
        <f t="shared" si="1187"/>
        <v>-0.97588355500516011</v>
      </c>
      <c r="AB1171" s="5">
        <f t="shared" si="1187"/>
        <v>-1.0892784751289994</v>
      </c>
      <c r="AC1171" s="5">
        <f t="shared" si="1187"/>
        <v>-1.2026733952528383</v>
      </c>
      <c r="AD1171" s="5">
        <f t="shared" si="1187"/>
        <v>-1.3160683153766772</v>
      </c>
      <c r="AE1171" s="5">
        <f t="shared" si="1187"/>
        <v>-1.4294632355005166</v>
      </c>
      <c r="AF1171" s="5">
        <f t="shared" si="1187"/>
        <v>-1.5428581556243555</v>
      </c>
      <c r="AG1171" s="5">
        <f t="shared" si="1187"/>
        <v>-1.6562530757481944</v>
      </c>
      <c r="AH1171" s="5">
        <f t="shared" si="1187"/>
        <v>-1.6562530757481944</v>
      </c>
    </row>
    <row r="1172" spans="1:34" x14ac:dyDescent="0.35">
      <c r="A1172" t="s">
        <v>1192</v>
      </c>
      <c r="B1172" s="3" t="s">
        <v>1264</v>
      </c>
      <c r="C1172" s="4" t="s">
        <v>1267</v>
      </c>
      <c r="D1172" s="2">
        <f t="shared" si="1171"/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f t="shared" ref="W1172:AH1172" si="1188">IF(OR((SLOPE($E1172:$V1172,$E$1:$V$1)*W$1+INTERCEPT($E1172:$V1172,$E$1:$V$1))&gt;(AVERAGE($E1172:$V1172)+_xlfn.STDEV.P($E1172:$V1172)),(SLOPE($E1172:$V1172,$E$1:$V$1)*W$1+INTERCEPT($E1172:$V1172,$E$1:$V$1))&lt;(AVERAGE($E1172:$V1172)-_xlfn.STDEV.P($E1172:$V1172))),V1172,(SLOPE($E1172:$V1172,$E$1:$V$1)*W$1+INTERCEPT($E1172:$V1172,$E$1:$V$1)))</f>
        <v>0</v>
      </c>
      <c r="X1172" s="5">
        <f t="shared" si="1188"/>
        <v>0</v>
      </c>
      <c r="Y1172" s="5">
        <f t="shared" si="1188"/>
        <v>0</v>
      </c>
      <c r="Z1172" s="5">
        <f t="shared" si="1188"/>
        <v>0</v>
      </c>
      <c r="AA1172" s="5">
        <f t="shared" si="1188"/>
        <v>0</v>
      </c>
      <c r="AB1172" s="5">
        <f t="shared" si="1188"/>
        <v>0</v>
      </c>
      <c r="AC1172" s="5">
        <f t="shared" si="1188"/>
        <v>0</v>
      </c>
      <c r="AD1172" s="5">
        <f t="shared" si="1188"/>
        <v>0</v>
      </c>
      <c r="AE1172" s="5">
        <f t="shared" si="1188"/>
        <v>0</v>
      </c>
      <c r="AF1172" s="5">
        <f t="shared" si="1188"/>
        <v>0</v>
      </c>
      <c r="AG1172" s="5">
        <f t="shared" si="1188"/>
        <v>0</v>
      </c>
      <c r="AH1172" s="5">
        <f t="shared" si="1188"/>
        <v>0</v>
      </c>
    </row>
    <row r="1173" spans="1:34" x14ac:dyDescent="0.35">
      <c r="A1173" t="s">
        <v>1193</v>
      </c>
      <c r="B1173" s="3" t="s">
        <v>1264</v>
      </c>
      <c r="C1173" s="4" t="s">
        <v>1267</v>
      </c>
      <c r="D1173" s="2">
        <f t="shared" si="1171"/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f t="shared" ref="W1173:AH1173" si="1189">IF(OR((SLOPE($E1173:$V1173,$E$1:$V$1)*W$1+INTERCEPT($E1173:$V1173,$E$1:$V$1))&gt;(AVERAGE($E1173:$V1173)+_xlfn.STDEV.P($E1173:$V1173)),(SLOPE($E1173:$V1173,$E$1:$V$1)*W$1+INTERCEPT($E1173:$V1173,$E$1:$V$1))&lt;(AVERAGE($E1173:$V1173)-_xlfn.STDEV.P($E1173:$V1173))),V1173,(SLOPE($E1173:$V1173,$E$1:$V$1)*W$1+INTERCEPT($E1173:$V1173,$E$1:$V$1)))</f>
        <v>0</v>
      </c>
      <c r="X1173" s="5">
        <f t="shared" si="1189"/>
        <v>0</v>
      </c>
      <c r="Y1173" s="5">
        <f t="shared" si="1189"/>
        <v>0</v>
      </c>
      <c r="Z1173" s="5">
        <f t="shared" si="1189"/>
        <v>0</v>
      </c>
      <c r="AA1173" s="5">
        <f t="shared" si="1189"/>
        <v>0</v>
      </c>
      <c r="AB1173" s="5">
        <f t="shared" si="1189"/>
        <v>0</v>
      </c>
      <c r="AC1173" s="5">
        <f t="shared" si="1189"/>
        <v>0</v>
      </c>
      <c r="AD1173" s="5">
        <f t="shared" si="1189"/>
        <v>0</v>
      </c>
      <c r="AE1173" s="5">
        <f t="shared" si="1189"/>
        <v>0</v>
      </c>
      <c r="AF1173" s="5">
        <f t="shared" si="1189"/>
        <v>0</v>
      </c>
      <c r="AG1173" s="5">
        <f t="shared" si="1189"/>
        <v>0</v>
      </c>
      <c r="AH1173" s="5">
        <f t="shared" si="1189"/>
        <v>0</v>
      </c>
    </row>
    <row r="1174" spans="1:34" x14ac:dyDescent="0.35">
      <c r="A1174" t="s">
        <v>1194</v>
      </c>
      <c r="B1174" s="3" t="s">
        <v>1266</v>
      </c>
      <c r="C1174" s="4" t="s">
        <v>1266</v>
      </c>
      <c r="D1174" s="2">
        <f t="shared" si="1171"/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f t="shared" ref="W1174:AH1174" si="1190">IF(OR((SLOPE($E1174:$V1174,$E$1:$V$1)*W$1+INTERCEPT($E1174:$V1174,$E$1:$V$1))&gt;(AVERAGE($E1174:$V1174)+_xlfn.STDEV.P($E1174:$V1174)),(SLOPE($E1174:$V1174,$E$1:$V$1)*W$1+INTERCEPT($E1174:$V1174,$E$1:$V$1))&lt;(AVERAGE($E1174:$V1174)-_xlfn.STDEV.P($E1174:$V1174))),V1174,(SLOPE($E1174:$V1174,$E$1:$V$1)*W$1+INTERCEPT($E1174:$V1174,$E$1:$V$1)))</f>
        <v>0</v>
      </c>
      <c r="X1174" s="5">
        <f t="shared" si="1190"/>
        <v>0</v>
      </c>
      <c r="Y1174" s="5">
        <f t="shared" si="1190"/>
        <v>0</v>
      </c>
      <c r="Z1174" s="5">
        <f t="shared" si="1190"/>
        <v>0</v>
      </c>
      <c r="AA1174" s="5">
        <f t="shared" si="1190"/>
        <v>0</v>
      </c>
      <c r="AB1174" s="5">
        <f t="shared" si="1190"/>
        <v>0</v>
      </c>
      <c r="AC1174" s="5">
        <f t="shared" si="1190"/>
        <v>0</v>
      </c>
      <c r="AD1174" s="5">
        <f t="shared" si="1190"/>
        <v>0</v>
      </c>
      <c r="AE1174" s="5">
        <f t="shared" si="1190"/>
        <v>0</v>
      </c>
      <c r="AF1174" s="5">
        <f t="shared" si="1190"/>
        <v>0</v>
      </c>
      <c r="AG1174" s="5">
        <f t="shared" si="1190"/>
        <v>0</v>
      </c>
      <c r="AH1174" s="5">
        <f t="shared" si="1190"/>
        <v>0</v>
      </c>
    </row>
    <row r="1175" spans="1:34" x14ac:dyDescent="0.35">
      <c r="A1175" t="s">
        <v>1195</v>
      </c>
      <c r="B1175" s="3" t="s">
        <v>1266</v>
      </c>
      <c r="C1175" s="4" t="s">
        <v>1267</v>
      </c>
      <c r="D1175" s="2">
        <f t="shared" si="1171"/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f t="shared" ref="W1175:AH1175" si="1191">IF(OR((SLOPE($E1175:$V1175,$E$1:$V$1)*W$1+INTERCEPT($E1175:$V1175,$E$1:$V$1))&gt;(AVERAGE($E1175:$V1175)+_xlfn.STDEV.P($E1175:$V1175)),(SLOPE($E1175:$V1175,$E$1:$V$1)*W$1+INTERCEPT($E1175:$V1175,$E$1:$V$1))&lt;(AVERAGE($E1175:$V1175)-_xlfn.STDEV.P($E1175:$V1175))),V1175,(SLOPE($E1175:$V1175,$E$1:$V$1)*W$1+INTERCEPT($E1175:$V1175,$E$1:$V$1)))</f>
        <v>0</v>
      </c>
      <c r="X1175" s="5">
        <f t="shared" si="1191"/>
        <v>0</v>
      </c>
      <c r="Y1175" s="5">
        <f t="shared" si="1191"/>
        <v>0</v>
      </c>
      <c r="Z1175" s="5">
        <f t="shared" si="1191"/>
        <v>0</v>
      </c>
      <c r="AA1175" s="5">
        <f t="shared" si="1191"/>
        <v>0</v>
      </c>
      <c r="AB1175" s="5">
        <f t="shared" si="1191"/>
        <v>0</v>
      </c>
      <c r="AC1175" s="5">
        <f t="shared" si="1191"/>
        <v>0</v>
      </c>
      <c r="AD1175" s="5">
        <f t="shared" si="1191"/>
        <v>0</v>
      </c>
      <c r="AE1175" s="5">
        <f t="shared" si="1191"/>
        <v>0</v>
      </c>
      <c r="AF1175" s="5">
        <f t="shared" si="1191"/>
        <v>0</v>
      </c>
      <c r="AG1175" s="5">
        <f t="shared" si="1191"/>
        <v>0</v>
      </c>
      <c r="AH1175" s="5">
        <f t="shared" si="1191"/>
        <v>0</v>
      </c>
    </row>
    <row r="1176" spans="1:34" x14ac:dyDescent="0.35">
      <c r="A1176" t="s">
        <v>1196</v>
      </c>
      <c r="B1176" s="3" t="s">
        <v>1266</v>
      </c>
      <c r="C1176" s="4" t="s">
        <v>1267</v>
      </c>
      <c r="D1176" s="2">
        <f t="shared" si="1171"/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f t="shared" ref="W1176:AH1176" si="1192">IF(OR((SLOPE($E1176:$V1176,$E$1:$V$1)*W$1+INTERCEPT($E1176:$V1176,$E$1:$V$1))&gt;(AVERAGE($E1176:$V1176)+_xlfn.STDEV.P($E1176:$V1176)),(SLOPE($E1176:$V1176,$E$1:$V$1)*W$1+INTERCEPT($E1176:$V1176,$E$1:$V$1))&lt;(AVERAGE($E1176:$V1176)-_xlfn.STDEV.P($E1176:$V1176))),V1176,(SLOPE($E1176:$V1176,$E$1:$V$1)*W$1+INTERCEPT($E1176:$V1176,$E$1:$V$1)))</f>
        <v>0</v>
      </c>
      <c r="X1176" s="5">
        <f t="shared" si="1192"/>
        <v>0</v>
      </c>
      <c r="Y1176" s="5">
        <f t="shared" si="1192"/>
        <v>0</v>
      </c>
      <c r="Z1176" s="5">
        <f t="shared" si="1192"/>
        <v>0</v>
      </c>
      <c r="AA1176" s="5">
        <f t="shared" si="1192"/>
        <v>0</v>
      </c>
      <c r="AB1176" s="5">
        <f t="shared" si="1192"/>
        <v>0</v>
      </c>
      <c r="AC1176" s="5">
        <f t="shared" si="1192"/>
        <v>0</v>
      </c>
      <c r="AD1176" s="5">
        <f t="shared" si="1192"/>
        <v>0</v>
      </c>
      <c r="AE1176" s="5">
        <f t="shared" si="1192"/>
        <v>0</v>
      </c>
      <c r="AF1176" s="5">
        <f t="shared" si="1192"/>
        <v>0</v>
      </c>
      <c r="AG1176" s="5">
        <f t="shared" si="1192"/>
        <v>0</v>
      </c>
      <c r="AH1176" s="5">
        <f t="shared" si="1192"/>
        <v>0</v>
      </c>
    </row>
    <row r="1177" spans="1:34" x14ac:dyDescent="0.35">
      <c r="A1177" t="s">
        <v>1197</v>
      </c>
      <c r="B1177" s="3" t="s">
        <v>1266</v>
      </c>
      <c r="C1177" s="4" t="s">
        <v>1267</v>
      </c>
      <c r="D1177" s="2">
        <f t="shared" si="1171"/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f t="shared" ref="W1177:AH1177" si="1193">IF(OR((SLOPE($E1177:$V1177,$E$1:$V$1)*W$1+INTERCEPT($E1177:$V1177,$E$1:$V$1))&gt;(AVERAGE($E1177:$V1177)+_xlfn.STDEV.P($E1177:$V1177)),(SLOPE($E1177:$V1177,$E$1:$V$1)*W$1+INTERCEPT($E1177:$V1177,$E$1:$V$1))&lt;(AVERAGE($E1177:$V1177)-_xlfn.STDEV.P($E1177:$V1177))),V1177,(SLOPE($E1177:$V1177,$E$1:$V$1)*W$1+INTERCEPT($E1177:$V1177,$E$1:$V$1)))</f>
        <v>0</v>
      </c>
      <c r="X1177" s="5">
        <f t="shared" si="1193"/>
        <v>0</v>
      </c>
      <c r="Y1177" s="5">
        <f t="shared" si="1193"/>
        <v>0</v>
      </c>
      <c r="Z1177" s="5">
        <f t="shared" si="1193"/>
        <v>0</v>
      </c>
      <c r="AA1177" s="5">
        <f t="shared" si="1193"/>
        <v>0</v>
      </c>
      <c r="AB1177" s="5">
        <f t="shared" si="1193"/>
        <v>0</v>
      </c>
      <c r="AC1177" s="5">
        <f t="shared" si="1193"/>
        <v>0</v>
      </c>
      <c r="AD1177" s="5">
        <f t="shared" si="1193"/>
        <v>0</v>
      </c>
      <c r="AE1177" s="5">
        <f t="shared" si="1193"/>
        <v>0</v>
      </c>
      <c r="AF1177" s="5">
        <f t="shared" si="1193"/>
        <v>0</v>
      </c>
      <c r="AG1177" s="5">
        <f t="shared" si="1193"/>
        <v>0</v>
      </c>
      <c r="AH1177" s="5">
        <f t="shared" si="1193"/>
        <v>0</v>
      </c>
    </row>
    <row r="1178" spans="1:34" x14ac:dyDescent="0.35">
      <c r="A1178" t="s">
        <v>1198</v>
      </c>
      <c r="B1178" s="3" t="s">
        <v>1266</v>
      </c>
      <c r="C1178" s="4" t="s">
        <v>1266</v>
      </c>
      <c r="D1178" s="2">
        <f t="shared" si="1171"/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f t="shared" ref="W1178:AH1178" si="1194">IF(OR((SLOPE($E1178:$V1178,$E$1:$V$1)*W$1+INTERCEPT($E1178:$V1178,$E$1:$V$1))&gt;(AVERAGE($E1178:$V1178)+_xlfn.STDEV.P($E1178:$V1178)),(SLOPE($E1178:$V1178,$E$1:$V$1)*W$1+INTERCEPT($E1178:$V1178,$E$1:$V$1))&lt;(AVERAGE($E1178:$V1178)-_xlfn.STDEV.P($E1178:$V1178))),V1178,(SLOPE($E1178:$V1178,$E$1:$V$1)*W$1+INTERCEPT($E1178:$V1178,$E$1:$V$1)))</f>
        <v>0</v>
      </c>
      <c r="X1178" s="5">
        <f t="shared" si="1194"/>
        <v>0</v>
      </c>
      <c r="Y1178" s="5">
        <f t="shared" si="1194"/>
        <v>0</v>
      </c>
      <c r="Z1178" s="5">
        <f t="shared" si="1194"/>
        <v>0</v>
      </c>
      <c r="AA1178" s="5">
        <f t="shared" si="1194"/>
        <v>0</v>
      </c>
      <c r="AB1178" s="5">
        <f t="shared" si="1194"/>
        <v>0</v>
      </c>
      <c r="AC1178" s="5">
        <f t="shared" si="1194"/>
        <v>0</v>
      </c>
      <c r="AD1178" s="5">
        <f t="shared" si="1194"/>
        <v>0</v>
      </c>
      <c r="AE1178" s="5">
        <f t="shared" si="1194"/>
        <v>0</v>
      </c>
      <c r="AF1178" s="5">
        <f t="shared" si="1194"/>
        <v>0</v>
      </c>
      <c r="AG1178" s="5">
        <f t="shared" si="1194"/>
        <v>0</v>
      </c>
      <c r="AH1178" s="5">
        <f t="shared" si="1194"/>
        <v>0</v>
      </c>
    </row>
    <row r="1179" spans="1:34" x14ac:dyDescent="0.35">
      <c r="A1179" t="s">
        <v>1199</v>
      </c>
      <c r="B1179" s="3" t="s">
        <v>1266</v>
      </c>
      <c r="C1179" s="4" t="s">
        <v>1266</v>
      </c>
      <c r="D1179" s="2">
        <f t="shared" si="1171"/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f t="shared" ref="W1179:AH1179" si="1195">IF(OR((SLOPE($E1179:$V1179,$E$1:$V$1)*W$1+INTERCEPT($E1179:$V1179,$E$1:$V$1))&gt;(AVERAGE($E1179:$V1179)+_xlfn.STDEV.P($E1179:$V1179)),(SLOPE($E1179:$V1179,$E$1:$V$1)*W$1+INTERCEPT($E1179:$V1179,$E$1:$V$1))&lt;(AVERAGE($E1179:$V1179)-_xlfn.STDEV.P($E1179:$V1179))),V1179,(SLOPE($E1179:$V1179,$E$1:$V$1)*W$1+INTERCEPT($E1179:$V1179,$E$1:$V$1)))</f>
        <v>0</v>
      </c>
      <c r="X1179" s="5">
        <f t="shared" si="1195"/>
        <v>0</v>
      </c>
      <c r="Y1179" s="5">
        <f t="shared" si="1195"/>
        <v>0</v>
      </c>
      <c r="Z1179" s="5">
        <f t="shared" si="1195"/>
        <v>0</v>
      </c>
      <c r="AA1179" s="5">
        <f t="shared" si="1195"/>
        <v>0</v>
      </c>
      <c r="AB1179" s="5">
        <f t="shared" si="1195"/>
        <v>0</v>
      </c>
      <c r="AC1179" s="5">
        <f t="shared" si="1195"/>
        <v>0</v>
      </c>
      <c r="AD1179" s="5">
        <f t="shared" si="1195"/>
        <v>0</v>
      </c>
      <c r="AE1179" s="5">
        <f t="shared" si="1195"/>
        <v>0</v>
      </c>
      <c r="AF1179" s="5">
        <f t="shared" si="1195"/>
        <v>0</v>
      </c>
      <c r="AG1179" s="5">
        <f t="shared" si="1195"/>
        <v>0</v>
      </c>
      <c r="AH1179" s="5">
        <f t="shared" si="1195"/>
        <v>0</v>
      </c>
    </row>
    <row r="1180" spans="1:34" x14ac:dyDescent="0.35">
      <c r="A1180" t="s">
        <v>1200</v>
      </c>
      <c r="B1180" s="3" t="s">
        <v>1266</v>
      </c>
      <c r="C1180" s="4" t="s">
        <v>1266</v>
      </c>
      <c r="D1180" s="2">
        <f t="shared" si="1171"/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f t="shared" ref="W1180:AH1180" si="1196">IF(OR((SLOPE($E1180:$V1180,$E$1:$V$1)*W$1+INTERCEPT($E1180:$V1180,$E$1:$V$1))&gt;(AVERAGE($E1180:$V1180)+_xlfn.STDEV.P($E1180:$V1180)),(SLOPE($E1180:$V1180,$E$1:$V$1)*W$1+INTERCEPT($E1180:$V1180,$E$1:$V$1))&lt;(AVERAGE($E1180:$V1180)-_xlfn.STDEV.P($E1180:$V1180))),V1180,(SLOPE($E1180:$V1180,$E$1:$V$1)*W$1+INTERCEPT($E1180:$V1180,$E$1:$V$1)))</f>
        <v>0</v>
      </c>
      <c r="X1180" s="5">
        <f t="shared" si="1196"/>
        <v>0</v>
      </c>
      <c r="Y1180" s="5">
        <f t="shared" si="1196"/>
        <v>0</v>
      </c>
      <c r="Z1180" s="5">
        <f t="shared" si="1196"/>
        <v>0</v>
      </c>
      <c r="AA1180" s="5">
        <f t="shared" si="1196"/>
        <v>0</v>
      </c>
      <c r="AB1180" s="5">
        <f t="shared" si="1196"/>
        <v>0</v>
      </c>
      <c r="AC1180" s="5">
        <f t="shared" si="1196"/>
        <v>0</v>
      </c>
      <c r="AD1180" s="5">
        <f t="shared" si="1196"/>
        <v>0</v>
      </c>
      <c r="AE1180" s="5">
        <f t="shared" si="1196"/>
        <v>0</v>
      </c>
      <c r="AF1180" s="5">
        <f t="shared" si="1196"/>
        <v>0</v>
      </c>
      <c r="AG1180" s="5">
        <f t="shared" si="1196"/>
        <v>0</v>
      </c>
      <c r="AH1180" s="5">
        <f t="shared" si="1196"/>
        <v>0</v>
      </c>
    </row>
    <row r="1181" spans="1:34" x14ac:dyDescent="0.35">
      <c r="A1181" t="s">
        <v>1201</v>
      </c>
      <c r="B1181" s="3" t="s">
        <v>1266</v>
      </c>
      <c r="C1181" s="4" t="s">
        <v>1266</v>
      </c>
      <c r="D1181" s="2">
        <f t="shared" si="1171"/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f t="shared" ref="W1181:AH1181" si="1197">IF(OR((SLOPE($E1181:$V1181,$E$1:$V$1)*W$1+INTERCEPT($E1181:$V1181,$E$1:$V$1))&gt;(AVERAGE($E1181:$V1181)+_xlfn.STDEV.P($E1181:$V1181)),(SLOPE($E1181:$V1181,$E$1:$V$1)*W$1+INTERCEPT($E1181:$V1181,$E$1:$V$1))&lt;(AVERAGE($E1181:$V1181)-_xlfn.STDEV.P($E1181:$V1181))),V1181,(SLOPE($E1181:$V1181,$E$1:$V$1)*W$1+INTERCEPT($E1181:$V1181,$E$1:$V$1)))</f>
        <v>0</v>
      </c>
      <c r="X1181" s="5">
        <f t="shared" si="1197"/>
        <v>0</v>
      </c>
      <c r="Y1181" s="5">
        <f t="shared" si="1197"/>
        <v>0</v>
      </c>
      <c r="Z1181" s="5">
        <f t="shared" si="1197"/>
        <v>0</v>
      </c>
      <c r="AA1181" s="5">
        <f t="shared" si="1197"/>
        <v>0</v>
      </c>
      <c r="AB1181" s="5">
        <f t="shared" si="1197"/>
        <v>0</v>
      </c>
      <c r="AC1181" s="5">
        <f t="shared" si="1197"/>
        <v>0</v>
      </c>
      <c r="AD1181" s="5">
        <f t="shared" si="1197"/>
        <v>0</v>
      </c>
      <c r="AE1181" s="5">
        <f t="shared" si="1197"/>
        <v>0</v>
      </c>
      <c r="AF1181" s="5">
        <f t="shared" si="1197"/>
        <v>0</v>
      </c>
      <c r="AG1181" s="5">
        <f t="shared" si="1197"/>
        <v>0</v>
      </c>
      <c r="AH1181" s="5">
        <f t="shared" si="1197"/>
        <v>0</v>
      </c>
    </row>
    <row r="1182" spans="1:34" x14ac:dyDescent="0.35">
      <c r="A1182" t="s">
        <v>1202</v>
      </c>
      <c r="B1182" s="3" t="s">
        <v>1266</v>
      </c>
      <c r="C1182" s="4" t="s">
        <v>1266</v>
      </c>
      <c r="D1182" s="2">
        <f t="shared" si="1171"/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f t="shared" ref="W1182:AH1182" si="1198">IF(OR((SLOPE($E1182:$V1182,$E$1:$V$1)*W$1+INTERCEPT($E1182:$V1182,$E$1:$V$1))&gt;(AVERAGE($E1182:$V1182)+_xlfn.STDEV.P($E1182:$V1182)),(SLOPE($E1182:$V1182,$E$1:$V$1)*W$1+INTERCEPT($E1182:$V1182,$E$1:$V$1))&lt;(AVERAGE($E1182:$V1182)-_xlfn.STDEV.P($E1182:$V1182))),V1182,(SLOPE($E1182:$V1182,$E$1:$V$1)*W$1+INTERCEPT($E1182:$V1182,$E$1:$V$1)))</f>
        <v>0</v>
      </c>
      <c r="X1182" s="5">
        <f t="shared" si="1198"/>
        <v>0</v>
      </c>
      <c r="Y1182" s="5">
        <f t="shared" si="1198"/>
        <v>0</v>
      </c>
      <c r="Z1182" s="5">
        <f t="shared" si="1198"/>
        <v>0</v>
      </c>
      <c r="AA1182" s="5">
        <f t="shared" si="1198"/>
        <v>0</v>
      </c>
      <c r="AB1182" s="5">
        <f t="shared" si="1198"/>
        <v>0</v>
      </c>
      <c r="AC1182" s="5">
        <f t="shared" si="1198"/>
        <v>0</v>
      </c>
      <c r="AD1182" s="5">
        <f t="shared" si="1198"/>
        <v>0</v>
      </c>
      <c r="AE1182" s="5">
        <f t="shared" si="1198"/>
        <v>0</v>
      </c>
      <c r="AF1182" s="5">
        <f t="shared" si="1198"/>
        <v>0</v>
      </c>
      <c r="AG1182" s="5">
        <f t="shared" si="1198"/>
        <v>0</v>
      </c>
      <c r="AH1182" s="5">
        <f t="shared" si="1198"/>
        <v>0</v>
      </c>
    </row>
    <row r="1183" spans="1:34" x14ac:dyDescent="0.35">
      <c r="A1183" t="s">
        <v>1203</v>
      </c>
      <c r="B1183" s="3" t="s">
        <v>1266</v>
      </c>
      <c r="C1183" s="4" t="s">
        <v>1266</v>
      </c>
      <c r="D1183" s="2">
        <f t="shared" si="1171"/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f t="shared" ref="W1183:AH1183" si="1199">IF(OR((SLOPE($E1183:$V1183,$E$1:$V$1)*W$1+INTERCEPT($E1183:$V1183,$E$1:$V$1))&gt;(AVERAGE($E1183:$V1183)+_xlfn.STDEV.P($E1183:$V1183)),(SLOPE($E1183:$V1183,$E$1:$V$1)*W$1+INTERCEPT($E1183:$V1183,$E$1:$V$1))&lt;(AVERAGE($E1183:$V1183)-_xlfn.STDEV.P($E1183:$V1183))),V1183,(SLOPE($E1183:$V1183,$E$1:$V$1)*W$1+INTERCEPT($E1183:$V1183,$E$1:$V$1)))</f>
        <v>0</v>
      </c>
      <c r="X1183" s="5">
        <f t="shared" si="1199"/>
        <v>0</v>
      </c>
      <c r="Y1183" s="5">
        <f t="shared" si="1199"/>
        <v>0</v>
      </c>
      <c r="Z1183" s="5">
        <f t="shared" si="1199"/>
        <v>0</v>
      </c>
      <c r="AA1183" s="5">
        <f t="shared" si="1199"/>
        <v>0</v>
      </c>
      <c r="AB1183" s="5">
        <f t="shared" si="1199"/>
        <v>0</v>
      </c>
      <c r="AC1183" s="5">
        <f t="shared" si="1199"/>
        <v>0</v>
      </c>
      <c r="AD1183" s="5">
        <f t="shared" si="1199"/>
        <v>0</v>
      </c>
      <c r="AE1183" s="5">
        <f t="shared" si="1199"/>
        <v>0</v>
      </c>
      <c r="AF1183" s="5">
        <f t="shared" si="1199"/>
        <v>0</v>
      </c>
      <c r="AG1183" s="5">
        <f t="shared" si="1199"/>
        <v>0</v>
      </c>
      <c r="AH1183" s="5">
        <f t="shared" si="1199"/>
        <v>0</v>
      </c>
    </row>
    <row r="1184" spans="1:34" x14ac:dyDescent="0.35">
      <c r="A1184" t="s">
        <v>1204</v>
      </c>
      <c r="B1184" s="3" t="s">
        <v>1266</v>
      </c>
      <c r="C1184" s="4" t="s">
        <v>1266</v>
      </c>
      <c r="D1184" s="2">
        <f t="shared" si="1171"/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f t="shared" ref="W1184:AH1184" si="1200">IF(OR((SLOPE($E1184:$V1184,$E$1:$V$1)*W$1+INTERCEPT($E1184:$V1184,$E$1:$V$1))&gt;(AVERAGE($E1184:$V1184)+_xlfn.STDEV.P($E1184:$V1184)),(SLOPE($E1184:$V1184,$E$1:$V$1)*W$1+INTERCEPT($E1184:$V1184,$E$1:$V$1))&lt;(AVERAGE($E1184:$V1184)-_xlfn.STDEV.P($E1184:$V1184))),V1184,(SLOPE($E1184:$V1184,$E$1:$V$1)*W$1+INTERCEPT($E1184:$V1184,$E$1:$V$1)))</f>
        <v>0</v>
      </c>
      <c r="X1184" s="5">
        <f t="shared" si="1200"/>
        <v>0</v>
      </c>
      <c r="Y1184" s="5">
        <f t="shared" si="1200"/>
        <v>0</v>
      </c>
      <c r="Z1184" s="5">
        <f t="shared" si="1200"/>
        <v>0</v>
      </c>
      <c r="AA1184" s="5">
        <f t="shared" si="1200"/>
        <v>0</v>
      </c>
      <c r="AB1184" s="5">
        <f t="shared" si="1200"/>
        <v>0</v>
      </c>
      <c r="AC1184" s="5">
        <f t="shared" si="1200"/>
        <v>0</v>
      </c>
      <c r="AD1184" s="5">
        <f t="shared" si="1200"/>
        <v>0</v>
      </c>
      <c r="AE1184" s="5">
        <f t="shared" si="1200"/>
        <v>0</v>
      </c>
      <c r="AF1184" s="5">
        <f t="shared" si="1200"/>
        <v>0</v>
      </c>
      <c r="AG1184" s="5">
        <f t="shared" si="1200"/>
        <v>0</v>
      </c>
      <c r="AH1184" s="5">
        <f t="shared" si="1200"/>
        <v>0</v>
      </c>
    </row>
    <row r="1185" spans="1:34" x14ac:dyDescent="0.35">
      <c r="A1185" t="s">
        <v>1205</v>
      </c>
      <c r="B1185" s="3" t="s">
        <v>1266</v>
      </c>
      <c r="C1185" s="4" t="s">
        <v>1267</v>
      </c>
      <c r="D1185" s="2">
        <f t="shared" si="1171"/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f t="shared" ref="W1185:AH1185" si="1201">IF(OR((SLOPE($E1185:$V1185,$E$1:$V$1)*W$1+INTERCEPT($E1185:$V1185,$E$1:$V$1))&gt;(AVERAGE($E1185:$V1185)+_xlfn.STDEV.P($E1185:$V1185)),(SLOPE($E1185:$V1185,$E$1:$V$1)*W$1+INTERCEPT($E1185:$V1185,$E$1:$V$1))&lt;(AVERAGE($E1185:$V1185)-_xlfn.STDEV.P($E1185:$V1185))),V1185,(SLOPE($E1185:$V1185,$E$1:$V$1)*W$1+INTERCEPT($E1185:$V1185,$E$1:$V$1)))</f>
        <v>0</v>
      </c>
      <c r="X1185" s="5">
        <f t="shared" si="1201"/>
        <v>0</v>
      </c>
      <c r="Y1185" s="5">
        <f t="shared" si="1201"/>
        <v>0</v>
      </c>
      <c r="Z1185" s="5">
        <f t="shared" si="1201"/>
        <v>0</v>
      </c>
      <c r="AA1185" s="5">
        <f t="shared" si="1201"/>
        <v>0</v>
      </c>
      <c r="AB1185" s="5">
        <f t="shared" si="1201"/>
        <v>0</v>
      </c>
      <c r="AC1185" s="5">
        <f t="shared" si="1201"/>
        <v>0</v>
      </c>
      <c r="AD1185" s="5">
        <f t="shared" si="1201"/>
        <v>0</v>
      </c>
      <c r="AE1185" s="5">
        <f t="shared" si="1201"/>
        <v>0</v>
      </c>
      <c r="AF1185" s="5">
        <f t="shared" si="1201"/>
        <v>0</v>
      </c>
      <c r="AG1185" s="5">
        <f t="shared" si="1201"/>
        <v>0</v>
      </c>
      <c r="AH1185" s="5">
        <f t="shared" si="1201"/>
        <v>0</v>
      </c>
    </row>
    <row r="1186" spans="1:34" x14ac:dyDescent="0.35">
      <c r="A1186" t="s">
        <v>1206</v>
      </c>
      <c r="B1186" s="3" t="s">
        <v>1266</v>
      </c>
      <c r="C1186" s="4" t="s">
        <v>1266</v>
      </c>
      <c r="D1186" s="2">
        <f t="shared" si="1171"/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f t="shared" ref="W1186:AH1186" si="1202">IF(OR((SLOPE($E1186:$V1186,$E$1:$V$1)*W$1+INTERCEPT($E1186:$V1186,$E$1:$V$1))&gt;(AVERAGE($E1186:$V1186)+_xlfn.STDEV.P($E1186:$V1186)),(SLOPE($E1186:$V1186,$E$1:$V$1)*W$1+INTERCEPT($E1186:$V1186,$E$1:$V$1))&lt;(AVERAGE($E1186:$V1186)-_xlfn.STDEV.P($E1186:$V1186))),V1186,(SLOPE($E1186:$V1186,$E$1:$V$1)*W$1+INTERCEPT($E1186:$V1186,$E$1:$V$1)))</f>
        <v>0</v>
      </c>
      <c r="X1186" s="5">
        <f t="shared" si="1202"/>
        <v>0</v>
      </c>
      <c r="Y1186" s="5">
        <f t="shared" si="1202"/>
        <v>0</v>
      </c>
      <c r="Z1186" s="5">
        <f t="shared" si="1202"/>
        <v>0</v>
      </c>
      <c r="AA1186" s="5">
        <f t="shared" si="1202"/>
        <v>0</v>
      </c>
      <c r="AB1186" s="5">
        <f t="shared" si="1202"/>
        <v>0</v>
      </c>
      <c r="AC1186" s="5">
        <f t="shared" si="1202"/>
        <v>0</v>
      </c>
      <c r="AD1186" s="5">
        <f t="shared" si="1202"/>
        <v>0</v>
      </c>
      <c r="AE1186" s="5">
        <f t="shared" si="1202"/>
        <v>0</v>
      </c>
      <c r="AF1186" s="5">
        <f t="shared" si="1202"/>
        <v>0</v>
      </c>
      <c r="AG1186" s="5">
        <f t="shared" si="1202"/>
        <v>0</v>
      </c>
      <c r="AH1186" s="5">
        <f t="shared" si="1202"/>
        <v>0</v>
      </c>
    </row>
    <row r="1187" spans="1:34" x14ac:dyDescent="0.35">
      <c r="A1187" t="s">
        <v>1207</v>
      </c>
      <c r="B1187" s="3" t="s">
        <v>1266</v>
      </c>
      <c r="C1187" s="4" t="s">
        <v>1266</v>
      </c>
      <c r="D1187" s="2">
        <f t="shared" si="1171"/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f t="shared" ref="W1187:AH1187" si="1203">IF(OR((SLOPE($E1187:$V1187,$E$1:$V$1)*W$1+INTERCEPT($E1187:$V1187,$E$1:$V$1))&gt;(AVERAGE($E1187:$V1187)+_xlfn.STDEV.P($E1187:$V1187)),(SLOPE($E1187:$V1187,$E$1:$V$1)*W$1+INTERCEPT($E1187:$V1187,$E$1:$V$1))&lt;(AVERAGE($E1187:$V1187)-_xlfn.STDEV.P($E1187:$V1187))),V1187,(SLOPE($E1187:$V1187,$E$1:$V$1)*W$1+INTERCEPT($E1187:$V1187,$E$1:$V$1)))</f>
        <v>0</v>
      </c>
      <c r="X1187" s="5">
        <f t="shared" si="1203"/>
        <v>0</v>
      </c>
      <c r="Y1187" s="5">
        <f t="shared" si="1203"/>
        <v>0</v>
      </c>
      <c r="Z1187" s="5">
        <f t="shared" si="1203"/>
        <v>0</v>
      </c>
      <c r="AA1187" s="5">
        <f t="shared" si="1203"/>
        <v>0</v>
      </c>
      <c r="AB1187" s="5">
        <f t="shared" si="1203"/>
        <v>0</v>
      </c>
      <c r="AC1187" s="5">
        <f t="shared" si="1203"/>
        <v>0</v>
      </c>
      <c r="AD1187" s="5">
        <f t="shared" si="1203"/>
        <v>0</v>
      </c>
      <c r="AE1187" s="5">
        <f t="shared" si="1203"/>
        <v>0</v>
      </c>
      <c r="AF1187" s="5">
        <f t="shared" si="1203"/>
        <v>0</v>
      </c>
      <c r="AG1187" s="5">
        <f t="shared" si="1203"/>
        <v>0</v>
      </c>
      <c r="AH1187" s="5">
        <f t="shared" si="1203"/>
        <v>0</v>
      </c>
    </row>
    <row r="1188" spans="1:34" x14ac:dyDescent="0.35">
      <c r="A1188" t="s">
        <v>1208</v>
      </c>
      <c r="B1188" s="3" t="s">
        <v>1266</v>
      </c>
      <c r="C1188" s="4" t="s">
        <v>1266</v>
      </c>
      <c r="D1188" s="2">
        <f t="shared" si="1171"/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f t="shared" ref="W1188:AH1188" si="1204">IF(OR((SLOPE($E1188:$V1188,$E$1:$V$1)*W$1+INTERCEPT($E1188:$V1188,$E$1:$V$1))&gt;(AVERAGE($E1188:$V1188)+_xlfn.STDEV.P($E1188:$V1188)),(SLOPE($E1188:$V1188,$E$1:$V$1)*W$1+INTERCEPT($E1188:$V1188,$E$1:$V$1))&lt;(AVERAGE($E1188:$V1188)-_xlfn.STDEV.P($E1188:$V1188))),V1188,(SLOPE($E1188:$V1188,$E$1:$V$1)*W$1+INTERCEPT($E1188:$V1188,$E$1:$V$1)))</f>
        <v>0</v>
      </c>
      <c r="X1188" s="5">
        <f t="shared" si="1204"/>
        <v>0</v>
      </c>
      <c r="Y1188" s="5">
        <f t="shared" si="1204"/>
        <v>0</v>
      </c>
      <c r="Z1188" s="5">
        <f t="shared" si="1204"/>
        <v>0</v>
      </c>
      <c r="AA1188" s="5">
        <f t="shared" si="1204"/>
        <v>0</v>
      </c>
      <c r="AB1188" s="5">
        <f t="shared" si="1204"/>
        <v>0</v>
      </c>
      <c r="AC1188" s="5">
        <f t="shared" si="1204"/>
        <v>0</v>
      </c>
      <c r="AD1188" s="5">
        <f t="shared" si="1204"/>
        <v>0</v>
      </c>
      <c r="AE1188" s="5">
        <f t="shared" si="1204"/>
        <v>0</v>
      </c>
      <c r="AF1188" s="5">
        <f t="shared" si="1204"/>
        <v>0</v>
      </c>
      <c r="AG1188" s="5">
        <f t="shared" si="1204"/>
        <v>0</v>
      </c>
      <c r="AH1188" s="5">
        <f t="shared" si="1204"/>
        <v>0</v>
      </c>
    </row>
    <row r="1189" spans="1:34" x14ac:dyDescent="0.35">
      <c r="A1189" t="s">
        <v>1209</v>
      </c>
      <c r="B1189" s="3" t="s">
        <v>1266</v>
      </c>
      <c r="C1189" s="4" t="s">
        <v>1266</v>
      </c>
      <c r="D1189" s="2">
        <f t="shared" si="1171"/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f t="shared" ref="W1189:AH1189" si="1205">IF(OR((SLOPE($E1189:$V1189,$E$1:$V$1)*W$1+INTERCEPT($E1189:$V1189,$E$1:$V$1))&gt;(AVERAGE($E1189:$V1189)+_xlfn.STDEV.P($E1189:$V1189)),(SLOPE($E1189:$V1189,$E$1:$V$1)*W$1+INTERCEPT($E1189:$V1189,$E$1:$V$1))&lt;(AVERAGE($E1189:$V1189)-_xlfn.STDEV.P($E1189:$V1189))),V1189,(SLOPE($E1189:$V1189,$E$1:$V$1)*W$1+INTERCEPT($E1189:$V1189,$E$1:$V$1)))</f>
        <v>0</v>
      </c>
      <c r="X1189" s="5">
        <f t="shared" si="1205"/>
        <v>0</v>
      </c>
      <c r="Y1189" s="5">
        <f t="shared" si="1205"/>
        <v>0</v>
      </c>
      <c r="Z1189" s="5">
        <f t="shared" si="1205"/>
        <v>0</v>
      </c>
      <c r="AA1189" s="5">
        <f t="shared" si="1205"/>
        <v>0</v>
      </c>
      <c r="AB1189" s="5">
        <f t="shared" si="1205"/>
        <v>0</v>
      </c>
      <c r="AC1189" s="5">
        <f t="shared" si="1205"/>
        <v>0</v>
      </c>
      <c r="AD1189" s="5">
        <f t="shared" si="1205"/>
        <v>0</v>
      </c>
      <c r="AE1189" s="5">
        <f t="shared" si="1205"/>
        <v>0</v>
      </c>
      <c r="AF1189" s="5">
        <f t="shared" si="1205"/>
        <v>0</v>
      </c>
      <c r="AG1189" s="5">
        <f t="shared" si="1205"/>
        <v>0</v>
      </c>
      <c r="AH1189" s="5">
        <f t="shared" si="1205"/>
        <v>0</v>
      </c>
    </row>
    <row r="1190" spans="1:34" x14ac:dyDescent="0.35">
      <c r="A1190" t="s">
        <v>1210</v>
      </c>
      <c r="B1190" s="3" t="s">
        <v>1266</v>
      </c>
      <c r="C1190" s="4" t="s">
        <v>1267</v>
      </c>
      <c r="D1190" s="2">
        <f t="shared" si="1171"/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f t="shared" ref="W1190:AH1190" si="1206">IF(OR((SLOPE($E1190:$V1190,$E$1:$V$1)*W$1+INTERCEPT($E1190:$V1190,$E$1:$V$1))&gt;(AVERAGE($E1190:$V1190)+_xlfn.STDEV.P($E1190:$V1190)),(SLOPE($E1190:$V1190,$E$1:$V$1)*W$1+INTERCEPT($E1190:$V1190,$E$1:$V$1))&lt;(AVERAGE($E1190:$V1190)-_xlfn.STDEV.P($E1190:$V1190))),V1190,(SLOPE($E1190:$V1190,$E$1:$V$1)*W$1+INTERCEPT($E1190:$V1190,$E$1:$V$1)))</f>
        <v>0</v>
      </c>
      <c r="X1190" s="5">
        <f t="shared" si="1206"/>
        <v>0</v>
      </c>
      <c r="Y1190" s="5">
        <f t="shared" si="1206"/>
        <v>0</v>
      </c>
      <c r="Z1190" s="5">
        <f t="shared" si="1206"/>
        <v>0</v>
      </c>
      <c r="AA1190" s="5">
        <f t="shared" si="1206"/>
        <v>0</v>
      </c>
      <c r="AB1190" s="5">
        <f t="shared" si="1206"/>
        <v>0</v>
      </c>
      <c r="AC1190" s="5">
        <f t="shared" si="1206"/>
        <v>0</v>
      </c>
      <c r="AD1190" s="5">
        <f t="shared" si="1206"/>
        <v>0</v>
      </c>
      <c r="AE1190" s="5">
        <f t="shared" si="1206"/>
        <v>0</v>
      </c>
      <c r="AF1190" s="5">
        <f t="shared" si="1206"/>
        <v>0</v>
      </c>
      <c r="AG1190" s="5">
        <f t="shared" si="1206"/>
        <v>0</v>
      </c>
      <c r="AH1190" s="5">
        <f t="shared" si="1206"/>
        <v>0</v>
      </c>
    </row>
    <row r="1191" spans="1:34" x14ac:dyDescent="0.35">
      <c r="A1191" t="s">
        <v>1211</v>
      </c>
      <c r="B1191" s="3" t="s">
        <v>1266</v>
      </c>
      <c r="C1191" s="4" t="s">
        <v>1267</v>
      </c>
      <c r="D1191" s="2">
        <f t="shared" si="1171"/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f t="shared" ref="W1191:AH1191" si="1207">IF(OR((SLOPE($E1191:$V1191,$E$1:$V$1)*W$1+INTERCEPT($E1191:$V1191,$E$1:$V$1))&gt;(AVERAGE($E1191:$V1191)+_xlfn.STDEV.P($E1191:$V1191)),(SLOPE($E1191:$V1191,$E$1:$V$1)*W$1+INTERCEPT($E1191:$V1191,$E$1:$V$1))&lt;(AVERAGE($E1191:$V1191)-_xlfn.STDEV.P($E1191:$V1191))),V1191,(SLOPE($E1191:$V1191,$E$1:$V$1)*W$1+INTERCEPT($E1191:$V1191,$E$1:$V$1)))</f>
        <v>0</v>
      </c>
      <c r="X1191" s="5">
        <f t="shared" si="1207"/>
        <v>0</v>
      </c>
      <c r="Y1191" s="5">
        <f t="shared" si="1207"/>
        <v>0</v>
      </c>
      <c r="Z1191" s="5">
        <f t="shared" si="1207"/>
        <v>0</v>
      </c>
      <c r="AA1191" s="5">
        <f t="shared" si="1207"/>
        <v>0</v>
      </c>
      <c r="AB1191" s="5">
        <f t="shared" si="1207"/>
        <v>0</v>
      </c>
      <c r="AC1191" s="5">
        <f t="shared" si="1207"/>
        <v>0</v>
      </c>
      <c r="AD1191" s="5">
        <f t="shared" si="1207"/>
        <v>0</v>
      </c>
      <c r="AE1191" s="5">
        <f t="shared" si="1207"/>
        <v>0</v>
      </c>
      <c r="AF1191" s="5">
        <f t="shared" si="1207"/>
        <v>0</v>
      </c>
      <c r="AG1191" s="5">
        <f t="shared" si="1207"/>
        <v>0</v>
      </c>
      <c r="AH1191" s="5">
        <f t="shared" si="1207"/>
        <v>0</v>
      </c>
    </row>
    <row r="1192" spans="1:34" x14ac:dyDescent="0.35">
      <c r="A1192" t="s">
        <v>1212</v>
      </c>
      <c r="B1192" s="3" t="s">
        <v>1266</v>
      </c>
      <c r="C1192" s="4" t="s">
        <v>1266</v>
      </c>
      <c r="D1192" s="2">
        <f t="shared" si="1171"/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f t="shared" ref="W1192:AH1192" si="1208">IF(OR((SLOPE($E1192:$V1192,$E$1:$V$1)*W$1+INTERCEPT($E1192:$V1192,$E$1:$V$1))&gt;(AVERAGE($E1192:$V1192)+_xlfn.STDEV.P($E1192:$V1192)),(SLOPE($E1192:$V1192,$E$1:$V$1)*W$1+INTERCEPT($E1192:$V1192,$E$1:$V$1))&lt;(AVERAGE($E1192:$V1192)-_xlfn.STDEV.P($E1192:$V1192))),V1192,(SLOPE($E1192:$V1192,$E$1:$V$1)*W$1+INTERCEPT($E1192:$V1192,$E$1:$V$1)))</f>
        <v>0</v>
      </c>
      <c r="X1192" s="5">
        <f t="shared" si="1208"/>
        <v>0</v>
      </c>
      <c r="Y1192" s="5">
        <f t="shared" si="1208"/>
        <v>0</v>
      </c>
      <c r="Z1192" s="5">
        <f t="shared" si="1208"/>
        <v>0</v>
      </c>
      <c r="AA1192" s="5">
        <f t="shared" si="1208"/>
        <v>0</v>
      </c>
      <c r="AB1192" s="5">
        <f t="shared" si="1208"/>
        <v>0</v>
      </c>
      <c r="AC1192" s="5">
        <f t="shared" si="1208"/>
        <v>0</v>
      </c>
      <c r="AD1192" s="5">
        <f t="shared" si="1208"/>
        <v>0</v>
      </c>
      <c r="AE1192" s="5">
        <f t="shared" si="1208"/>
        <v>0</v>
      </c>
      <c r="AF1192" s="5">
        <f t="shared" si="1208"/>
        <v>0</v>
      </c>
      <c r="AG1192" s="5">
        <f t="shared" si="1208"/>
        <v>0</v>
      </c>
      <c r="AH1192" s="5">
        <f t="shared" si="1208"/>
        <v>0</v>
      </c>
    </row>
    <row r="1193" spans="1:34" x14ac:dyDescent="0.35">
      <c r="A1193" t="s">
        <v>1213</v>
      </c>
      <c r="B1193" s="3" t="s">
        <v>1266</v>
      </c>
      <c r="C1193" s="4" t="s">
        <v>1266</v>
      </c>
      <c r="D1193" s="2">
        <f t="shared" si="1171"/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f t="shared" ref="W1193:AH1193" si="1209">IF(OR((SLOPE($E1193:$V1193,$E$1:$V$1)*W$1+INTERCEPT($E1193:$V1193,$E$1:$V$1))&gt;(AVERAGE($E1193:$V1193)+_xlfn.STDEV.P($E1193:$V1193)),(SLOPE($E1193:$V1193,$E$1:$V$1)*W$1+INTERCEPT($E1193:$V1193,$E$1:$V$1))&lt;(AVERAGE($E1193:$V1193)-_xlfn.STDEV.P($E1193:$V1193))),V1193,(SLOPE($E1193:$V1193,$E$1:$V$1)*W$1+INTERCEPT($E1193:$V1193,$E$1:$V$1)))</f>
        <v>0</v>
      </c>
      <c r="X1193" s="5">
        <f t="shared" si="1209"/>
        <v>0</v>
      </c>
      <c r="Y1193" s="5">
        <f t="shared" si="1209"/>
        <v>0</v>
      </c>
      <c r="Z1193" s="5">
        <f t="shared" si="1209"/>
        <v>0</v>
      </c>
      <c r="AA1193" s="5">
        <f t="shared" si="1209"/>
        <v>0</v>
      </c>
      <c r="AB1193" s="5">
        <f t="shared" si="1209"/>
        <v>0</v>
      </c>
      <c r="AC1193" s="5">
        <f t="shared" si="1209"/>
        <v>0</v>
      </c>
      <c r="AD1193" s="5">
        <f t="shared" si="1209"/>
        <v>0</v>
      </c>
      <c r="AE1193" s="5">
        <f t="shared" si="1209"/>
        <v>0</v>
      </c>
      <c r="AF1193" s="5">
        <f t="shared" si="1209"/>
        <v>0</v>
      </c>
      <c r="AG1193" s="5">
        <f t="shared" si="1209"/>
        <v>0</v>
      </c>
      <c r="AH1193" s="5">
        <f t="shared" si="1209"/>
        <v>0</v>
      </c>
    </row>
    <row r="1194" spans="1:34" x14ac:dyDescent="0.35">
      <c r="A1194" t="s">
        <v>1214</v>
      </c>
      <c r="B1194" s="3" t="s">
        <v>1266</v>
      </c>
      <c r="C1194" s="4" t="s">
        <v>1266</v>
      </c>
      <c r="D1194" s="2">
        <f t="shared" si="1171"/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f t="shared" ref="W1194:AH1194" si="1210">IF(OR((SLOPE($E1194:$V1194,$E$1:$V$1)*W$1+INTERCEPT($E1194:$V1194,$E$1:$V$1))&gt;(AVERAGE($E1194:$V1194)+_xlfn.STDEV.P($E1194:$V1194)),(SLOPE($E1194:$V1194,$E$1:$V$1)*W$1+INTERCEPT($E1194:$V1194,$E$1:$V$1))&lt;(AVERAGE($E1194:$V1194)-_xlfn.STDEV.P($E1194:$V1194))),V1194,(SLOPE($E1194:$V1194,$E$1:$V$1)*W$1+INTERCEPT($E1194:$V1194,$E$1:$V$1)))</f>
        <v>0</v>
      </c>
      <c r="X1194" s="5">
        <f t="shared" si="1210"/>
        <v>0</v>
      </c>
      <c r="Y1194" s="5">
        <f t="shared" si="1210"/>
        <v>0</v>
      </c>
      <c r="Z1194" s="5">
        <f t="shared" si="1210"/>
        <v>0</v>
      </c>
      <c r="AA1194" s="5">
        <f t="shared" si="1210"/>
        <v>0</v>
      </c>
      <c r="AB1194" s="5">
        <f t="shared" si="1210"/>
        <v>0</v>
      </c>
      <c r="AC1194" s="5">
        <f t="shared" si="1210"/>
        <v>0</v>
      </c>
      <c r="AD1194" s="5">
        <f t="shared" si="1210"/>
        <v>0</v>
      </c>
      <c r="AE1194" s="5">
        <f t="shared" si="1210"/>
        <v>0</v>
      </c>
      <c r="AF1194" s="5">
        <f t="shared" si="1210"/>
        <v>0</v>
      </c>
      <c r="AG1194" s="5">
        <f t="shared" si="1210"/>
        <v>0</v>
      </c>
      <c r="AH1194" s="5">
        <f t="shared" si="1210"/>
        <v>0</v>
      </c>
    </row>
    <row r="1195" spans="1:34" x14ac:dyDescent="0.35">
      <c r="A1195" t="s">
        <v>1215</v>
      </c>
      <c r="B1195" s="3" t="s">
        <v>1266</v>
      </c>
      <c r="C1195" s="4" t="s">
        <v>1267</v>
      </c>
      <c r="D1195" s="2">
        <f t="shared" si="1171"/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f t="shared" ref="W1195:AH1195" si="1211">IF(OR((SLOPE($E1195:$V1195,$E$1:$V$1)*W$1+INTERCEPT($E1195:$V1195,$E$1:$V$1))&gt;(AVERAGE($E1195:$V1195)+_xlfn.STDEV.P($E1195:$V1195)),(SLOPE($E1195:$V1195,$E$1:$V$1)*W$1+INTERCEPT($E1195:$V1195,$E$1:$V$1))&lt;(AVERAGE($E1195:$V1195)-_xlfn.STDEV.P($E1195:$V1195))),V1195,(SLOPE($E1195:$V1195,$E$1:$V$1)*W$1+INTERCEPT($E1195:$V1195,$E$1:$V$1)))</f>
        <v>0</v>
      </c>
      <c r="X1195" s="5">
        <f t="shared" si="1211"/>
        <v>0</v>
      </c>
      <c r="Y1195" s="5">
        <f t="shared" si="1211"/>
        <v>0</v>
      </c>
      <c r="Z1195" s="5">
        <f t="shared" si="1211"/>
        <v>0</v>
      </c>
      <c r="AA1195" s="5">
        <f t="shared" si="1211"/>
        <v>0</v>
      </c>
      <c r="AB1195" s="5">
        <f t="shared" si="1211"/>
        <v>0</v>
      </c>
      <c r="AC1195" s="5">
        <f t="shared" si="1211"/>
        <v>0</v>
      </c>
      <c r="AD1195" s="5">
        <f t="shared" si="1211"/>
        <v>0</v>
      </c>
      <c r="AE1195" s="5">
        <f t="shared" si="1211"/>
        <v>0</v>
      </c>
      <c r="AF1195" s="5">
        <f t="shared" si="1211"/>
        <v>0</v>
      </c>
      <c r="AG1195" s="5">
        <f t="shared" si="1211"/>
        <v>0</v>
      </c>
      <c r="AH1195" s="5">
        <f t="shared" si="1211"/>
        <v>0</v>
      </c>
    </row>
    <row r="1196" spans="1:34" x14ac:dyDescent="0.35">
      <c r="A1196" t="s">
        <v>1216</v>
      </c>
      <c r="B1196" s="3" t="s">
        <v>1266</v>
      </c>
      <c r="C1196" s="4" t="s">
        <v>1266</v>
      </c>
      <c r="D1196" s="2">
        <f t="shared" si="1171"/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f t="shared" ref="W1196:AH1196" si="1212">IF(OR((SLOPE($E1196:$V1196,$E$1:$V$1)*W$1+INTERCEPT($E1196:$V1196,$E$1:$V$1))&gt;(AVERAGE($E1196:$V1196)+_xlfn.STDEV.P($E1196:$V1196)),(SLOPE($E1196:$V1196,$E$1:$V$1)*W$1+INTERCEPT($E1196:$V1196,$E$1:$V$1))&lt;(AVERAGE($E1196:$V1196)-_xlfn.STDEV.P($E1196:$V1196))),V1196,(SLOPE($E1196:$V1196,$E$1:$V$1)*W$1+INTERCEPT($E1196:$V1196,$E$1:$V$1)))</f>
        <v>0</v>
      </c>
      <c r="X1196" s="5">
        <f t="shared" si="1212"/>
        <v>0</v>
      </c>
      <c r="Y1196" s="5">
        <f t="shared" si="1212"/>
        <v>0</v>
      </c>
      <c r="Z1196" s="5">
        <f t="shared" si="1212"/>
        <v>0</v>
      </c>
      <c r="AA1196" s="5">
        <f t="shared" si="1212"/>
        <v>0</v>
      </c>
      <c r="AB1196" s="5">
        <f t="shared" si="1212"/>
        <v>0</v>
      </c>
      <c r="AC1196" s="5">
        <f t="shared" si="1212"/>
        <v>0</v>
      </c>
      <c r="AD1196" s="5">
        <f t="shared" si="1212"/>
        <v>0</v>
      </c>
      <c r="AE1196" s="5">
        <f t="shared" si="1212"/>
        <v>0</v>
      </c>
      <c r="AF1196" s="5">
        <f t="shared" si="1212"/>
        <v>0</v>
      </c>
      <c r="AG1196" s="5">
        <f t="shared" si="1212"/>
        <v>0</v>
      </c>
      <c r="AH1196" s="5">
        <f t="shared" si="1212"/>
        <v>0</v>
      </c>
    </row>
    <row r="1197" spans="1:34" x14ac:dyDescent="0.35">
      <c r="A1197" t="s">
        <v>1217</v>
      </c>
      <c r="B1197" s="3" t="s">
        <v>1266</v>
      </c>
      <c r="C1197" s="4" t="s">
        <v>1266</v>
      </c>
      <c r="D1197" s="2">
        <f t="shared" si="1171"/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f t="shared" ref="W1197:AH1197" si="1213">IF(OR((SLOPE($E1197:$V1197,$E$1:$V$1)*W$1+INTERCEPT($E1197:$V1197,$E$1:$V$1))&gt;(AVERAGE($E1197:$V1197)+_xlfn.STDEV.P($E1197:$V1197)),(SLOPE($E1197:$V1197,$E$1:$V$1)*W$1+INTERCEPT($E1197:$V1197,$E$1:$V$1))&lt;(AVERAGE($E1197:$V1197)-_xlfn.STDEV.P($E1197:$V1197))),V1197,(SLOPE($E1197:$V1197,$E$1:$V$1)*W$1+INTERCEPT($E1197:$V1197,$E$1:$V$1)))</f>
        <v>0</v>
      </c>
      <c r="X1197" s="5">
        <f t="shared" si="1213"/>
        <v>0</v>
      </c>
      <c r="Y1197" s="5">
        <f t="shared" si="1213"/>
        <v>0</v>
      </c>
      <c r="Z1197" s="5">
        <f t="shared" si="1213"/>
        <v>0</v>
      </c>
      <c r="AA1197" s="5">
        <f t="shared" si="1213"/>
        <v>0</v>
      </c>
      <c r="AB1197" s="5">
        <f t="shared" si="1213"/>
        <v>0</v>
      </c>
      <c r="AC1197" s="5">
        <f t="shared" si="1213"/>
        <v>0</v>
      </c>
      <c r="AD1197" s="5">
        <f t="shared" si="1213"/>
        <v>0</v>
      </c>
      <c r="AE1197" s="5">
        <f t="shared" si="1213"/>
        <v>0</v>
      </c>
      <c r="AF1197" s="5">
        <f t="shared" si="1213"/>
        <v>0</v>
      </c>
      <c r="AG1197" s="5">
        <f t="shared" si="1213"/>
        <v>0</v>
      </c>
      <c r="AH1197" s="5">
        <f t="shared" si="1213"/>
        <v>0</v>
      </c>
    </row>
    <row r="1198" spans="1:34" x14ac:dyDescent="0.35">
      <c r="A1198" t="s">
        <v>1218</v>
      </c>
      <c r="B1198" s="3" t="s">
        <v>1266</v>
      </c>
      <c r="C1198" s="4" t="s">
        <v>1266</v>
      </c>
      <c r="D1198" s="2">
        <f t="shared" si="1171"/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f t="shared" ref="W1198:AH1198" si="1214">IF(OR((SLOPE($E1198:$V1198,$E$1:$V$1)*W$1+INTERCEPT($E1198:$V1198,$E$1:$V$1))&gt;(AVERAGE($E1198:$V1198)+_xlfn.STDEV.P($E1198:$V1198)),(SLOPE($E1198:$V1198,$E$1:$V$1)*W$1+INTERCEPT($E1198:$V1198,$E$1:$V$1))&lt;(AVERAGE($E1198:$V1198)-_xlfn.STDEV.P($E1198:$V1198))),V1198,(SLOPE($E1198:$V1198,$E$1:$V$1)*W$1+INTERCEPT($E1198:$V1198,$E$1:$V$1)))</f>
        <v>0</v>
      </c>
      <c r="X1198" s="5">
        <f t="shared" si="1214"/>
        <v>0</v>
      </c>
      <c r="Y1198" s="5">
        <f t="shared" si="1214"/>
        <v>0</v>
      </c>
      <c r="Z1198" s="5">
        <f t="shared" si="1214"/>
        <v>0</v>
      </c>
      <c r="AA1198" s="5">
        <f t="shared" si="1214"/>
        <v>0</v>
      </c>
      <c r="AB1198" s="5">
        <f t="shared" si="1214"/>
        <v>0</v>
      </c>
      <c r="AC1198" s="5">
        <f t="shared" si="1214"/>
        <v>0</v>
      </c>
      <c r="AD1198" s="5">
        <f t="shared" si="1214"/>
        <v>0</v>
      </c>
      <c r="AE1198" s="5">
        <f t="shared" si="1214"/>
        <v>0</v>
      </c>
      <c r="AF1198" s="5">
        <f t="shared" si="1214"/>
        <v>0</v>
      </c>
      <c r="AG1198" s="5">
        <f t="shared" si="1214"/>
        <v>0</v>
      </c>
      <c r="AH1198" s="5">
        <f t="shared" si="1214"/>
        <v>0</v>
      </c>
    </row>
    <row r="1199" spans="1:34" x14ac:dyDescent="0.35">
      <c r="A1199" t="s">
        <v>1219</v>
      </c>
      <c r="B1199" s="3" t="s">
        <v>1266</v>
      </c>
      <c r="C1199" s="4" t="s">
        <v>1266</v>
      </c>
      <c r="D1199" s="2">
        <f t="shared" si="1171"/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f t="shared" ref="W1199:AH1199" si="1215">IF(OR((SLOPE($E1199:$V1199,$E$1:$V$1)*W$1+INTERCEPT($E1199:$V1199,$E$1:$V$1))&gt;(AVERAGE($E1199:$V1199)+_xlfn.STDEV.P($E1199:$V1199)),(SLOPE($E1199:$V1199,$E$1:$V$1)*W$1+INTERCEPT($E1199:$V1199,$E$1:$V$1))&lt;(AVERAGE($E1199:$V1199)-_xlfn.STDEV.P($E1199:$V1199))),V1199,(SLOPE($E1199:$V1199,$E$1:$V$1)*W$1+INTERCEPT($E1199:$V1199,$E$1:$V$1)))</f>
        <v>0</v>
      </c>
      <c r="X1199" s="5">
        <f t="shared" si="1215"/>
        <v>0</v>
      </c>
      <c r="Y1199" s="5">
        <f t="shared" si="1215"/>
        <v>0</v>
      </c>
      <c r="Z1199" s="5">
        <f t="shared" si="1215"/>
        <v>0</v>
      </c>
      <c r="AA1199" s="5">
        <f t="shared" si="1215"/>
        <v>0</v>
      </c>
      <c r="AB1199" s="5">
        <f t="shared" si="1215"/>
        <v>0</v>
      </c>
      <c r="AC1199" s="5">
        <f t="shared" si="1215"/>
        <v>0</v>
      </c>
      <c r="AD1199" s="5">
        <f t="shared" si="1215"/>
        <v>0</v>
      </c>
      <c r="AE1199" s="5">
        <f t="shared" si="1215"/>
        <v>0</v>
      </c>
      <c r="AF1199" s="5">
        <f t="shared" si="1215"/>
        <v>0</v>
      </c>
      <c r="AG1199" s="5">
        <f t="shared" si="1215"/>
        <v>0</v>
      </c>
      <c r="AH1199" s="5">
        <f t="shared" si="1215"/>
        <v>0</v>
      </c>
    </row>
    <row r="1200" spans="1:34" x14ac:dyDescent="0.35">
      <c r="A1200" t="s">
        <v>1220</v>
      </c>
      <c r="B1200" s="3" t="s">
        <v>1266</v>
      </c>
      <c r="C1200" s="4" t="s">
        <v>1266</v>
      </c>
      <c r="D1200" s="2">
        <f t="shared" si="1171"/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f t="shared" ref="W1200:AH1200" si="1216">IF(OR((SLOPE($E1200:$V1200,$E$1:$V$1)*W$1+INTERCEPT($E1200:$V1200,$E$1:$V$1))&gt;(AVERAGE($E1200:$V1200)+_xlfn.STDEV.P($E1200:$V1200)),(SLOPE($E1200:$V1200,$E$1:$V$1)*W$1+INTERCEPT($E1200:$V1200,$E$1:$V$1))&lt;(AVERAGE($E1200:$V1200)-_xlfn.STDEV.P($E1200:$V1200))),V1200,(SLOPE($E1200:$V1200,$E$1:$V$1)*W$1+INTERCEPT($E1200:$V1200,$E$1:$V$1)))</f>
        <v>0</v>
      </c>
      <c r="X1200" s="5">
        <f t="shared" si="1216"/>
        <v>0</v>
      </c>
      <c r="Y1200" s="5">
        <f t="shared" si="1216"/>
        <v>0</v>
      </c>
      <c r="Z1200" s="5">
        <f t="shared" si="1216"/>
        <v>0</v>
      </c>
      <c r="AA1200" s="5">
        <f t="shared" si="1216"/>
        <v>0</v>
      </c>
      <c r="AB1200" s="5">
        <f t="shared" si="1216"/>
        <v>0</v>
      </c>
      <c r="AC1200" s="5">
        <f t="shared" si="1216"/>
        <v>0</v>
      </c>
      <c r="AD1200" s="5">
        <f t="shared" si="1216"/>
        <v>0</v>
      </c>
      <c r="AE1200" s="5">
        <f t="shared" si="1216"/>
        <v>0</v>
      </c>
      <c r="AF1200" s="5">
        <f t="shared" si="1216"/>
        <v>0</v>
      </c>
      <c r="AG1200" s="5">
        <f t="shared" si="1216"/>
        <v>0</v>
      </c>
      <c r="AH1200" s="5">
        <f t="shared" si="1216"/>
        <v>0</v>
      </c>
    </row>
    <row r="1201" spans="1:34" x14ac:dyDescent="0.35">
      <c r="A1201" t="s">
        <v>1221</v>
      </c>
      <c r="B1201" s="3" t="s">
        <v>1266</v>
      </c>
      <c r="C1201" s="4" t="s">
        <v>1266</v>
      </c>
      <c r="D1201" s="2">
        <f t="shared" si="1171"/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f t="shared" ref="W1201:AH1201" si="1217">IF(OR((SLOPE($E1201:$V1201,$E$1:$V$1)*W$1+INTERCEPT($E1201:$V1201,$E$1:$V$1))&gt;(AVERAGE($E1201:$V1201)+_xlfn.STDEV.P($E1201:$V1201)),(SLOPE($E1201:$V1201,$E$1:$V$1)*W$1+INTERCEPT($E1201:$V1201,$E$1:$V$1))&lt;(AVERAGE($E1201:$V1201)-_xlfn.STDEV.P($E1201:$V1201))),V1201,(SLOPE($E1201:$V1201,$E$1:$V$1)*W$1+INTERCEPT($E1201:$V1201,$E$1:$V$1)))</f>
        <v>0</v>
      </c>
      <c r="X1201" s="5">
        <f t="shared" si="1217"/>
        <v>0</v>
      </c>
      <c r="Y1201" s="5">
        <f t="shared" si="1217"/>
        <v>0</v>
      </c>
      <c r="Z1201" s="5">
        <f t="shared" si="1217"/>
        <v>0</v>
      </c>
      <c r="AA1201" s="5">
        <f t="shared" si="1217"/>
        <v>0</v>
      </c>
      <c r="AB1201" s="5">
        <f t="shared" si="1217"/>
        <v>0</v>
      </c>
      <c r="AC1201" s="5">
        <f t="shared" si="1217"/>
        <v>0</v>
      </c>
      <c r="AD1201" s="5">
        <f t="shared" si="1217"/>
        <v>0</v>
      </c>
      <c r="AE1201" s="5">
        <f t="shared" si="1217"/>
        <v>0</v>
      </c>
      <c r="AF1201" s="5">
        <f t="shared" si="1217"/>
        <v>0</v>
      </c>
      <c r="AG1201" s="5">
        <f t="shared" si="1217"/>
        <v>0</v>
      </c>
      <c r="AH1201" s="5">
        <f t="shared" si="1217"/>
        <v>0</v>
      </c>
    </row>
    <row r="1202" spans="1:34" x14ac:dyDescent="0.35">
      <c r="A1202" t="s">
        <v>1222</v>
      </c>
      <c r="B1202" s="3" t="s">
        <v>1266</v>
      </c>
      <c r="C1202" s="4" t="s">
        <v>1266</v>
      </c>
      <c r="D1202" s="2">
        <f t="shared" si="1171"/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f t="shared" ref="W1202:AH1202" si="1218">IF(OR((SLOPE($E1202:$V1202,$E$1:$V$1)*W$1+INTERCEPT($E1202:$V1202,$E$1:$V$1))&gt;(AVERAGE($E1202:$V1202)+_xlfn.STDEV.P($E1202:$V1202)),(SLOPE($E1202:$V1202,$E$1:$V$1)*W$1+INTERCEPT($E1202:$V1202,$E$1:$V$1))&lt;(AVERAGE($E1202:$V1202)-_xlfn.STDEV.P($E1202:$V1202))),V1202,(SLOPE($E1202:$V1202,$E$1:$V$1)*W$1+INTERCEPT($E1202:$V1202,$E$1:$V$1)))</f>
        <v>0</v>
      </c>
      <c r="X1202" s="5">
        <f t="shared" si="1218"/>
        <v>0</v>
      </c>
      <c r="Y1202" s="5">
        <f t="shared" si="1218"/>
        <v>0</v>
      </c>
      <c r="Z1202" s="5">
        <f t="shared" si="1218"/>
        <v>0</v>
      </c>
      <c r="AA1202" s="5">
        <f t="shared" si="1218"/>
        <v>0</v>
      </c>
      <c r="AB1202" s="5">
        <f t="shared" si="1218"/>
        <v>0</v>
      </c>
      <c r="AC1202" s="5">
        <f t="shared" si="1218"/>
        <v>0</v>
      </c>
      <c r="AD1202" s="5">
        <f t="shared" si="1218"/>
        <v>0</v>
      </c>
      <c r="AE1202" s="5">
        <f t="shared" si="1218"/>
        <v>0</v>
      </c>
      <c r="AF1202" s="5">
        <f t="shared" si="1218"/>
        <v>0</v>
      </c>
      <c r="AG1202" s="5">
        <f t="shared" si="1218"/>
        <v>0</v>
      </c>
      <c r="AH1202" s="5">
        <f t="shared" si="1218"/>
        <v>0</v>
      </c>
    </row>
    <row r="1203" spans="1:34" x14ac:dyDescent="0.35">
      <c r="A1203" t="s">
        <v>1223</v>
      </c>
      <c r="B1203" s="3" t="s">
        <v>1266</v>
      </c>
      <c r="C1203" s="4" t="s">
        <v>1266</v>
      </c>
      <c r="D1203" s="2">
        <f t="shared" si="1171"/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f t="shared" ref="W1203:AH1203" si="1219">IF(OR((SLOPE($E1203:$V1203,$E$1:$V$1)*W$1+INTERCEPT($E1203:$V1203,$E$1:$V$1))&gt;(AVERAGE($E1203:$V1203)+_xlfn.STDEV.P($E1203:$V1203)),(SLOPE($E1203:$V1203,$E$1:$V$1)*W$1+INTERCEPT($E1203:$V1203,$E$1:$V$1))&lt;(AVERAGE($E1203:$V1203)-_xlfn.STDEV.P($E1203:$V1203))),V1203,(SLOPE($E1203:$V1203,$E$1:$V$1)*W$1+INTERCEPT($E1203:$V1203,$E$1:$V$1)))</f>
        <v>0</v>
      </c>
      <c r="X1203" s="5">
        <f t="shared" si="1219"/>
        <v>0</v>
      </c>
      <c r="Y1203" s="5">
        <f t="shared" si="1219"/>
        <v>0</v>
      </c>
      <c r="Z1203" s="5">
        <f t="shared" si="1219"/>
        <v>0</v>
      </c>
      <c r="AA1203" s="5">
        <f t="shared" si="1219"/>
        <v>0</v>
      </c>
      <c r="AB1203" s="5">
        <f t="shared" si="1219"/>
        <v>0</v>
      </c>
      <c r="AC1203" s="5">
        <f t="shared" si="1219"/>
        <v>0</v>
      </c>
      <c r="AD1203" s="5">
        <f t="shared" si="1219"/>
        <v>0</v>
      </c>
      <c r="AE1203" s="5">
        <f t="shared" si="1219"/>
        <v>0</v>
      </c>
      <c r="AF1203" s="5">
        <f t="shared" si="1219"/>
        <v>0</v>
      </c>
      <c r="AG1203" s="5">
        <f t="shared" si="1219"/>
        <v>0</v>
      </c>
      <c r="AH1203" s="5">
        <f t="shared" si="1219"/>
        <v>0</v>
      </c>
    </row>
    <row r="1204" spans="1:34" x14ac:dyDescent="0.35">
      <c r="A1204" t="s">
        <v>1224</v>
      </c>
      <c r="B1204" s="3" t="s">
        <v>1266</v>
      </c>
      <c r="C1204" s="4" t="s">
        <v>1266</v>
      </c>
      <c r="D1204" s="2">
        <f t="shared" si="1171"/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f t="shared" ref="W1204:AH1204" si="1220">IF(OR((SLOPE($E1204:$V1204,$E$1:$V$1)*W$1+INTERCEPT($E1204:$V1204,$E$1:$V$1))&gt;(AVERAGE($E1204:$V1204)+_xlfn.STDEV.P($E1204:$V1204)),(SLOPE($E1204:$V1204,$E$1:$V$1)*W$1+INTERCEPT($E1204:$V1204,$E$1:$V$1))&lt;(AVERAGE($E1204:$V1204)-_xlfn.STDEV.P($E1204:$V1204))),V1204,(SLOPE($E1204:$V1204,$E$1:$V$1)*W$1+INTERCEPT($E1204:$V1204,$E$1:$V$1)))</f>
        <v>0</v>
      </c>
      <c r="X1204" s="5">
        <f t="shared" si="1220"/>
        <v>0</v>
      </c>
      <c r="Y1204" s="5">
        <f t="shared" si="1220"/>
        <v>0</v>
      </c>
      <c r="Z1204" s="5">
        <f t="shared" si="1220"/>
        <v>0</v>
      </c>
      <c r="AA1204" s="5">
        <f t="shared" si="1220"/>
        <v>0</v>
      </c>
      <c r="AB1204" s="5">
        <f t="shared" si="1220"/>
        <v>0</v>
      </c>
      <c r="AC1204" s="5">
        <f t="shared" si="1220"/>
        <v>0</v>
      </c>
      <c r="AD1204" s="5">
        <f t="shared" si="1220"/>
        <v>0</v>
      </c>
      <c r="AE1204" s="5">
        <f t="shared" si="1220"/>
        <v>0</v>
      </c>
      <c r="AF1204" s="5">
        <f t="shared" si="1220"/>
        <v>0</v>
      </c>
      <c r="AG1204" s="5">
        <f t="shared" si="1220"/>
        <v>0</v>
      </c>
      <c r="AH1204" s="5">
        <f t="shared" si="1220"/>
        <v>0</v>
      </c>
    </row>
    <row r="1205" spans="1:34" x14ac:dyDescent="0.35">
      <c r="A1205" t="s">
        <v>1225</v>
      </c>
      <c r="B1205" s="3" t="s">
        <v>1266</v>
      </c>
      <c r="C1205" s="4" t="s">
        <v>1266</v>
      </c>
      <c r="D1205" s="2">
        <f t="shared" si="1171"/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f t="shared" ref="W1205:AH1205" si="1221">IF(OR((SLOPE($E1205:$V1205,$E$1:$V$1)*W$1+INTERCEPT($E1205:$V1205,$E$1:$V$1))&gt;(AVERAGE($E1205:$V1205)+_xlfn.STDEV.P($E1205:$V1205)),(SLOPE($E1205:$V1205,$E$1:$V$1)*W$1+INTERCEPT($E1205:$V1205,$E$1:$V$1))&lt;(AVERAGE($E1205:$V1205)-_xlfn.STDEV.P($E1205:$V1205))),V1205,(SLOPE($E1205:$V1205,$E$1:$V$1)*W$1+INTERCEPT($E1205:$V1205,$E$1:$V$1)))</f>
        <v>0</v>
      </c>
      <c r="X1205" s="5">
        <f t="shared" si="1221"/>
        <v>0</v>
      </c>
      <c r="Y1205" s="5">
        <f t="shared" si="1221"/>
        <v>0</v>
      </c>
      <c r="Z1205" s="5">
        <f t="shared" si="1221"/>
        <v>0</v>
      </c>
      <c r="AA1205" s="5">
        <f t="shared" si="1221"/>
        <v>0</v>
      </c>
      <c r="AB1205" s="5">
        <f t="shared" si="1221"/>
        <v>0</v>
      </c>
      <c r="AC1205" s="5">
        <f t="shared" si="1221"/>
        <v>0</v>
      </c>
      <c r="AD1205" s="5">
        <f t="shared" si="1221"/>
        <v>0</v>
      </c>
      <c r="AE1205" s="5">
        <f t="shared" si="1221"/>
        <v>0</v>
      </c>
      <c r="AF1205" s="5">
        <f t="shared" si="1221"/>
        <v>0</v>
      </c>
      <c r="AG1205" s="5">
        <f t="shared" si="1221"/>
        <v>0</v>
      </c>
      <c r="AH1205" s="5">
        <f t="shared" si="1221"/>
        <v>0</v>
      </c>
    </row>
    <row r="1206" spans="1:34" x14ac:dyDescent="0.35">
      <c r="A1206" t="s">
        <v>1226</v>
      </c>
      <c r="B1206" s="3" t="s">
        <v>1266</v>
      </c>
      <c r="C1206" s="4" t="s">
        <v>1266</v>
      </c>
      <c r="D1206" s="2">
        <f t="shared" si="1171"/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f t="shared" ref="W1206:AH1206" si="1222">IF(OR((SLOPE($E1206:$V1206,$E$1:$V$1)*W$1+INTERCEPT($E1206:$V1206,$E$1:$V$1))&gt;(AVERAGE($E1206:$V1206)+_xlfn.STDEV.P($E1206:$V1206)),(SLOPE($E1206:$V1206,$E$1:$V$1)*W$1+INTERCEPT($E1206:$V1206,$E$1:$V$1))&lt;(AVERAGE($E1206:$V1206)-_xlfn.STDEV.P($E1206:$V1206))),V1206,(SLOPE($E1206:$V1206,$E$1:$V$1)*W$1+INTERCEPT($E1206:$V1206,$E$1:$V$1)))</f>
        <v>0</v>
      </c>
      <c r="X1206" s="5">
        <f t="shared" si="1222"/>
        <v>0</v>
      </c>
      <c r="Y1206" s="5">
        <f t="shared" si="1222"/>
        <v>0</v>
      </c>
      <c r="Z1206" s="5">
        <f t="shared" si="1222"/>
        <v>0</v>
      </c>
      <c r="AA1206" s="5">
        <f t="shared" si="1222"/>
        <v>0</v>
      </c>
      <c r="AB1206" s="5">
        <f t="shared" si="1222"/>
        <v>0</v>
      </c>
      <c r="AC1206" s="5">
        <f t="shared" si="1222"/>
        <v>0</v>
      </c>
      <c r="AD1206" s="5">
        <f t="shared" si="1222"/>
        <v>0</v>
      </c>
      <c r="AE1206" s="5">
        <f t="shared" si="1222"/>
        <v>0</v>
      </c>
      <c r="AF1206" s="5">
        <f t="shared" si="1222"/>
        <v>0</v>
      </c>
      <c r="AG1206" s="5">
        <f t="shared" si="1222"/>
        <v>0</v>
      </c>
      <c r="AH1206" s="5">
        <f t="shared" si="1222"/>
        <v>0</v>
      </c>
    </row>
    <row r="1207" spans="1:34" x14ac:dyDescent="0.35">
      <c r="A1207" t="s">
        <v>1227</v>
      </c>
      <c r="B1207" s="3" t="s">
        <v>1266</v>
      </c>
      <c r="C1207" s="4" t="s">
        <v>1267</v>
      </c>
      <c r="D1207" s="2">
        <f t="shared" si="1171"/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f t="shared" ref="W1207:AH1207" si="1223">IF(OR((SLOPE($E1207:$V1207,$E$1:$V$1)*W$1+INTERCEPT($E1207:$V1207,$E$1:$V$1))&gt;(AVERAGE($E1207:$V1207)+_xlfn.STDEV.P($E1207:$V1207)),(SLOPE($E1207:$V1207,$E$1:$V$1)*W$1+INTERCEPT($E1207:$V1207,$E$1:$V$1))&lt;(AVERAGE($E1207:$V1207)-_xlfn.STDEV.P($E1207:$V1207))),V1207,(SLOPE($E1207:$V1207,$E$1:$V$1)*W$1+INTERCEPT($E1207:$V1207,$E$1:$V$1)))</f>
        <v>0</v>
      </c>
      <c r="X1207" s="5">
        <f t="shared" si="1223"/>
        <v>0</v>
      </c>
      <c r="Y1207" s="5">
        <f t="shared" si="1223"/>
        <v>0</v>
      </c>
      <c r="Z1207" s="5">
        <f t="shared" si="1223"/>
        <v>0</v>
      </c>
      <c r="AA1207" s="5">
        <f t="shared" si="1223"/>
        <v>0</v>
      </c>
      <c r="AB1207" s="5">
        <f t="shared" si="1223"/>
        <v>0</v>
      </c>
      <c r="AC1207" s="5">
        <f t="shared" si="1223"/>
        <v>0</v>
      </c>
      <c r="AD1207" s="5">
        <f t="shared" si="1223"/>
        <v>0</v>
      </c>
      <c r="AE1207" s="5">
        <f t="shared" si="1223"/>
        <v>0</v>
      </c>
      <c r="AF1207" s="5">
        <f t="shared" si="1223"/>
        <v>0</v>
      </c>
      <c r="AG1207" s="5">
        <f t="shared" si="1223"/>
        <v>0</v>
      </c>
      <c r="AH1207" s="5">
        <f t="shared" si="1223"/>
        <v>0</v>
      </c>
    </row>
    <row r="1208" spans="1:34" x14ac:dyDescent="0.35">
      <c r="A1208" t="s">
        <v>1228</v>
      </c>
      <c r="B1208" s="3" t="s">
        <v>1266</v>
      </c>
      <c r="C1208" s="4" t="s">
        <v>1266</v>
      </c>
      <c r="D1208" s="2">
        <f t="shared" si="1171"/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f t="shared" ref="W1208:AH1208" si="1224">IF(OR((SLOPE($E1208:$V1208,$E$1:$V$1)*W$1+INTERCEPT($E1208:$V1208,$E$1:$V$1))&gt;(AVERAGE($E1208:$V1208)+_xlfn.STDEV.P($E1208:$V1208)),(SLOPE($E1208:$V1208,$E$1:$V$1)*W$1+INTERCEPT($E1208:$V1208,$E$1:$V$1))&lt;(AVERAGE($E1208:$V1208)-_xlfn.STDEV.P($E1208:$V1208))),V1208,(SLOPE($E1208:$V1208,$E$1:$V$1)*W$1+INTERCEPT($E1208:$V1208,$E$1:$V$1)))</f>
        <v>0</v>
      </c>
      <c r="X1208" s="5">
        <f t="shared" si="1224"/>
        <v>0</v>
      </c>
      <c r="Y1208" s="5">
        <f t="shared" si="1224"/>
        <v>0</v>
      </c>
      <c r="Z1208" s="5">
        <f t="shared" si="1224"/>
        <v>0</v>
      </c>
      <c r="AA1208" s="5">
        <f t="shared" si="1224"/>
        <v>0</v>
      </c>
      <c r="AB1208" s="5">
        <f t="shared" si="1224"/>
        <v>0</v>
      </c>
      <c r="AC1208" s="5">
        <f t="shared" si="1224"/>
        <v>0</v>
      </c>
      <c r="AD1208" s="5">
        <f t="shared" si="1224"/>
        <v>0</v>
      </c>
      <c r="AE1208" s="5">
        <f t="shared" si="1224"/>
        <v>0</v>
      </c>
      <c r="AF1208" s="5">
        <f t="shared" si="1224"/>
        <v>0</v>
      </c>
      <c r="AG1208" s="5">
        <f t="shared" si="1224"/>
        <v>0</v>
      </c>
      <c r="AH1208" s="5">
        <f t="shared" si="1224"/>
        <v>0</v>
      </c>
    </row>
    <row r="1209" spans="1:34" x14ac:dyDescent="0.35">
      <c r="A1209" t="s">
        <v>1229</v>
      </c>
      <c r="B1209" s="3" t="s">
        <v>1264</v>
      </c>
      <c r="C1209" s="4" t="s">
        <v>1267</v>
      </c>
      <c r="D1209" s="2">
        <f t="shared" si="1171"/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f t="shared" ref="W1209:AH1209" si="1225">IF(OR((SLOPE($E1209:$V1209,$E$1:$V$1)*W$1+INTERCEPT($E1209:$V1209,$E$1:$V$1))&gt;(AVERAGE($E1209:$V1209)+_xlfn.STDEV.P($E1209:$V1209)),(SLOPE($E1209:$V1209,$E$1:$V$1)*W$1+INTERCEPT($E1209:$V1209,$E$1:$V$1))&lt;(AVERAGE($E1209:$V1209)-_xlfn.STDEV.P($E1209:$V1209))),V1209,(SLOPE($E1209:$V1209,$E$1:$V$1)*W$1+INTERCEPT($E1209:$V1209,$E$1:$V$1)))</f>
        <v>0</v>
      </c>
      <c r="X1209" s="5">
        <f t="shared" si="1225"/>
        <v>0</v>
      </c>
      <c r="Y1209" s="5">
        <f t="shared" si="1225"/>
        <v>0</v>
      </c>
      <c r="Z1209" s="5">
        <f t="shared" si="1225"/>
        <v>0</v>
      </c>
      <c r="AA1209" s="5">
        <f t="shared" si="1225"/>
        <v>0</v>
      </c>
      <c r="AB1209" s="5">
        <f t="shared" si="1225"/>
        <v>0</v>
      </c>
      <c r="AC1209" s="5">
        <f t="shared" si="1225"/>
        <v>0</v>
      </c>
      <c r="AD1209" s="5">
        <f t="shared" si="1225"/>
        <v>0</v>
      </c>
      <c r="AE1209" s="5">
        <f t="shared" si="1225"/>
        <v>0</v>
      </c>
      <c r="AF1209" s="5">
        <f t="shared" si="1225"/>
        <v>0</v>
      </c>
      <c r="AG1209" s="5">
        <f t="shared" si="1225"/>
        <v>0</v>
      </c>
      <c r="AH1209" s="5">
        <f t="shared" si="1225"/>
        <v>0</v>
      </c>
    </row>
    <row r="1210" spans="1:34" x14ac:dyDescent="0.35">
      <c r="A1210" t="s">
        <v>1230</v>
      </c>
      <c r="B1210" s="3" t="s">
        <v>1264</v>
      </c>
      <c r="C1210" s="4" t="s">
        <v>1267</v>
      </c>
      <c r="D1210" s="2">
        <f t="shared" si="1171"/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f t="shared" ref="W1210:AH1210" si="1226">IF(OR((SLOPE($E1210:$V1210,$E$1:$V$1)*W$1+INTERCEPT($E1210:$V1210,$E$1:$V$1))&gt;(AVERAGE($E1210:$V1210)+_xlfn.STDEV.P($E1210:$V1210)),(SLOPE($E1210:$V1210,$E$1:$V$1)*W$1+INTERCEPT($E1210:$V1210,$E$1:$V$1))&lt;(AVERAGE($E1210:$V1210)-_xlfn.STDEV.P($E1210:$V1210))),V1210,(SLOPE($E1210:$V1210,$E$1:$V$1)*W$1+INTERCEPT($E1210:$V1210,$E$1:$V$1)))</f>
        <v>0</v>
      </c>
      <c r="X1210" s="5">
        <f t="shared" si="1226"/>
        <v>0</v>
      </c>
      <c r="Y1210" s="5">
        <f t="shared" si="1226"/>
        <v>0</v>
      </c>
      <c r="Z1210" s="5">
        <f t="shared" si="1226"/>
        <v>0</v>
      </c>
      <c r="AA1210" s="5">
        <f t="shared" si="1226"/>
        <v>0</v>
      </c>
      <c r="AB1210" s="5">
        <f t="shared" si="1226"/>
        <v>0</v>
      </c>
      <c r="AC1210" s="5">
        <f t="shared" si="1226"/>
        <v>0</v>
      </c>
      <c r="AD1210" s="5">
        <f t="shared" si="1226"/>
        <v>0</v>
      </c>
      <c r="AE1210" s="5">
        <f t="shared" si="1226"/>
        <v>0</v>
      </c>
      <c r="AF1210" s="5">
        <f t="shared" si="1226"/>
        <v>0</v>
      </c>
      <c r="AG1210" s="5">
        <f t="shared" si="1226"/>
        <v>0</v>
      </c>
      <c r="AH1210" s="5">
        <f t="shared" si="1226"/>
        <v>0</v>
      </c>
    </row>
    <row r="1211" spans="1:34" x14ac:dyDescent="0.35">
      <c r="A1211" t="s">
        <v>1231</v>
      </c>
      <c r="B1211" s="3" t="s">
        <v>1264</v>
      </c>
      <c r="C1211" s="4" t="s">
        <v>1267</v>
      </c>
      <c r="D1211" s="2">
        <f t="shared" si="1171"/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f t="shared" ref="W1211:AH1211" si="1227">IF(OR((SLOPE($E1211:$V1211,$E$1:$V$1)*W$1+INTERCEPT($E1211:$V1211,$E$1:$V$1))&gt;(AVERAGE($E1211:$V1211)+_xlfn.STDEV.P($E1211:$V1211)),(SLOPE($E1211:$V1211,$E$1:$V$1)*W$1+INTERCEPT($E1211:$V1211,$E$1:$V$1))&lt;(AVERAGE($E1211:$V1211)-_xlfn.STDEV.P($E1211:$V1211))),V1211,(SLOPE($E1211:$V1211,$E$1:$V$1)*W$1+INTERCEPT($E1211:$V1211,$E$1:$V$1)))</f>
        <v>0</v>
      </c>
      <c r="X1211" s="5">
        <f t="shared" si="1227"/>
        <v>0</v>
      </c>
      <c r="Y1211" s="5">
        <f t="shared" si="1227"/>
        <v>0</v>
      </c>
      <c r="Z1211" s="5">
        <f t="shared" si="1227"/>
        <v>0</v>
      </c>
      <c r="AA1211" s="5">
        <f t="shared" si="1227"/>
        <v>0</v>
      </c>
      <c r="AB1211" s="5">
        <f t="shared" si="1227"/>
        <v>0</v>
      </c>
      <c r="AC1211" s="5">
        <f t="shared" si="1227"/>
        <v>0</v>
      </c>
      <c r="AD1211" s="5">
        <f t="shared" si="1227"/>
        <v>0</v>
      </c>
      <c r="AE1211" s="5">
        <f t="shared" si="1227"/>
        <v>0</v>
      </c>
      <c r="AF1211" s="5">
        <f t="shared" si="1227"/>
        <v>0</v>
      </c>
      <c r="AG1211" s="5">
        <f t="shared" si="1227"/>
        <v>0</v>
      </c>
      <c r="AH1211" s="5">
        <f t="shared" si="1227"/>
        <v>0</v>
      </c>
    </row>
    <row r="1212" spans="1:34" x14ac:dyDescent="0.35">
      <c r="A1212" t="s">
        <v>1232</v>
      </c>
      <c r="B1212" s="3" t="s">
        <v>1266</v>
      </c>
      <c r="C1212" s="4" t="s">
        <v>1267</v>
      </c>
      <c r="D1212" s="2">
        <f t="shared" si="1171"/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f t="shared" ref="W1212:AH1212" si="1228">IF(OR((SLOPE($E1212:$V1212,$E$1:$V$1)*W$1+INTERCEPT($E1212:$V1212,$E$1:$V$1))&gt;(AVERAGE($E1212:$V1212)+_xlfn.STDEV.P($E1212:$V1212)),(SLOPE($E1212:$V1212,$E$1:$V$1)*W$1+INTERCEPT($E1212:$V1212,$E$1:$V$1))&lt;(AVERAGE($E1212:$V1212)-_xlfn.STDEV.P($E1212:$V1212))),V1212,(SLOPE($E1212:$V1212,$E$1:$V$1)*W$1+INTERCEPT($E1212:$V1212,$E$1:$V$1)))</f>
        <v>0</v>
      </c>
      <c r="X1212" s="5">
        <f t="shared" si="1228"/>
        <v>0</v>
      </c>
      <c r="Y1212" s="5">
        <f t="shared" si="1228"/>
        <v>0</v>
      </c>
      <c r="Z1212" s="5">
        <f t="shared" si="1228"/>
        <v>0</v>
      </c>
      <c r="AA1212" s="5">
        <f t="shared" si="1228"/>
        <v>0</v>
      </c>
      <c r="AB1212" s="5">
        <f t="shared" si="1228"/>
        <v>0</v>
      </c>
      <c r="AC1212" s="5">
        <f t="shared" si="1228"/>
        <v>0</v>
      </c>
      <c r="AD1212" s="5">
        <f t="shared" si="1228"/>
        <v>0</v>
      </c>
      <c r="AE1212" s="5">
        <f t="shared" si="1228"/>
        <v>0</v>
      </c>
      <c r="AF1212" s="5">
        <f t="shared" si="1228"/>
        <v>0</v>
      </c>
      <c r="AG1212" s="5">
        <f t="shared" si="1228"/>
        <v>0</v>
      </c>
      <c r="AH1212" s="5">
        <f t="shared" si="1228"/>
        <v>0</v>
      </c>
    </row>
    <row r="1213" spans="1:34" x14ac:dyDescent="0.35">
      <c r="A1213" t="s">
        <v>1233</v>
      </c>
      <c r="B1213" s="3" t="s">
        <v>1266</v>
      </c>
      <c r="C1213" s="4" t="s">
        <v>1266</v>
      </c>
      <c r="D1213" s="2">
        <f t="shared" si="1171"/>
        <v>0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f t="shared" ref="W1213:AH1213" si="1229">IF(OR((SLOPE($E1213:$V1213,$E$1:$V$1)*W$1+INTERCEPT($E1213:$V1213,$E$1:$V$1))&gt;(AVERAGE($E1213:$V1213)+_xlfn.STDEV.P($E1213:$V1213)),(SLOPE($E1213:$V1213,$E$1:$V$1)*W$1+INTERCEPT($E1213:$V1213,$E$1:$V$1))&lt;(AVERAGE($E1213:$V1213)-_xlfn.STDEV.P($E1213:$V1213))),V1213,(SLOPE($E1213:$V1213,$E$1:$V$1)*W$1+INTERCEPT($E1213:$V1213,$E$1:$V$1)))</f>
        <v>0</v>
      </c>
      <c r="X1213" s="5">
        <f t="shared" si="1229"/>
        <v>0</v>
      </c>
      <c r="Y1213" s="5">
        <f t="shared" si="1229"/>
        <v>0</v>
      </c>
      <c r="Z1213" s="5">
        <f t="shared" si="1229"/>
        <v>0</v>
      </c>
      <c r="AA1213" s="5">
        <f t="shared" si="1229"/>
        <v>0</v>
      </c>
      <c r="AB1213" s="5">
        <f t="shared" si="1229"/>
        <v>0</v>
      </c>
      <c r="AC1213" s="5">
        <f t="shared" si="1229"/>
        <v>0</v>
      </c>
      <c r="AD1213" s="5">
        <f t="shared" si="1229"/>
        <v>0</v>
      </c>
      <c r="AE1213" s="5">
        <f t="shared" si="1229"/>
        <v>0</v>
      </c>
      <c r="AF1213" s="5">
        <f t="shared" si="1229"/>
        <v>0</v>
      </c>
      <c r="AG1213" s="5">
        <f t="shared" si="1229"/>
        <v>0</v>
      </c>
      <c r="AH1213" s="5">
        <f t="shared" si="1229"/>
        <v>0</v>
      </c>
    </row>
    <row r="1214" spans="1:34" x14ac:dyDescent="0.35">
      <c r="A1214" t="s">
        <v>1234</v>
      </c>
      <c r="B1214" s="3" t="s">
        <v>1266</v>
      </c>
      <c r="C1214" s="4" t="s">
        <v>1266</v>
      </c>
      <c r="D1214" s="2">
        <f t="shared" si="1171"/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f t="shared" ref="W1214:AH1214" si="1230">IF(OR((SLOPE($E1214:$V1214,$E$1:$V$1)*W$1+INTERCEPT($E1214:$V1214,$E$1:$V$1))&gt;(AVERAGE($E1214:$V1214)+_xlfn.STDEV.P($E1214:$V1214)),(SLOPE($E1214:$V1214,$E$1:$V$1)*W$1+INTERCEPT($E1214:$V1214,$E$1:$V$1))&lt;(AVERAGE($E1214:$V1214)-_xlfn.STDEV.P($E1214:$V1214))),V1214,(SLOPE($E1214:$V1214,$E$1:$V$1)*W$1+INTERCEPT($E1214:$V1214,$E$1:$V$1)))</f>
        <v>0</v>
      </c>
      <c r="X1214" s="5">
        <f t="shared" si="1230"/>
        <v>0</v>
      </c>
      <c r="Y1214" s="5">
        <f t="shared" si="1230"/>
        <v>0</v>
      </c>
      <c r="Z1214" s="5">
        <f t="shared" si="1230"/>
        <v>0</v>
      </c>
      <c r="AA1214" s="5">
        <f t="shared" si="1230"/>
        <v>0</v>
      </c>
      <c r="AB1214" s="5">
        <f t="shared" si="1230"/>
        <v>0</v>
      </c>
      <c r="AC1214" s="5">
        <f t="shared" si="1230"/>
        <v>0</v>
      </c>
      <c r="AD1214" s="5">
        <f t="shared" si="1230"/>
        <v>0</v>
      </c>
      <c r="AE1214" s="5">
        <f t="shared" si="1230"/>
        <v>0</v>
      </c>
      <c r="AF1214" s="5">
        <f t="shared" si="1230"/>
        <v>0</v>
      </c>
      <c r="AG1214" s="5">
        <f t="shared" si="1230"/>
        <v>0</v>
      </c>
      <c r="AH1214" s="5">
        <f t="shared" si="1230"/>
        <v>0</v>
      </c>
    </row>
    <row r="1215" spans="1:34" x14ac:dyDescent="0.35">
      <c r="A1215" t="s">
        <v>1235</v>
      </c>
      <c r="B1215" s="3" t="s">
        <v>1266</v>
      </c>
      <c r="C1215" s="4" t="s">
        <v>1266</v>
      </c>
      <c r="D1215" s="2">
        <f t="shared" si="1171"/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f t="shared" ref="W1215:AH1215" si="1231">IF(OR((SLOPE($E1215:$V1215,$E$1:$V$1)*W$1+INTERCEPT($E1215:$V1215,$E$1:$V$1))&gt;(AVERAGE($E1215:$V1215)+_xlfn.STDEV.P($E1215:$V1215)),(SLOPE($E1215:$V1215,$E$1:$V$1)*W$1+INTERCEPT($E1215:$V1215,$E$1:$V$1))&lt;(AVERAGE($E1215:$V1215)-_xlfn.STDEV.P($E1215:$V1215))),V1215,(SLOPE($E1215:$V1215,$E$1:$V$1)*W$1+INTERCEPT($E1215:$V1215,$E$1:$V$1)))</f>
        <v>0</v>
      </c>
      <c r="X1215" s="5">
        <f t="shared" si="1231"/>
        <v>0</v>
      </c>
      <c r="Y1215" s="5">
        <f t="shared" si="1231"/>
        <v>0</v>
      </c>
      <c r="Z1215" s="5">
        <f t="shared" si="1231"/>
        <v>0</v>
      </c>
      <c r="AA1215" s="5">
        <f t="shared" si="1231"/>
        <v>0</v>
      </c>
      <c r="AB1215" s="5">
        <f t="shared" si="1231"/>
        <v>0</v>
      </c>
      <c r="AC1215" s="5">
        <f t="shared" si="1231"/>
        <v>0</v>
      </c>
      <c r="AD1215" s="5">
        <f t="shared" si="1231"/>
        <v>0</v>
      </c>
      <c r="AE1215" s="5">
        <f t="shared" si="1231"/>
        <v>0</v>
      </c>
      <c r="AF1215" s="5">
        <f t="shared" si="1231"/>
        <v>0</v>
      </c>
      <c r="AG1215" s="5">
        <f t="shared" si="1231"/>
        <v>0</v>
      </c>
      <c r="AH1215" s="5">
        <f t="shared" si="1231"/>
        <v>0</v>
      </c>
    </row>
    <row r="1216" spans="1:34" x14ac:dyDescent="0.35">
      <c r="A1216" t="s">
        <v>1236</v>
      </c>
      <c r="B1216" s="3" t="s">
        <v>1266</v>
      </c>
      <c r="C1216" s="4" t="s">
        <v>1267</v>
      </c>
      <c r="D1216" s="2">
        <f t="shared" si="1171"/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f t="shared" ref="W1216:AH1216" si="1232">IF(OR((SLOPE($E1216:$V1216,$E$1:$V$1)*W$1+INTERCEPT($E1216:$V1216,$E$1:$V$1))&gt;(AVERAGE($E1216:$V1216)+_xlfn.STDEV.P($E1216:$V1216)),(SLOPE($E1216:$V1216,$E$1:$V$1)*W$1+INTERCEPT($E1216:$V1216,$E$1:$V$1))&lt;(AVERAGE($E1216:$V1216)-_xlfn.STDEV.P($E1216:$V1216))),V1216,(SLOPE($E1216:$V1216,$E$1:$V$1)*W$1+INTERCEPT($E1216:$V1216,$E$1:$V$1)))</f>
        <v>0</v>
      </c>
      <c r="X1216" s="5">
        <f t="shared" si="1232"/>
        <v>0</v>
      </c>
      <c r="Y1216" s="5">
        <f t="shared" si="1232"/>
        <v>0</v>
      </c>
      <c r="Z1216" s="5">
        <f t="shared" si="1232"/>
        <v>0</v>
      </c>
      <c r="AA1216" s="5">
        <f t="shared" si="1232"/>
        <v>0</v>
      </c>
      <c r="AB1216" s="5">
        <f t="shared" si="1232"/>
        <v>0</v>
      </c>
      <c r="AC1216" s="5">
        <f t="shared" si="1232"/>
        <v>0</v>
      </c>
      <c r="AD1216" s="5">
        <f t="shared" si="1232"/>
        <v>0</v>
      </c>
      <c r="AE1216" s="5">
        <f t="shared" si="1232"/>
        <v>0</v>
      </c>
      <c r="AF1216" s="5">
        <f t="shared" si="1232"/>
        <v>0</v>
      </c>
      <c r="AG1216" s="5">
        <f t="shared" si="1232"/>
        <v>0</v>
      </c>
      <c r="AH1216" s="5">
        <f t="shared" si="1232"/>
        <v>0</v>
      </c>
    </row>
    <row r="1217" spans="1:34" x14ac:dyDescent="0.35">
      <c r="A1217" t="s">
        <v>1237</v>
      </c>
      <c r="B1217" s="3" t="s">
        <v>1266</v>
      </c>
      <c r="C1217" s="4" t="s">
        <v>1266</v>
      </c>
      <c r="D1217" s="2">
        <f t="shared" si="1171"/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f t="shared" ref="W1217:AH1217" si="1233">IF(OR((SLOPE($E1217:$V1217,$E$1:$V$1)*W$1+INTERCEPT($E1217:$V1217,$E$1:$V$1))&gt;(AVERAGE($E1217:$V1217)+_xlfn.STDEV.P($E1217:$V1217)),(SLOPE($E1217:$V1217,$E$1:$V$1)*W$1+INTERCEPT($E1217:$V1217,$E$1:$V$1))&lt;(AVERAGE($E1217:$V1217)-_xlfn.STDEV.P($E1217:$V1217))),V1217,(SLOPE($E1217:$V1217,$E$1:$V$1)*W$1+INTERCEPT($E1217:$V1217,$E$1:$V$1)))</f>
        <v>0</v>
      </c>
      <c r="X1217" s="5">
        <f t="shared" si="1233"/>
        <v>0</v>
      </c>
      <c r="Y1217" s="5">
        <f t="shared" si="1233"/>
        <v>0</v>
      </c>
      <c r="Z1217" s="5">
        <f t="shared" si="1233"/>
        <v>0</v>
      </c>
      <c r="AA1217" s="5">
        <f t="shared" si="1233"/>
        <v>0</v>
      </c>
      <c r="AB1217" s="5">
        <f t="shared" si="1233"/>
        <v>0</v>
      </c>
      <c r="AC1217" s="5">
        <f t="shared" si="1233"/>
        <v>0</v>
      </c>
      <c r="AD1217" s="5">
        <f t="shared" si="1233"/>
        <v>0</v>
      </c>
      <c r="AE1217" s="5">
        <f t="shared" si="1233"/>
        <v>0</v>
      </c>
      <c r="AF1217" s="5">
        <f t="shared" si="1233"/>
        <v>0</v>
      </c>
      <c r="AG1217" s="5">
        <f t="shared" si="1233"/>
        <v>0</v>
      </c>
      <c r="AH1217" s="5">
        <f t="shared" si="1233"/>
        <v>0</v>
      </c>
    </row>
    <row r="1218" spans="1:34" x14ac:dyDescent="0.35">
      <c r="A1218" t="s">
        <v>1238</v>
      </c>
      <c r="B1218" s="3" t="s">
        <v>1266</v>
      </c>
      <c r="C1218" s="4" t="s">
        <v>1267</v>
      </c>
      <c r="D1218" s="2">
        <f t="shared" si="1171"/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f t="shared" ref="W1218:AH1218" si="1234">IF(OR((SLOPE($E1218:$V1218,$E$1:$V$1)*W$1+INTERCEPT($E1218:$V1218,$E$1:$V$1))&gt;(AVERAGE($E1218:$V1218)+_xlfn.STDEV.P($E1218:$V1218)),(SLOPE($E1218:$V1218,$E$1:$V$1)*W$1+INTERCEPT($E1218:$V1218,$E$1:$V$1))&lt;(AVERAGE($E1218:$V1218)-_xlfn.STDEV.P($E1218:$V1218))),V1218,(SLOPE($E1218:$V1218,$E$1:$V$1)*W$1+INTERCEPT($E1218:$V1218,$E$1:$V$1)))</f>
        <v>0</v>
      </c>
      <c r="X1218" s="5">
        <f t="shared" si="1234"/>
        <v>0</v>
      </c>
      <c r="Y1218" s="5">
        <f t="shared" si="1234"/>
        <v>0</v>
      </c>
      <c r="Z1218" s="5">
        <f t="shared" si="1234"/>
        <v>0</v>
      </c>
      <c r="AA1218" s="5">
        <f t="shared" si="1234"/>
        <v>0</v>
      </c>
      <c r="AB1218" s="5">
        <f t="shared" si="1234"/>
        <v>0</v>
      </c>
      <c r="AC1218" s="5">
        <f t="shared" si="1234"/>
        <v>0</v>
      </c>
      <c r="AD1218" s="5">
        <f t="shared" si="1234"/>
        <v>0</v>
      </c>
      <c r="AE1218" s="5">
        <f t="shared" si="1234"/>
        <v>0</v>
      </c>
      <c r="AF1218" s="5">
        <f t="shared" si="1234"/>
        <v>0</v>
      </c>
      <c r="AG1218" s="5">
        <f t="shared" si="1234"/>
        <v>0</v>
      </c>
      <c r="AH1218" s="5">
        <f t="shared" si="1234"/>
        <v>0</v>
      </c>
    </row>
    <row r="1219" spans="1:34" x14ac:dyDescent="0.35">
      <c r="A1219" t="s">
        <v>1239</v>
      </c>
      <c r="B1219" s="3" t="s">
        <v>1264</v>
      </c>
      <c r="C1219" s="4" t="s">
        <v>1267</v>
      </c>
      <c r="D1219" s="2">
        <f t="shared" si="1171"/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f t="shared" ref="W1219:AH1219" si="1235">IF(OR((SLOPE($E1219:$V1219,$E$1:$V$1)*W$1+INTERCEPT($E1219:$V1219,$E$1:$V$1))&gt;(AVERAGE($E1219:$V1219)+_xlfn.STDEV.P($E1219:$V1219)),(SLOPE($E1219:$V1219,$E$1:$V$1)*W$1+INTERCEPT($E1219:$V1219,$E$1:$V$1))&lt;(AVERAGE($E1219:$V1219)-_xlfn.STDEV.P($E1219:$V1219))),V1219,(SLOPE($E1219:$V1219,$E$1:$V$1)*W$1+INTERCEPT($E1219:$V1219,$E$1:$V$1)))</f>
        <v>0</v>
      </c>
      <c r="X1219" s="5">
        <f t="shared" si="1235"/>
        <v>0</v>
      </c>
      <c r="Y1219" s="5">
        <f t="shared" si="1235"/>
        <v>0</v>
      </c>
      <c r="Z1219" s="5">
        <f t="shared" si="1235"/>
        <v>0</v>
      </c>
      <c r="AA1219" s="5">
        <f t="shared" si="1235"/>
        <v>0</v>
      </c>
      <c r="AB1219" s="5">
        <f t="shared" si="1235"/>
        <v>0</v>
      </c>
      <c r="AC1219" s="5">
        <f t="shared" si="1235"/>
        <v>0</v>
      </c>
      <c r="AD1219" s="5">
        <f t="shared" si="1235"/>
        <v>0</v>
      </c>
      <c r="AE1219" s="5">
        <f t="shared" si="1235"/>
        <v>0</v>
      </c>
      <c r="AF1219" s="5">
        <f t="shared" si="1235"/>
        <v>0</v>
      </c>
      <c r="AG1219" s="5">
        <f t="shared" si="1235"/>
        <v>0</v>
      </c>
      <c r="AH1219" s="5">
        <f t="shared" si="1235"/>
        <v>0</v>
      </c>
    </row>
    <row r="1220" spans="1:34" x14ac:dyDescent="0.35">
      <c r="A1220" t="s">
        <v>1240</v>
      </c>
      <c r="B1220" s="3" t="s">
        <v>1266</v>
      </c>
      <c r="C1220" s="4" t="s">
        <v>1267</v>
      </c>
      <c r="D1220" s="2">
        <f t="shared" ref="D1220:D1241" si="1236">SUM(E1220:V1220)</f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f t="shared" ref="W1220:AH1220" si="1237">IF(OR((SLOPE($E1220:$V1220,$E$1:$V$1)*W$1+INTERCEPT($E1220:$V1220,$E$1:$V$1))&gt;(AVERAGE($E1220:$V1220)+_xlfn.STDEV.P($E1220:$V1220)),(SLOPE($E1220:$V1220,$E$1:$V$1)*W$1+INTERCEPT($E1220:$V1220,$E$1:$V$1))&lt;(AVERAGE($E1220:$V1220)-_xlfn.STDEV.P($E1220:$V1220))),V1220,(SLOPE($E1220:$V1220,$E$1:$V$1)*W$1+INTERCEPT($E1220:$V1220,$E$1:$V$1)))</f>
        <v>0</v>
      </c>
      <c r="X1220" s="5">
        <f t="shared" si="1237"/>
        <v>0</v>
      </c>
      <c r="Y1220" s="5">
        <f t="shared" si="1237"/>
        <v>0</v>
      </c>
      <c r="Z1220" s="5">
        <f t="shared" si="1237"/>
        <v>0</v>
      </c>
      <c r="AA1220" s="5">
        <f t="shared" si="1237"/>
        <v>0</v>
      </c>
      <c r="AB1220" s="5">
        <f t="shared" si="1237"/>
        <v>0</v>
      </c>
      <c r="AC1220" s="5">
        <f t="shared" si="1237"/>
        <v>0</v>
      </c>
      <c r="AD1220" s="5">
        <f t="shared" si="1237"/>
        <v>0</v>
      </c>
      <c r="AE1220" s="5">
        <f t="shared" si="1237"/>
        <v>0</v>
      </c>
      <c r="AF1220" s="5">
        <f t="shared" si="1237"/>
        <v>0</v>
      </c>
      <c r="AG1220" s="5">
        <f t="shared" si="1237"/>
        <v>0</v>
      </c>
      <c r="AH1220" s="5">
        <f t="shared" si="1237"/>
        <v>0</v>
      </c>
    </row>
    <row r="1221" spans="1:34" x14ac:dyDescent="0.35">
      <c r="A1221" t="s">
        <v>1241</v>
      </c>
      <c r="B1221" s="3" t="s">
        <v>1266</v>
      </c>
      <c r="C1221" s="4" t="s">
        <v>1267</v>
      </c>
      <c r="D1221" s="2">
        <f t="shared" si="1236"/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f t="shared" ref="W1221:AH1221" si="1238">IF(OR((SLOPE($E1221:$V1221,$E$1:$V$1)*W$1+INTERCEPT($E1221:$V1221,$E$1:$V$1))&gt;(AVERAGE($E1221:$V1221)+_xlfn.STDEV.P($E1221:$V1221)),(SLOPE($E1221:$V1221,$E$1:$V$1)*W$1+INTERCEPT($E1221:$V1221,$E$1:$V$1))&lt;(AVERAGE($E1221:$V1221)-_xlfn.STDEV.P($E1221:$V1221))),V1221,(SLOPE($E1221:$V1221,$E$1:$V$1)*W$1+INTERCEPT($E1221:$V1221,$E$1:$V$1)))</f>
        <v>0</v>
      </c>
      <c r="X1221" s="5">
        <f t="shared" si="1238"/>
        <v>0</v>
      </c>
      <c r="Y1221" s="5">
        <f t="shared" si="1238"/>
        <v>0</v>
      </c>
      <c r="Z1221" s="5">
        <f t="shared" si="1238"/>
        <v>0</v>
      </c>
      <c r="AA1221" s="5">
        <f t="shared" si="1238"/>
        <v>0</v>
      </c>
      <c r="AB1221" s="5">
        <f t="shared" si="1238"/>
        <v>0</v>
      </c>
      <c r="AC1221" s="5">
        <f t="shared" si="1238"/>
        <v>0</v>
      </c>
      <c r="AD1221" s="5">
        <f t="shared" si="1238"/>
        <v>0</v>
      </c>
      <c r="AE1221" s="5">
        <f t="shared" si="1238"/>
        <v>0</v>
      </c>
      <c r="AF1221" s="5">
        <f t="shared" si="1238"/>
        <v>0</v>
      </c>
      <c r="AG1221" s="5">
        <f t="shared" si="1238"/>
        <v>0</v>
      </c>
      <c r="AH1221" s="5">
        <f t="shared" si="1238"/>
        <v>0</v>
      </c>
    </row>
    <row r="1222" spans="1:34" x14ac:dyDescent="0.35">
      <c r="A1222" t="s">
        <v>1242</v>
      </c>
      <c r="B1222" s="3" t="s">
        <v>1266</v>
      </c>
      <c r="C1222" s="4" t="s">
        <v>1266</v>
      </c>
      <c r="D1222" s="2">
        <f t="shared" si="1236"/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f t="shared" ref="W1222:AH1222" si="1239">IF(OR((SLOPE($E1222:$V1222,$E$1:$V$1)*W$1+INTERCEPT($E1222:$V1222,$E$1:$V$1))&gt;(AVERAGE($E1222:$V1222)+_xlfn.STDEV.P($E1222:$V1222)),(SLOPE($E1222:$V1222,$E$1:$V$1)*W$1+INTERCEPT($E1222:$V1222,$E$1:$V$1))&lt;(AVERAGE($E1222:$V1222)-_xlfn.STDEV.P($E1222:$V1222))),V1222,(SLOPE($E1222:$V1222,$E$1:$V$1)*W$1+INTERCEPT($E1222:$V1222,$E$1:$V$1)))</f>
        <v>0</v>
      </c>
      <c r="X1222" s="5">
        <f t="shared" si="1239"/>
        <v>0</v>
      </c>
      <c r="Y1222" s="5">
        <f t="shared" si="1239"/>
        <v>0</v>
      </c>
      <c r="Z1222" s="5">
        <f t="shared" si="1239"/>
        <v>0</v>
      </c>
      <c r="AA1222" s="5">
        <f t="shared" si="1239"/>
        <v>0</v>
      </c>
      <c r="AB1222" s="5">
        <f t="shared" si="1239"/>
        <v>0</v>
      </c>
      <c r="AC1222" s="5">
        <f t="shared" si="1239"/>
        <v>0</v>
      </c>
      <c r="AD1222" s="5">
        <f t="shared" si="1239"/>
        <v>0</v>
      </c>
      <c r="AE1222" s="5">
        <f t="shared" si="1239"/>
        <v>0</v>
      </c>
      <c r="AF1222" s="5">
        <f t="shared" si="1239"/>
        <v>0</v>
      </c>
      <c r="AG1222" s="5">
        <f t="shared" si="1239"/>
        <v>0</v>
      </c>
      <c r="AH1222" s="5">
        <f t="shared" si="1239"/>
        <v>0</v>
      </c>
    </row>
    <row r="1223" spans="1:34" x14ac:dyDescent="0.35">
      <c r="A1223" t="s">
        <v>1243</v>
      </c>
      <c r="B1223" s="3" t="s">
        <v>1266</v>
      </c>
      <c r="C1223" s="4" t="s">
        <v>1266</v>
      </c>
      <c r="D1223" s="2">
        <f t="shared" si="1236"/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f t="shared" ref="W1223:AH1223" si="1240">IF(OR((SLOPE($E1223:$V1223,$E$1:$V$1)*W$1+INTERCEPT($E1223:$V1223,$E$1:$V$1))&gt;(AVERAGE($E1223:$V1223)+_xlfn.STDEV.P($E1223:$V1223)),(SLOPE($E1223:$V1223,$E$1:$V$1)*W$1+INTERCEPT($E1223:$V1223,$E$1:$V$1))&lt;(AVERAGE($E1223:$V1223)-_xlfn.STDEV.P($E1223:$V1223))),V1223,(SLOPE($E1223:$V1223,$E$1:$V$1)*W$1+INTERCEPT($E1223:$V1223,$E$1:$V$1)))</f>
        <v>0</v>
      </c>
      <c r="X1223" s="5">
        <f t="shared" si="1240"/>
        <v>0</v>
      </c>
      <c r="Y1223" s="5">
        <f t="shared" si="1240"/>
        <v>0</v>
      </c>
      <c r="Z1223" s="5">
        <f t="shared" si="1240"/>
        <v>0</v>
      </c>
      <c r="AA1223" s="5">
        <f t="shared" si="1240"/>
        <v>0</v>
      </c>
      <c r="AB1223" s="5">
        <f t="shared" si="1240"/>
        <v>0</v>
      </c>
      <c r="AC1223" s="5">
        <f t="shared" si="1240"/>
        <v>0</v>
      </c>
      <c r="AD1223" s="5">
        <f t="shared" si="1240"/>
        <v>0</v>
      </c>
      <c r="AE1223" s="5">
        <f t="shared" si="1240"/>
        <v>0</v>
      </c>
      <c r="AF1223" s="5">
        <f t="shared" si="1240"/>
        <v>0</v>
      </c>
      <c r="AG1223" s="5">
        <f t="shared" si="1240"/>
        <v>0</v>
      </c>
      <c r="AH1223" s="5">
        <f t="shared" si="1240"/>
        <v>0</v>
      </c>
    </row>
    <row r="1224" spans="1:34" x14ac:dyDescent="0.35">
      <c r="A1224" t="s">
        <v>1244</v>
      </c>
      <c r="B1224" s="3" t="s">
        <v>1266</v>
      </c>
      <c r="C1224" s="4" t="s">
        <v>1266</v>
      </c>
      <c r="D1224" s="2">
        <f t="shared" si="1236"/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f t="shared" ref="W1224:AH1224" si="1241">IF(OR((SLOPE($E1224:$V1224,$E$1:$V$1)*W$1+INTERCEPT($E1224:$V1224,$E$1:$V$1))&gt;(AVERAGE($E1224:$V1224)+_xlfn.STDEV.P($E1224:$V1224)),(SLOPE($E1224:$V1224,$E$1:$V$1)*W$1+INTERCEPT($E1224:$V1224,$E$1:$V$1))&lt;(AVERAGE($E1224:$V1224)-_xlfn.STDEV.P($E1224:$V1224))),V1224,(SLOPE($E1224:$V1224,$E$1:$V$1)*W$1+INTERCEPT($E1224:$V1224,$E$1:$V$1)))</f>
        <v>0</v>
      </c>
      <c r="X1224" s="5">
        <f t="shared" si="1241"/>
        <v>0</v>
      </c>
      <c r="Y1224" s="5">
        <f t="shared" si="1241"/>
        <v>0</v>
      </c>
      <c r="Z1224" s="5">
        <f t="shared" si="1241"/>
        <v>0</v>
      </c>
      <c r="AA1224" s="5">
        <f t="shared" si="1241"/>
        <v>0</v>
      </c>
      <c r="AB1224" s="5">
        <f t="shared" si="1241"/>
        <v>0</v>
      </c>
      <c r="AC1224" s="5">
        <f t="shared" si="1241"/>
        <v>0</v>
      </c>
      <c r="AD1224" s="5">
        <f t="shared" si="1241"/>
        <v>0</v>
      </c>
      <c r="AE1224" s="5">
        <f t="shared" si="1241"/>
        <v>0</v>
      </c>
      <c r="AF1224" s="5">
        <f t="shared" si="1241"/>
        <v>0</v>
      </c>
      <c r="AG1224" s="5">
        <f t="shared" si="1241"/>
        <v>0</v>
      </c>
      <c r="AH1224" s="5">
        <f t="shared" si="1241"/>
        <v>0</v>
      </c>
    </row>
    <row r="1225" spans="1:34" x14ac:dyDescent="0.35">
      <c r="A1225" t="s">
        <v>1245</v>
      </c>
      <c r="B1225" s="3" t="s">
        <v>1266</v>
      </c>
      <c r="C1225" s="4" t="s">
        <v>1266</v>
      </c>
      <c r="D1225" s="2">
        <f t="shared" si="1236"/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f t="shared" ref="W1225:AH1225" si="1242">IF(OR((SLOPE($E1225:$V1225,$E$1:$V$1)*W$1+INTERCEPT($E1225:$V1225,$E$1:$V$1))&gt;(AVERAGE($E1225:$V1225)+_xlfn.STDEV.P($E1225:$V1225)),(SLOPE($E1225:$V1225,$E$1:$V$1)*W$1+INTERCEPT($E1225:$V1225,$E$1:$V$1))&lt;(AVERAGE($E1225:$V1225)-_xlfn.STDEV.P($E1225:$V1225))),V1225,(SLOPE($E1225:$V1225,$E$1:$V$1)*W$1+INTERCEPT($E1225:$V1225,$E$1:$V$1)))</f>
        <v>0</v>
      </c>
      <c r="X1225" s="5">
        <f t="shared" si="1242"/>
        <v>0</v>
      </c>
      <c r="Y1225" s="5">
        <f t="shared" si="1242"/>
        <v>0</v>
      </c>
      <c r="Z1225" s="5">
        <f t="shared" si="1242"/>
        <v>0</v>
      </c>
      <c r="AA1225" s="5">
        <f t="shared" si="1242"/>
        <v>0</v>
      </c>
      <c r="AB1225" s="5">
        <f t="shared" si="1242"/>
        <v>0</v>
      </c>
      <c r="AC1225" s="5">
        <f t="shared" si="1242"/>
        <v>0</v>
      </c>
      <c r="AD1225" s="5">
        <f t="shared" si="1242"/>
        <v>0</v>
      </c>
      <c r="AE1225" s="5">
        <f t="shared" si="1242"/>
        <v>0</v>
      </c>
      <c r="AF1225" s="5">
        <f t="shared" si="1242"/>
        <v>0</v>
      </c>
      <c r="AG1225" s="5">
        <f t="shared" si="1242"/>
        <v>0</v>
      </c>
      <c r="AH1225" s="5">
        <f t="shared" si="1242"/>
        <v>0</v>
      </c>
    </row>
    <row r="1226" spans="1:34" x14ac:dyDescent="0.35">
      <c r="A1226" t="s">
        <v>1246</v>
      </c>
      <c r="B1226" s="3" t="s">
        <v>1266</v>
      </c>
      <c r="C1226" s="4" t="s">
        <v>1267</v>
      </c>
      <c r="D1226" s="2">
        <f t="shared" si="1236"/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f t="shared" ref="W1226:AH1226" si="1243">IF(OR((SLOPE($E1226:$V1226,$E$1:$V$1)*W$1+INTERCEPT($E1226:$V1226,$E$1:$V$1))&gt;(AVERAGE($E1226:$V1226)+_xlfn.STDEV.P($E1226:$V1226)),(SLOPE($E1226:$V1226,$E$1:$V$1)*W$1+INTERCEPT($E1226:$V1226,$E$1:$V$1))&lt;(AVERAGE($E1226:$V1226)-_xlfn.STDEV.P($E1226:$V1226))),V1226,(SLOPE($E1226:$V1226,$E$1:$V$1)*W$1+INTERCEPT($E1226:$V1226,$E$1:$V$1)))</f>
        <v>0</v>
      </c>
      <c r="X1226" s="5">
        <f t="shared" si="1243"/>
        <v>0</v>
      </c>
      <c r="Y1226" s="5">
        <f t="shared" si="1243"/>
        <v>0</v>
      </c>
      <c r="Z1226" s="5">
        <f t="shared" si="1243"/>
        <v>0</v>
      </c>
      <c r="AA1226" s="5">
        <f t="shared" si="1243"/>
        <v>0</v>
      </c>
      <c r="AB1226" s="5">
        <f t="shared" si="1243"/>
        <v>0</v>
      </c>
      <c r="AC1226" s="5">
        <f t="shared" si="1243"/>
        <v>0</v>
      </c>
      <c r="AD1226" s="5">
        <f t="shared" si="1243"/>
        <v>0</v>
      </c>
      <c r="AE1226" s="5">
        <f t="shared" si="1243"/>
        <v>0</v>
      </c>
      <c r="AF1226" s="5">
        <f t="shared" si="1243"/>
        <v>0</v>
      </c>
      <c r="AG1226" s="5">
        <f t="shared" si="1243"/>
        <v>0</v>
      </c>
      <c r="AH1226" s="5">
        <f t="shared" si="1243"/>
        <v>0</v>
      </c>
    </row>
    <row r="1227" spans="1:34" x14ac:dyDescent="0.35">
      <c r="A1227" t="s">
        <v>1247</v>
      </c>
      <c r="B1227" s="3" t="s">
        <v>1266</v>
      </c>
      <c r="C1227" s="4" t="s">
        <v>1267</v>
      </c>
      <c r="D1227" s="2">
        <f t="shared" si="1236"/>
        <v>0</v>
      </c>
      <c r="E1227" s="5">
        <v>0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f t="shared" ref="W1227:AH1227" si="1244">IF(OR((SLOPE($E1227:$V1227,$E$1:$V$1)*W$1+INTERCEPT($E1227:$V1227,$E$1:$V$1))&gt;(AVERAGE($E1227:$V1227)+_xlfn.STDEV.P($E1227:$V1227)),(SLOPE($E1227:$V1227,$E$1:$V$1)*W$1+INTERCEPT($E1227:$V1227,$E$1:$V$1))&lt;(AVERAGE($E1227:$V1227)-_xlfn.STDEV.P($E1227:$V1227))),V1227,(SLOPE($E1227:$V1227,$E$1:$V$1)*W$1+INTERCEPT($E1227:$V1227,$E$1:$V$1)))</f>
        <v>0</v>
      </c>
      <c r="X1227" s="5">
        <f t="shared" si="1244"/>
        <v>0</v>
      </c>
      <c r="Y1227" s="5">
        <f t="shared" si="1244"/>
        <v>0</v>
      </c>
      <c r="Z1227" s="5">
        <f t="shared" si="1244"/>
        <v>0</v>
      </c>
      <c r="AA1227" s="5">
        <f t="shared" si="1244"/>
        <v>0</v>
      </c>
      <c r="AB1227" s="5">
        <f t="shared" si="1244"/>
        <v>0</v>
      </c>
      <c r="AC1227" s="5">
        <f t="shared" si="1244"/>
        <v>0</v>
      </c>
      <c r="AD1227" s="5">
        <f t="shared" si="1244"/>
        <v>0</v>
      </c>
      <c r="AE1227" s="5">
        <f t="shared" si="1244"/>
        <v>0</v>
      </c>
      <c r="AF1227" s="5">
        <f t="shared" si="1244"/>
        <v>0</v>
      </c>
      <c r="AG1227" s="5">
        <f t="shared" si="1244"/>
        <v>0</v>
      </c>
      <c r="AH1227" s="5">
        <f t="shared" si="1244"/>
        <v>0</v>
      </c>
    </row>
    <row r="1228" spans="1:34" x14ac:dyDescent="0.35">
      <c r="A1228" t="s">
        <v>1248</v>
      </c>
      <c r="B1228" s="3" t="s">
        <v>1266</v>
      </c>
      <c r="C1228" s="4" t="s">
        <v>1267</v>
      </c>
      <c r="D1228" s="2">
        <f t="shared" si="1236"/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f t="shared" ref="W1228:AH1228" si="1245">IF(OR((SLOPE($E1228:$V1228,$E$1:$V$1)*W$1+INTERCEPT($E1228:$V1228,$E$1:$V$1))&gt;(AVERAGE($E1228:$V1228)+_xlfn.STDEV.P($E1228:$V1228)),(SLOPE($E1228:$V1228,$E$1:$V$1)*W$1+INTERCEPT($E1228:$V1228,$E$1:$V$1))&lt;(AVERAGE($E1228:$V1228)-_xlfn.STDEV.P($E1228:$V1228))),V1228,(SLOPE($E1228:$V1228,$E$1:$V$1)*W$1+INTERCEPT($E1228:$V1228,$E$1:$V$1)))</f>
        <v>0</v>
      </c>
      <c r="X1228" s="5">
        <f t="shared" si="1245"/>
        <v>0</v>
      </c>
      <c r="Y1228" s="5">
        <f t="shared" si="1245"/>
        <v>0</v>
      </c>
      <c r="Z1228" s="5">
        <f t="shared" si="1245"/>
        <v>0</v>
      </c>
      <c r="AA1228" s="5">
        <f t="shared" si="1245"/>
        <v>0</v>
      </c>
      <c r="AB1228" s="5">
        <f t="shared" si="1245"/>
        <v>0</v>
      </c>
      <c r="AC1228" s="5">
        <f t="shared" si="1245"/>
        <v>0</v>
      </c>
      <c r="AD1228" s="5">
        <f t="shared" si="1245"/>
        <v>0</v>
      </c>
      <c r="AE1228" s="5">
        <f t="shared" si="1245"/>
        <v>0</v>
      </c>
      <c r="AF1228" s="5">
        <f t="shared" si="1245"/>
        <v>0</v>
      </c>
      <c r="AG1228" s="5">
        <f t="shared" si="1245"/>
        <v>0</v>
      </c>
      <c r="AH1228" s="5">
        <f t="shared" si="1245"/>
        <v>0</v>
      </c>
    </row>
    <row r="1229" spans="1:34" x14ac:dyDescent="0.35">
      <c r="A1229" t="s">
        <v>1249</v>
      </c>
      <c r="B1229" s="3" t="s">
        <v>1266</v>
      </c>
      <c r="C1229" s="4" t="s">
        <v>1267</v>
      </c>
      <c r="D1229" s="2">
        <f t="shared" si="1236"/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f t="shared" ref="W1229:AH1229" si="1246">IF(OR((SLOPE($E1229:$V1229,$E$1:$V$1)*W$1+INTERCEPT($E1229:$V1229,$E$1:$V$1))&gt;(AVERAGE($E1229:$V1229)+_xlfn.STDEV.P($E1229:$V1229)),(SLOPE($E1229:$V1229,$E$1:$V$1)*W$1+INTERCEPT($E1229:$V1229,$E$1:$V$1))&lt;(AVERAGE($E1229:$V1229)-_xlfn.STDEV.P($E1229:$V1229))),V1229,(SLOPE($E1229:$V1229,$E$1:$V$1)*W$1+INTERCEPT($E1229:$V1229,$E$1:$V$1)))</f>
        <v>0</v>
      </c>
      <c r="X1229" s="5">
        <f t="shared" si="1246"/>
        <v>0</v>
      </c>
      <c r="Y1229" s="5">
        <f t="shared" si="1246"/>
        <v>0</v>
      </c>
      <c r="Z1229" s="5">
        <f t="shared" si="1246"/>
        <v>0</v>
      </c>
      <c r="AA1229" s="5">
        <f t="shared" si="1246"/>
        <v>0</v>
      </c>
      <c r="AB1229" s="5">
        <f t="shared" si="1246"/>
        <v>0</v>
      </c>
      <c r="AC1229" s="5">
        <f t="shared" si="1246"/>
        <v>0</v>
      </c>
      <c r="AD1229" s="5">
        <f t="shared" si="1246"/>
        <v>0</v>
      </c>
      <c r="AE1229" s="5">
        <f t="shared" si="1246"/>
        <v>0</v>
      </c>
      <c r="AF1229" s="5">
        <f t="shared" si="1246"/>
        <v>0</v>
      </c>
      <c r="AG1229" s="5">
        <f t="shared" si="1246"/>
        <v>0</v>
      </c>
      <c r="AH1229" s="5">
        <f t="shared" si="1246"/>
        <v>0</v>
      </c>
    </row>
    <row r="1230" spans="1:34" x14ac:dyDescent="0.35">
      <c r="A1230" t="s">
        <v>1250</v>
      </c>
      <c r="B1230" s="3" t="s">
        <v>1266</v>
      </c>
      <c r="C1230" s="4" t="s">
        <v>1267</v>
      </c>
      <c r="D1230" s="2">
        <f t="shared" si="1236"/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f t="shared" ref="W1230:AH1230" si="1247">IF(OR((SLOPE($E1230:$V1230,$E$1:$V$1)*W$1+INTERCEPT($E1230:$V1230,$E$1:$V$1))&gt;(AVERAGE($E1230:$V1230)+_xlfn.STDEV.P($E1230:$V1230)),(SLOPE($E1230:$V1230,$E$1:$V$1)*W$1+INTERCEPT($E1230:$V1230,$E$1:$V$1))&lt;(AVERAGE($E1230:$V1230)-_xlfn.STDEV.P($E1230:$V1230))),V1230,(SLOPE($E1230:$V1230,$E$1:$V$1)*W$1+INTERCEPT($E1230:$V1230,$E$1:$V$1)))</f>
        <v>0</v>
      </c>
      <c r="X1230" s="5">
        <f t="shared" si="1247"/>
        <v>0</v>
      </c>
      <c r="Y1230" s="5">
        <f t="shared" si="1247"/>
        <v>0</v>
      </c>
      <c r="Z1230" s="5">
        <f t="shared" si="1247"/>
        <v>0</v>
      </c>
      <c r="AA1230" s="5">
        <f t="shared" si="1247"/>
        <v>0</v>
      </c>
      <c r="AB1230" s="5">
        <f t="shared" si="1247"/>
        <v>0</v>
      </c>
      <c r="AC1230" s="5">
        <f t="shared" si="1247"/>
        <v>0</v>
      </c>
      <c r="AD1230" s="5">
        <f t="shared" si="1247"/>
        <v>0</v>
      </c>
      <c r="AE1230" s="5">
        <f t="shared" si="1247"/>
        <v>0</v>
      </c>
      <c r="AF1230" s="5">
        <f t="shared" si="1247"/>
        <v>0</v>
      </c>
      <c r="AG1230" s="5">
        <f t="shared" si="1247"/>
        <v>0</v>
      </c>
      <c r="AH1230" s="5">
        <f t="shared" si="1247"/>
        <v>0</v>
      </c>
    </row>
    <row r="1231" spans="1:34" x14ac:dyDescent="0.35">
      <c r="A1231" t="s">
        <v>1251</v>
      </c>
      <c r="B1231" s="3" t="s">
        <v>1266</v>
      </c>
      <c r="C1231" s="4" t="s">
        <v>1267</v>
      </c>
      <c r="D1231" s="2">
        <f t="shared" si="1236"/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f t="shared" ref="W1231:AH1231" si="1248">IF(OR((SLOPE($E1231:$V1231,$E$1:$V$1)*W$1+INTERCEPT($E1231:$V1231,$E$1:$V$1))&gt;(AVERAGE($E1231:$V1231)+_xlfn.STDEV.P($E1231:$V1231)),(SLOPE($E1231:$V1231,$E$1:$V$1)*W$1+INTERCEPT($E1231:$V1231,$E$1:$V$1))&lt;(AVERAGE($E1231:$V1231)-_xlfn.STDEV.P($E1231:$V1231))),V1231,(SLOPE($E1231:$V1231,$E$1:$V$1)*W$1+INTERCEPT($E1231:$V1231,$E$1:$V$1)))</f>
        <v>0</v>
      </c>
      <c r="X1231" s="5">
        <f t="shared" si="1248"/>
        <v>0</v>
      </c>
      <c r="Y1231" s="5">
        <f t="shared" si="1248"/>
        <v>0</v>
      </c>
      <c r="Z1231" s="5">
        <f t="shared" si="1248"/>
        <v>0</v>
      </c>
      <c r="AA1231" s="5">
        <f t="shared" si="1248"/>
        <v>0</v>
      </c>
      <c r="AB1231" s="5">
        <f t="shared" si="1248"/>
        <v>0</v>
      </c>
      <c r="AC1231" s="5">
        <f t="shared" si="1248"/>
        <v>0</v>
      </c>
      <c r="AD1231" s="5">
        <f t="shared" si="1248"/>
        <v>0</v>
      </c>
      <c r="AE1231" s="5">
        <f t="shared" si="1248"/>
        <v>0</v>
      </c>
      <c r="AF1231" s="5">
        <f t="shared" si="1248"/>
        <v>0</v>
      </c>
      <c r="AG1231" s="5">
        <f t="shared" si="1248"/>
        <v>0</v>
      </c>
      <c r="AH1231" s="5">
        <f t="shared" si="1248"/>
        <v>0</v>
      </c>
    </row>
    <row r="1232" spans="1:34" x14ac:dyDescent="0.35">
      <c r="A1232" t="s">
        <v>1252</v>
      </c>
      <c r="B1232" s="3" t="s">
        <v>1266</v>
      </c>
      <c r="C1232" s="4" t="s">
        <v>1267</v>
      </c>
      <c r="D1232" s="2">
        <f t="shared" si="1236"/>
        <v>0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f t="shared" ref="W1232:AH1232" si="1249">IF(OR((SLOPE($E1232:$V1232,$E$1:$V$1)*W$1+INTERCEPT($E1232:$V1232,$E$1:$V$1))&gt;(AVERAGE($E1232:$V1232)+_xlfn.STDEV.P($E1232:$V1232)),(SLOPE($E1232:$V1232,$E$1:$V$1)*W$1+INTERCEPT($E1232:$V1232,$E$1:$V$1))&lt;(AVERAGE($E1232:$V1232)-_xlfn.STDEV.P($E1232:$V1232))),V1232,(SLOPE($E1232:$V1232,$E$1:$V$1)*W$1+INTERCEPT($E1232:$V1232,$E$1:$V$1)))</f>
        <v>0</v>
      </c>
      <c r="X1232" s="5">
        <f t="shared" si="1249"/>
        <v>0</v>
      </c>
      <c r="Y1232" s="5">
        <f t="shared" si="1249"/>
        <v>0</v>
      </c>
      <c r="Z1232" s="5">
        <f t="shared" si="1249"/>
        <v>0</v>
      </c>
      <c r="AA1232" s="5">
        <f t="shared" si="1249"/>
        <v>0</v>
      </c>
      <c r="AB1232" s="5">
        <f t="shared" si="1249"/>
        <v>0</v>
      </c>
      <c r="AC1232" s="5">
        <f t="shared" si="1249"/>
        <v>0</v>
      </c>
      <c r="AD1232" s="5">
        <f t="shared" si="1249"/>
        <v>0</v>
      </c>
      <c r="AE1232" s="5">
        <f t="shared" si="1249"/>
        <v>0</v>
      </c>
      <c r="AF1232" s="5">
        <f t="shared" si="1249"/>
        <v>0</v>
      </c>
      <c r="AG1232" s="5">
        <f t="shared" si="1249"/>
        <v>0</v>
      </c>
      <c r="AH1232" s="5">
        <f t="shared" si="1249"/>
        <v>0</v>
      </c>
    </row>
    <row r="1233" spans="1:34" x14ac:dyDescent="0.35">
      <c r="A1233" t="s">
        <v>1253</v>
      </c>
      <c r="B1233" s="3" t="s">
        <v>1266</v>
      </c>
      <c r="C1233" s="4" t="s">
        <v>1267</v>
      </c>
      <c r="D1233" s="2">
        <f t="shared" si="1236"/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f t="shared" ref="W1233:AH1233" si="1250">IF(OR((SLOPE($E1233:$V1233,$E$1:$V$1)*W$1+INTERCEPT($E1233:$V1233,$E$1:$V$1))&gt;(AVERAGE($E1233:$V1233)+_xlfn.STDEV.P($E1233:$V1233)),(SLOPE($E1233:$V1233,$E$1:$V$1)*W$1+INTERCEPT($E1233:$V1233,$E$1:$V$1))&lt;(AVERAGE($E1233:$V1233)-_xlfn.STDEV.P($E1233:$V1233))),V1233,(SLOPE($E1233:$V1233,$E$1:$V$1)*W$1+INTERCEPT($E1233:$V1233,$E$1:$V$1)))</f>
        <v>0</v>
      </c>
      <c r="X1233" s="5">
        <f t="shared" si="1250"/>
        <v>0</v>
      </c>
      <c r="Y1233" s="5">
        <f t="shared" si="1250"/>
        <v>0</v>
      </c>
      <c r="Z1233" s="5">
        <f t="shared" si="1250"/>
        <v>0</v>
      </c>
      <c r="AA1233" s="5">
        <f t="shared" si="1250"/>
        <v>0</v>
      </c>
      <c r="AB1233" s="5">
        <f t="shared" si="1250"/>
        <v>0</v>
      </c>
      <c r="AC1233" s="5">
        <f t="shared" si="1250"/>
        <v>0</v>
      </c>
      <c r="AD1233" s="5">
        <f t="shared" si="1250"/>
        <v>0</v>
      </c>
      <c r="AE1233" s="5">
        <f t="shared" si="1250"/>
        <v>0</v>
      </c>
      <c r="AF1233" s="5">
        <f t="shared" si="1250"/>
        <v>0</v>
      </c>
      <c r="AG1233" s="5">
        <f t="shared" si="1250"/>
        <v>0</v>
      </c>
      <c r="AH1233" s="5">
        <f t="shared" si="1250"/>
        <v>0</v>
      </c>
    </row>
    <row r="1234" spans="1:34" x14ac:dyDescent="0.35">
      <c r="A1234" t="s">
        <v>1254</v>
      </c>
      <c r="B1234" s="3" t="s">
        <v>1266</v>
      </c>
      <c r="C1234" s="4" t="s">
        <v>1267</v>
      </c>
      <c r="D1234" s="2">
        <f t="shared" si="1236"/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f t="shared" ref="W1234:AH1234" si="1251">IF(OR((SLOPE($E1234:$V1234,$E$1:$V$1)*W$1+INTERCEPT($E1234:$V1234,$E$1:$V$1))&gt;(AVERAGE($E1234:$V1234)+_xlfn.STDEV.P($E1234:$V1234)),(SLOPE($E1234:$V1234,$E$1:$V$1)*W$1+INTERCEPT($E1234:$V1234,$E$1:$V$1))&lt;(AVERAGE($E1234:$V1234)-_xlfn.STDEV.P($E1234:$V1234))),V1234,(SLOPE($E1234:$V1234,$E$1:$V$1)*W$1+INTERCEPT($E1234:$V1234,$E$1:$V$1)))</f>
        <v>0</v>
      </c>
      <c r="X1234" s="5">
        <f t="shared" si="1251"/>
        <v>0</v>
      </c>
      <c r="Y1234" s="5">
        <f t="shared" si="1251"/>
        <v>0</v>
      </c>
      <c r="Z1234" s="5">
        <f t="shared" si="1251"/>
        <v>0</v>
      </c>
      <c r="AA1234" s="5">
        <f t="shared" si="1251"/>
        <v>0</v>
      </c>
      <c r="AB1234" s="5">
        <f t="shared" si="1251"/>
        <v>0</v>
      </c>
      <c r="AC1234" s="5">
        <f t="shared" si="1251"/>
        <v>0</v>
      </c>
      <c r="AD1234" s="5">
        <f t="shared" si="1251"/>
        <v>0</v>
      </c>
      <c r="AE1234" s="5">
        <f t="shared" si="1251"/>
        <v>0</v>
      </c>
      <c r="AF1234" s="5">
        <f t="shared" si="1251"/>
        <v>0</v>
      </c>
      <c r="AG1234" s="5">
        <f t="shared" si="1251"/>
        <v>0</v>
      </c>
      <c r="AH1234" s="5">
        <f t="shared" si="1251"/>
        <v>0</v>
      </c>
    </row>
    <row r="1235" spans="1:34" x14ac:dyDescent="0.35">
      <c r="A1235" t="s">
        <v>1255</v>
      </c>
      <c r="B1235" s="3" t="s">
        <v>1266</v>
      </c>
      <c r="C1235" s="4" t="s">
        <v>1267</v>
      </c>
      <c r="D1235" s="2">
        <f t="shared" si="1236"/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f t="shared" ref="W1235:AH1235" si="1252">IF(OR((SLOPE($E1235:$V1235,$E$1:$V$1)*W$1+INTERCEPT($E1235:$V1235,$E$1:$V$1))&gt;(AVERAGE($E1235:$V1235)+_xlfn.STDEV.P($E1235:$V1235)),(SLOPE($E1235:$V1235,$E$1:$V$1)*W$1+INTERCEPT($E1235:$V1235,$E$1:$V$1))&lt;(AVERAGE($E1235:$V1235)-_xlfn.STDEV.P($E1235:$V1235))),V1235,(SLOPE($E1235:$V1235,$E$1:$V$1)*W$1+INTERCEPT($E1235:$V1235,$E$1:$V$1)))</f>
        <v>0</v>
      </c>
      <c r="X1235" s="5">
        <f t="shared" si="1252"/>
        <v>0</v>
      </c>
      <c r="Y1235" s="5">
        <f t="shared" si="1252"/>
        <v>0</v>
      </c>
      <c r="Z1235" s="5">
        <f t="shared" si="1252"/>
        <v>0</v>
      </c>
      <c r="AA1235" s="5">
        <f t="shared" si="1252"/>
        <v>0</v>
      </c>
      <c r="AB1235" s="5">
        <f t="shared" si="1252"/>
        <v>0</v>
      </c>
      <c r="AC1235" s="5">
        <f t="shared" si="1252"/>
        <v>0</v>
      </c>
      <c r="AD1235" s="5">
        <f t="shared" si="1252"/>
        <v>0</v>
      </c>
      <c r="AE1235" s="5">
        <f t="shared" si="1252"/>
        <v>0</v>
      </c>
      <c r="AF1235" s="5">
        <f t="shared" si="1252"/>
        <v>0</v>
      </c>
      <c r="AG1235" s="5">
        <f t="shared" si="1252"/>
        <v>0</v>
      </c>
      <c r="AH1235" s="5">
        <f t="shared" si="1252"/>
        <v>0</v>
      </c>
    </row>
    <row r="1236" spans="1:34" x14ac:dyDescent="0.35">
      <c r="A1236" t="s">
        <v>1256</v>
      </c>
      <c r="B1236" s="3" t="s">
        <v>1266</v>
      </c>
      <c r="C1236" s="4" t="s">
        <v>1267</v>
      </c>
      <c r="D1236" s="2">
        <f t="shared" si="1236"/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f t="shared" ref="W1236:AH1236" si="1253">IF(OR((SLOPE($E1236:$V1236,$E$1:$V$1)*W$1+INTERCEPT($E1236:$V1236,$E$1:$V$1))&gt;(AVERAGE($E1236:$V1236)+_xlfn.STDEV.P($E1236:$V1236)),(SLOPE($E1236:$V1236,$E$1:$V$1)*W$1+INTERCEPT($E1236:$V1236,$E$1:$V$1))&lt;(AVERAGE($E1236:$V1236)-_xlfn.STDEV.P($E1236:$V1236))),V1236,(SLOPE($E1236:$V1236,$E$1:$V$1)*W$1+INTERCEPT($E1236:$V1236,$E$1:$V$1)))</f>
        <v>0</v>
      </c>
      <c r="X1236" s="5">
        <f t="shared" si="1253"/>
        <v>0</v>
      </c>
      <c r="Y1236" s="5">
        <f t="shared" si="1253"/>
        <v>0</v>
      </c>
      <c r="Z1236" s="5">
        <f t="shared" si="1253"/>
        <v>0</v>
      </c>
      <c r="AA1236" s="5">
        <f t="shared" si="1253"/>
        <v>0</v>
      </c>
      <c r="AB1236" s="5">
        <f t="shared" si="1253"/>
        <v>0</v>
      </c>
      <c r="AC1236" s="5">
        <f t="shared" si="1253"/>
        <v>0</v>
      </c>
      <c r="AD1236" s="5">
        <f t="shared" si="1253"/>
        <v>0</v>
      </c>
      <c r="AE1236" s="5">
        <f t="shared" si="1253"/>
        <v>0</v>
      </c>
      <c r="AF1236" s="5">
        <f t="shared" si="1253"/>
        <v>0</v>
      </c>
      <c r="AG1236" s="5">
        <f t="shared" si="1253"/>
        <v>0</v>
      </c>
      <c r="AH1236" s="5">
        <f t="shared" si="1253"/>
        <v>0</v>
      </c>
    </row>
    <row r="1237" spans="1:34" x14ac:dyDescent="0.35">
      <c r="A1237" t="s">
        <v>1257</v>
      </c>
      <c r="B1237" s="3" t="s">
        <v>1266</v>
      </c>
      <c r="C1237" s="4" t="s">
        <v>1267</v>
      </c>
      <c r="D1237" s="2">
        <f t="shared" si="1236"/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f t="shared" ref="W1237:AH1237" si="1254">IF(OR((SLOPE($E1237:$V1237,$E$1:$V$1)*W$1+INTERCEPT($E1237:$V1237,$E$1:$V$1))&gt;(AVERAGE($E1237:$V1237)+_xlfn.STDEV.P($E1237:$V1237)),(SLOPE($E1237:$V1237,$E$1:$V$1)*W$1+INTERCEPT($E1237:$V1237,$E$1:$V$1))&lt;(AVERAGE($E1237:$V1237)-_xlfn.STDEV.P($E1237:$V1237))),V1237,(SLOPE($E1237:$V1237,$E$1:$V$1)*W$1+INTERCEPT($E1237:$V1237,$E$1:$V$1)))</f>
        <v>0</v>
      </c>
      <c r="X1237" s="5">
        <f t="shared" si="1254"/>
        <v>0</v>
      </c>
      <c r="Y1237" s="5">
        <f t="shared" si="1254"/>
        <v>0</v>
      </c>
      <c r="Z1237" s="5">
        <f t="shared" si="1254"/>
        <v>0</v>
      </c>
      <c r="AA1237" s="5">
        <f t="shared" si="1254"/>
        <v>0</v>
      </c>
      <c r="AB1237" s="5">
        <f t="shared" si="1254"/>
        <v>0</v>
      </c>
      <c r="AC1237" s="5">
        <f t="shared" si="1254"/>
        <v>0</v>
      </c>
      <c r="AD1237" s="5">
        <f t="shared" si="1254"/>
        <v>0</v>
      </c>
      <c r="AE1237" s="5">
        <f t="shared" si="1254"/>
        <v>0</v>
      </c>
      <c r="AF1237" s="5">
        <f t="shared" si="1254"/>
        <v>0</v>
      </c>
      <c r="AG1237" s="5">
        <f t="shared" si="1254"/>
        <v>0</v>
      </c>
      <c r="AH1237" s="5">
        <f t="shared" si="1254"/>
        <v>0</v>
      </c>
    </row>
    <row r="1238" spans="1:34" x14ac:dyDescent="0.35">
      <c r="A1238" t="s">
        <v>1258</v>
      </c>
      <c r="B1238" s="3" t="s">
        <v>1266</v>
      </c>
      <c r="C1238" s="4" t="s">
        <v>1267</v>
      </c>
      <c r="D1238" s="2">
        <f t="shared" si="1236"/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f t="shared" ref="W1238:AH1238" si="1255">IF(OR((SLOPE($E1238:$V1238,$E$1:$V$1)*W$1+INTERCEPT($E1238:$V1238,$E$1:$V$1))&gt;(AVERAGE($E1238:$V1238)+_xlfn.STDEV.P($E1238:$V1238)),(SLOPE($E1238:$V1238,$E$1:$V$1)*W$1+INTERCEPT($E1238:$V1238,$E$1:$V$1))&lt;(AVERAGE($E1238:$V1238)-_xlfn.STDEV.P($E1238:$V1238))),V1238,(SLOPE($E1238:$V1238,$E$1:$V$1)*W$1+INTERCEPT($E1238:$V1238,$E$1:$V$1)))</f>
        <v>0</v>
      </c>
      <c r="X1238" s="5">
        <f t="shared" si="1255"/>
        <v>0</v>
      </c>
      <c r="Y1238" s="5">
        <f t="shared" si="1255"/>
        <v>0</v>
      </c>
      <c r="Z1238" s="5">
        <f t="shared" si="1255"/>
        <v>0</v>
      </c>
      <c r="AA1238" s="5">
        <f t="shared" si="1255"/>
        <v>0</v>
      </c>
      <c r="AB1238" s="5">
        <f t="shared" si="1255"/>
        <v>0</v>
      </c>
      <c r="AC1238" s="5">
        <f t="shared" si="1255"/>
        <v>0</v>
      </c>
      <c r="AD1238" s="5">
        <f t="shared" si="1255"/>
        <v>0</v>
      </c>
      <c r="AE1238" s="5">
        <f t="shared" si="1255"/>
        <v>0</v>
      </c>
      <c r="AF1238" s="5">
        <f t="shared" si="1255"/>
        <v>0</v>
      </c>
      <c r="AG1238" s="5">
        <f t="shared" si="1255"/>
        <v>0</v>
      </c>
      <c r="AH1238" s="5">
        <f t="shared" si="1255"/>
        <v>0</v>
      </c>
    </row>
    <row r="1239" spans="1:34" x14ac:dyDescent="0.35">
      <c r="A1239" t="s">
        <v>1259</v>
      </c>
      <c r="B1239" s="3" t="s">
        <v>1266</v>
      </c>
      <c r="C1239" s="4" t="s">
        <v>1267</v>
      </c>
      <c r="D1239" s="2">
        <f t="shared" si="1236"/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f t="shared" ref="W1239:AH1239" si="1256">IF(OR((SLOPE($E1239:$V1239,$E$1:$V$1)*W$1+INTERCEPT($E1239:$V1239,$E$1:$V$1))&gt;(AVERAGE($E1239:$V1239)+_xlfn.STDEV.P($E1239:$V1239)),(SLOPE($E1239:$V1239,$E$1:$V$1)*W$1+INTERCEPT($E1239:$V1239,$E$1:$V$1))&lt;(AVERAGE($E1239:$V1239)-_xlfn.STDEV.P($E1239:$V1239))),V1239,(SLOPE($E1239:$V1239,$E$1:$V$1)*W$1+INTERCEPT($E1239:$V1239,$E$1:$V$1)))</f>
        <v>0</v>
      </c>
      <c r="X1239" s="5">
        <f t="shared" si="1256"/>
        <v>0</v>
      </c>
      <c r="Y1239" s="5">
        <f t="shared" si="1256"/>
        <v>0</v>
      </c>
      <c r="Z1239" s="5">
        <f t="shared" si="1256"/>
        <v>0</v>
      </c>
      <c r="AA1239" s="5">
        <f t="shared" si="1256"/>
        <v>0</v>
      </c>
      <c r="AB1239" s="5">
        <f t="shared" si="1256"/>
        <v>0</v>
      </c>
      <c r="AC1239" s="5">
        <f t="shared" si="1256"/>
        <v>0</v>
      </c>
      <c r="AD1239" s="5">
        <f t="shared" si="1256"/>
        <v>0</v>
      </c>
      <c r="AE1239" s="5">
        <f t="shared" si="1256"/>
        <v>0</v>
      </c>
      <c r="AF1239" s="5">
        <f t="shared" si="1256"/>
        <v>0</v>
      </c>
      <c r="AG1239" s="5">
        <f t="shared" si="1256"/>
        <v>0</v>
      </c>
      <c r="AH1239" s="5">
        <f t="shared" si="1256"/>
        <v>0</v>
      </c>
    </row>
    <row r="1240" spans="1:34" x14ac:dyDescent="0.35">
      <c r="A1240" t="s">
        <v>1260</v>
      </c>
      <c r="B1240" s="3" t="s">
        <v>1266</v>
      </c>
      <c r="C1240" s="4" t="s">
        <v>1267</v>
      </c>
      <c r="D1240" s="2">
        <f t="shared" si="1236"/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f t="shared" ref="W1240:AH1240" si="1257">IF(OR((SLOPE($E1240:$V1240,$E$1:$V$1)*W$1+INTERCEPT($E1240:$V1240,$E$1:$V$1))&gt;(AVERAGE($E1240:$V1240)+_xlfn.STDEV.P($E1240:$V1240)),(SLOPE($E1240:$V1240,$E$1:$V$1)*W$1+INTERCEPT($E1240:$V1240,$E$1:$V$1))&lt;(AVERAGE($E1240:$V1240)-_xlfn.STDEV.P($E1240:$V1240))),V1240,(SLOPE($E1240:$V1240,$E$1:$V$1)*W$1+INTERCEPT($E1240:$V1240,$E$1:$V$1)))</f>
        <v>0</v>
      </c>
      <c r="X1240" s="5">
        <f t="shared" si="1257"/>
        <v>0</v>
      </c>
      <c r="Y1240" s="5">
        <f t="shared" si="1257"/>
        <v>0</v>
      </c>
      <c r="Z1240" s="5">
        <f t="shared" si="1257"/>
        <v>0</v>
      </c>
      <c r="AA1240" s="5">
        <f t="shared" si="1257"/>
        <v>0</v>
      </c>
      <c r="AB1240" s="5">
        <f t="shared" si="1257"/>
        <v>0</v>
      </c>
      <c r="AC1240" s="5">
        <f t="shared" si="1257"/>
        <v>0</v>
      </c>
      <c r="AD1240" s="5">
        <f t="shared" si="1257"/>
        <v>0</v>
      </c>
      <c r="AE1240" s="5">
        <f t="shared" si="1257"/>
        <v>0</v>
      </c>
      <c r="AF1240" s="5">
        <f t="shared" si="1257"/>
        <v>0</v>
      </c>
      <c r="AG1240" s="5">
        <f t="shared" si="1257"/>
        <v>0</v>
      </c>
      <c r="AH1240" s="5">
        <f t="shared" si="1257"/>
        <v>0</v>
      </c>
    </row>
    <row r="1241" spans="1:34" x14ac:dyDescent="0.35">
      <c r="A1241" t="s">
        <v>1261</v>
      </c>
      <c r="B1241" s="3" t="s">
        <v>1266</v>
      </c>
      <c r="C1241" s="4" t="s">
        <v>1267</v>
      </c>
      <c r="D1241" s="2">
        <f t="shared" si="1236"/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f t="shared" ref="W1241:AH1241" si="1258">IF(OR((SLOPE($E1241:$V1241,$E$1:$V$1)*W$1+INTERCEPT($E1241:$V1241,$E$1:$V$1))&gt;(AVERAGE($E1241:$V1241)+_xlfn.STDEV.P($E1241:$V1241)),(SLOPE($E1241:$V1241,$E$1:$V$1)*W$1+INTERCEPT($E1241:$V1241,$E$1:$V$1))&lt;(AVERAGE($E1241:$V1241)-_xlfn.STDEV.P($E1241:$V1241))),V1241,(SLOPE($E1241:$V1241,$E$1:$V$1)*W$1+INTERCEPT($E1241:$V1241,$E$1:$V$1)))</f>
        <v>0</v>
      </c>
      <c r="X1241" s="5">
        <f t="shared" si="1258"/>
        <v>0</v>
      </c>
      <c r="Y1241" s="5">
        <f t="shared" si="1258"/>
        <v>0</v>
      </c>
      <c r="Z1241" s="5">
        <f t="shared" si="1258"/>
        <v>0</v>
      </c>
      <c r="AA1241" s="5">
        <f t="shared" si="1258"/>
        <v>0</v>
      </c>
      <c r="AB1241" s="5">
        <f t="shared" si="1258"/>
        <v>0</v>
      </c>
      <c r="AC1241" s="5">
        <f t="shared" si="1258"/>
        <v>0</v>
      </c>
      <c r="AD1241" s="5">
        <f t="shared" si="1258"/>
        <v>0</v>
      </c>
      <c r="AE1241" s="5">
        <f t="shared" si="1258"/>
        <v>0</v>
      </c>
      <c r="AF1241" s="5">
        <f t="shared" si="1258"/>
        <v>0</v>
      </c>
      <c r="AG1241" s="5">
        <f t="shared" si="1258"/>
        <v>0</v>
      </c>
      <c r="AH1241" s="5">
        <f t="shared" si="1258"/>
        <v>0</v>
      </c>
    </row>
  </sheetData>
  <autoFilter ref="A3:AH3" xr:uid="{A43A2497-863C-4D5B-B2C0-ABDAF52F9390}"/>
  <phoneticPr fontId="3" type="noConversion"/>
  <conditionalFormatting sqref="B4:B1241">
    <cfRule type="containsText" dxfId="5" priority="4" operator="containsText" text="C">
      <formula>NOT(ISERROR(SEARCH("C",B4)))</formula>
    </cfRule>
    <cfRule type="containsText" dxfId="4" priority="5" operator="containsText" text="B">
      <formula>NOT(ISERROR(SEARCH("B",B4)))</formula>
    </cfRule>
    <cfRule type="containsText" dxfId="3" priority="6" operator="containsText" text="A">
      <formula>NOT(ISERROR(SEARCH("A",B4)))</formula>
    </cfRule>
  </conditionalFormatting>
  <conditionalFormatting sqref="C4:C1241">
    <cfRule type="containsText" dxfId="2" priority="1" operator="containsText" text="Z">
      <formula>NOT(ISERROR(SEARCH("Z",C4)))</formula>
    </cfRule>
    <cfRule type="containsText" dxfId="1" priority="2" operator="containsText" text="Y">
      <formula>NOT(ISERROR(SEARCH("Y",C4)))</formula>
    </cfRule>
    <cfRule type="containsText" dxfId="0" priority="3" operator="containsText" text="X">
      <formula>NOT(ISERROR(SEARCH("X",C4)))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711A-D146-465D-B654-7AD02DCCE3F3}">
  <dimension ref="A1:L38"/>
  <sheetViews>
    <sheetView tabSelected="1" zoomScale="115" zoomScaleNormal="115" workbookViewId="0">
      <pane ySplit="1" topLeftCell="A23" activePane="bottomLeft" state="frozen"/>
      <selection activeCell="B1" sqref="B1"/>
      <selection pane="bottomLeft" activeCell="B35" sqref="B35"/>
    </sheetView>
  </sheetViews>
  <sheetFormatPr defaultRowHeight="14.5" x14ac:dyDescent="0.35"/>
  <cols>
    <col min="1" max="1" width="36.453125" bestFit="1" customWidth="1"/>
    <col min="2" max="2" width="9.36328125" bestFit="1" customWidth="1"/>
    <col min="4" max="4" width="11.1796875" bestFit="1" customWidth="1"/>
    <col min="5" max="5" width="14.54296875" bestFit="1" customWidth="1"/>
    <col min="6" max="6" width="14.1796875" bestFit="1" customWidth="1"/>
    <col min="7" max="7" width="23.1796875" bestFit="1" customWidth="1"/>
    <col min="8" max="8" width="19.90625" bestFit="1" customWidth="1"/>
    <col min="9" max="9" width="13.1796875" bestFit="1" customWidth="1"/>
    <col min="10" max="10" width="12.90625" style="1" bestFit="1" customWidth="1"/>
    <col min="11" max="11" width="13.1796875" bestFit="1" customWidth="1"/>
  </cols>
  <sheetData>
    <row r="1" spans="1:12" x14ac:dyDescent="0.35">
      <c r="A1" t="s">
        <v>24</v>
      </c>
      <c r="B1" s="1" t="s">
        <v>1270</v>
      </c>
      <c r="C1" s="1" t="s">
        <v>1269</v>
      </c>
      <c r="D1" s="1" t="s">
        <v>1276</v>
      </c>
      <c r="E1" s="1" t="s">
        <v>1279</v>
      </c>
      <c r="F1" s="1" t="s">
        <v>1277</v>
      </c>
      <c r="G1" s="1" t="s">
        <v>1278</v>
      </c>
      <c r="H1" s="1" t="s">
        <v>1291</v>
      </c>
      <c r="I1" s="1" t="s">
        <v>1295</v>
      </c>
      <c r="J1" s="7" t="s">
        <v>1293</v>
      </c>
      <c r="K1" s="5">
        <f>INTERCEPT(B2:B19,C2:C19)</f>
        <v>1085682.9039763757</v>
      </c>
    </row>
    <row r="2" spans="1:12" x14ac:dyDescent="0.35">
      <c r="A2" s="1" t="s">
        <v>6</v>
      </c>
      <c r="B2" s="5">
        <v>691108.17869163095</v>
      </c>
      <c r="C2">
        <v>1</v>
      </c>
      <c r="D2" s="5">
        <f t="shared" ref="D2:D25" si="0">C2*$K$2+$K$1</f>
        <v>1098243.8706113819</v>
      </c>
      <c r="E2" s="5"/>
      <c r="F2" s="5"/>
      <c r="G2" s="5"/>
      <c r="H2" s="5">
        <f>B2-D2</f>
        <v>-407135.691919751</v>
      </c>
      <c r="I2" s="5">
        <f>ABS(H2)</f>
        <v>407135.691919751</v>
      </c>
      <c r="J2" s="7" t="s">
        <v>1294</v>
      </c>
      <c r="K2" s="5">
        <f>SLOPE(B2:B19,C2:C19)</f>
        <v>12560.966635006313</v>
      </c>
    </row>
    <row r="3" spans="1:12" x14ac:dyDescent="0.35">
      <c r="A3" s="1" t="s">
        <v>7</v>
      </c>
      <c r="B3" s="5">
        <v>1160000.3584567755</v>
      </c>
      <c r="C3">
        <v>2</v>
      </c>
      <c r="D3" s="5">
        <f t="shared" si="0"/>
        <v>1110804.8372463884</v>
      </c>
      <c r="E3" s="5"/>
      <c r="F3" s="5"/>
      <c r="G3" s="5"/>
      <c r="H3" s="5">
        <f t="shared" ref="H3:H19" si="1">B3-D3</f>
        <v>49195.521210387116</v>
      </c>
      <c r="I3" s="5">
        <f t="shared" ref="I3:I19" si="2">ABS(H3)</f>
        <v>49195.521210387116</v>
      </c>
      <c r="J3" s="7" t="s">
        <v>1290</v>
      </c>
      <c r="K3" s="5">
        <f>AVERAGE(I2:I19)</f>
        <v>235436.14672889854</v>
      </c>
      <c r="L3" s="6">
        <f>K3/K4</f>
        <v>0.76363770820933896</v>
      </c>
    </row>
    <row r="4" spans="1:12" x14ac:dyDescent="0.35">
      <c r="A4" s="1" t="s">
        <v>8</v>
      </c>
      <c r="B4" s="5">
        <v>1460091.353506468</v>
      </c>
      <c r="C4">
        <v>3</v>
      </c>
      <c r="D4" s="5">
        <f t="shared" si="0"/>
        <v>1123365.8038813947</v>
      </c>
      <c r="E4" s="5"/>
      <c r="F4" s="5"/>
      <c r="G4" s="5"/>
      <c r="H4" s="5">
        <f t="shared" si="1"/>
        <v>336725.54962507333</v>
      </c>
      <c r="I4" s="5">
        <f t="shared" si="2"/>
        <v>336725.54962507333</v>
      </c>
      <c r="J4" s="7" t="s">
        <v>1292</v>
      </c>
      <c r="K4" s="5">
        <f>_xlfn.STDEV.P(B2:B19)</f>
        <v>308308.69690939557</v>
      </c>
    </row>
    <row r="5" spans="1:12" x14ac:dyDescent="0.35">
      <c r="A5" s="1" t="s">
        <v>9</v>
      </c>
      <c r="B5" s="5">
        <v>1167174.1927278368</v>
      </c>
      <c r="C5">
        <v>4</v>
      </c>
      <c r="D5" s="5">
        <f t="shared" si="0"/>
        <v>1135926.7705164009</v>
      </c>
      <c r="E5" s="5"/>
      <c r="F5" s="5"/>
      <c r="G5" s="5"/>
      <c r="H5" s="5">
        <f t="shared" si="1"/>
        <v>31247.422211435856</v>
      </c>
      <c r="I5" s="5">
        <f t="shared" si="2"/>
        <v>31247.422211435856</v>
      </c>
    </row>
    <row r="6" spans="1:12" x14ac:dyDescent="0.35">
      <c r="A6" s="1" t="s">
        <v>10</v>
      </c>
      <c r="B6" s="5">
        <v>1269941.5294542434</v>
      </c>
      <c r="C6">
        <v>5</v>
      </c>
      <c r="D6" s="5">
        <f t="shared" si="0"/>
        <v>1148487.7371514072</v>
      </c>
      <c r="E6" s="5"/>
      <c r="F6" s="5"/>
      <c r="G6" s="5"/>
      <c r="H6" s="5">
        <f t="shared" si="1"/>
        <v>121453.7923028362</v>
      </c>
      <c r="I6" s="5">
        <f t="shared" si="2"/>
        <v>121453.7923028362</v>
      </c>
    </row>
    <row r="7" spans="1:12" x14ac:dyDescent="0.35">
      <c r="A7" s="1" t="s">
        <v>11</v>
      </c>
      <c r="B7" s="5">
        <v>1006627.2390110155</v>
      </c>
      <c r="C7">
        <v>6</v>
      </c>
      <c r="D7" s="5">
        <f t="shared" si="0"/>
        <v>1161048.7037864137</v>
      </c>
      <c r="E7" s="5"/>
      <c r="F7" s="5"/>
      <c r="G7" s="5"/>
      <c r="H7" s="5">
        <f t="shared" si="1"/>
        <v>-154421.46477539814</v>
      </c>
      <c r="I7" s="5">
        <f t="shared" si="2"/>
        <v>154421.46477539814</v>
      </c>
    </row>
    <row r="8" spans="1:12" x14ac:dyDescent="0.35">
      <c r="A8" s="1" t="s">
        <v>12</v>
      </c>
      <c r="B8" s="5">
        <v>1270200.8246688603</v>
      </c>
      <c r="C8">
        <v>7</v>
      </c>
      <c r="D8" s="5">
        <f t="shared" si="0"/>
        <v>1173609.6704214199</v>
      </c>
      <c r="E8" s="5"/>
      <c r="F8" s="5"/>
      <c r="G8" s="5"/>
      <c r="H8" s="5">
        <f t="shared" si="1"/>
        <v>96591.154247440398</v>
      </c>
      <c r="I8" s="5">
        <f t="shared" si="2"/>
        <v>96591.154247440398</v>
      </c>
    </row>
    <row r="9" spans="1:12" x14ac:dyDescent="0.35">
      <c r="A9" s="1" t="s">
        <v>13</v>
      </c>
      <c r="B9" s="5">
        <v>900229.76927997498</v>
      </c>
      <c r="C9">
        <v>8</v>
      </c>
      <c r="D9" s="5">
        <f t="shared" si="0"/>
        <v>1186170.6370564261</v>
      </c>
      <c r="E9" s="5"/>
      <c r="F9" s="5"/>
      <c r="G9" s="5"/>
      <c r="H9" s="5">
        <f t="shared" si="1"/>
        <v>-285940.86777645117</v>
      </c>
      <c r="I9" s="5">
        <f t="shared" si="2"/>
        <v>285940.86777645117</v>
      </c>
    </row>
    <row r="10" spans="1:12" x14ac:dyDescent="0.35">
      <c r="A10" s="1" t="s">
        <v>14</v>
      </c>
      <c r="B10" s="5">
        <v>1540991.4604668689</v>
      </c>
      <c r="C10">
        <v>9</v>
      </c>
      <c r="D10" s="5">
        <f t="shared" si="0"/>
        <v>1198731.6036914326</v>
      </c>
      <c r="E10" s="5"/>
      <c r="F10" s="5"/>
      <c r="G10" s="5"/>
      <c r="H10" s="5">
        <f t="shared" si="1"/>
        <v>342259.85677543632</v>
      </c>
      <c r="I10" s="5">
        <f t="shared" si="2"/>
        <v>342259.85677543632</v>
      </c>
    </row>
    <row r="11" spans="1:12" x14ac:dyDescent="0.35">
      <c r="A11" s="1" t="s">
        <v>15</v>
      </c>
      <c r="B11" s="5">
        <v>835492.39736401325</v>
      </c>
      <c r="C11">
        <v>10</v>
      </c>
      <c r="D11" s="5">
        <f t="shared" si="0"/>
        <v>1211292.5703264389</v>
      </c>
      <c r="F11" s="5"/>
      <c r="G11" s="5"/>
      <c r="H11" s="5">
        <f t="shared" si="1"/>
        <v>-375800.17296242563</v>
      </c>
      <c r="I11" s="5">
        <f t="shared" si="2"/>
        <v>375800.17296242563</v>
      </c>
    </row>
    <row r="12" spans="1:12" x14ac:dyDescent="0.35">
      <c r="A12" s="1" t="s">
        <v>16</v>
      </c>
      <c r="B12" s="5">
        <v>1782957.111573325</v>
      </c>
      <c r="C12">
        <v>11</v>
      </c>
      <c r="D12" s="5">
        <f t="shared" si="0"/>
        <v>1223853.5369614451</v>
      </c>
      <c r="E12" s="5">
        <f>AVERAGE(B2:B11)</f>
        <v>1130185.7303627688</v>
      </c>
      <c r="F12" s="5"/>
      <c r="G12" s="5"/>
      <c r="H12" s="5">
        <f t="shared" si="1"/>
        <v>559103.57461187989</v>
      </c>
      <c r="I12" s="5">
        <f t="shared" si="2"/>
        <v>559103.57461187989</v>
      </c>
    </row>
    <row r="13" spans="1:12" x14ac:dyDescent="0.35">
      <c r="A13" s="1" t="s">
        <v>17</v>
      </c>
      <c r="B13" s="5">
        <v>1490169.5984020017</v>
      </c>
      <c r="C13">
        <v>12</v>
      </c>
      <c r="D13" s="5">
        <f t="shared" si="0"/>
        <v>1236414.5035964514</v>
      </c>
      <c r="E13" s="5">
        <f t="shared" ref="E13:E25" si="3">AVERAGE(B3:B12)</f>
        <v>1239370.6236509383</v>
      </c>
      <c r="F13" s="5"/>
      <c r="G13" s="5"/>
      <c r="H13" s="5">
        <f t="shared" si="1"/>
        <v>253755.0948055503</v>
      </c>
      <c r="I13" s="5">
        <f t="shared" si="2"/>
        <v>253755.0948055503</v>
      </c>
    </row>
    <row r="14" spans="1:12" x14ac:dyDescent="0.35">
      <c r="A14" s="1" t="s">
        <v>18</v>
      </c>
      <c r="B14" s="5">
        <v>539420.47814087896</v>
      </c>
      <c r="C14">
        <v>13</v>
      </c>
      <c r="D14" s="5">
        <f t="shared" si="0"/>
        <v>1248975.4702314578</v>
      </c>
      <c r="E14" s="5">
        <f t="shared" si="3"/>
        <v>1272387.5476454608</v>
      </c>
      <c r="F14" s="5">
        <f t="shared" ref="F14:F31" si="4">B2</f>
        <v>691108.17869163095</v>
      </c>
      <c r="G14" s="5"/>
      <c r="H14" s="5">
        <f t="shared" si="1"/>
        <v>-709554.99209057889</v>
      </c>
      <c r="I14" s="5">
        <f t="shared" si="2"/>
        <v>709554.99209057889</v>
      </c>
    </row>
    <row r="15" spans="1:12" x14ac:dyDescent="0.35">
      <c r="A15" s="1" t="s">
        <v>19</v>
      </c>
      <c r="B15" s="5">
        <v>1240986.8971553822</v>
      </c>
      <c r="C15">
        <v>14</v>
      </c>
      <c r="D15" s="5">
        <f t="shared" si="0"/>
        <v>1261536.4368664641</v>
      </c>
      <c r="E15" s="5">
        <f t="shared" si="3"/>
        <v>1180320.4601089018</v>
      </c>
      <c r="F15" s="5">
        <f t="shared" si="4"/>
        <v>1160000.3584567755</v>
      </c>
      <c r="G15" s="5"/>
      <c r="H15" s="5">
        <f t="shared" si="1"/>
        <v>-20549.539711081889</v>
      </c>
      <c r="I15" s="5">
        <f t="shared" si="2"/>
        <v>20549.539711081889</v>
      </c>
    </row>
    <row r="16" spans="1:12" x14ac:dyDescent="0.35">
      <c r="A16" s="1" t="s">
        <v>20</v>
      </c>
      <c r="B16" s="5">
        <v>1497732.3754949884</v>
      </c>
      <c r="C16">
        <v>15</v>
      </c>
      <c r="D16" s="5">
        <f t="shared" si="0"/>
        <v>1274097.4035014703</v>
      </c>
      <c r="E16" s="5">
        <f t="shared" si="3"/>
        <v>1187701.7305516563</v>
      </c>
      <c r="F16" s="5">
        <f t="shared" si="4"/>
        <v>1460091.353506468</v>
      </c>
      <c r="G16" s="5"/>
      <c r="H16" s="5">
        <f t="shared" si="1"/>
        <v>223634.97199351806</v>
      </c>
      <c r="I16" s="5">
        <f t="shared" si="2"/>
        <v>223634.97199351806</v>
      </c>
    </row>
    <row r="17" spans="1:9" x14ac:dyDescent="0.35">
      <c r="A17" s="1" t="s">
        <v>21</v>
      </c>
      <c r="B17" s="5">
        <v>1347470.798624628</v>
      </c>
      <c r="C17">
        <v>16</v>
      </c>
      <c r="D17" s="5">
        <f t="shared" si="0"/>
        <v>1286658.3701364766</v>
      </c>
      <c r="E17" s="5">
        <f t="shared" si="3"/>
        <v>1210480.8151557308</v>
      </c>
      <c r="F17" s="5">
        <f t="shared" si="4"/>
        <v>1167174.1927278368</v>
      </c>
      <c r="G17" s="5"/>
      <c r="H17" s="5">
        <f t="shared" si="1"/>
        <v>60812.428488151403</v>
      </c>
      <c r="I17" s="5">
        <f t="shared" si="2"/>
        <v>60812.428488151403</v>
      </c>
    </row>
    <row r="18" spans="1:9" x14ac:dyDescent="0.35">
      <c r="A18" s="1" t="s">
        <v>22</v>
      </c>
      <c r="B18" s="5">
        <v>1343365.2910598642</v>
      </c>
      <c r="C18">
        <v>17</v>
      </c>
      <c r="D18" s="5">
        <f t="shared" si="0"/>
        <v>1299219.3367714831</v>
      </c>
      <c r="E18" s="5">
        <f t="shared" si="3"/>
        <v>1244565.171117092</v>
      </c>
      <c r="F18" s="5">
        <f t="shared" si="4"/>
        <v>1269941.5294542434</v>
      </c>
      <c r="G18" s="5"/>
      <c r="H18" s="5">
        <f t="shared" si="1"/>
        <v>44145.954288381152</v>
      </c>
      <c r="I18" s="5">
        <f t="shared" si="2"/>
        <v>44145.954288381152</v>
      </c>
    </row>
    <row r="19" spans="1:9" x14ac:dyDescent="0.35">
      <c r="A19" s="1" t="s">
        <v>0</v>
      </c>
      <c r="B19" s="5">
        <v>1146257.7120820922</v>
      </c>
      <c r="C19">
        <v>18</v>
      </c>
      <c r="D19" s="5">
        <f t="shared" si="0"/>
        <v>1311780.3034064893</v>
      </c>
      <c r="E19" s="5">
        <f t="shared" si="3"/>
        <v>1251881.6177561926</v>
      </c>
      <c r="F19" s="5">
        <f t="shared" si="4"/>
        <v>1006627.2390110155</v>
      </c>
      <c r="G19" s="5"/>
      <c r="H19" s="5">
        <f t="shared" si="1"/>
        <v>-165522.59132439713</v>
      </c>
      <c r="I19" s="5">
        <f t="shared" si="2"/>
        <v>165522.59132439713</v>
      </c>
    </row>
    <row r="20" spans="1:9" x14ac:dyDescent="0.35">
      <c r="A20" s="10" t="s">
        <v>23</v>
      </c>
      <c r="B20" s="9">
        <f>E19</f>
        <v>1251881.6177561926</v>
      </c>
      <c r="C20" s="8">
        <v>19</v>
      </c>
      <c r="D20" s="9">
        <f t="shared" si="0"/>
        <v>1324341.2700414956</v>
      </c>
      <c r="E20" s="5">
        <f t="shared" si="3"/>
        <v>1276484.4120364042</v>
      </c>
      <c r="F20" s="5">
        <f t="shared" si="4"/>
        <v>1270200.8246688603</v>
      </c>
      <c r="G20" s="5">
        <f t="shared" ref="G20:G31" si="5">(F20+D20)/2</f>
        <v>1297271.0473551778</v>
      </c>
    </row>
    <row r="21" spans="1:9" x14ac:dyDescent="0.35">
      <c r="A21" s="10" t="s">
        <v>1271</v>
      </c>
      <c r="B21" s="9">
        <f t="shared" ref="B21:B25" si="6">E20</f>
        <v>1276484.4120364042</v>
      </c>
      <c r="C21" s="8">
        <v>20</v>
      </c>
      <c r="D21" s="9">
        <f t="shared" si="0"/>
        <v>1336902.236676502</v>
      </c>
      <c r="E21" s="5">
        <f t="shared" si="3"/>
        <v>1247573.4277653366</v>
      </c>
      <c r="F21" s="5">
        <f t="shared" si="4"/>
        <v>900229.76927997498</v>
      </c>
      <c r="G21" s="5">
        <f t="shared" si="5"/>
        <v>1118566.0029782385</v>
      </c>
    </row>
    <row r="22" spans="1:9" x14ac:dyDescent="0.35">
      <c r="A22" s="10" t="s">
        <v>1272</v>
      </c>
      <c r="B22" s="9">
        <f t="shared" si="6"/>
        <v>1247573.4277653366</v>
      </c>
      <c r="C22" s="8">
        <v>21</v>
      </c>
      <c r="D22" s="9">
        <f t="shared" si="0"/>
        <v>1349463.2033115083</v>
      </c>
      <c r="E22" s="5">
        <f t="shared" si="3"/>
        <v>1291672.6292325757</v>
      </c>
      <c r="F22" s="5">
        <f t="shared" si="4"/>
        <v>1540991.4604668689</v>
      </c>
      <c r="G22" s="5">
        <f t="shared" si="5"/>
        <v>1445227.3318891886</v>
      </c>
    </row>
    <row r="23" spans="1:9" x14ac:dyDescent="0.35">
      <c r="A23" s="10" t="s">
        <v>1273</v>
      </c>
      <c r="B23" s="9">
        <f t="shared" si="6"/>
        <v>1291672.6292325757</v>
      </c>
      <c r="C23" s="8">
        <v>22</v>
      </c>
      <c r="D23" s="9">
        <f t="shared" si="0"/>
        <v>1362024.1699465145</v>
      </c>
      <c r="E23" s="5">
        <f t="shared" si="3"/>
        <v>1238134.2608517769</v>
      </c>
      <c r="F23" s="5">
        <f t="shared" si="4"/>
        <v>835492.39736401325</v>
      </c>
      <c r="G23" s="5">
        <f t="shared" si="5"/>
        <v>1098758.2836552639</v>
      </c>
    </row>
    <row r="24" spans="1:9" x14ac:dyDescent="0.35">
      <c r="A24" s="10" t="s">
        <v>1274</v>
      </c>
      <c r="B24" s="9">
        <f t="shared" si="6"/>
        <v>1238134.2608517769</v>
      </c>
      <c r="C24" s="8">
        <v>23</v>
      </c>
      <c r="D24" s="9">
        <f t="shared" si="0"/>
        <v>1374585.136581521</v>
      </c>
      <c r="E24" s="5">
        <f t="shared" si="3"/>
        <v>1218284.5639348342</v>
      </c>
      <c r="F24" s="5">
        <f t="shared" si="4"/>
        <v>1782957.111573325</v>
      </c>
      <c r="G24" s="5">
        <f t="shared" si="5"/>
        <v>1578771.124077423</v>
      </c>
    </row>
    <row r="25" spans="1:9" x14ac:dyDescent="0.35">
      <c r="A25" s="10" t="s">
        <v>1275</v>
      </c>
      <c r="B25" s="9">
        <f t="shared" si="6"/>
        <v>1218284.5639348342</v>
      </c>
      <c r="C25" s="8">
        <v>24</v>
      </c>
      <c r="D25" s="9">
        <f t="shared" si="0"/>
        <v>1387146.1032165273</v>
      </c>
      <c r="E25" s="5">
        <f t="shared" si="3"/>
        <v>1288155.9422059241</v>
      </c>
      <c r="F25" s="5">
        <f t="shared" si="4"/>
        <v>1490169.5984020017</v>
      </c>
      <c r="G25" s="5">
        <f t="shared" si="5"/>
        <v>1438657.8508092645</v>
      </c>
    </row>
    <row r="26" spans="1:9" x14ac:dyDescent="0.35">
      <c r="A26" s="1"/>
      <c r="B26" s="8"/>
      <c r="C26" s="8"/>
      <c r="D26" s="9"/>
      <c r="E26" s="9"/>
      <c r="F26" s="5">
        <f t="shared" si="4"/>
        <v>539420.47814087896</v>
      </c>
      <c r="G26" s="5">
        <f t="shared" si="5"/>
        <v>269710.23907043948</v>
      </c>
    </row>
    <row r="27" spans="1:9" x14ac:dyDescent="0.35">
      <c r="A27" s="1"/>
      <c r="B27" s="8"/>
      <c r="C27" s="8"/>
      <c r="D27" s="9"/>
      <c r="E27" s="9"/>
      <c r="F27" s="5">
        <f t="shared" si="4"/>
        <v>1240986.8971553822</v>
      </c>
      <c r="G27" s="5">
        <f t="shared" si="5"/>
        <v>620493.4485776911</v>
      </c>
    </row>
    <row r="28" spans="1:9" x14ac:dyDescent="0.35">
      <c r="F28" s="5">
        <f t="shared" si="4"/>
        <v>1497732.3754949884</v>
      </c>
      <c r="G28" s="5">
        <f t="shared" si="5"/>
        <v>748866.1877474942</v>
      </c>
    </row>
    <row r="29" spans="1:9" x14ac:dyDescent="0.35">
      <c r="F29" s="5">
        <f t="shared" si="4"/>
        <v>1347470.798624628</v>
      </c>
      <c r="G29" s="5">
        <f t="shared" si="5"/>
        <v>673735.399312314</v>
      </c>
    </row>
    <row r="30" spans="1:9" x14ac:dyDescent="0.35">
      <c r="F30" s="5">
        <f t="shared" si="4"/>
        <v>1343365.2910598642</v>
      </c>
      <c r="G30" s="5">
        <f t="shared" si="5"/>
        <v>671682.64552993211</v>
      </c>
    </row>
    <row r="31" spans="1:9" x14ac:dyDescent="0.35">
      <c r="F31" s="5">
        <f t="shared" si="4"/>
        <v>1146257.7120820922</v>
      </c>
      <c r="G31" s="5">
        <f t="shared" si="5"/>
        <v>573128.85604104609</v>
      </c>
    </row>
    <row r="32" spans="1:9" x14ac:dyDescent="0.35">
      <c r="F32" s="5"/>
      <c r="G32" s="5"/>
    </row>
    <row r="33" spans="6:7" x14ac:dyDescent="0.35">
      <c r="F33" s="5"/>
      <c r="G33" s="5"/>
    </row>
    <row r="34" spans="6:7" x14ac:dyDescent="0.35">
      <c r="F34" s="5"/>
      <c r="G34" s="5"/>
    </row>
    <row r="35" spans="6:7" x14ac:dyDescent="0.35">
      <c r="F35" s="5"/>
      <c r="G35" s="5"/>
    </row>
    <row r="36" spans="6:7" x14ac:dyDescent="0.35">
      <c r="F36" s="5"/>
      <c r="G36" s="5"/>
    </row>
    <row r="37" spans="6:7" x14ac:dyDescent="0.35">
      <c r="F37" s="5"/>
      <c r="G37" s="5"/>
    </row>
    <row r="38" spans="6:7" x14ac:dyDescent="0.35">
      <c r="F38" s="5"/>
      <c r="G38" s="5"/>
    </row>
  </sheetData>
  <phoneticPr fontId="3" type="noConversion"/>
  <pageMargins left="0.7" right="0.7" top="0.75" bottom="0.75" header="0.3" footer="0.3"/>
  <pageSetup paperSize="9" orientation="portrait" r:id="rId1"/>
  <ignoredErrors>
    <ignoredError sqref="K1:K2 E12:E25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F44B-88D8-4FAA-B331-C194A2BB1D17}">
  <dimension ref="A1:M37"/>
  <sheetViews>
    <sheetView showGridLines="0" zoomScale="85" zoomScaleNormal="85" workbookViewId="0">
      <selection activeCell="L12" sqref="L12"/>
    </sheetView>
  </sheetViews>
  <sheetFormatPr defaultRowHeight="14.5" x14ac:dyDescent="0.35"/>
  <cols>
    <col min="4" max="4" width="10.08984375" bestFit="1" customWidth="1"/>
    <col min="5" max="5" width="13.36328125" bestFit="1" customWidth="1"/>
    <col min="6" max="6" width="15.54296875" bestFit="1" customWidth="1"/>
    <col min="11" max="11" width="9.81640625" bestFit="1" customWidth="1"/>
    <col min="12" max="12" width="12.36328125" bestFit="1" customWidth="1"/>
    <col min="13" max="13" width="18.81640625" bestFit="1" customWidth="1"/>
  </cols>
  <sheetData>
    <row r="1" spans="1:13" x14ac:dyDescent="0.35">
      <c r="A1" s="13" t="s">
        <v>1269</v>
      </c>
      <c r="B1" s="14" t="s">
        <v>1280</v>
      </c>
      <c r="C1" s="14" t="s">
        <v>1281</v>
      </c>
      <c r="D1" s="15" t="s">
        <v>1282</v>
      </c>
      <c r="E1" s="15" t="s">
        <v>1302</v>
      </c>
      <c r="F1" s="22" t="s">
        <v>1304</v>
      </c>
      <c r="G1" s="24" t="s">
        <v>1287</v>
      </c>
      <c r="H1" s="24" t="s">
        <v>1288</v>
      </c>
      <c r="I1" s="24" t="s">
        <v>1289</v>
      </c>
      <c r="J1" s="1"/>
      <c r="K1" s="26" t="s">
        <v>1283</v>
      </c>
      <c r="L1" s="26" t="s">
        <v>1286</v>
      </c>
      <c r="M1" s="11"/>
    </row>
    <row r="2" spans="1:13" x14ac:dyDescent="0.35">
      <c r="A2" s="16">
        <v>1</v>
      </c>
      <c r="B2" s="17" t="s">
        <v>1284</v>
      </c>
      <c r="C2" s="16">
        <v>1</v>
      </c>
      <c r="D2" s="18">
        <v>315208</v>
      </c>
      <c r="E2" s="18"/>
      <c r="F2" s="23"/>
      <c r="G2" s="25">
        <f t="shared" ref="G2:G13" si="0">AVERAGE(D2,D14)/AVERAGE($D$2:$D$25)</f>
        <v>1.2234547464224046</v>
      </c>
      <c r="H2" s="25">
        <f>(D2+D14)/SUM($D$2:$D$25)*12</f>
        <v>1.2234547464224044</v>
      </c>
      <c r="I2" s="25">
        <f>AVERAGE(D2/AVERAGE($D$2:$D$13),D14/AVERAGE($D$14:$D$25))</f>
        <v>1.2158054316965341</v>
      </c>
      <c r="J2" s="6"/>
      <c r="K2" s="27">
        <f>CORREL(D2:D13,D14:D25)</f>
        <v>0.48469448002209542</v>
      </c>
      <c r="L2" s="28">
        <f>K2^2</f>
        <v>0.23492873896388947</v>
      </c>
      <c r="M2" s="12"/>
    </row>
    <row r="3" spans="1:13" x14ac:dyDescent="0.35">
      <c r="A3" s="16">
        <v>2</v>
      </c>
      <c r="B3" s="17" t="s">
        <v>1284</v>
      </c>
      <c r="C3" s="16">
        <v>2</v>
      </c>
      <c r="D3" s="18">
        <v>124695</v>
      </c>
      <c r="E3" s="18"/>
      <c r="F3" s="23"/>
      <c r="G3" s="25">
        <f t="shared" si="0"/>
        <v>0.64568358890472244</v>
      </c>
      <c r="H3" s="25">
        <f t="shared" ref="H3:H13" si="1">(D3+D15)/SUM($D$2:$D$25)*12</f>
        <v>0.64568358890472244</v>
      </c>
      <c r="I3" s="25">
        <f t="shared" ref="I3:I13" si="2">AVERAGE(D3/AVERAGE($D$2:$D$13),D15/AVERAGE($D$14:$D$25))</f>
        <v>0.63158243735115649</v>
      </c>
      <c r="J3" s="6"/>
    </row>
    <row r="4" spans="1:13" x14ac:dyDescent="0.35">
      <c r="A4" s="16">
        <v>3</v>
      </c>
      <c r="B4" s="17" t="s">
        <v>1284</v>
      </c>
      <c r="C4" s="16">
        <v>3</v>
      </c>
      <c r="D4" s="18">
        <v>279159</v>
      </c>
      <c r="E4" s="18"/>
      <c r="F4" s="23"/>
      <c r="G4" s="25">
        <f t="shared" si="0"/>
        <v>0.73863694230397947</v>
      </c>
      <c r="H4" s="25">
        <f t="shared" si="1"/>
        <v>0.73863694230397936</v>
      </c>
      <c r="I4" s="25">
        <f t="shared" si="2"/>
        <v>0.75548648503151683</v>
      </c>
      <c r="J4" s="6"/>
    </row>
    <row r="5" spans="1:13" x14ac:dyDescent="0.35">
      <c r="A5" s="16">
        <v>4</v>
      </c>
      <c r="B5" s="17" t="s">
        <v>1284</v>
      </c>
      <c r="C5" s="16">
        <v>4</v>
      </c>
      <c r="D5" s="18">
        <v>292385</v>
      </c>
      <c r="E5" s="18"/>
      <c r="F5" s="23"/>
      <c r="G5" s="25">
        <f t="shared" si="0"/>
        <v>0.90181630829667758</v>
      </c>
      <c r="H5" s="25">
        <f t="shared" si="1"/>
        <v>0.90181630829667747</v>
      </c>
      <c r="I5" s="25">
        <f t="shared" si="2"/>
        <v>0.91068404004886205</v>
      </c>
      <c r="J5" s="6"/>
    </row>
    <row r="6" spans="1:13" x14ac:dyDescent="0.35">
      <c r="A6" s="16">
        <v>5</v>
      </c>
      <c r="B6" s="17" t="s">
        <v>1284</v>
      </c>
      <c r="C6" s="16">
        <v>5</v>
      </c>
      <c r="D6" s="18">
        <v>358999</v>
      </c>
      <c r="E6" s="18"/>
      <c r="F6" s="23"/>
      <c r="G6" s="25">
        <f t="shared" si="0"/>
        <v>1.0490587596797476</v>
      </c>
      <c r="H6" s="25">
        <f t="shared" si="1"/>
        <v>1.0490587596797476</v>
      </c>
      <c r="I6" s="25">
        <f t="shared" si="2"/>
        <v>1.0639345348232465</v>
      </c>
      <c r="J6" s="6"/>
    </row>
    <row r="7" spans="1:13" x14ac:dyDescent="0.35">
      <c r="A7" s="16">
        <v>6</v>
      </c>
      <c r="B7" s="17" t="s">
        <v>1284</v>
      </c>
      <c r="C7" s="16">
        <v>6</v>
      </c>
      <c r="D7" s="18">
        <v>135750</v>
      </c>
      <c r="E7" s="18"/>
      <c r="F7" s="23"/>
      <c r="G7" s="25">
        <f t="shared" si="0"/>
        <v>0.64332425891740419</v>
      </c>
      <c r="H7" s="25">
        <f t="shared" si="1"/>
        <v>0.64332425891740419</v>
      </c>
      <c r="I7" s="25">
        <f t="shared" si="2"/>
        <v>0.63205553761029887</v>
      </c>
      <c r="J7" s="6"/>
      <c r="K7" s="32" t="s">
        <v>1284</v>
      </c>
      <c r="L7" s="29">
        <f>SUM(D2:D13)</f>
        <v>3402200</v>
      </c>
      <c r="M7" s="34" t="s">
        <v>1305</v>
      </c>
    </row>
    <row r="8" spans="1:13" x14ac:dyDescent="0.35">
      <c r="A8" s="16">
        <v>7</v>
      </c>
      <c r="B8" s="17" t="s">
        <v>1284</v>
      </c>
      <c r="C8" s="16">
        <v>7</v>
      </c>
      <c r="D8" s="18">
        <v>275102</v>
      </c>
      <c r="E8" s="18"/>
      <c r="F8" s="23"/>
      <c r="G8" s="25">
        <f t="shared" si="0"/>
        <v>0.92605989441290293</v>
      </c>
      <c r="H8" s="25">
        <f t="shared" si="1"/>
        <v>0.92605989441290293</v>
      </c>
      <c r="I8" s="25">
        <f t="shared" si="2"/>
        <v>0.92909156177554664</v>
      </c>
      <c r="J8" s="6"/>
      <c r="K8" s="32" t="s">
        <v>1285</v>
      </c>
      <c r="L8" s="29">
        <f>SUM(D14:D25)</f>
        <v>3942258</v>
      </c>
      <c r="M8" s="31">
        <f>L8/L7-1</f>
        <v>0.15873787549232854</v>
      </c>
    </row>
    <row r="9" spans="1:13" x14ac:dyDescent="0.35">
      <c r="A9" s="16">
        <v>8</v>
      </c>
      <c r="B9" s="17" t="s">
        <v>1284</v>
      </c>
      <c r="C9" s="16">
        <v>8</v>
      </c>
      <c r="D9" s="18">
        <v>431817</v>
      </c>
      <c r="E9" s="18"/>
      <c r="F9" s="23"/>
      <c r="G9" s="25">
        <f t="shared" si="0"/>
        <v>1.2631663221438534</v>
      </c>
      <c r="H9" s="25">
        <f t="shared" si="1"/>
        <v>1.2631663221438534</v>
      </c>
      <c r="I9" s="25">
        <f t="shared" si="2"/>
        <v>1.2809689977390684</v>
      </c>
      <c r="J9" s="6"/>
      <c r="K9" s="33" t="s">
        <v>1303</v>
      </c>
      <c r="L9" s="30">
        <f>L8+(L8*M8)</f>
        <v>4568043.6595626362</v>
      </c>
    </row>
    <row r="10" spans="1:13" x14ac:dyDescent="0.35">
      <c r="A10" s="16">
        <v>9</v>
      </c>
      <c r="B10" s="17" t="s">
        <v>1284</v>
      </c>
      <c r="C10" s="16">
        <v>9</v>
      </c>
      <c r="D10" s="18">
        <v>154903</v>
      </c>
      <c r="E10" s="18"/>
      <c r="F10" s="23"/>
      <c r="G10" s="25">
        <f t="shared" si="0"/>
        <v>0.75162469442945967</v>
      </c>
      <c r="H10" s="25">
        <f t="shared" si="1"/>
        <v>0.75162469442945956</v>
      </c>
      <c r="I10" s="25">
        <f t="shared" si="2"/>
        <v>0.73756508040933111</v>
      </c>
      <c r="J10" s="6"/>
    </row>
    <row r="11" spans="1:13" x14ac:dyDescent="0.35">
      <c r="A11" s="16">
        <v>10</v>
      </c>
      <c r="B11" s="17" t="s">
        <v>1284</v>
      </c>
      <c r="C11" s="16">
        <v>10</v>
      </c>
      <c r="D11" s="18">
        <v>252743</v>
      </c>
      <c r="E11" s="18"/>
      <c r="F11" s="23"/>
      <c r="G11" s="25">
        <f t="shared" si="0"/>
        <v>0.95987314516605593</v>
      </c>
      <c r="H11" s="25">
        <f t="shared" si="1"/>
        <v>0.95987314516605582</v>
      </c>
      <c r="I11" s="25">
        <f t="shared" si="2"/>
        <v>0.95518693124431364</v>
      </c>
      <c r="J11" s="6"/>
    </row>
    <row r="12" spans="1:13" x14ac:dyDescent="0.35">
      <c r="A12" s="16">
        <v>11</v>
      </c>
      <c r="B12" s="17" t="s">
        <v>1284</v>
      </c>
      <c r="C12" s="16">
        <v>11</v>
      </c>
      <c r="D12" s="18">
        <v>384925</v>
      </c>
      <c r="E12" s="18"/>
      <c r="F12" s="23"/>
      <c r="G12" s="25">
        <f t="shared" si="0"/>
        <v>1.2330603565300531</v>
      </c>
      <c r="H12" s="25">
        <f t="shared" si="1"/>
        <v>1.2330603565300531</v>
      </c>
      <c r="I12" s="25">
        <f t="shared" si="2"/>
        <v>1.2415963288915406</v>
      </c>
      <c r="J12" s="6"/>
    </row>
    <row r="13" spans="1:13" x14ac:dyDescent="0.35">
      <c r="A13" s="16">
        <v>12</v>
      </c>
      <c r="B13" s="17" t="s">
        <v>1284</v>
      </c>
      <c r="C13" s="16">
        <v>12</v>
      </c>
      <c r="D13" s="18">
        <v>396514</v>
      </c>
      <c r="E13" s="18"/>
      <c r="F13" s="23"/>
      <c r="G13" s="25">
        <f t="shared" si="0"/>
        <v>1.6642409827927398</v>
      </c>
      <c r="H13" s="25">
        <f t="shared" si="1"/>
        <v>1.6642409827927396</v>
      </c>
      <c r="I13" s="25">
        <f t="shared" si="2"/>
        <v>1.6460426333785843</v>
      </c>
      <c r="J13" s="6"/>
    </row>
    <row r="14" spans="1:13" x14ac:dyDescent="0.35">
      <c r="A14" s="16">
        <v>13</v>
      </c>
      <c r="B14" s="16" t="s">
        <v>1285</v>
      </c>
      <c r="C14" s="16">
        <v>1</v>
      </c>
      <c r="D14" s="18">
        <v>433593</v>
      </c>
      <c r="E14" s="18">
        <f>D2</f>
        <v>315208</v>
      </c>
      <c r="F14" s="18"/>
    </row>
    <row r="15" spans="1:13" x14ac:dyDescent="0.35">
      <c r="A15" s="16">
        <v>14</v>
      </c>
      <c r="B15" s="16" t="s">
        <v>1285</v>
      </c>
      <c r="C15" s="16">
        <v>2</v>
      </c>
      <c r="D15" s="18">
        <v>270488</v>
      </c>
      <c r="E15" s="18">
        <f t="shared" ref="E15:E37" si="3">D3</f>
        <v>124695</v>
      </c>
      <c r="F15" s="18"/>
    </row>
    <row r="16" spans="1:13" x14ac:dyDescent="0.35">
      <c r="A16" s="16">
        <v>15</v>
      </c>
      <c r="B16" s="16" t="s">
        <v>1285</v>
      </c>
      <c r="C16" s="16">
        <v>3</v>
      </c>
      <c r="D16" s="18">
        <v>172915</v>
      </c>
      <c r="E16" s="18">
        <f t="shared" si="3"/>
        <v>279159</v>
      </c>
      <c r="F16" s="18"/>
    </row>
    <row r="17" spans="1:6" x14ac:dyDescent="0.35">
      <c r="A17" s="16">
        <v>16</v>
      </c>
      <c r="B17" s="16" t="s">
        <v>1285</v>
      </c>
      <c r="C17" s="16">
        <v>4</v>
      </c>
      <c r="D17" s="18">
        <v>259561</v>
      </c>
      <c r="E17" s="18">
        <f t="shared" si="3"/>
        <v>292385</v>
      </c>
      <c r="F17" s="18"/>
    </row>
    <row r="18" spans="1:6" x14ac:dyDescent="0.35">
      <c r="A18" s="16">
        <v>17</v>
      </c>
      <c r="B18" s="16" t="s">
        <v>1285</v>
      </c>
      <c r="C18" s="16">
        <v>5</v>
      </c>
      <c r="D18" s="18">
        <v>283065</v>
      </c>
      <c r="E18" s="18">
        <f t="shared" si="3"/>
        <v>358999</v>
      </c>
      <c r="F18" s="18"/>
    </row>
    <row r="19" spans="1:6" x14ac:dyDescent="0.35">
      <c r="A19" s="16">
        <v>18</v>
      </c>
      <c r="B19" s="16" t="s">
        <v>1285</v>
      </c>
      <c r="C19" s="16">
        <v>6</v>
      </c>
      <c r="D19" s="18">
        <v>257989</v>
      </c>
      <c r="E19" s="18">
        <f t="shared" si="3"/>
        <v>135750</v>
      </c>
      <c r="F19" s="18"/>
    </row>
    <row r="20" spans="1:6" x14ac:dyDescent="0.35">
      <c r="A20" s="16">
        <v>19</v>
      </c>
      <c r="B20" s="16" t="s">
        <v>1285</v>
      </c>
      <c r="C20" s="16">
        <v>7</v>
      </c>
      <c r="D20" s="18">
        <v>291682</v>
      </c>
      <c r="E20" s="18">
        <f t="shared" si="3"/>
        <v>275102</v>
      </c>
      <c r="F20" s="18"/>
    </row>
    <row r="21" spans="1:6" x14ac:dyDescent="0.35">
      <c r="A21" s="16">
        <v>20</v>
      </c>
      <c r="B21" s="16" t="s">
        <v>1285</v>
      </c>
      <c r="C21" s="16">
        <v>8</v>
      </c>
      <c r="D21" s="18">
        <v>341289</v>
      </c>
      <c r="E21" s="18">
        <f t="shared" si="3"/>
        <v>431817</v>
      </c>
      <c r="F21" s="18"/>
    </row>
    <row r="22" spans="1:6" x14ac:dyDescent="0.35">
      <c r="A22" s="16">
        <v>21</v>
      </c>
      <c r="B22" s="16" t="s">
        <v>1285</v>
      </c>
      <c r="C22" s="16">
        <v>9</v>
      </c>
      <c r="D22" s="18">
        <v>305120</v>
      </c>
      <c r="E22" s="18">
        <f t="shared" si="3"/>
        <v>154903</v>
      </c>
      <c r="F22" s="18"/>
    </row>
    <row r="23" spans="1:6" x14ac:dyDescent="0.35">
      <c r="A23" s="16">
        <v>22</v>
      </c>
      <c r="B23" s="16" t="s">
        <v>1285</v>
      </c>
      <c r="C23" s="16">
        <v>10</v>
      </c>
      <c r="D23" s="18">
        <v>334736</v>
      </c>
      <c r="E23" s="18">
        <f t="shared" si="3"/>
        <v>252743</v>
      </c>
      <c r="F23" s="18"/>
    </row>
    <row r="24" spans="1:6" x14ac:dyDescent="0.35">
      <c r="A24" s="16">
        <v>23</v>
      </c>
      <c r="B24" s="16" t="s">
        <v>1285</v>
      </c>
      <c r="C24" s="16">
        <v>11</v>
      </c>
      <c r="D24" s="18">
        <v>369755</v>
      </c>
      <c r="E24" s="18">
        <f t="shared" si="3"/>
        <v>384925</v>
      </c>
      <c r="F24" s="18"/>
    </row>
    <row r="25" spans="1:6" x14ac:dyDescent="0.35">
      <c r="A25" s="16">
        <v>24</v>
      </c>
      <c r="B25" s="16" t="s">
        <v>1285</v>
      </c>
      <c r="C25" s="16">
        <v>12</v>
      </c>
      <c r="D25" s="18">
        <v>622065</v>
      </c>
      <c r="E25" s="18">
        <f t="shared" si="3"/>
        <v>396514</v>
      </c>
      <c r="F25" s="18"/>
    </row>
    <row r="26" spans="1:6" x14ac:dyDescent="0.35">
      <c r="A26" s="16">
        <v>25</v>
      </c>
      <c r="B26" s="19" t="s">
        <v>1303</v>
      </c>
      <c r="C26" s="19">
        <v>1</v>
      </c>
      <c r="D26" s="16"/>
      <c r="E26" s="20">
        <f t="shared" si="3"/>
        <v>433593</v>
      </c>
      <c r="F26" s="21">
        <f>$L$9/12*H2</f>
        <v>465732.89142972312</v>
      </c>
    </row>
    <row r="27" spans="1:6" x14ac:dyDescent="0.35">
      <c r="A27" s="16">
        <v>26</v>
      </c>
      <c r="B27" s="19" t="s">
        <v>1303</v>
      </c>
      <c r="C27" s="19">
        <v>2</v>
      </c>
      <c r="D27" s="16"/>
      <c r="E27" s="20">
        <f t="shared" si="3"/>
        <v>270488</v>
      </c>
      <c r="F27" s="21">
        <f>$L$9/12*H3</f>
        <v>245792.56869832211</v>
      </c>
    </row>
    <row r="28" spans="1:6" x14ac:dyDescent="0.35">
      <c r="A28" s="16">
        <v>27</v>
      </c>
      <c r="B28" s="19" t="s">
        <v>1303</v>
      </c>
      <c r="C28" s="19">
        <v>3</v>
      </c>
      <c r="D28" s="16"/>
      <c r="E28" s="20">
        <f t="shared" si="3"/>
        <v>172915</v>
      </c>
      <c r="F28" s="21">
        <f>$L$9/12*H4</f>
        <v>281177.15008420218</v>
      </c>
    </row>
    <row r="29" spans="1:6" x14ac:dyDescent="0.35">
      <c r="A29" s="16">
        <v>28</v>
      </c>
      <c r="B29" s="19" t="s">
        <v>1303</v>
      </c>
      <c r="C29" s="19">
        <v>4</v>
      </c>
      <c r="D29" s="16"/>
      <c r="E29" s="20">
        <f t="shared" si="3"/>
        <v>259561</v>
      </c>
      <c r="F29" s="21">
        <f>$L$9/12*H5</f>
        <v>343294.68910040177</v>
      </c>
    </row>
    <row r="30" spans="1:6" x14ac:dyDescent="0.35">
      <c r="A30" s="16">
        <v>29</v>
      </c>
      <c r="B30" s="19" t="s">
        <v>1303</v>
      </c>
      <c r="C30" s="19">
        <v>5</v>
      </c>
      <c r="D30" s="16"/>
      <c r="E30" s="20">
        <f t="shared" si="3"/>
        <v>283065</v>
      </c>
      <c r="F30" s="21">
        <f>$L$9/12*H6</f>
        <v>399345.51797197619</v>
      </c>
    </row>
    <row r="31" spans="1:6" x14ac:dyDescent="0.35">
      <c r="A31" s="16">
        <v>30</v>
      </c>
      <c r="B31" s="19" t="s">
        <v>1303</v>
      </c>
      <c r="C31" s="19">
        <v>6</v>
      </c>
      <c r="D31" s="16"/>
      <c r="E31" s="20">
        <f t="shared" si="3"/>
        <v>257989</v>
      </c>
      <c r="F31" s="21">
        <f>$L$9/12*H7</f>
        <v>244894.44183254</v>
      </c>
    </row>
    <row r="32" spans="1:6" x14ac:dyDescent="0.35">
      <c r="A32" s="16">
        <v>31</v>
      </c>
      <c r="B32" s="19" t="s">
        <v>1303</v>
      </c>
      <c r="C32" s="19">
        <v>7</v>
      </c>
      <c r="D32" s="16"/>
      <c r="E32" s="20">
        <f t="shared" si="3"/>
        <v>291682</v>
      </c>
      <c r="F32" s="21">
        <f>$L$9/12*H8</f>
        <v>352523.50242067548</v>
      </c>
    </row>
    <row r="33" spans="1:6" x14ac:dyDescent="0.35">
      <c r="A33" s="16">
        <v>32</v>
      </c>
      <c r="B33" s="19" t="s">
        <v>1303</v>
      </c>
      <c r="C33" s="19">
        <v>8</v>
      </c>
      <c r="D33" s="16"/>
      <c r="E33" s="20">
        <f t="shared" si="3"/>
        <v>341289</v>
      </c>
      <c r="F33" s="21">
        <f>$L$9/12*H9</f>
        <v>480849.90907019033</v>
      </c>
    </row>
    <row r="34" spans="1:6" x14ac:dyDescent="0.35">
      <c r="A34" s="16">
        <v>33</v>
      </c>
      <c r="B34" s="19" t="s">
        <v>1303</v>
      </c>
      <c r="C34" s="19">
        <v>9</v>
      </c>
      <c r="D34" s="16"/>
      <c r="E34" s="20">
        <f t="shared" si="3"/>
        <v>305120</v>
      </c>
      <c r="F34" s="21">
        <f>$L$9/12*H10</f>
        <v>286121.20164659974</v>
      </c>
    </row>
    <row r="35" spans="1:6" x14ac:dyDescent="0.35">
      <c r="A35" s="16">
        <v>34</v>
      </c>
      <c r="B35" s="19" t="s">
        <v>1303</v>
      </c>
      <c r="C35" s="19">
        <v>10</v>
      </c>
      <c r="D35" s="16"/>
      <c r="E35" s="20">
        <f t="shared" si="3"/>
        <v>334736</v>
      </c>
      <c r="F35" s="21">
        <f>$L$9/12*H11</f>
        <v>365395.20289668726</v>
      </c>
    </row>
    <row r="36" spans="1:6" x14ac:dyDescent="0.35">
      <c r="A36" s="16">
        <v>35</v>
      </c>
      <c r="B36" s="19" t="s">
        <v>1303</v>
      </c>
      <c r="C36" s="19">
        <v>11</v>
      </c>
      <c r="D36" s="16"/>
      <c r="E36" s="20">
        <f t="shared" si="3"/>
        <v>369755</v>
      </c>
      <c r="F36" s="21">
        <f>$L$9/12*H12</f>
        <v>469389.46195876272</v>
      </c>
    </row>
    <row r="37" spans="1:6" x14ac:dyDescent="0.35">
      <c r="A37" s="16">
        <v>36</v>
      </c>
      <c r="B37" s="19" t="s">
        <v>1303</v>
      </c>
      <c r="C37" s="19">
        <v>12</v>
      </c>
      <c r="D37" s="16"/>
      <c r="E37" s="20">
        <f t="shared" si="3"/>
        <v>622065</v>
      </c>
      <c r="F37" s="21">
        <f>$L$9/12*H13</f>
        <v>633527.12245255534</v>
      </c>
    </row>
  </sheetData>
  <pageMargins left="0.7" right="0.7" top="0.75" bottom="0.75" header="0.3" footer="0.3"/>
  <ignoredErrors>
    <ignoredError sqref="L7:L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Sales_table</vt:lpstr>
      <vt:lpstr>Linear regression</vt:lpstr>
      <vt:lpstr>Seasonality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2025-11-19T22:18:33Z</dcterms:created>
  <dcterms:modified xsi:type="dcterms:W3CDTF">2025-12-11T21:47:25Z</dcterms:modified>
</cp:coreProperties>
</file>