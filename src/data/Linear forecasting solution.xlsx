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00-Uniwersytet\01-Lectures\Analysis\"/>
    </mc:Choice>
  </mc:AlternateContent>
  <xr:revisionPtr revIDLastSave="0" documentId="13_ncr:1_{3E1CCE19-9BF9-4FB9-B540-E535DC285917}" xr6:coauthVersionLast="47" xr6:coauthVersionMax="47" xr10:uidLastSave="{00000000-0000-0000-0000-000000000000}"/>
  <bookViews>
    <workbookView xWindow="-110" yWindow="-110" windowWidth="34620" windowHeight="13900" tabRatio="393" activeTab="2" xr2:uid="{532EE4E1-5A25-485A-B146-13C5285E7D0A}"/>
  </bookViews>
  <sheets>
    <sheet name="Sales_table" sheetId="1" r:id="rId1"/>
    <sheet name="Linear regression" sheetId="2" r:id="rId2"/>
    <sheet name="Seasonality" sheetId="3" r:id="rId3"/>
  </sheets>
  <definedNames>
    <definedName name="_xlnm._FilterDatabase" localSheetId="0" hidden="1">Sales_table!$A$3:$AH$3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3" l="1"/>
  <c r="E37" i="3"/>
  <c r="E36" i="3"/>
  <c r="E35" i="3"/>
  <c r="E34" i="3"/>
  <c r="E33" i="3"/>
  <c r="E32" i="3"/>
  <c r="I32" i="3" s="1"/>
  <c r="E31" i="3"/>
  <c r="I31" i="3" s="1"/>
  <c r="E30" i="3"/>
  <c r="I30" i="3" s="1"/>
  <c r="E29" i="3"/>
  <c r="I29" i="3" s="1"/>
  <c r="E28" i="3"/>
  <c r="I28" i="3" s="1"/>
  <c r="E27" i="3"/>
  <c r="I27" i="3" s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33" i="3"/>
  <c r="I34" i="3"/>
  <c r="I35" i="3"/>
  <c r="I36" i="3"/>
  <c r="I37" i="3"/>
  <c r="I38" i="3"/>
  <c r="I3" i="3"/>
  <c r="E4" i="3"/>
  <c r="F4" i="3" s="1"/>
  <c r="E5" i="3"/>
  <c r="F5" i="3" s="1"/>
  <c r="E6" i="3"/>
  <c r="F6" i="3" s="1"/>
  <c r="E7" i="3"/>
  <c r="E19" i="3" s="1"/>
  <c r="F19" i="3" s="1"/>
  <c r="E8" i="3"/>
  <c r="E20" i="3" s="1"/>
  <c r="F20" i="3" s="1"/>
  <c r="E9" i="3"/>
  <c r="E21" i="3" s="1"/>
  <c r="F21" i="3" s="1"/>
  <c r="E10" i="3"/>
  <c r="E22" i="3" s="1"/>
  <c r="F22" i="3" s="1"/>
  <c r="E11" i="3"/>
  <c r="E23" i="3" s="1"/>
  <c r="F23" i="3" s="1"/>
  <c r="E12" i="3"/>
  <c r="E24" i="3" s="1"/>
  <c r="F24" i="3" s="1"/>
  <c r="E13" i="3"/>
  <c r="E25" i="3" s="1"/>
  <c r="F25" i="3" s="1"/>
  <c r="E14" i="3"/>
  <c r="E26" i="3" s="1"/>
  <c r="F26" i="3" s="1"/>
  <c r="E3" i="3"/>
  <c r="E15" i="3" s="1"/>
  <c r="F15" i="3" s="1"/>
  <c r="E17" i="3"/>
  <c r="F17" i="3" s="1"/>
  <c r="E16" i="3"/>
  <c r="F16" i="3" s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" i="3"/>
  <c r="J27" i="3"/>
  <c r="J28" i="3"/>
  <c r="J29" i="3"/>
  <c r="J30" i="3"/>
  <c r="J31" i="3"/>
  <c r="J32" i="3"/>
  <c r="J33" i="3"/>
  <c r="J34" i="3"/>
  <c r="J35" i="3"/>
  <c r="J36" i="3"/>
  <c r="J37" i="3"/>
  <c r="J38" i="3"/>
  <c r="P3" i="3"/>
  <c r="Q3" i="3" s="1"/>
  <c r="Q9" i="3"/>
  <c r="Q8" i="3"/>
  <c r="J16" i="3"/>
  <c r="J17" i="3"/>
  <c r="J18" i="3"/>
  <c r="J19" i="3"/>
  <c r="J20" i="3"/>
  <c r="J21" i="3"/>
  <c r="J22" i="3"/>
  <c r="J23" i="3"/>
  <c r="J24" i="3"/>
  <c r="J25" i="3"/>
  <c r="J26" i="3"/>
  <c r="J15" i="3"/>
  <c r="W5" i="1"/>
  <c r="X5" i="1"/>
  <c r="Y5" i="1"/>
  <c r="Z5" i="1"/>
  <c r="AA5" i="1"/>
  <c r="AB5" i="1"/>
  <c r="AC5" i="1"/>
  <c r="AD5" i="1"/>
  <c r="AE5" i="1" s="1"/>
  <c r="AF5" i="1" s="1"/>
  <c r="AG5" i="1" s="1"/>
  <c r="AH5" i="1" s="1"/>
  <c r="W6" i="1"/>
  <c r="X6" i="1"/>
  <c r="Y6" i="1"/>
  <c r="Z6" i="1"/>
  <c r="AA6" i="1"/>
  <c r="AB6" i="1"/>
  <c r="AC6" i="1"/>
  <c r="AD6" i="1"/>
  <c r="AE6" i="1"/>
  <c r="AF6" i="1"/>
  <c r="AG6" i="1"/>
  <c r="AH6" i="1"/>
  <c r="W7" i="1"/>
  <c r="X7" i="1"/>
  <c r="Y7" i="1"/>
  <c r="Z7" i="1"/>
  <c r="AA7" i="1"/>
  <c r="AB7" i="1"/>
  <c r="AC7" i="1"/>
  <c r="AD7" i="1" s="1"/>
  <c r="AE7" i="1" s="1"/>
  <c r="AF7" i="1" s="1"/>
  <c r="AG7" i="1" s="1"/>
  <c r="AH7" i="1" s="1"/>
  <c r="W8" i="1"/>
  <c r="X8" i="1"/>
  <c r="Y8" i="1"/>
  <c r="Z8" i="1"/>
  <c r="AA8" i="1" s="1"/>
  <c r="AB8" i="1" s="1"/>
  <c r="AC8" i="1" s="1"/>
  <c r="AD8" i="1" s="1"/>
  <c r="AE8" i="1" s="1"/>
  <c r="AF8" i="1" s="1"/>
  <c r="AG8" i="1" s="1"/>
  <c r="AH8" i="1" s="1"/>
  <c r="W9" i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W10" i="1"/>
  <c r="X10" i="1"/>
  <c r="Y10" i="1"/>
  <c r="Z10" i="1"/>
  <c r="AA10" i="1"/>
  <c r="AB10" i="1"/>
  <c r="AC10" i="1"/>
  <c r="AD10" i="1"/>
  <c r="AE10" i="1"/>
  <c r="AF10" i="1"/>
  <c r="AG10" i="1"/>
  <c r="AH10" i="1"/>
  <c r="W11" i="1"/>
  <c r="X11" i="1"/>
  <c r="Y11" i="1" s="1"/>
  <c r="Z11" i="1" s="1"/>
  <c r="AA11" i="1" s="1"/>
  <c r="AB11" i="1" s="1"/>
  <c r="AC11" i="1" s="1"/>
  <c r="AD11" i="1" s="1"/>
  <c r="AE11" i="1" s="1"/>
  <c r="AF11" i="1" s="1"/>
  <c r="AG11" i="1" s="1"/>
  <c r="AH11" i="1" s="1"/>
  <c r="W12" i="1"/>
  <c r="X12" i="1"/>
  <c r="Y12" i="1"/>
  <c r="Z12" i="1"/>
  <c r="AA12" i="1"/>
  <c r="AB12" i="1"/>
  <c r="AC12" i="1"/>
  <c r="AD12" i="1"/>
  <c r="AE12" i="1"/>
  <c r="AF12" i="1"/>
  <c r="AG12" i="1"/>
  <c r="AH12" i="1"/>
  <c r="W13" i="1"/>
  <c r="X13" i="1"/>
  <c r="Y13" i="1"/>
  <c r="Z13" i="1"/>
  <c r="AA13" i="1"/>
  <c r="AB13" i="1"/>
  <c r="AC13" i="1"/>
  <c r="AD13" i="1"/>
  <c r="AE13" i="1"/>
  <c r="AF13" i="1"/>
  <c r="AG13" i="1"/>
  <c r="AH13" i="1"/>
  <c r="W14" i="1"/>
  <c r="X14" i="1"/>
  <c r="Y14" i="1"/>
  <c r="Z14" i="1" s="1"/>
  <c r="AA14" i="1" s="1"/>
  <c r="AB14" i="1" s="1"/>
  <c r="AC14" i="1" s="1"/>
  <c r="AD14" i="1" s="1"/>
  <c r="AE14" i="1" s="1"/>
  <c r="AF14" i="1" s="1"/>
  <c r="AG14" i="1" s="1"/>
  <c r="AH14" i="1" s="1"/>
  <c r="W15" i="1"/>
  <c r="X15" i="1"/>
  <c r="Y15" i="1"/>
  <c r="Z15" i="1"/>
  <c r="AA15" i="1"/>
  <c r="AB15" i="1"/>
  <c r="AC15" i="1"/>
  <c r="AD15" i="1"/>
  <c r="AE15" i="1"/>
  <c r="AF15" i="1"/>
  <c r="AG15" i="1"/>
  <c r="AH15" i="1"/>
  <c r="W16" i="1"/>
  <c r="X16" i="1"/>
  <c r="Y16" i="1"/>
  <c r="Z16" i="1"/>
  <c r="AA16" i="1"/>
  <c r="AB16" i="1" s="1"/>
  <c r="AC16" i="1" s="1"/>
  <c r="AD16" i="1" s="1"/>
  <c r="AE16" i="1" s="1"/>
  <c r="AF16" i="1" s="1"/>
  <c r="AG16" i="1" s="1"/>
  <c r="AH16" i="1"/>
  <c r="W17" i="1"/>
  <c r="X17" i="1"/>
  <c r="Y17" i="1"/>
  <c r="Z17" i="1"/>
  <c r="AA17" i="1"/>
  <c r="AB17" i="1"/>
  <c r="AC17" i="1"/>
  <c r="AD17" i="1"/>
  <c r="AE17" i="1"/>
  <c r="AF17" i="1"/>
  <c r="AG17" i="1"/>
  <c r="AH17" i="1"/>
  <c r="W18" i="1"/>
  <c r="X18" i="1"/>
  <c r="Y18" i="1"/>
  <c r="Z18" i="1"/>
  <c r="AA18" i="1"/>
  <c r="AB18" i="1"/>
  <c r="AC18" i="1"/>
  <c r="AD18" i="1"/>
  <c r="AE18" i="1"/>
  <c r="AF18" i="1"/>
  <c r="AG18" i="1"/>
  <c r="AH18" i="1"/>
  <c r="W19" i="1"/>
  <c r="X19" i="1"/>
  <c r="Y19" i="1"/>
  <c r="Z19" i="1"/>
  <c r="AA19" i="1"/>
  <c r="AB19" i="1"/>
  <c r="AC19" i="1"/>
  <c r="AD19" i="1"/>
  <c r="AE19" i="1"/>
  <c r="AF19" i="1"/>
  <c r="AG19" i="1"/>
  <c r="AH19" i="1"/>
  <c r="W20" i="1"/>
  <c r="X20" i="1"/>
  <c r="Y20" i="1"/>
  <c r="Z20" i="1"/>
  <c r="AA20" i="1" s="1"/>
  <c r="AB20" i="1" s="1"/>
  <c r="AC20" i="1" s="1"/>
  <c r="AD20" i="1" s="1"/>
  <c r="AE20" i="1" s="1"/>
  <c r="AF20" i="1" s="1"/>
  <c r="AG20" i="1" s="1"/>
  <c r="AH20" i="1" s="1"/>
  <c r="W21" i="1"/>
  <c r="X21" i="1"/>
  <c r="Y21" i="1"/>
  <c r="Z21" i="1"/>
  <c r="AA21" i="1"/>
  <c r="AB21" i="1"/>
  <c r="AC21" i="1"/>
  <c r="AD21" i="1"/>
  <c r="AE21" i="1"/>
  <c r="AF21" i="1"/>
  <c r="AG21" i="1"/>
  <c r="AH21" i="1"/>
  <c r="W22" i="1"/>
  <c r="X22" i="1"/>
  <c r="Y22" i="1"/>
  <c r="Z22" i="1"/>
  <c r="AA22" i="1"/>
  <c r="AB22" i="1"/>
  <c r="AC22" i="1"/>
  <c r="AD22" i="1"/>
  <c r="AE22" i="1"/>
  <c r="AF22" i="1"/>
  <c r="AG22" i="1"/>
  <c r="AH22" i="1"/>
  <c r="W23" i="1"/>
  <c r="X23" i="1"/>
  <c r="Y23" i="1"/>
  <c r="Z23" i="1"/>
  <c r="AA23" i="1"/>
  <c r="AB23" i="1"/>
  <c r="AC23" i="1"/>
  <c r="AD23" i="1"/>
  <c r="AE23" i="1" s="1"/>
  <c r="AF23" i="1" s="1"/>
  <c r="AG23" i="1" s="1"/>
  <c r="AH23" i="1" s="1"/>
  <c r="W24" i="1"/>
  <c r="X24" i="1"/>
  <c r="Y24" i="1"/>
  <c r="Z24" i="1" s="1"/>
  <c r="AA24" i="1" s="1"/>
  <c r="AB24" i="1" s="1"/>
  <c r="AC24" i="1" s="1"/>
  <c r="AD24" i="1" s="1"/>
  <c r="AE24" i="1" s="1"/>
  <c r="AF24" i="1" s="1"/>
  <c r="AG24" i="1" s="1"/>
  <c r="AH24" i="1" s="1"/>
  <c r="W25" i="1"/>
  <c r="X25" i="1"/>
  <c r="Y25" i="1"/>
  <c r="Z25" i="1"/>
  <c r="AA25" i="1"/>
  <c r="AB25" i="1"/>
  <c r="AC25" i="1"/>
  <c r="AD25" i="1"/>
  <c r="AE25" i="1"/>
  <c r="AF25" i="1"/>
  <c r="AG25" i="1"/>
  <c r="AH25" i="1"/>
  <c r="W26" i="1"/>
  <c r="X26" i="1"/>
  <c r="Y26" i="1"/>
  <c r="Z26" i="1"/>
  <c r="AA26" i="1" s="1"/>
  <c r="AB26" i="1" s="1"/>
  <c r="AC26" i="1" s="1"/>
  <c r="AD26" i="1" s="1"/>
  <c r="AE26" i="1" s="1"/>
  <c r="AF26" i="1" s="1"/>
  <c r="AG26" i="1" s="1"/>
  <c r="AH26" i="1" s="1"/>
  <c r="W27" i="1"/>
  <c r="X27" i="1"/>
  <c r="Y27" i="1"/>
  <c r="Z27" i="1"/>
  <c r="AA27" i="1"/>
  <c r="AB27" i="1"/>
  <c r="AC27" i="1"/>
  <c r="AD27" i="1"/>
  <c r="AE27" i="1"/>
  <c r="AF27" i="1"/>
  <c r="AG27" i="1"/>
  <c r="AH27" i="1"/>
  <c r="W28" i="1"/>
  <c r="X28" i="1"/>
  <c r="Y28" i="1"/>
  <c r="Z28" i="1"/>
  <c r="AA28" i="1"/>
  <c r="AB28" i="1"/>
  <c r="AC28" i="1"/>
  <c r="AD28" i="1"/>
  <c r="AE28" i="1"/>
  <c r="AF28" i="1"/>
  <c r="AG28" i="1"/>
  <c r="AH28" i="1"/>
  <c r="W29" i="1"/>
  <c r="X29" i="1"/>
  <c r="Y29" i="1"/>
  <c r="Z29" i="1"/>
  <c r="AA29" i="1"/>
  <c r="AB29" i="1"/>
  <c r="AC29" i="1"/>
  <c r="AD29" i="1"/>
  <c r="AE29" i="1" s="1"/>
  <c r="AF29" i="1" s="1"/>
  <c r="AG29" i="1" s="1"/>
  <c r="AH29" i="1" s="1"/>
  <c r="W30" i="1"/>
  <c r="X30" i="1"/>
  <c r="Y30" i="1"/>
  <c r="Z30" i="1"/>
  <c r="AA30" i="1"/>
  <c r="AB30" i="1"/>
  <c r="AC30" i="1"/>
  <c r="AD30" i="1"/>
  <c r="AE30" i="1" s="1"/>
  <c r="AF30" i="1" s="1"/>
  <c r="AG30" i="1" s="1"/>
  <c r="AH30" i="1" s="1"/>
  <c r="W31" i="1"/>
  <c r="X31" i="1"/>
  <c r="Y31" i="1"/>
  <c r="Z31" i="1"/>
  <c r="AA31" i="1"/>
  <c r="AB31" i="1"/>
  <c r="AC31" i="1"/>
  <c r="AD31" i="1"/>
  <c r="AE31" i="1"/>
  <c r="AF31" i="1"/>
  <c r="AG31" i="1"/>
  <c r="AH31" i="1"/>
  <c r="W32" i="1"/>
  <c r="X32" i="1"/>
  <c r="Y32" i="1"/>
  <c r="Z32" i="1"/>
  <c r="AA32" i="1"/>
  <c r="AB32" i="1" s="1"/>
  <c r="AC32" i="1" s="1"/>
  <c r="AD32" i="1" s="1"/>
  <c r="AE32" i="1" s="1"/>
  <c r="AF32" i="1" s="1"/>
  <c r="AG32" i="1" s="1"/>
  <c r="AH32" i="1" s="1"/>
  <c r="W33" i="1"/>
  <c r="X33" i="1"/>
  <c r="Y33" i="1"/>
  <c r="Z33" i="1"/>
  <c r="AA33" i="1"/>
  <c r="AB33" i="1"/>
  <c r="AC33" i="1"/>
  <c r="AD33" i="1"/>
  <c r="AE33" i="1"/>
  <c r="AF33" i="1"/>
  <c r="AG33" i="1"/>
  <c r="AH33" i="1"/>
  <c r="W34" i="1"/>
  <c r="X34" i="1"/>
  <c r="Y34" i="1"/>
  <c r="Z34" i="1"/>
  <c r="AA34" i="1"/>
  <c r="AB34" i="1"/>
  <c r="AC34" i="1"/>
  <c r="AD34" i="1"/>
  <c r="AE34" i="1"/>
  <c r="AF34" i="1"/>
  <c r="AG34" i="1"/>
  <c r="AH34" i="1"/>
  <c r="W35" i="1"/>
  <c r="X35" i="1"/>
  <c r="Y35" i="1"/>
  <c r="Z35" i="1"/>
  <c r="AA35" i="1"/>
  <c r="AB35" i="1"/>
  <c r="AC35" i="1"/>
  <c r="AD35" i="1"/>
  <c r="AE35" i="1"/>
  <c r="AF35" i="1"/>
  <c r="AG35" i="1" s="1"/>
  <c r="AH35" i="1" s="1"/>
  <c r="W36" i="1"/>
  <c r="X36" i="1"/>
  <c r="Y36" i="1"/>
  <c r="Z36" i="1"/>
  <c r="AA36" i="1"/>
  <c r="AB36" i="1"/>
  <c r="AC36" i="1"/>
  <c r="AD36" i="1"/>
  <c r="AE36" i="1"/>
  <c r="AF36" i="1"/>
  <c r="AG36" i="1"/>
  <c r="AH36" i="1"/>
  <c r="W37" i="1"/>
  <c r="X37" i="1"/>
  <c r="Y37" i="1"/>
  <c r="Z37" i="1"/>
  <c r="AA37" i="1"/>
  <c r="AB37" i="1"/>
  <c r="AC37" i="1"/>
  <c r="AD37" i="1"/>
  <c r="AE37" i="1"/>
  <c r="AF37" i="1"/>
  <c r="AG37" i="1"/>
  <c r="AH37" i="1"/>
  <c r="W38" i="1"/>
  <c r="X38" i="1"/>
  <c r="Y38" i="1"/>
  <c r="Z38" i="1"/>
  <c r="AA38" i="1"/>
  <c r="AB38" i="1"/>
  <c r="AC38" i="1"/>
  <c r="AD38" i="1"/>
  <c r="AE38" i="1"/>
  <c r="AF38" i="1"/>
  <c r="AG38" i="1"/>
  <c r="AH38" i="1"/>
  <c r="W39" i="1"/>
  <c r="X39" i="1"/>
  <c r="Y39" i="1"/>
  <c r="Z39" i="1"/>
  <c r="AA39" i="1"/>
  <c r="AB39" i="1"/>
  <c r="AC39" i="1"/>
  <c r="AD39" i="1"/>
  <c r="AE39" i="1"/>
  <c r="AF39" i="1"/>
  <c r="AG39" i="1"/>
  <c r="AH39" i="1"/>
  <c r="W40" i="1"/>
  <c r="X40" i="1"/>
  <c r="Y40" i="1"/>
  <c r="Z40" i="1"/>
  <c r="AA40" i="1" s="1"/>
  <c r="AB40" i="1" s="1"/>
  <c r="AC40" i="1" s="1"/>
  <c r="AD40" i="1" s="1"/>
  <c r="AE40" i="1" s="1"/>
  <c r="AF40" i="1" s="1"/>
  <c r="AG40" i="1" s="1"/>
  <c r="AH40" i="1"/>
  <c r="W41" i="1"/>
  <c r="X41" i="1"/>
  <c r="Y41" i="1"/>
  <c r="Z41" i="1"/>
  <c r="AA41" i="1" s="1"/>
  <c r="AB41" i="1" s="1"/>
  <c r="AC41" i="1"/>
  <c r="AD41" i="1" s="1"/>
  <c r="AE41" i="1" s="1"/>
  <c r="AF41" i="1" s="1"/>
  <c r="AG41" i="1" s="1"/>
  <c r="AH41" i="1" s="1"/>
  <c r="W42" i="1"/>
  <c r="X42" i="1"/>
  <c r="Y42" i="1"/>
  <c r="Z42" i="1" s="1"/>
  <c r="AA42" i="1" s="1"/>
  <c r="AB42" i="1" s="1"/>
  <c r="AC42" i="1" s="1"/>
  <c r="AD42" i="1" s="1"/>
  <c r="AE42" i="1" s="1"/>
  <c r="AF42" i="1" s="1"/>
  <c r="AG42" i="1" s="1"/>
  <c r="AH42" i="1" s="1"/>
  <c r="W43" i="1"/>
  <c r="X43" i="1"/>
  <c r="Y43" i="1"/>
  <c r="Z43" i="1"/>
  <c r="AA43" i="1"/>
  <c r="AB43" i="1"/>
  <c r="AC43" i="1"/>
  <c r="AD43" i="1"/>
  <c r="AE43" i="1" s="1"/>
  <c r="AF43" i="1" s="1"/>
  <c r="AG43" i="1" s="1"/>
  <c r="AH43" i="1" s="1"/>
  <c r="W44" i="1"/>
  <c r="X44" i="1"/>
  <c r="Y44" i="1"/>
  <c r="Z44" i="1"/>
  <c r="AA44" i="1"/>
  <c r="AB44" i="1"/>
  <c r="AC44" i="1"/>
  <c r="AD44" i="1"/>
  <c r="AE44" i="1"/>
  <c r="AF44" i="1"/>
  <c r="AG44" i="1"/>
  <c r="AH44" i="1"/>
  <c r="W45" i="1"/>
  <c r="X45" i="1"/>
  <c r="Y45" i="1"/>
  <c r="Z45" i="1"/>
  <c r="AA45" i="1"/>
  <c r="AB45" i="1"/>
  <c r="AC45" i="1"/>
  <c r="AD45" i="1" s="1"/>
  <c r="AE45" i="1" s="1"/>
  <c r="AF45" i="1" s="1"/>
  <c r="AG45" i="1" s="1"/>
  <c r="AH45" i="1" s="1"/>
  <c r="W46" i="1"/>
  <c r="X46" i="1"/>
  <c r="Y46" i="1"/>
  <c r="Z46" i="1"/>
  <c r="AA46" i="1"/>
  <c r="AB46" i="1"/>
  <c r="AC46" i="1"/>
  <c r="AD46" i="1"/>
  <c r="AE46" i="1"/>
  <c r="AF46" i="1"/>
  <c r="AG46" i="1"/>
  <c r="AH46" i="1"/>
  <c r="W47" i="1"/>
  <c r="X47" i="1" s="1"/>
  <c r="Y47" i="1"/>
  <c r="Z47" i="1" s="1"/>
  <c r="AA47" i="1" s="1"/>
  <c r="AB47" i="1" s="1"/>
  <c r="AC47" i="1" s="1"/>
  <c r="AD47" i="1" s="1"/>
  <c r="AE47" i="1" s="1"/>
  <c r="AF47" i="1" s="1"/>
  <c r="AG47" i="1" s="1"/>
  <c r="AH47" i="1" s="1"/>
  <c r="W48" i="1"/>
  <c r="X48" i="1"/>
  <c r="Y48" i="1"/>
  <c r="Z48" i="1"/>
  <c r="AA48" i="1"/>
  <c r="AB48" i="1"/>
  <c r="AC48" i="1"/>
  <c r="AD48" i="1"/>
  <c r="AE48" i="1"/>
  <c r="AF48" i="1"/>
  <c r="AG48" i="1"/>
  <c r="AH48" i="1"/>
  <c r="W49" i="1"/>
  <c r="X49" i="1"/>
  <c r="Y49" i="1"/>
  <c r="Z49" i="1"/>
  <c r="AA49" i="1"/>
  <c r="AB49" i="1"/>
  <c r="AC49" i="1"/>
  <c r="AD49" i="1"/>
  <c r="AE49" i="1"/>
  <c r="AF49" i="1"/>
  <c r="AG49" i="1"/>
  <c r="AH49" i="1"/>
  <c r="W50" i="1"/>
  <c r="X50" i="1"/>
  <c r="Y50" i="1"/>
  <c r="Z50" i="1"/>
  <c r="AA50" i="1"/>
  <c r="AB50" i="1"/>
  <c r="AC50" i="1"/>
  <c r="AD50" i="1"/>
  <c r="AE50" i="1"/>
  <c r="AF50" i="1"/>
  <c r="AG50" i="1"/>
  <c r="AH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W56" i="1"/>
  <c r="X56" i="1"/>
  <c r="Y56" i="1"/>
  <c r="Z56" i="1" s="1"/>
  <c r="AA56" i="1" s="1"/>
  <c r="AB56" i="1" s="1"/>
  <c r="AC56" i="1" s="1"/>
  <c r="AD56" i="1" s="1"/>
  <c r="AE56" i="1" s="1"/>
  <c r="AF56" i="1" s="1"/>
  <c r="AG56" i="1" s="1"/>
  <c r="AH56" i="1" s="1"/>
  <c r="W57" i="1"/>
  <c r="X57" i="1"/>
  <c r="Y57" i="1"/>
  <c r="Z57" i="1"/>
  <c r="AA57" i="1"/>
  <c r="AB57" i="1"/>
  <c r="AC57" i="1"/>
  <c r="AD57" i="1"/>
  <c r="AE57" i="1" s="1"/>
  <c r="AF57" i="1" s="1"/>
  <c r="AG57" i="1" s="1"/>
  <c r="AH57" i="1" s="1"/>
  <c r="W58" i="1"/>
  <c r="X58" i="1"/>
  <c r="Y58" i="1"/>
  <c r="Z58" i="1"/>
  <c r="AA58" i="1"/>
  <c r="AB58" i="1"/>
  <c r="AC58" i="1"/>
  <c r="AD58" i="1"/>
  <c r="AE58" i="1"/>
  <c r="AF58" i="1"/>
  <c r="AG58" i="1"/>
  <c r="AH58" i="1"/>
  <c r="W59" i="1"/>
  <c r="X59" i="1"/>
  <c r="Y59" i="1"/>
  <c r="Z59" i="1"/>
  <c r="AA59" i="1"/>
  <c r="AB59" i="1"/>
  <c r="AC59" i="1"/>
  <c r="AD59" i="1"/>
  <c r="AE59" i="1"/>
  <c r="AF59" i="1"/>
  <c r="AG59" i="1"/>
  <c r="AH59" i="1"/>
  <c r="W60" i="1"/>
  <c r="X60" i="1"/>
  <c r="Y60" i="1"/>
  <c r="Z60" i="1"/>
  <c r="AA60" i="1"/>
  <c r="AB60" i="1"/>
  <c r="AC60" i="1"/>
  <c r="AD60" i="1"/>
  <c r="AE60" i="1"/>
  <c r="AF60" i="1"/>
  <c r="AG60" i="1"/>
  <c r="AH60" i="1"/>
  <c r="W61" i="1"/>
  <c r="X61" i="1"/>
  <c r="Y61" i="1"/>
  <c r="Z61" i="1"/>
  <c r="AA61" i="1"/>
  <c r="AB61" i="1"/>
  <c r="AC61" i="1"/>
  <c r="AD61" i="1"/>
  <c r="AE61" i="1"/>
  <c r="AF61" i="1"/>
  <c r="AG61" i="1"/>
  <c r="AH61" i="1"/>
  <c r="W62" i="1"/>
  <c r="X62" i="1"/>
  <c r="Y62" i="1"/>
  <c r="Z62" i="1" s="1"/>
  <c r="AA62" i="1" s="1"/>
  <c r="AB62" i="1" s="1"/>
  <c r="AC62" i="1" s="1"/>
  <c r="AD62" i="1" s="1"/>
  <c r="AE62" i="1" s="1"/>
  <c r="AF62" i="1" s="1"/>
  <c r="AG62" i="1" s="1"/>
  <c r="AH62" i="1" s="1"/>
  <c r="W63" i="1"/>
  <c r="X63" i="1"/>
  <c r="Y63" i="1"/>
  <c r="Z63" i="1"/>
  <c r="AA63" i="1"/>
  <c r="AB63" i="1"/>
  <c r="AC63" i="1"/>
  <c r="AD63" i="1"/>
  <c r="AE63" i="1"/>
  <c r="AF63" i="1"/>
  <c r="AG63" i="1"/>
  <c r="AH63" i="1"/>
  <c r="W64" i="1"/>
  <c r="X64" i="1"/>
  <c r="Y64" i="1"/>
  <c r="Z64" i="1"/>
  <c r="AA64" i="1"/>
  <c r="AB64" i="1"/>
  <c r="AC64" i="1"/>
  <c r="AD64" i="1" s="1"/>
  <c r="AE64" i="1" s="1"/>
  <c r="AF64" i="1" s="1"/>
  <c r="AG64" i="1"/>
  <c r="AH64" i="1" s="1"/>
  <c r="W65" i="1"/>
  <c r="X65" i="1"/>
  <c r="Y65" i="1"/>
  <c r="Z65" i="1"/>
  <c r="AA65" i="1"/>
  <c r="AB65" i="1"/>
  <c r="AC65" i="1"/>
  <c r="AD65" i="1" s="1"/>
  <c r="AE65" i="1" s="1"/>
  <c r="AF65" i="1" s="1"/>
  <c r="AG65" i="1" s="1"/>
  <c r="AH65" i="1" s="1"/>
  <c r="W66" i="1"/>
  <c r="X66" i="1"/>
  <c r="Y66" i="1"/>
  <c r="Z66" i="1"/>
  <c r="AA66" i="1" s="1"/>
  <c r="AB66" i="1" s="1"/>
  <c r="AC66" i="1"/>
  <c r="AD66" i="1" s="1"/>
  <c r="AE66" i="1" s="1"/>
  <c r="AF66" i="1" s="1"/>
  <c r="AG66" i="1"/>
  <c r="AH66" i="1" s="1"/>
  <c r="W67" i="1"/>
  <c r="X67" i="1" s="1"/>
  <c r="Y67" i="1" s="1"/>
  <c r="Z67" i="1" s="1"/>
  <c r="AA67" i="1" s="1"/>
  <c r="AB67" i="1" s="1"/>
  <c r="AC67" i="1" s="1"/>
  <c r="AD67" i="1" s="1"/>
  <c r="AE67" i="1" s="1"/>
  <c r="AF67" i="1" s="1"/>
  <c r="AG67" i="1" s="1"/>
  <c r="AH67" i="1" s="1"/>
  <c r="W68" i="1"/>
  <c r="X68" i="1"/>
  <c r="Y68" i="1"/>
  <c r="Z68" i="1"/>
  <c r="AA68" i="1"/>
  <c r="AB68" i="1"/>
  <c r="AC68" i="1"/>
  <c r="AD68" i="1"/>
  <c r="AE68" i="1"/>
  <c r="AF68" i="1"/>
  <c r="AG68" i="1"/>
  <c r="AH68" i="1"/>
  <c r="W69" i="1"/>
  <c r="X69" i="1"/>
  <c r="Y69" i="1"/>
  <c r="Z69" i="1" s="1"/>
  <c r="AA69" i="1" s="1"/>
  <c r="AB69" i="1" s="1"/>
  <c r="AC69" i="1" s="1"/>
  <c r="AD69" i="1" s="1"/>
  <c r="AE69" i="1" s="1"/>
  <c r="AF69" i="1" s="1"/>
  <c r="AG69" i="1"/>
  <c r="AH69" i="1" s="1"/>
  <c r="W70" i="1"/>
  <c r="X70" i="1"/>
  <c r="Y70" i="1"/>
  <c r="Z70" i="1"/>
  <c r="AA70" i="1" s="1"/>
  <c r="AB70" i="1" s="1"/>
  <c r="AC70" i="1" s="1"/>
  <c r="AD70" i="1" s="1"/>
  <c r="AE70" i="1" s="1"/>
  <c r="AF70" i="1" s="1"/>
  <c r="AG70" i="1" s="1"/>
  <c r="AH70" i="1" s="1"/>
  <c r="W71" i="1"/>
  <c r="X71" i="1" s="1"/>
  <c r="Y71" i="1" s="1"/>
  <c r="Z71" i="1" s="1"/>
  <c r="AA71" i="1" s="1"/>
  <c r="AB71" i="1" s="1"/>
  <c r="AC71" i="1" s="1"/>
  <c r="AD71" i="1" s="1"/>
  <c r="AE71" i="1" s="1"/>
  <c r="AF71" i="1" s="1"/>
  <c r="AG71" i="1" s="1"/>
  <c r="AH71" i="1" s="1"/>
  <c r="W72" i="1"/>
  <c r="X72" i="1"/>
  <c r="Y72" i="1"/>
  <c r="Z72" i="1"/>
  <c r="AA72" i="1"/>
  <c r="AB72" i="1"/>
  <c r="AC72" i="1"/>
  <c r="AD72" i="1"/>
  <c r="AE72" i="1"/>
  <c r="AF72" i="1"/>
  <c r="AG72" i="1"/>
  <c r="AH72" i="1"/>
  <c r="W73" i="1"/>
  <c r="X73" i="1" s="1"/>
  <c r="Y73" i="1"/>
  <c r="Z73" i="1" s="1"/>
  <c r="AA73" i="1" s="1"/>
  <c r="AB73" i="1" s="1"/>
  <c r="AC73" i="1" s="1"/>
  <c r="AD73" i="1" s="1"/>
  <c r="AE73" i="1" s="1"/>
  <c r="AF73" i="1" s="1"/>
  <c r="AG73" i="1" s="1"/>
  <c r="AH73" i="1" s="1"/>
  <c r="W74" i="1"/>
  <c r="X74" i="1"/>
  <c r="Y74" i="1"/>
  <c r="Z74" i="1"/>
  <c r="AA74" i="1"/>
  <c r="AB74" i="1"/>
  <c r="AC74" i="1"/>
  <c r="AD74" i="1"/>
  <c r="AE74" i="1"/>
  <c r="AF74" i="1"/>
  <c r="AG74" i="1"/>
  <c r="AH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W77" i="1"/>
  <c r="X77" i="1" s="1"/>
  <c r="Y77" i="1" s="1"/>
  <c r="Z77" i="1" s="1"/>
  <c r="AA77" i="1" s="1"/>
  <c r="AB77" i="1" s="1"/>
  <c r="AC77" i="1" s="1"/>
  <c r="AD77" i="1" s="1"/>
  <c r="AE77" i="1" s="1"/>
  <c r="AF77" i="1" s="1"/>
  <c r="AG77" i="1" s="1"/>
  <c r="AH77" i="1" s="1"/>
  <c r="W78" i="1"/>
  <c r="X78" i="1"/>
  <c r="Y78" i="1"/>
  <c r="Z78" i="1"/>
  <c r="AA78" i="1"/>
  <c r="AB78" i="1" s="1"/>
  <c r="AC78" i="1"/>
  <c r="AD78" i="1" s="1"/>
  <c r="AE78" i="1" s="1"/>
  <c r="AF78" i="1" s="1"/>
  <c r="AG78" i="1" s="1"/>
  <c r="AH78" i="1" s="1"/>
  <c r="W79" i="1"/>
  <c r="X79" i="1" s="1"/>
  <c r="Y79" i="1"/>
  <c r="Z79" i="1" s="1"/>
  <c r="AA79" i="1" s="1"/>
  <c r="AB79" i="1" s="1"/>
  <c r="AC79" i="1" s="1"/>
  <c r="AD79" i="1" s="1"/>
  <c r="AE79" i="1" s="1"/>
  <c r="AF79" i="1" s="1"/>
  <c r="AG79" i="1" s="1"/>
  <c r="AH79" i="1" s="1"/>
  <c r="W80" i="1"/>
  <c r="X80" i="1"/>
  <c r="Y80" i="1"/>
  <c r="Z80" i="1"/>
  <c r="AA80" i="1" s="1"/>
  <c r="AB80" i="1" s="1"/>
  <c r="AC80" i="1"/>
  <c r="AD80" i="1" s="1"/>
  <c r="AE80" i="1" s="1"/>
  <c r="AF80" i="1" s="1"/>
  <c r="AG80" i="1" s="1"/>
  <c r="AH80" i="1" s="1"/>
  <c r="W81" i="1"/>
  <c r="X81" i="1"/>
  <c r="Y81" i="1"/>
  <c r="Z81" i="1"/>
  <c r="AA81" i="1"/>
  <c r="AB81" i="1"/>
  <c r="AC81" i="1"/>
  <c r="AD81" i="1"/>
  <c r="AE81" i="1"/>
  <c r="AF81" i="1"/>
  <c r="AG81" i="1"/>
  <c r="AH81" i="1"/>
  <c r="W82" i="1"/>
  <c r="X82" i="1"/>
  <c r="Y82" i="1"/>
  <c r="Z82" i="1"/>
  <c r="AA82" i="1" s="1"/>
  <c r="AB82" i="1" s="1"/>
  <c r="AC82" i="1" s="1"/>
  <c r="AD82" i="1" s="1"/>
  <c r="AE82" i="1" s="1"/>
  <c r="AF82" i="1" s="1"/>
  <c r="AG82" i="1" s="1"/>
  <c r="AH82" i="1" s="1"/>
  <c r="W83" i="1"/>
  <c r="X83" i="1" s="1"/>
  <c r="Y83" i="1"/>
  <c r="Z83" i="1" s="1"/>
  <c r="AA83" i="1" s="1"/>
  <c r="AB83" i="1" s="1"/>
  <c r="AC83" i="1"/>
  <c r="AD83" i="1" s="1"/>
  <c r="AE83" i="1" s="1"/>
  <c r="AF83" i="1" s="1"/>
  <c r="AG83" i="1" s="1"/>
  <c r="AH83" i="1" s="1"/>
  <c r="W84" i="1"/>
  <c r="X84" i="1"/>
  <c r="Y84" i="1"/>
  <c r="Z84" i="1" s="1"/>
  <c r="AA84" i="1" s="1"/>
  <c r="AB84" i="1" s="1"/>
  <c r="AC84" i="1" s="1"/>
  <c r="AD84" i="1" s="1"/>
  <c r="AE84" i="1" s="1"/>
  <c r="AF84" i="1" s="1"/>
  <c r="AG84" i="1" s="1"/>
  <c r="AH84" i="1" s="1"/>
  <c r="W85" i="1"/>
  <c r="X85" i="1"/>
  <c r="Y85" i="1"/>
  <c r="Z85" i="1"/>
  <c r="AA85" i="1"/>
  <c r="AB85" i="1"/>
  <c r="AC85" i="1"/>
  <c r="AD85" i="1" s="1"/>
  <c r="AE85" i="1" s="1"/>
  <c r="AF85" i="1" s="1"/>
  <c r="AG85" i="1" s="1"/>
  <c r="AH85" i="1" s="1"/>
  <c r="W86" i="1"/>
  <c r="X86" i="1"/>
  <c r="Y86" i="1"/>
  <c r="Z86" i="1"/>
  <c r="AA86" i="1"/>
  <c r="AB86" i="1"/>
  <c r="AC86" i="1"/>
  <c r="AD86" i="1"/>
  <c r="AE86" i="1"/>
  <c r="AF86" i="1"/>
  <c r="AG86" i="1"/>
  <c r="AH86" i="1"/>
  <c r="W87" i="1"/>
  <c r="X87" i="1"/>
  <c r="Y87" i="1"/>
  <c r="Z87" i="1" s="1"/>
  <c r="AA87" i="1" s="1"/>
  <c r="AB87" i="1" s="1"/>
  <c r="AC87" i="1"/>
  <c r="AD87" i="1" s="1"/>
  <c r="AE87" i="1" s="1"/>
  <c r="AF87" i="1" s="1"/>
  <c r="AG87" i="1" s="1"/>
  <c r="AH87" i="1" s="1"/>
  <c r="W88" i="1"/>
  <c r="X88" i="1"/>
  <c r="Y88" i="1"/>
  <c r="Z88" i="1"/>
  <c r="AA88" i="1" s="1"/>
  <c r="AB88" i="1" s="1"/>
  <c r="AC88" i="1" s="1"/>
  <c r="AD88" i="1" s="1"/>
  <c r="AE88" i="1" s="1"/>
  <c r="AF88" i="1" s="1"/>
  <c r="AG88" i="1" s="1"/>
  <c r="AH88" i="1" s="1"/>
  <c r="W89" i="1"/>
  <c r="X89" i="1"/>
  <c r="Y89" i="1"/>
  <c r="Z89" i="1"/>
  <c r="AA89" i="1"/>
  <c r="AB89" i="1"/>
  <c r="AC89" i="1"/>
  <c r="AD89" i="1"/>
  <c r="AE89" i="1"/>
  <c r="AF89" i="1"/>
  <c r="AG89" i="1"/>
  <c r="AH89" i="1"/>
  <c r="W90" i="1"/>
  <c r="X90" i="1"/>
  <c r="Y90" i="1"/>
  <c r="Z90" i="1"/>
  <c r="AA90" i="1"/>
  <c r="AB90" i="1"/>
  <c r="AC90" i="1"/>
  <c r="AD90" i="1"/>
  <c r="AE90" i="1"/>
  <c r="AF90" i="1"/>
  <c r="AG90" i="1"/>
  <c r="AH90" i="1" s="1"/>
  <c r="W91" i="1"/>
  <c r="X91" i="1"/>
  <c r="Y91" i="1"/>
  <c r="Z91" i="1"/>
  <c r="AA91" i="1"/>
  <c r="AB91" i="1"/>
  <c r="AC91" i="1"/>
  <c r="AD91" i="1"/>
  <c r="AE91" i="1"/>
  <c r="AF91" i="1"/>
  <c r="AG91" i="1"/>
  <c r="AH91" i="1"/>
  <c r="W92" i="1"/>
  <c r="X92" i="1"/>
  <c r="Y92" i="1"/>
  <c r="Z92" i="1"/>
  <c r="AA92" i="1"/>
  <c r="AB92" i="1"/>
  <c r="AC92" i="1"/>
  <c r="AD92" i="1"/>
  <c r="AE92" i="1"/>
  <c r="AF92" i="1"/>
  <c r="AG92" i="1"/>
  <c r="AH92" i="1" s="1"/>
  <c r="W93" i="1"/>
  <c r="X93" i="1"/>
  <c r="Y93" i="1"/>
  <c r="Z93" i="1"/>
  <c r="AA93" i="1"/>
  <c r="AB93" i="1"/>
  <c r="AC93" i="1"/>
  <c r="AD93" i="1"/>
  <c r="AE93" i="1"/>
  <c r="AF93" i="1"/>
  <c r="AG93" i="1"/>
  <c r="AH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W95" i="1"/>
  <c r="X95" i="1"/>
  <c r="Y95" i="1"/>
  <c r="Z95" i="1"/>
  <c r="AA95" i="1"/>
  <c r="AB95" i="1"/>
  <c r="AC95" i="1"/>
  <c r="AD95" i="1"/>
  <c r="AE95" i="1"/>
  <c r="AF95" i="1"/>
  <c r="AG95" i="1"/>
  <c r="AH95" i="1"/>
  <c r="W96" i="1"/>
  <c r="X96" i="1"/>
  <c r="Y96" i="1"/>
  <c r="Z96" i="1" s="1"/>
  <c r="AA96" i="1" s="1"/>
  <c r="AB96" i="1" s="1"/>
  <c r="AC96" i="1" s="1"/>
  <c r="AD96" i="1" s="1"/>
  <c r="AE96" i="1" s="1"/>
  <c r="AF96" i="1" s="1"/>
  <c r="AG96" i="1" s="1"/>
  <c r="AH96" i="1" s="1"/>
  <c r="W97" i="1"/>
  <c r="X97" i="1"/>
  <c r="Y97" i="1"/>
  <c r="Z97" i="1"/>
  <c r="AA97" i="1"/>
  <c r="AB97" i="1"/>
  <c r="AC97" i="1"/>
  <c r="AD97" i="1"/>
  <c r="AE97" i="1"/>
  <c r="AF97" i="1"/>
  <c r="AG97" i="1"/>
  <c r="AH97" i="1"/>
  <c r="W98" i="1"/>
  <c r="X98" i="1"/>
  <c r="Y98" i="1"/>
  <c r="Z98" i="1"/>
  <c r="AA98" i="1" s="1"/>
  <c r="AB98" i="1" s="1"/>
  <c r="AC98" i="1" s="1"/>
  <c r="AD98" i="1" s="1"/>
  <c r="AE98" i="1" s="1"/>
  <c r="AF98" i="1" s="1"/>
  <c r="AG98" i="1" s="1"/>
  <c r="AH98" i="1" s="1"/>
  <c r="W99" i="1"/>
  <c r="X99" i="1"/>
  <c r="Y99" i="1"/>
  <c r="Z99" i="1"/>
  <c r="AA99" i="1" s="1"/>
  <c r="AB99" i="1" s="1"/>
  <c r="AC99" i="1"/>
  <c r="AD99" i="1" s="1"/>
  <c r="AE99" i="1" s="1"/>
  <c r="AF99" i="1" s="1"/>
  <c r="AG99" i="1"/>
  <c r="AH99" i="1" s="1"/>
  <c r="W100" i="1"/>
  <c r="X100" i="1"/>
  <c r="Y100" i="1"/>
  <c r="Z100" i="1"/>
  <c r="AA100" i="1" s="1"/>
  <c r="AB100" i="1" s="1"/>
  <c r="AC100" i="1" s="1"/>
  <c r="AD100" i="1" s="1"/>
  <c r="AE100" i="1" s="1"/>
  <c r="AF100" i="1" s="1"/>
  <c r="AG100" i="1" s="1"/>
  <c r="AH100" i="1" s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W102" i="1"/>
  <c r="X102" i="1"/>
  <c r="Y102" i="1"/>
  <c r="Z102" i="1"/>
  <c r="AA102" i="1"/>
  <c r="AB102" i="1" s="1"/>
  <c r="AC102" i="1" s="1"/>
  <c r="AD102" i="1" s="1"/>
  <c r="AE102" i="1" s="1"/>
  <c r="AF102" i="1" s="1"/>
  <c r="AG102" i="1" s="1"/>
  <c r="AH102" i="1" s="1"/>
  <c r="W103" i="1"/>
  <c r="X103" i="1"/>
  <c r="Y103" i="1"/>
  <c r="Z103" i="1" s="1"/>
  <c r="AA103" i="1" s="1"/>
  <c r="AB103" i="1" s="1"/>
  <c r="AC103" i="1" s="1"/>
  <c r="AD103" i="1" s="1"/>
  <c r="AE103" i="1" s="1"/>
  <c r="AF103" i="1" s="1"/>
  <c r="AG103" i="1" s="1"/>
  <c r="AH103" i="1" s="1"/>
  <c r="W104" i="1"/>
  <c r="X104" i="1"/>
  <c r="Y104" i="1"/>
  <c r="Z104" i="1" s="1"/>
  <c r="AA104" i="1" s="1"/>
  <c r="AB104" i="1" s="1"/>
  <c r="AC104" i="1" s="1"/>
  <c r="AD104" i="1" s="1"/>
  <c r="AE104" i="1" s="1"/>
  <c r="AF104" i="1" s="1"/>
  <c r="AG104" i="1" s="1"/>
  <c r="AH104" i="1"/>
  <c r="W105" i="1"/>
  <c r="X105" i="1"/>
  <c r="Y105" i="1"/>
  <c r="Z105" i="1" s="1"/>
  <c r="AA105" i="1" s="1"/>
  <c r="AB105" i="1" s="1"/>
  <c r="AC105" i="1"/>
  <c r="AD105" i="1" s="1"/>
  <c r="AE105" i="1" s="1"/>
  <c r="AF105" i="1" s="1"/>
  <c r="AG105" i="1" s="1"/>
  <c r="AH105" i="1" s="1"/>
  <c r="W106" i="1"/>
  <c r="X106" i="1"/>
  <c r="Y106" i="1"/>
  <c r="Z106" i="1"/>
  <c r="AA106" i="1" s="1"/>
  <c r="AB106" i="1" s="1"/>
  <c r="AC106" i="1" s="1"/>
  <c r="AD106" i="1" s="1"/>
  <c r="AE106" i="1" s="1"/>
  <c r="AF106" i="1" s="1"/>
  <c r="AG106" i="1" s="1"/>
  <c r="AH106" i="1" s="1"/>
  <c r="W107" i="1"/>
  <c r="X107" i="1"/>
  <c r="Y107" i="1"/>
  <c r="Z107" i="1"/>
  <c r="AA107" i="1" s="1"/>
  <c r="AB107" i="1" s="1"/>
  <c r="AC107" i="1"/>
  <c r="AD107" i="1" s="1"/>
  <c r="AE107" i="1" s="1"/>
  <c r="AF107" i="1" s="1"/>
  <c r="AG107" i="1" s="1"/>
  <c r="AH107" i="1" s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W114" i="1"/>
  <c r="X114" i="1"/>
  <c r="Y114" i="1"/>
  <c r="Z114" i="1"/>
  <c r="AA114" i="1"/>
  <c r="AB114" i="1"/>
  <c r="AC114" i="1"/>
  <c r="AD114" i="1"/>
  <c r="AE114" i="1"/>
  <c r="AF114" i="1" s="1"/>
  <c r="AG114" i="1"/>
  <c r="AH114" i="1" s="1"/>
  <c r="W115" i="1"/>
  <c r="X115" i="1" s="1"/>
  <c r="Y115" i="1" s="1"/>
  <c r="Z115" i="1" s="1"/>
  <c r="AA115" i="1" s="1"/>
  <c r="AB115" i="1" s="1"/>
  <c r="AC115" i="1" s="1"/>
  <c r="AD115" i="1" s="1"/>
  <c r="AE115" i="1" s="1"/>
  <c r="AF115" i="1" s="1"/>
  <c r="AG115" i="1" s="1"/>
  <c r="AH115" i="1" s="1"/>
  <c r="W116" i="1"/>
  <c r="X116" i="1" s="1"/>
  <c r="Y116" i="1"/>
  <c r="Z116" i="1" s="1"/>
  <c r="AA116" i="1" s="1"/>
  <c r="AB116" i="1" s="1"/>
  <c r="AC116" i="1"/>
  <c r="AD116" i="1" s="1"/>
  <c r="AE116" i="1" s="1"/>
  <c r="AF116" i="1" s="1"/>
  <c r="AG116" i="1" s="1"/>
  <c r="AH116" i="1" s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W119" i="1"/>
  <c r="X119" i="1" s="1"/>
  <c r="Y119" i="1"/>
  <c r="Z119" i="1" s="1"/>
  <c r="AA119" i="1" s="1"/>
  <c r="AB119" i="1" s="1"/>
  <c r="AC119" i="1" s="1"/>
  <c r="AD119" i="1" s="1"/>
  <c r="AE119" i="1" s="1"/>
  <c r="AF119" i="1" s="1"/>
  <c r="AG119" i="1" s="1"/>
  <c r="AH119" i="1" s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W121" i="1"/>
  <c r="X121" i="1"/>
  <c r="Y121" i="1"/>
  <c r="Z121" i="1"/>
  <c r="AA121" i="1"/>
  <c r="AB121" i="1"/>
  <c r="AC121" i="1"/>
  <c r="AD121" i="1"/>
  <c r="AE121" i="1"/>
  <c r="AF121" i="1"/>
  <c r="AG121" i="1"/>
  <c r="AH121" i="1" s="1"/>
  <c r="W122" i="1"/>
  <c r="X122" i="1"/>
  <c r="Y122" i="1"/>
  <c r="Z122" i="1"/>
  <c r="AA122" i="1"/>
  <c r="AB122" i="1"/>
  <c r="AC122" i="1"/>
  <c r="AD122" i="1"/>
  <c r="AE122" i="1"/>
  <c r="AF122" i="1" s="1"/>
  <c r="AG122" i="1"/>
  <c r="AH122" i="1" s="1"/>
  <c r="W123" i="1"/>
  <c r="X123" i="1" s="1"/>
  <c r="Y123" i="1" s="1"/>
  <c r="Z123" i="1" s="1"/>
  <c r="AA123" i="1" s="1"/>
  <c r="AB123" i="1" s="1"/>
  <c r="AC123" i="1" s="1"/>
  <c r="AD123" i="1" s="1"/>
  <c r="AE123" i="1" s="1"/>
  <c r="AF123" i="1" s="1"/>
  <c r="AG123" i="1" s="1"/>
  <c r="AH123" i="1" s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W128" i="1"/>
  <c r="X128" i="1" s="1"/>
  <c r="Y128" i="1"/>
  <c r="Z128" i="1" s="1"/>
  <c r="AA128" i="1" s="1"/>
  <c r="AB128" i="1" s="1"/>
  <c r="AC128" i="1" s="1"/>
  <c r="AD128" i="1" s="1"/>
  <c r="AE128" i="1" s="1"/>
  <c r="AF128" i="1" s="1"/>
  <c r="AG128" i="1" s="1"/>
  <c r="AH128" i="1" s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W133" i="1"/>
  <c r="X133" i="1"/>
  <c r="Y133" i="1"/>
  <c r="Z133" i="1"/>
  <c r="AA133" i="1"/>
  <c r="AB133" i="1"/>
  <c r="AC133" i="1"/>
  <c r="AD133" i="1"/>
  <c r="AE133" i="1"/>
  <c r="AF133" i="1"/>
  <c r="AG133" i="1"/>
  <c r="AH133" i="1" s="1"/>
  <c r="W134" i="1"/>
  <c r="X134" i="1"/>
  <c r="Y134" i="1"/>
  <c r="Z134" i="1"/>
  <c r="AA134" i="1"/>
  <c r="AB134" i="1" s="1"/>
  <c r="AC134" i="1" s="1"/>
  <c r="AD134" i="1" s="1"/>
  <c r="AE134" i="1" s="1"/>
  <c r="AF134" i="1" s="1"/>
  <c r="AG134" i="1" s="1"/>
  <c r="AH134" i="1" s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W138" i="1"/>
  <c r="X138" i="1"/>
  <c r="Y138" i="1"/>
  <c r="Z138" i="1"/>
  <c r="AA138" i="1"/>
  <c r="AB138" i="1"/>
  <c r="AC138" i="1"/>
  <c r="AD138" i="1"/>
  <c r="AE138" i="1"/>
  <c r="AF138" i="1" s="1"/>
  <c r="AG138" i="1" s="1"/>
  <c r="AH138" i="1" s="1"/>
  <c r="W139" i="1"/>
  <c r="X139" i="1" s="1"/>
  <c r="Y139" i="1"/>
  <c r="Z139" i="1" s="1"/>
  <c r="AA139" i="1" s="1"/>
  <c r="AB139" i="1" s="1"/>
  <c r="AC139" i="1" s="1"/>
  <c r="AD139" i="1" s="1"/>
  <c r="AE139" i="1" s="1"/>
  <c r="AF139" i="1" s="1"/>
  <c r="AG139" i="1" s="1"/>
  <c r="AH139" i="1" s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W143" i="1"/>
  <c r="X143" i="1" s="1"/>
  <c r="Y143" i="1" s="1"/>
  <c r="Z143" i="1" s="1"/>
  <c r="AA143" i="1" s="1"/>
  <c r="AB143" i="1" s="1"/>
  <c r="AC143" i="1" s="1"/>
  <c r="AD143" i="1" s="1"/>
  <c r="AE143" i="1" s="1"/>
  <c r="AF143" i="1" s="1"/>
  <c r="AG143" i="1" s="1"/>
  <c r="AH143" i="1" s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W146" i="1"/>
  <c r="X146" i="1" s="1"/>
  <c r="Y146" i="1"/>
  <c r="Z146" i="1"/>
  <c r="AA146" i="1" s="1"/>
  <c r="AB146" i="1" s="1"/>
  <c r="AC146" i="1"/>
  <c r="AD146" i="1" s="1"/>
  <c r="AE146" i="1" s="1"/>
  <c r="AF146" i="1" s="1"/>
  <c r="AG146" i="1" s="1"/>
  <c r="AH146" i="1" s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W148" i="1"/>
  <c r="X148" i="1" s="1"/>
  <c r="Y148" i="1" s="1"/>
  <c r="Z148" i="1" s="1"/>
  <c r="AA148" i="1" s="1"/>
  <c r="AB148" i="1" s="1"/>
  <c r="AC148" i="1" s="1"/>
  <c r="AD148" i="1" s="1"/>
  <c r="AE148" i="1" s="1"/>
  <c r="AF148" i="1" s="1"/>
  <c r="AG148" i="1" s="1"/>
  <c r="AH148" i="1" s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W150" i="1"/>
  <c r="X150" i="1" s="1"/>
  <c r="Y150" i="1" s="1"/>
  <c r="Z150" i="1" s="1"/>
  <c r="AA150" i="1" s="1"/>
  <c r="AB150" i="1" s="1"/>
  <c r="AC150" i="1" s="1"/>
  <c r="AD150" i="1" s="1"/>
  <c r="AE150" i="1" s="1"/>
  <c r="AF150" i="1" s="1"/>
  <c r="AG150" i="1" s="1"/>
  <c r="AH150" i="1" s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W152" i="1"/>
  <c r="X152" i="1"/>
  <c r="Y152" i="1"/>
  <c r="Z152" i="1"/>
  <c r="AA152" i="1" s="1"/>
  <c r="AB152" i="1" s="1"/>
  <c r="AC152" i="1" s="1"/>
  <c r="AD152" i="1" s="1"/>
  <c r="AE152" i="1" s="1"/>
  <c r="AF152" i="1" s="1"/>
  <c r="AG152" i="1" s="1"/>
  <c r="AH152" i="1" s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W156" i="1"/>
  <c r="X156" i="1" s="1"/>
  <c r="Y156" i="1" s="1"/>
  <c r="Z156" i="1" s="1"/>
  <c r="AA156" i="1" s="1"/>
  <c r="AB156" i="1" s="1"/>
  <c r="AC156" i="1" s="1"/>
  <c r="AD156" i="1" s="1"/>
  <c r="AE156" i="1" s="1"/>
  <c r="AF156" i="1" s="1"/>
  <c r="AG156" i="1" s="1"/>
  <c r="AH156" i="1" s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W159" i="1"/>
  <c r="X159" i="1"/>
  <c r="Y159" i="1"/>
  <c r="Z159" i="1"/>
  <c r="AA159" i="1"/>
  <c r="AB159" i="1" s="1"/>
  <c r="AC159" i="1"/>
  <c r="AD159" i="1" s="1"/>
  <c r="AE159" i="1" s="1"/>
  <c r="AF159" i="1" s="1"/>
  <c r="AG159" i="1" s="1"/>
  <c r="AH159" i="1" s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W165" i="1"/>
  <c r="X165" i="1"/>
  <c r="Y165" i="1"/>
  <c r="Z165" i="1"/>
  <c r="AA165" i="1"/>
  <c r="AB165" i="1"/>
  <c r="AC165" i="1" s="1"/>
  <c r="AD165" i="1" s="1"/>
  <c r="AE165" i="1" s="1"/>
  <c r="AF165" i="1" s="1"/>
  <c r="AG165" i="1" s="1"/>
  <c r="AH165" i="1" s="1"/>
  <c r="W166" i="1"/>
  <c r="X166" i="1"/>
  <c r="Y166" i="1" s="1"/>
  <c r="Z166" i="1" s="1"/>
  <c r="AA166" i="1" s="1"/>
  <c r="AB166" i="1" s="1"/>
  <c r="AC166" i="1" s="1"/>
  <c r="AD166" i="1" s="1"/>
  <c r="AE166" i="1" s="1"/>
  <c r="AF166" i="1"/>
  <c r="AG166" i="1" s="1"/>
  <c r="AH166" i="1" s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W169" i="1"/>
  <c r="X169" i="1"/>
  <c r="Y169" i="1"/>
  <c r="Z169" i="1"/>
  <c r="AA169" i="1"/>
  <c r="AB169" i="1"/>
  <c r="AC169" i="1"/>
  <c r="AD169" i="1"/>
  <c r="AE169" i="1" s="1"/>
  <c r="AF169" i="1" s="1"/>
  <c r="AG169" i="1" s="1"/>
  <c r="AH169" i="1" s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W171" i="1"/>
  <c r="X171" i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W179" i="1"/>
  <c r="X179" i="1"/>
  <c r="Y179" i="1" s="1"/>
  <c r="Z179" i="1" s="1"/>
  <c r="AA179" i="1" s="1"/>
  <c r="AB179" i="1"/>
  <c r="AC179" i="1" s="1"/>
  <c r="AD179" i="1" s="1"/>
  <c r="AE179" i="1" s="1"/>
  <c r="AF179" i="1" s="1"/>
  <c r="AG179" i="1" s="1"/>
  <c r="AH179" i="1" s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W182" i="1"/>
  <c r="X182" i="1"/>
  <c r="Y182" i="1" s="1"/>
  <c r="Z182" i="1" s="1"/>
  <c r="AA182" i="1" s="1"/>
  <c r="AB182" i="1" s="1"/>
  <c r="AC182" i="1" s="1"/>
  <c r="AD182" i="1" s="1"/>
  <c r="AE182" i="1" s="1"/>
  <c r="AF182" i="1"/>
  <c r="AG182" i="1" s="1"/>
  <c r="AH182" i="1" s="1"/>
  <c r="W183" i="1"/>
  <c r="X183" i="1"/>
  <c r="Y183" i="1" s="1"/>
  <c r="Z183" i="1" s="1"/>
  <c r="AA183" i="1" s="1"/>
  <c r="AB183" i="1" s="1"/>
  <c r="AC183" i="1" s="1"/>
  <c r="AD183" i="1" s="1"/>
  <c r="AE183" i="1" s="1"/>
  <c r="AF183" i="1" s="1"/>
  <c r="AG183" i="1" s="1"/>
  <c r="AH183" i="1" s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W188" i="1"/>
  <c r="X188" i="1"/>
  <c r="Y188" i="1" s="1"/>
  <c r="Z188" i="1" s="1"/>
  <c r="AA188" i="1" s="1"/>
  <c r="AB188" i="1" s="1"/>
  <c r="AC188" i="1" s="1"/>
  <c r="AD188" i="1" s="1"/>
  <c r="AE188" i="1" s="1"/>
  <c r="AF188" i="1" s="1"/>
  <c r="AG188" i="1" s="1"/>
  <c r="AH188" i="1" s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W190" i="1"/>
  <c r="X190" i="1"/>
  <c r="Y190" i="1" s="1"/>
  <c r="Z190" i="1" s="1"/>
  <c r="AA190" i="1" s="1"/>
  <c r="AB190" i="1" s="1"/>
  <c r="AC190" i="1" s="1"/>
  <c r="AD190" i="1" s="1"/>
  <c r="AE190" i="1" s="1"/>
  <c r="AF190" i="1"/>
  <c r="AG190" i="1" s="1"/>
  <c r="AH190" i="1" s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W192" i="1"/>
  <c r="X192" i="1"/>
  <c r="Y192" i="1" s="1"/>
  <c r="Z192" i="1" s="1"/>
  <c r="AA192" i="1" s="1"/>
  <c r="AB192" i="1" s="1"/>
  <c r="AC192" i="1" s="1"/>
  <c r="AD192" i="1" s="1"/>
  <c r="AE192" i="1" s="1"/>
  <c r="AF192" i="1" s="1"/>
  <c r="AG192" i="1" s="1"/>
  <c r="AH192" i="1" s="1"/>
  <c r="W193" i="1"/>
  <c r="X193" i="1"/>
  <c r="Y193" i="1"/>
  <c r="Z193" i="1"/>
  <c r="AA193" i="1"/>
  <c r="AB193" i="1"/>
  <c r="AC193" i="1" s="1"/>
  <c r="AD193" i="1" s="1"/>
  <c r="AE193" i="1" s="1"/>
  <c r="AF193" i="1" s="1"/>
  <c r="AG193" i="1" s="1"/>
  <c r="AH193" i="1" s="1"/>
  <c r="W194" i="1"/>
  <c r="X194" i="1"/>
  <c r="Y194" i="1"/>
  <c r="Z194" i="1"/>
  <c r="AA194" i="1"/>
  <c r="AB194" i="1"/>
  <c r="AC194" i="1"/>
  <c r="AD194" i="1"/>
  <c r="AE194" i="1"/>
  <c r="AF194" i="1"/>
  <c r="AG194" i="1" s="1"/>
  <c r="AH194" i="1" s="1"/>
  <c r="W195" i="1"/>
  <c r="X195" i="1"/>
  <c r="Y195" i="1"/>
  <c r="Z195" i="1"/>
  <c r="AA195" i="1"/>
  <c r="AB195" i="1"/>
  <c r="AC195" i="1" s="1"/>
  <c r="AD195" i="1" s="1"/>
  <c r="AE195" i="1" s="1"/>
  <c r="AF195" i="1" s="1"/>
  <c r="AG195" i="1" s="1"/>
  <c r="AH195" i="1" s="1"/>
  <c r="W196" i="1"/>
  <c r="X196" i="1"/>
  <c r="Y196" i="1"/>
  <c r="Z196" i="1"/>
  <c r="AA196" i="1"/>
  <c r="AB196" i="1"/>
  <c r="AC196" i="1"/>
  <c r="AD196" i="1"/>
  <c r="AE196" i="1"/>
  <c r="AF196" i="1"/>
  <c r="AG196" i="1" s="1"/>
  <c r="AH196" i="1" s="1"/>
  <c r="W197" i="1"/>
  <c r="X197" i="1"/>
  <c r="Y197" i="1"/>
  <c r="Z197" i="1"/>
  <c r="AA197" i="1"/>
  <c r="AB197" i="1"/>
  <c r="AC197" i="1"/>
  <c r="AD197" i="1"/>
  <c r="AE197" i="1" s="1"/>
  <c r="AF197" i="1" s="1"/>
  <c r="AG197" i="1" s="1"/>
  <c r="AH197" i="1" s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W201" i="1"/>
  <c r="X201" i="1"/>
  <c r="Y201" i="1"/>
  <c r="Z201" i="1"/>
  <c r="AA201" i="1"/>
  <c r="AB201" i="1"/>
  <c r="AC201" i="1" s="1"/>
  <c r="AD201" i="1" s="1"/>
  <c r="AE201" i="1" s="1"/>
  <c r="AF201" i="1" s="1"/>
  <c r="AG201" i="1" s="1"/>
  <c r="AH201" i="1" s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W212" i="1"/>
  <c r="X212" i="1"/>
  <c r="Y212" i="1"/>
  <c r="Z212" i="1"/>
  <c r="AA212" i="1"/>
  <c r="AB212" i="1"/>
  <c r="AC212" i="1"/>
  <c r="AD212" i="1"/>
  <c r="AE212" i="1"/>
  <c r="AF212" i="1"/>
  <c r="AG212" i="1" s="1"/>
  <c r="AH212" i="1" s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W214" i="1"/>
  <c r="X214" i="1"/>
  <c r="Y214" i="1" s="1"/>
  <c r="Z214" i="1" s="1"/>
  <c r="AA214" i="1" s="1"/>
  <c r="AB214" i="1" s="1"/>
  <c r="AC214" i="1" s="1"/>
  <c r="AD214" i="1" s="1"/>
  <c r="AE214" i="1" s="1"/>
  <c r="AF214" i="1" s="1"/>
  <c r="AG214" i="1" s="1"/>
  <c r="AH214" i="1" s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W216" i="1"/>
  <c r="X216" i="1"/>
  <c r="Y216" i="1" s="1"/>
  <c r="Z216" i="1" s="1"/>
  <c r="AA216" i="1" s="1"/>
  <c r="AB216" i="1" s="1"/>
  <c r="AC216" i="1" s="1"/>
  <c r="AD216" i="1" s="1"/>
  <c r="AE216" i="1" s="1"/>
  <c r="AF216" i="1" s="1"/>
  <c r="AG216" i="1" s="1"/>
  <c r="AH216" i="1" s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W218" i="1"/>
  <c r="X218" i="1"/>
  <c r="Y218" i="1"/>
  <c r="Z218" i="1"/>
  <c r="AA218" i="1"/>
  <c r="AB218" i="1"/>
  <c r="AC218" i="1"/>
  <c r="AD218" i="1"/>
  <c r="AE218" i="1"/>
  <c r="AF218" i="1"/>
  <c r="AG218" i="1" s="1"/>
  <c r="AH218" i="1"/>
  <c r="W219" i="1"/>
  <c r="X219" i="1"/>
  <c r="Y219" i="1" s="1"/>
  <c r="Z219" i="1" s="1"/>
  <c r="AA219" i="1" s="1"/>
  <c r="AB219" i="1"/>
  <c r="AC219" i="1" s="1"/>
  <c r="AD219" i="1" s="1"/>
  <c r="AE219" i="1" s="1"/>
  <c r="AF219" i="1" s="1"/>
  <c r="AG219" i="1" s="1"/>
  <c r="AH219" i="1" s="1"/>
  <c r="W220" i="1"/>
  <c r="X220" i="1"/>
  <c r="Y220" i="1"/>
  <c r="Z220" i="1"/>
  <c r="AA220" i="1" s="1"/>
  <c r="AB220" i="1" s="1"/>
  <c r="AC220" i="1" s="1"/>
  <c r="AD220" i="1" s="1"/>
  <c r="AE220" i="1" s="1"/>
  <c r="AF220" i="1" s="1"/>
  <c r="AG220" i="1" s="1"/>
  <c r="AH220" i="1" s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W224" i="1"/>
  <c r="X224" i="1"/>
  <c r="Y224" i="1"/>
  <c r="Z224" i="1"/>
  <c r="AA224" i="1"/>
  <c r="AB224" i="1"/>
  <c r="AC224" i="1"/>
  <c r="AD224" i="1"/>
  <c r="AE224" i="1"/>
  <c r="AF224" i="1"/>
  <c r="AG224" i="1" s="1"/>
  <c r="AH224" i="1" s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W226" i="1"/>
  <c r="X226" i="1"/>
  <c r="Y226" i="1"/>
  <c r="Z226" i="1"/>
  <c r="AA226" i="1"/>
  <c r="AB226" i="1"/>
  <c r="AC226" i="1" s="1"/>
  <c r="AD226" i="1" s="1"/>
  <c r="AE226" i="1" s="1"/>
  <c r="AF226" i="1" s="1"/>
  <c r="AG226" i="1" s="1"/>
  <c r="AH226" i="1"/>
  <c r="W227" i="1"/>
  <c r="X227" i="1"/>
  <c r="Y227" i="1" s="1"/>
  <c r="Z227" i="1" s="1"/>
  <c r="AA227" i="1" s="1"/>
  <c r="AB227" i="1"/>
  <c r="AC227" i="1" s="1"/>
  <c r="AD227" i="1" s="1"/>
  <c r="AE227" i="1" s="1"/>
  <c r="AF227" i="1" s="1"/>
  <c r="AG227" i="1" s="1"/>
  <c r="AH227" i="1" s="1"/>
  <c r="W228" i="1"/>
  <c r="X228" i="1"/>
  <c r="Y228" i="1"/>
  <c r="Z228" i="1"/>
  <c r="AA228" i="1"/>
  <c r="AB228" i="1"/>
  <c r="AC228" i="1"/>
  <c r="AD228" i="1"/>
  <c r="AE228" i="1"/>
  <c r="AF228" i="1"/>
  <c r="AG228" i="1" s="1"/>
  <c r="AH228" i="1" s="1"/>
  <c r="W229" i="1"/>
  <c r="X229" i="1"/>
  <c r="Y229" i="1" s="1"/>
  <c r="Z229" i="1" s="1"/>
  <c r="AA229" i="1" s="1"/>
  <c r="AB229" i="1"/>
  <c r="AC229" i="1" s="1"/>
  <c r="AD229" i="1"/>
  <c r="AE229" i="1" s="1"/>
  <c r="AF229" i="1" s="1"/>
  <c r="AG229" i="1" s="1"/>
  <c r="AH229" i="1" s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W232" i="1"/>
  <c r="X232" i="1"/>
  <c r="Y232" i="1"/>
  <c r="Z232" i="1"/>
  <c r="AA232" i="1"/>
  <c r="AB232" i="1"/>
  <c r="AC232" i="1"/>
  <c r="AD232" i="1"/>
  <c r="AE232" i="1"/>
  <c r="AF232" i="1"/>
  <c r="AG232" i="1" s="1"/>
  <c r="AH232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W234" i="1"/>
  <c r="X234" i="1"/>
  <c r="Y234" i="1"/>
  <c r="Z234" i="1"/>
  <c r="AA234" i="1" s="1"/>
  <c r="AB234" i="1" s="1"/>
  <c r="AC234" i="1" s="1"/>
  <c r="AD234" i="1" s="1"/>
  <c r="AE234" i="1" s="1"/>
  <c r="AF234" i="1" s="1"/>
  <c r="AG234" i="1" s="1"/>
  <c r="AH234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W237" i="1"/>
  <c r="X237" i="1"/>
  <c r="Y237" i="1" s="1"/>
  <c r="Z237" i="1" s="1"/>
  <c r="AA237" i="1" s="1"/>
  <c r="AB237" i="1"/>
  <c r="AC237" i="1" s="1"/>
  <c r="AD237" i="1" s="1"/>
  <c r="AE237" i="1" s="1"/>
  <c r="AF237" i="1" s="1"/>
  <c r="AG237" i="1" s="1"/>
  <c r="AH237" i="1" s="1"/>
  <c r="W238" i="1"/>
  <c r="X238" i="1"/>
  <c r="Y238" i="1"/>
  <c r="Z238" i="1"/>
  <c r="AA238" i="1"/>
  <c r="AB238" i="1"/>
  <c r="AC238" i="1" s="1"/>
  <c r="AD238" i="1" s="1"/>
  <c r="AE238" i="1" s="1"/>
  <c r="AF238" i="1"/>
  <c r="AG238" i="1" s="1"/>
  <c r="AH238" i="1" s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W240" i="1"/>
  <c r="X240" i="1"/>
  <c r="Y240" i="1"/>
  <c r="Z240" i="1"/>
  <c r="AA240" i="1"/>
  <c r="AB240" i="1"/>
  <c r="AC240" i="1"/>
  <c r="AD240" i="1"/>
  <c r="AE240" i="1"/>
  <c r="AF240" i="1"/>
  <c r="AG240" i="1" s="1"/>
  <c r="AH240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W245" i="1"/>
  <c r="X245" i="1"/>
  <c r="Y245" i="1" s="1"/>
  <c r="Z245" i="1" s="1"/>
  <c r="AA245" i="1"/>
  <c r="AB245" i="1" s="1"/>
  <c r="AC245" i="1" s="1"/>
  <c r="AD245" i="1" s="1"/>
  <c r="AE245" i="1" s="1"/>
  <c r="AF245" i="1" s="1"/>
  <c r="AG245" i="1" s="1"/>
  <c r="AH245" i="1" s="1"/>
  <c r="W246" i="1"/>
  <c r="X246" i="1"/>
  <c r="Y246" i="1"/>
  <c r="Z246" i="1"/>
  <c r="AA246" i="1"/>
  <c r="AB246" i="1"/>
  <c r="AC246" i="1" s="1"/>
  <c r="AD246" i="1" s="1"/>
  <c r="AE246" i="1" s="1"/>
  <c r="AF246" i="1"/>
  <c r="AG246" i="1" s="1"/>
  <c r="AH246" i="1" s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W248" i="1"/>
  <c r="X248" i="1"/>
  <c r="Y248" i="1"/>
  <c r="Z248" i="1"/>
  <c r="AA248" i="1" s="1"/>
  <c r="AB248" i="1" s="1"/>
  <c r="AC248" i="1" s="1"/>
  <c r="AD248" i="1" s="1"/>
  <c r="AE248" i="1" s="1"/>
  <c r="AF248" i="1" s="1"/>
  <c r="AG248" i="1" s="1"/>
  <c r="AH248" i="1" s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W250" i="1"/>
  <c r="X250" i="1"/>
  <c r="Y250" i="1"/>
  <c r="Z250" i="1"/>
  <c r="AA250" i="1"/>
  <c r="AB250" i="1" s="1"/>
  <c r="AC250" i="1" s="1"/>
  <c r="AD250" i="1" s="1"/>
  <c r="AE250" i="1"/>
  <c r="AF250" i="1" s="1"/>
  <c r="AG250" i="1" s="1"/>
  <c r="AH250" i="1" s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W252" i="1"/>
  <c r="X252" i="1"/>
  <c r="Y252" i="1"/>
  <c r="Z252" i="1"/>
  <c r="AA252" i="1" s="1"/>
  <c r="AB252" i="1" s="1"/>
  <c r="AC252" i="1" s="1"/>
  <c r="AD252" i="1" s="1"/>
  <c r="AE252" i="1" s="1"/>
  <c r="AF252" i="1" s="1"/>
  <c r="AG252" i="1" s="1"/>
  <c r="AH252" i="1" s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W254" i="1"/>
  <c r="X254" i="1" s="1"/>
  <c r="Y254" i="1" s="1"/>
  <c r="Z254" i="1" s="1"/>
  <c r="AA254" i="1" s="1"/>
  <c r="AB254" i="1" s="1"/>
  <c r="AC254" i="1" s="1"/>
  <c r="AD254" i="1" s="1"/>
  <c r="AE254" i="1" s="1"/>
  <c r="AF254" i="1" s="1"/>
  <c r="AG254" i="1" s="1"/>
  <c r="AH254" i="1" s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W256" i="1"/>
  <c r="X256" i="1"/>
  <c r="Y256" i="1"/>
  <c r="Z256" i="1"/>
  <c r="AA256" i="1"/>
  <c r="AB256" i="1" s="1"/>
  <c r="AC256" i="1" s="1"/>
  <c r="AD256" i="1" s="1"/>
  <c r="AE256" i="1" s="1"/>
  <c r="AF256" i="1"/>
  <c r="AG256" i="1" s="1"/>
  <c r="AH256" i="1" s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W258" i="1"/>
  <c r="X258" i="1"/>
  <c r="Y258" i="1"/>
  <c r="Z258" i="1"/>
  <c r="AA258" i="1"/>
  <c r="AB258" i="1"/>
  <c r="AC258" i="1"/>
  <c r="AD258" i="1"/>
  <c r="AE258" i="1"/>
  <c r="AF258" i="1" s="1"/>
  <c r="AG258" i="1" s="1"/>
  <c r="AH258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W260" i="1"/>
  <c r="X260" i="1"/>
  <c r="Y260" i="1" s="1"/>
  <c r="Z260" i="1" s="1"/>
  <c r="AA260" i="1" s="1"/>
  <c r="AB260" i="1" s="1"/>
  <c r="AC260" i="1" s="1"/>
  <c r="AD260" i="1" s="1"/>
  <c r="AE260" i="1"/>
  <c r="AF260" i="1" s="1"/>
  <c r="AG260" i="1" s="1"/>
  <c r="AH260" i="1" s="1"/>
  <c r="W261" i="1"/>
  <c r="X261" i="1"/>
  <c r="Y261" i="1"/>
  <c r="Z261" i="1"/>
  <c r="AA261" i="1"/>
  <c r="AB261" i="1"/>
  <c r="AC261" i="1" s="1"/>
  <c r="AD261" i="1" s="1"/>
  <c r="AE261" i="1" s="1"/>
  <c r="AF261" i="1" s="1"/>
  <c r="AG261" i="1" s="1"/>
  <c r="AH261" i="1" s="1"/>
  <c r="W262" i="1"/>
  <c r="X262" i="1"/>
  <c r="Y262" i="1"/>
  <c r="Z262" i="1"/>
  <c r="AA262" i="1"/>
  <c r="AB262" i="1"/>
  <c r="AC262" i="1"/>
  <c r="AD262" i="1"/>
  <c r="AE262" i="1"/>
  <c r="AF262" i="1"/>
  <c r="AG262" i="1" s="1"/>
  <c r="AH262" i="1" s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W264" i="1"/>
  <c r="X264" i="1" s="1"/>
  <c r="Y264" i="1" s="1"/>
  <c r="Z264" i="1" s="1"/>
  <c r="AA264" i="1" s="1"/>
  <c r="AB264" i="1" s="1"/>
  <c r="AC264" i="1" s="1"/>
  <c r="AD264" i="1" s="1"/>
  <c r="AE264" i="1" s="1"/>
  <c r="AF264" i="1" s="1"/>
  <c r="AG264" i="1" s="1"/>
  <c r="AH264" i="1" s="1"/>
  <c r="W265" i="1"/>
  <c r="X265" i="1"/>
  <c r="Y265" i="1"/>
  <c r="Z265" i="1"/>
  <c r="AA265" i="1"/>
  <c r="AB265" i="1"/>
  <c r="AC265" i="1"/>
  <c r="AD265" i="1"/>
  <c r="AE265" i="1" s="1"/>
  <c r="AF265" i="1" s="1"/>
  <c r="AG265" i="1" s="1"/>
  <c r="AH265" i="1" s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W267" i="1"/>
  <c r="X267" i="1"/>
  <c r="Y267" i="1" s="1"/>
  <c r="Z267" i="1" s="1"/>
  <c r="AA267" i="1"/>
  <c r="AB267" i="1"/>
  <c r="AC267" i="1" s="1"/>
  <c r="AD267" i="1" s="1"/>
  <c r="AE267" i="1" s="1"/>
  <c r="AF267" i="1" s="1"/>
  <c r="AG267" i="1" s="1"/>
  <c r="AH267" i="1" s="1"/>
  <c r="W268" i="1"/>
  <c r="X268" i="1"/>
  <c r="Y268" i="1"/>
  <c r="Z268" i="1"/>
  <c r="AA268" i="1"/>
  <c r="AB268" i="1"/>
  <c r="AC268" i="1"/>
  <c r="AD268" i="1"/>
  <c r="AE268" i="1"/>
  <c r="AF268" i="1" s="1"/>
  <c r="AG268" i="1" s="1"/>
  <c r="AH268" i="1" s="1"/>
  <c r="W269" i="1"/>
  <c r="X269" i="1"/>
  <c r="Y269" i="1" s="1"/>
  <c r="Z269" i="1" s="1"/>
  <c r="AA269" i="1"/>
  <c r="AB269" i="1"/>
  <c r="AC269" i="1" s="1"/>
  <c r="AD269" i="1" s="1"/>
  <c r="AE269" i="1" s="1"/>
  <c r="AF269" i="1" s="1"/>
  <c r="AG269" i="1" s="1"/>
  <c r="AH269" i="1" s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W272" i="1"/>
  <c r="X272" i="1" s="1"/>
  <c r="Y272" i="1" s="1"/>
  <c r="Z272" i="1" s="1"/>
  <c r="AA272" i="1" s="1"/>
  <c r="AB272" i="1" s="1"/>
  <c r="AC272" i="1" s="1"/>
  <c r="AD272" i="1" s="1"/>
  <c r="AE272" i="1" s="1"/>
  <c r="AF272" i="1" s="1"/>
  <c r="AG272" i="1" s="1"/>
  <c r="AH272" i="1" s="1"/>
  <c r="W273" i="1"/>
  <c r="X273" i="1"/>
  <c r="Y273" i="1" s="1"/>
  <c r="Z273" i="1" s="1"/>
  <c r="AA273" i="1"/>
  <c r="AB273" i="1" s="1"/>
  <c r="AC273" i="1" s="1"/>
  <c r="AD273" i="1" s="1"/>
  <c r="AE273" i="1" s="1"/>
  <c r="AF273" i="1" s="1"/>
  <c r="AG273" i="1" s="1"/>
  <c r="AH273" i="1" s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W275" i="1"/>
  <c r="X275" i="1"/>
  <c r="Y275" i="1" s="1"/>
  <c r="Z275" i="1" s="1"/>
  <c r="AA275" i="1" s="1"/>
  <c r="AB275" i="1" s="1"/>
  <c r="AC275" i="1" s="1"/>
  <c r="AD275" i="1" s="1"/>
  <c r="AE275" i="1" s="1"/>
  <c r="AF275" i="1" s="1"/>
  <c r="AG275" i="1" s="1"/>
  <c r="AH275" i="1" s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W278" i="1"/>
  <c r="X278" i="1"/>
  <c r="Y278" i="1"/>
  <c r="Z278" i="1"/>
  <c r="AA278" i="1" s="1"/>
  <c r="AB278" i="1" s="1"/>
  <c r="AC278" i="1" s="1"/>
  <c r="AD278" i="1" s="1"/>
  <c r="AE278" i="1" s="1"/>
  <c r="AF278" i="1" s="1"/>
  <c r="AG278" i="1" s="1"/>
  <c r="AH278" i="1" s="1"/>
  <c r="W279" i="1"/>
  <c r="X279" i="1"/>
  <c r="Y279" i="1"/>
  <c r="Z279" i="1"/>
  <c r="AA279" i="1"/>
  <c r="AB279" i="1"/>
  <c r="AC279" i="1"/>
  <c r="AD279" i="1"/>
  <c r="AE279" i="1"/>
  <c r="AF279" i="1"/>
  <c r="AG279" i="1" s="1"/>
  <c r="AH279" i="1" s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W281" i="1"/>
  <c r="X281" i="1"/>
  <c r="Y281" i="1"/>
  <c r="Z281" i="1"/>
  <c r="AA281" i="1"/>
  <c r="AB281" i="1"/>
  <c r="AC281" i="1"/>
  <c r="AD281" i="1"/>
  <c r="AE281" i="1" s="1"/>
  <c r="AF281" i="1"/>
  <c r="AG281" i="1" s="1"/>
  <c r="AH281" i="1" s="1"/>
  <c r="W282" i="1"/>
  <c r="X282" i="1"/>
  <c r="Y282" i="1" s="1"/>
  <c r="Z282" i="1" s="1"/>
  <c r="AA282" i="1" s="1"/>
  <c r="AB282" i="1" s="1"/>
  <c r="AC282" i="1" s="1"/>
  <c r="AD282" i="1" s="1"/>
  <c r="AE282" i="1" s="1"/>
  <c r="AF282" i="1" s="1"/>
  <c r="AG282" i="1" s="1"/>
  <c r="AH282" i="1" s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W286" i="1"/>
  <c r="X286" i="1"/>
  <c r="Y286" i="1"/>
  <c r="Z286" i="1"/>
  <c r="AA286" i="1"/>
  <c r="AB286" i="1"/>
  <c r="AC286" i="1" s="1"/>
  <c r="AD286" i="1"/>
  <c r="AE286" i="1" s="1"/>
  <c r="AF286" i="1" s="1"/>
  <c r="AG286" i="1" s="1"/>
  <c r="AH286" i="1" s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W288" i="1"/>
  <c r="X288" i="1" s="1"/>
  <c r="Y288" i="1" s="1"/>
  <c r="Z288" i="1" s="1"/>
  <c r="AA288" i="1" s="1"/>
  <c r="AB288" i="1" s="1"/>
  <c r="AC288" i="1" s="1"/>
  <c r="AD288" i="1"/>
  <c r="AE288" i="1" s="1"/>
  <c r="AF288" i="1" s="1"/>
  <c r="AG288" i="1" s="1"/>
  <c r="AH288" i="1" s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W292" i="1"/>
  <c r="X292" i="1" s="1"/>
  <c r="Y292" i="1" s="1"/>
  <c r="Z292" i="1" s="1"/>
  <c r="AA292" i="1" s="1"/>
  <c r="AB292" i="1" s="1"/>
  <c r="AC292" i="1" s="1"/>
  <c r="AD292" i="1"/>
  <c r="AE292" i="1" s="1"/>
  <c r="AF292" i="1" s="1"/>
  <c r="AG292" i="1" s="1"/>
  <c r="AH292" i="1" s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W294" i="1"/>
  <c r="X294" i="1" s="1"/>
  <c r="Y294" i="1" s="1"/>
  <c r="Z294" i="1" s="1"/>
  <c r="AA294" i="1" s="1"/>
  <c r="AB294" i="1" s="1"/>
  <c r="AC294" i="1" s="1"/>
  <c r="AD294" i="1" s="1"/>
  <c r="AE294" i="1" s="1"/>
  <c r="AF294" i="1" s="1"/>
  <c r="AG294" i="1" s="1"/>
  <c r="AH294" i="1" s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W297" i="1"/>
  <c r="X297" i="1"/>
  <c r="Y297" i="1"/>
  <c r="Z297" i="1"/>
  <c r="AA297" i="1"/>
  <c r="AB297" i="1"/>
  <c r="AC297" i="1"/>
  <c r="AD297" i="1"/>
  <c r="AE297" i="1"/>
  <c r="AF297" i="1"/>
  <c r="AG297" i="1" s="1"/>
  <c r="AH297" i="1" s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W300" i="1"/>
  <c r="X300" i="1"/>
  <c r="Y300" i="1"/>
  <c r="Z300" i="1"/>
  <c r="AA300" i="1"/>
  <c r="AB300" i="1"/>
  <c r="AC300" i="1" s="1"/>
  <c r="AD300" i="1"/>
  <c r="AE300" i="1" s="1"/>
  <c r="AF300" i="1" s="1"/>
  <c r="AG300" i="1" s="1"/>
  <c r="AH300" i="1" s="1"/>
  <c r="W301" i="1"/>
  <c r="X301" i="1"/>
  <c r="Y301" i="1" s="1"/>
  <c r="Z301" i="1" s="1"/>
  <c r="AA301" i="1" s="1"/>
  <c r="AB301" i="1" s="1"/>
  <c r="AC301" i="1" s="1"/>
  <c r="AD301" i="1" s="1"/>
  <c r="AE301" i="1" s="1"/>
  <c r="AF301" i="1" s="1"/>
  <c r="AG301" i="1" s="1"/>
  <c r="AH301" i="1" s="1"/>
  <c r="W302" i="1"/>
  <c r="X302" i="1" s="1"/>
  <c r="Y302" i="1" s="1"/>
  <c r="Z302" i="1" s="1"/>
  <c r="AA302" i="1" s="1"/>
  <c r="AB302" i="1" s="1"/>
  <c r="AC302" i="1" s="1"/>
  <c r="AD302" i="1" s="1"/>
  <c r="AE302" i="1" s="1"/>
  <c r="AF302" i="1" s="1"/>
  <c r="AG302" i="1" s="1"/>
  <c r="AH302" i="1" s="1"/>
  <c r="W303" i="1"/>
  <c r="X303" i="1"/>
  <c r="Y303" i="1" s="1"/>
  <c r="Z303" i="1" s="1"/>
  <c r="AA303" i="1" s="1"/>
  <c r="AB303" i="1" s="1"/>
  <c r="AC303" i="1" s="1"/>
  <c r="AD303" i="1" s="1"/>
  <c r="AE303" i="1" s="1"/>
  <c r="AF303" i="1" s="1"/>
  <c r="AG303" i="1" s="1"/>
  <c r="AH303" i="1" s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W305" i="1"/>
  <c r="X305" i="1"/>
  <c r="Y305" i="1" s="1"/>
  <c r="Z305" i="1" s="1"/>
  <c r="AA305" i="1" s="1"/>
  <c r="AB305" i="1" s="1"/>
  <c r="AC305" i="1" s="1"/>
  <c r="AD305" i="1" s="1"/>
  <c r="AE305" i="1" s="1"/>
  <c r="AF305" i="1" s="1"/>
  <c r="AG305" i="1" s="1"/>
  <c r="AH305" i="1" s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W308" i="1"/>
  <c r="X308" i="1"/>
  <c r="Y308" i="1"/>
  <c r="Z308" i="1"/>
  <c r="AA308" i="1"/>
  <c r="AB308" i="1"/>
  <c r="AC308" i="1"/>
  <c r="AD308" i="1"/>
  <c r="AE308" i="1"/>
  <c r="AF308" i="1"/>
  <c r="AG308" i="1"/>
  <c r="AH308" i="1" s="1"/>
  <c r="W309" i="1"/>
  <c r="X309" i="1"/>
  <c r="Y309" i="1"/>
  <c r="Z309" i="1"/>
  <c r="AA309" i="1"/>
  <c r="AB309" i="1"/>
  <c r="AC309" i="1"/>
  <c r="AD309" i="1"/>
  <c r="AE309" i="1"/>
  <c r="AF309" i="1"/>
  <c r="AG309" i="1" s="1"/>
  <c r="AH309" i="1"/>
  <c r="W310" i="1"/>
  <c r="X310" i="1"/>
  <c r="Y310" i="1"/>
  <c r="Z310" i="1"/>
  <c r="AA310" i="1"/>
  <c r="AB310" i="1"/>
  <c r="AC310" i="1"/>
  <c r="AD310" i="1"/>
  <c r="AE310" i="1" s="1"/>
  <c r="AF310" i="1" s="1"/>
  <c r="AG310" i="1" s="1"/>
  <c r="AH310" i="1" s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W313" i="1"/>
  <c r="X313" i="1"/>
  <c r="Y313" i="1" s="1"/>
  <c r="Z313" i="1" s="1"/>
  <c r="AA313" i="1" s="1"/>
  <c r="AB313" i="1" s="1"/>
  <c r="AC313" i="1" s="1"/>
  <c r="AD313" i="1" s="1"/>
  <c r="AE313" i="1" s="1"/>
  <c r="AF313" i="1" s="1"/>
  <c r="AG313" i="1" s="1"/>
  <c r="AH313" i="1" s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W315" i="1"/>
  <c r="X315" i="1"/>
  <c r="Y315" i="1"/>
  <c r="Z315" i="1"/>
  <c r="AA315" i="1"/>
  <c r="AB315" i="1"/>
  <c r="AC315" i="1"/>
  <c r="AD315" i="1"/>
  <c r="AE315" i="1"/>
  <c r="AF315" i="1" s="1"/>
  <c r="AG315" i="1" s="1"/>
  <c r="AH315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W319" i="1"/>
  <c r="X319" i="1" s="1"/>
  <c r="Y319" i="1" s="1"/>
  <c r="Z319" i="1"/>
  <c r="AA319" i="1" s="1"/>
  <c r="AB319" i="1" s="1"/>
  <c r="AC319" i="1" s="1"/>
  <c r="AD319" i="1" s="1"/>
  <c r="AE319" i="1" s="1"/>
  <c r="AF319" i="1" s="1"/>
  <c r="AG319" i="1" s="1"/>
  <c r="AH319" i="1" s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W321" i="1"/>
  <c r="X321" i="1" s="1"/>
  <c r="Y321" i="1" s="1"/>
  <c r="Z321" i="1"/>
  <c r="AA321" i="1" s="1"/>
  <c r="AB321" i="1" s="1"/>
  <c r="AC321" i="1" s="1"/>
  <c r="AD321" i="1" s="1"/>
  <c r="AE321" i="1" s="1"/>
  <c r="AF321" i="1" s="1"/>
  <c r="AG321" i="1" s="1"/>
  <c r="AH321" i="1"/>
  <c r="W322" i="1"/>
  <c r="X322" i="1" s="1"/>
  <c r="Y322" i="1" s="1"/>
  <c r="Z322" i="1" s="1"/>
  <c r="AA322" i="1" s="1"/>
  <c r="AB322" i="1" s="1"/>
  <c r="AC322" i="1" s="1"/>
  <c r="AD322" i="1"/>
  <c r="AE322" i="1" s="1"/>
  <c r="AF322" i="1" s="1"/>
  <c r="AG322" i="1" s="1"/>
  <c r="AH322" i="1" s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W324" i="1"/>
  <c r="X324" i="1"/>
  <c r="Y324" i="1"/>
  <c r="Z324" i="1"/>
  <c r="AA324" i="1"/>
  <c r="AB324" i="1" s="1"/>
  <c r="AC324" i="1" s="1"/>
  <c r="AD324" i="1"/>
  <c r="AE324" i="1" s="1"/>
  <c r="AF324" i="1" s="1"/>
  <c r="AG324" i="1" s="1"/>
  <c r="AH324" i="1" s="1"/>
  <c r="W325" i="1"/>
  <c r="X325" i="1"/>
  <c r="Y325" i="1"/>
  <c r="Z325" i="1"/>
  <c r="AA325" i="1"/>
  <c r="AB325" i="1"/>
  <c r="AC325" i="1"/>
  <c r="AD325" i="1" s="1"/>
  <c r="AE325" i="1" s="1"/>
  <c r="AF325" i="1" s="1"/>
  <c r="AG325" i="1" s="1"/>
  <c r="AH325" i="1"/>
  <c r="W326" i="1"/>
  <c r="X326" i="1"/>
  <c r="Y326" i="1"/>
  <c r="Z326" i="1"/>
  <c r="AA326" i="1"/>
  <c r="AB326" i="1" s="1"/>
  <c r="AC326" i="1" s="1"/>
  <c r="AD326" i="1"/>
  <c r="AE326" i="1" s="1"/>
  <c r="AF326" i="1" s="1"/>
  <c r="AG326" i="1" s="1"/>
  <c r="AH326" i="1" s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W331" i="1"/>
  <c r="X331" i="1" s="1"/>
  <c r="Y331" i="1" s="1"/>
  <c r="Z331" i="1"/>
  <c r="AA331" i="1" s="1"/>
  <c r="AB331" i="1" s="1"/>
  <c r="AC331" i="1" s="1"/>
  <c r="AD331" i="1" s="1"/>
  <c r="AE331" i="1" s="1"/>
  <c r="AF331" i="1" s="1"/>
  <c r="AG331" i="1" s="1"/>
  <c r="AH331" i="1" s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W334" i="1"/>
  <c r="X334" i="1"/>
  <c r="Y334" i="1"/>
  <c r="Z334" i="1"/>
  <c r="AA334" i="1"/>
  <c r="AB334" i="1" s="1"/>
  <c r="AC334" i="1" s="1"/>
  <c r="AD334" i="1" s="1"/>
  <c r="AE334" i="1" s="1"/>
  <c r="AF334" i="1" s="1"/>
  <c r="AG334" i="1" s="1"/>
  <c r="AH334" i="1" s="1"/>
  <c r="W335" i="1"/>
  <c r="X335" i="1" s="1"/>
  <c r="Y335" i="1" s="1"/>
  <c r="Z335" i="1" s="1"/>
  <c r="AA335" i="1" s="1"/>
  <c r="AB335" i="1" s="1"/>
  <c r="AC335" i="1" s="1"/>
  <c r="AD335" i="1" s="1"/>
  <c r="AE335" i="1" s="1"/>
  <c r="AF335" i="1" s="1"/>
  <c r="AG335" i="1" s="1"/>
  <c r="AH335" i="1" s="1"/>
  <c r="W336" i="1"/>
  <c r="X336" i="1"/>
  <c r="Y336" i="1"/>
  <c r="Z336" i="1"/>
  <c r="AA336" i="1"/>
  <c r="AB336" i="1"/>
  <c r="AC336" i="1"/>
  <c r="AD336" i="1"/>
  <c r="AE336" i="1" s="1"/>
  <c r="AF336" i="1" s="1"/>
  <c r="AG336" i="1" s="1"/>
  <c r="AH336" i="1" s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W340" i="1"/>
  <c r="X340" i="1" s="1"/>
  <c r="Y340" i="1" s="1"/>
  <c r="Z340" i="1" s="1"/>
  <c r="AA340" i="1" s="1"/>
  <c r="AB340" i="1" s="1"/>
  <c r="AC340" i="1" s="1"/>
  <c r="AD340" i="1"/>
  <c r="AE340" i="1" s="1"/>
  <c r="AF340" i="1" s="1"/>
  <c r="AG340" i="1" s="1"/>
  <c r="AH340" i="1" s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W342" i="1"/>
  <c r="X342" i="1"/>
  <c r="Y342" i="1"/>
  <c r="Z342" i="1"/>
  <c r="AA342" i="1"/>
  <c r="AB342" i="1"/>
  <c r="AC342" i="1"/>
  <c r="AD342" i="1"/>
  <c r="AE342" i="1" s="1"/>
  <c r="AF342" i="1" s="1"/>
  <c r="AG342" i="1" s="1"/>
  <c r="AH342" i="1" s="1"/>
  <c r="W343" i="1"/>
  <c r="X343" i="1"/>
  <c r="Y343" i="1"/>
  <c r="Z343" i="1"/>
  <c r="AA343" i="1" s="1"/>
  <c r="AB343" i="1" s="1"/>
  <c r="AC343" i="1" s="1"/>
  <c r="AD343" i="1" s="1"/>
  <c r="AE343" i="1" s="1"/>
  <c r="AF343" i="1" s="1"/>
  <c r="AG343" i="1" s="1"/>
  <c r="AH343" i="1" s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W346" i="1"/>
  <c r="X346" i="1"/>
  <c r="Y346" i="1"/>
  <c r="Z346" i="1"/>
  <c r="AA346" i="1"/>
  <c r="AB346" i="1"/>
  <c r="AC346" i="1"/>
  <c r="AD346" i="1"/>
  <c r="AE346" i="1"/>
  <c r="AF346" i="1"/>
  <c r="AG346" i="1"/>
  <c r="AH346" i="1" s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W350" i="1"/>
  <c r="X350" i="1"/>
  <c r="Y350" i="1"/>
  <c r="Z350" i="1"/>
  <c r="AA350" i="1"/>
  <c r="AB350" i="1"/>
  <c r="AC350" i="1"/>
  <c r="AD350" i="1"/>
  <c r="AE350" i="1"/>
  <c r="AF350" i="1" s="1"/>
  <c r="AG350" i="1" s="1"/>
  <c r="AH350" i="1" s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W352" i="1"/>
  <c r="X352" i="1" s="1"/>
  <c r="Y352" i="1" s="1"/>
  <c r="Z352" i="1" s="1"/>
  <c r="AA352" i="1" s="1"/>
  <c r="AB352" i="1" s="1"/>
  <c r="AC352" i="1" s="1"/>
  <c r="AD352" i="1" s="1"/>
  <c r="AE352" i="1" s="1"/>
  <c r="AF352" i="1" s="1"/>
  <c r="AG352" i="1" s="1"/>
  <c r="AH352" i="1" s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W358" i="1"/>
  <c r="X358" i="1"/>
  <c r="Y358" i="1"/>
  <c r="Z358" i="1"/>
  <c r="AA358" i="1"/>
  <c r="AB358" i="1"/>
  <c r="AC358" i="1"/>
  <c r="AD358" i="1"/>
  <c r="AE358" i="1" s="1"/>
  <c r="AF358" i="1" s="1"/>
  <c r="AG358" i="1" s="1"/>
  <c r="AH358" i="1" s="1"/>
  <c r="W359" i="1"/>
  <c r="X359" i="1"/>
  <c r="Y359" i="1"/>
  <c r="Z359" i="1"/>
  <c r="AA359" i="1" s="1"/>
  <c r="AB359" i="1" s="1"/>
  <c r="AC359" i="1" s="1"/>
  <c r="AD359" i="1" s="1"/>
  <c r="AE359" i="1" s="1"/>
  <c r="AF359" i="1" s="1"/>
  <c r="AG359" i="1" s="1"/>
  <c r="AH359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W361" i="1"/>
  <c r="X361" i="1"/>
  <c r="Y361" i="1"/>
  <c r="Z361" i="1"/>
  <c r="AA361" i="1" s="1"/>
  <c r="AB361" i="1" s="1"/>
  <c r="AC361" i="1" s="1"/>
  <c r="AD361" i="1" s="1"/>
  <c r="AE361" i="1" s="1"/>
  <c r="AF361" i="1" s="1"/>
  <c r="AG361" i="1" s="1"/>
  <c r="AH361" i="1" s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W364" i="1"/>
  <c r="X364" i="1"/>
  <c r="Y364" i="1"/>
  <c r="Z364" i="1"/>
  <c r="AA364" i="1"/>
  <c r="AB364" i="1"/>
  <c r="AC364" i="1"/>
  <c r="AD364" i="1"/>
  <c r="AE364" i="1" s="1"/>
  <c r="AF364" i="1" s="1"/>
  <c r="AG364" i="1" s="1"/>
  <c r="AH364" i="1" s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W370" i="1"/>
  <c r="X370" i="1" s="1"/>
  <c r="Y370" i="1" s="1"/>
  <c r="Z370" i="1" s="1"/>
  <c r="AA370" i="1" s="1"/>
  <c r="AB370" i="1" s="1"/>
  <c r="AC370" i="1" s="1"/>
  <c r="AD370" i="1" s="1"/>
  <c r="AE370" i="1" s="1"/>
  <c r="AF370" i="1" s="1"/>
  <c r="AG370" i="1" s="1"/>
  <c r="AH370" i="1" s="1"/>
  <c r="W371" i="1"/>
  <c r="X371" i="1" s="1"/>
  <c r="Y371" i="1" s="1"/>
  <c r="Z371" i="1" s="1"/>
  <c r="AA371" i="1" s="1"/>
  <c r="AB371" i="1" s="1"/>
  <c r="AC371" i="1" s="1"/>
  <c r="AD371" i="1" s="1"/>
  <c r="AE371" i="1" s="1"/>
  <c r="AF371" i="1" s="1"/>
  <c r="AG371" i="1" s="1"/>
  <c r="AH371" i="1" s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W374" i="1"/>
  <c r="X374" i="1"/>
  <c r="Y374" i="1"/>
  <c r="Z374" i="1"/>
  <c r="AA374" i="1"/>
  <c r="AB374" i="1"/>
  <c r="AC374" i="1"/>
  <c r="AD374" i="1"/>
  <c r="AE374" i="1" s="1"/>
  <c r="AF374" i="1" s="1"/>
  <c r="AG374" i="1" s="1"/>
  <c r="AH374" i="1" s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W376" i="1"/>
  <c r="X376" i="1" s="1"/>
  <c r="Y376" i="1" s="1"/>
  <c r="Z376" i="1" s="1"/>
  <c r="AA376" i="1" s="1"/>
  <c r="AB376" i="1" s="1"/>
  <c r="AC376" i="1" s="1"/>
  <c r="AD376" i="1"/>
  <c r="AE376" i="1" s="1"/>
  <c r="AF376" i="1" s="1"/>
  <c r="AG376" i="1" s="1"/>
  <c r="AH376" i="1" s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W378" i="1"/>
  <c r="X378" i="1"/>
  <c r="Y378" i="1"/>
  <c r="Z378" i="1"/>
  <c r="AA378" i="1"/>
  <c r="AB378" i="1"/>
  <c r="AC378" i="1"/>
  <c r="AD378" i="1"/>
  <c r="AE378" i="1" s="1"/>
  <c r="AF378" i="1" s="1"/>
  <c r="AG378" i="1" s="1"/>
  <c r="AH378" i="1" s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W380" i="1"/>
  <c r="X380" i="1"/>
  <c r="Y380" i="1"/>
  <c r="Z380" i="1"/>
  <c r="AA380" i="1"/>
  <c r="AB380" i="1" s="1"/>
  <c r="AC380" i="1" s="1"/>
  <c r="AD380" i="1"/>
  <c r="AE380" i="1" s="1"/>
  <c r="AF380" i="1" s="1"/>
  <c r="AG380" i="1" s="1"/>
  <c r="AH380" i="1" s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W384" i="1"/>
  <c r="X384" i="1" s="1"/>
  <c r="Y384" i="1" s="1"/>
  <c r="Z384" i="1" s="1"/>
  <c r="AA384" i="1" s="1"/>
  <c r="AB384" i="1"/>
  <c r="AC384" i="1" s="1"/>
  <c r="AD384" i="1" s="1"/>
  <c r="AE384" i="1" s="1"/>
  <c r="AF384" i="1" s="1"/>
  <c r="AG384" i="1" s="1"/>
  <c r="AH384" i="1" s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W388" i="1"/>
  <c r="X388" i="1" s="1"/>
  <c r="Y388" i="1" s="1"/>
  <c r="Z388" i="1" s="1"/>
  <c r="AA388" i="1" s="1"/>
  <c r="AB388" i="1"/>
  <c r="AC388" i="1" s="1"/>
  <c r="AD388" i="1"/>
  <c r="AE388" i="1" s="1"/>
  <c r="AF388" i="1" s="1"/>
  <c r="AG388" i="1" s="1"/>
  <c r="AH388" i="1" s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W392" i="1"/>
  <c r="X392" i="1"/>
  <c r="Y392" i="1"/>
  <c r="Z392" i="1"/>
  <c r="AA392" i="1"/>
  <c r="AB392" i="1"/>
  <c r="AC392" i="1" s="1"/>
  <c r="AD392" i="1" s="1"/>
  <c r="AE392" i="1" s="1"/>
  <c r="AF392" i="1" s="1"/>
  <c r="AG392" i="1" s="1"/>
  <c r="AH392" i="1" s="1"/>
  <c r="W393" i="1"/>
  <c r="X393" i="1"/>
  <c r="Y393" i="1"/>
  <c r="Z393" i="1"/>
  <c r="AA393" i="1" s="1"/>
  <c r="AB393" i="1" s="1"/>
  <c r="AC393" i="1" s="1"/>
  <c r="AD393" i="1" s="1"/>
  <c r="AE393" i="1" s="1"/>
  <c r="AF393" i="1"/>
  <c r="AG393" i="1" s="1"/>
  <c r="AH393" i="1" s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W395" i="1"/>
  <c r="X395" i="1"/>
  <c r="Y395" i="1"/>
  <c r="Z395" i="1"/>
  <c r="AA395" i="1"/>
  <c r="AB395" i="1"/>
  <c r="AC395" i="1"/>
  <c r="AD395" i="1" s="1"/>
  <c r="AE395" i="1" s="1"/>
  <c r="AF395" i="1" s="1"/>
  <c r="AG395" i="1" s="1"/>
  <c r="AH395" i="1" s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W398" i="1"/>
  <c r="X398" i="1"/>
  <c r="Y398" i="1"/>
  <c r="Z398" i="1"/>
  <c r="AA398" i="1"/>
  <c r="AB398" i="1"/>
  <c r="AC398" i="1" s="1"/>
  <c r="AD398" i="1" s="1"/>
  <c r="AE398" i="1" s="1"/>
  <c r="AF398" i="1" s="1"/>
  <c r="AG398" i="1" s="1"/>
  <c r="AH398" i="1" s="1"/>
  <c r="W399" i="1"/>
  <c r="X399" i="1"/>
  <c r="Y399" i="1"/>
  <c r="Z399" i="1"/>
  <c r="AA399" i="1"/>
  <c r="AB399" i="1"/>
  <c r="AC399" i="1"/>
  <c r="AD399" i="1" s="1"/>
  <c r="AE399" i="1" s="1"/>
  <c r="AF399" i="1" s="1"/>
  <c r="AG399" i="1" s="1"/>
  <c r="AH399" i="1" s="1"/>
  <c r="W400" i="1"/>
  <c r="X400" i="1"/>
  <c r="Y400" i="1"/>
  <c r="Z400" i="1"/>
  <c r="AA400" i="1"/>
  <c r="AB400" i="1"/>
  <c r="AC400" i="1"/>
  <c r="AD400" i="1"/>
  <c r="AE400" i="1" s="1"/>
  <c r="AF400" i="1" s="1"/>
  <c r="AG400" i="1" s="1"/>
  <c r="AH400" i="1" s="1"/>
  <c r="W401" i="1"/>
  <c r="X401" i="1"/>
  <c r="Y401" i="1"/>
  <c r="Z401" i="1"/>
  <c r="AA401" i="1"/>
  <c r="AB401" i="1"/>
  <c r="AC401" i="1"/>
  <c r="AD401" i="1" s="1"/>
  <c r="AE401" i="1" s="1"/>
  <c r="AF401" i="1"/>
  <c r="AG401" i="1" s="1"/>
  <c r="AH401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W403" i="1"/>
  <c r="X403" i="1"/>
  <c r="Y403" i="1"/>
  <c r="Z403" i="1"/>
  <c r="AA403" i="1"/>
  <c r="AB403" i="1" s="1"/>
  <c r="AC403" i="1" s="1"/>
  <c r="AD403" i="1" s="1"/>
  <c r="AE403" i="1" s="1"/>
  <c r="AF403" i="1" s="1"/>
  <c r="AG403" i="1" s="1"/>
  <c r="AH403" i="1" s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W406" i="1"/>
  <c r="X406" i="1"/>
  <c r="Y406" i="1"/>
  <c r="Z406" i="1"/>
  <c r="AA406" i="1"/>
  <c r="AB406" i="1"/>
  <c r="AC406" i="1"/>
  <c r="AD406" i="1"/>
  <c r="AE406" i="1" s="1"/>
  <c r="AF406" i="1" s="1"/>
  <c r="AG406" i="1" s="1"/>
  <c r="AH406" i="1" s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W408" i="1"/>
  <c r="X408" i="1"/>
  <c r="Y408" i="1"/>
  <c r="Z408" i="1" s="1"/>
  <c r="AA408" i="1" s="1"/>
  <c r="AB408" i="1" s="1"/>
  <c r="AC408" i="1" s="1"/>
  <c r="AD408" i="1" s="1"/>
  <c r="AE408" i="1" s="1"/>
  <c r="AF408" i="1" s="1"/>
  <c r="AG408" i="1" s="1"/>
  <c r="AH408" i="1" s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W410" i="1"/>
  <c r="X410" i="1" s="1"/>
  <c r="Y410" i="1" s="1"/>
  <c r="Z410" i="1" s="1"/>
  <c r="AA410" i="1" s="1"/>
  <c r="AB410" i="1" s="1"/>
  <c r="AC410" i="1" s="1"/>
  <c r="AD410" i="1" s="1"/>
  <c r="AE410" i="1" s="1"/>
  <c r="AF410" i="1" s="1"/>
  <c r="AG410" i="1" s="1"/>
  <c r="AH410" i="1" s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W414" i="1"/>
  <c r="X414" i="1"/>
  <c r="Y414" i="1"/>
  <c r="Z414" i="1"/>
  <c r="AA414" i="1"/>
  <c r="AB414" i="1"/>
  <c r="AC414" i="1" s="1"/>
  <c r="AD414" i="1" s="1"/>
  <c r="AE414" i="1" s="1"/>
  <c r="AF414" i="1" s="1"/>
  <c r="AG414" i="1" s="1"/>
  <c r="AH414" i="1" s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W416" i="1"/>
  <c r="X416" i="1"/>
  <c r="Y416" i="1"/>
  <c r="Z416" i="1"/>
  <c r="AA416" i="1"/>
  <c r="AB416" i="1"/>
  <c r="AC416" i="1" s="1"/>
  <c r="AD416" i="1" s="1"/>
  <c r="AE416" i="1" s="1"/>
  <c r="AF416" i="1" s="1"/>
  <c r="AG416" i="1" s="1"/>
  <c r="AH416" i="1" s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W418" i="1"/>
  <c r="X418" i="1" s="1"/>
  <c r="Y418" i="1"/>
  <c r="Z418" i="1" s="1"/>
  <c r="AA418" i="1" s="1"/>
  <c r="AB418" i="1" s="1"/>
  <c r="AC418" i="1" s="1"/>
  <c r="AD418" i="1" s="1"/>
  <c r="AE418" i="1" s="1"/>
  <c r="AF418" i="1" s="1"/>
  <c r="AG418" i="1" s="1"/>
  <c r="AH418" i="1" s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W423" i="1"/>
  <c r="X423" i="1"/>
  <c r="Y423" i="1"/>
  <c r="Z423" i="1"/>
  <c r="AA423" i="1"/>
  <c r="AB423" i="1"/>
  <c r="AC423" i="1"/>
  <c r="AD423" i="1" s="1"/>
  <c r="AE423" i="1" s="1"/>
  <c r="AF423" i="1"/>
  <c r="AG423" i="1" s="1"/>
  <c r="AH423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W429" i="1"/>
  <c r="X429" i="1"/>
  <c r="Y429" i="1" s="1"/>
  <c r="Z429" i="1"/>
  <c r="AA429" i="1" s="1"/>
  <c r="AB429" i="1" s="1"/>
  <c r="AC429" i="1"/>
  <c r="AD429" i="1" s="1"/>
  <c r="AE429" i="1" s="1"/>
  <c r="AF429" i="1" s="1"/>
  <c r="AG429" i="1" s="1"/>
  <c r="AH429" i="1" s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W432" i="1"/>
  <c r="X432" i="1" s="1"/>
  <c r="Y432" i="1"/>
  <c r="Z432" i="1" s="1"/>
  <c r="AA432" i="1" s="1"/>
  <c r="AB432" i="1" s="1"/>
  <c r="AC432" i="1" s="1"/>
  <c r="AD432" i="1" s="1"/>
  <c r="AE432" i="1" s="1"/>
  <c r="AF432" i="1" s="1"/>
  <c r="AG432" i="1" s="1"/>
  <c r="AH432" i="1" s="1"/>
  <c r="W433" i="1"/>
  <c r="X433" i="1"/>
  <c r="Y433" i="1"/>
  <c r="Z433" i="1"/>
  <c r="AA433" i="1"/>
  <c r="AB433" i="1"/>
  <c r="AC433" i="1"/>
  <c r="AD433" i="1"/>
  <c r="AE433" i="1"/>
  <c r="AF433" i="1"/>
  <c r="AG433" i="1" s="1"/>
  <c r="AH433" i="1" s="1"/>
  <c r="W434" i="1"/>
  <c r="X434" i="1" s="1"/>
  <c r="Y434" i="1" s="1"/>
  <c r="Z434" i="1" s="1"/>
  <c r="AA434" i="1" s="1"/>
  <c r="AB434" i="1" s="1"/>
  <c r="AC434" i="1" s="1"/>
  <c r="AD434" i="1" s="1"/>
  <c r="AE434" i="1"/>
  <c r="AF434" i="1" s="1"/>
  <c r="AG434" i="1" s="1"/>
  <c r="AH434" i="1" s="1"/>
  <c r="W435" i="1"/>
  <c r="X435" i="1"/>
  <c r="Y435" i="1"/>
  <c r="Z435" i="1"/>
  <c r="AA435" i="1"/>
  <c r="AB435" i="1" s="1"/>
  <c r="AC435" i="1"/>
  <c r="AD435" i="1" s="1"/>
  <c r="AE435" i="1" s="1"/>
  <c r="AF435" i="1"/>
  <c r="AG435" i="1" s="1"/>
  <c r="AH435" i="1" s="1"/>
  <c r="W436" i="1"/>
  <c r="X436" i="1" s="1"/>
  <c r="Y436" i="1" s="1"/>
  <c r="Z436" i="1" s="1"/>
  <c r="AA436" i="1" s="1"/>
  <c r="AB436" i="1" s="1"/>
  <c r="AC436" i="1" s="1"/>
  <c r="AD436" i="1" s="1"/>
  <c r="AE436" i="1" s="1"/>
  <c r="AF436" i="1" s="1"/>
  <c r="AG436" i="1" s="1"/>
  <c r="AH436" i="1" s="1"/>
  <c r="W437" i="1"/>
  <c r="X437" i="1"/>
  <c r="Y437" i="1"/>
  <c r="Z437" i="1"/>
  <c r="AA437" i="1"/>
  <c r="AB437" i="1" s="1"/>
  <c r="AC437" i="1" s="1"/>
  <c r="AD437" i="1" s="1"/>
  <c r="AE437" i="1" s="1"/>
  <c r="AF437" i="1" s="1"/>
  <c r="AG437" i="1" s="1"/>
  <c r="AH437" i="1" s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W440" i="1"/>
  <c r="X440" i="1"/>
  <c r="Y440" i="1"/>
  <c r="Z440" i="1" s="1"/>
  <c r="AA440" i="1" s="1"/>
  <c r="AB440" i="1" s="1"/>
  <c r="AC440" i="1" s="1"/>
  <c r="AD440" i="1" s="1"/>
  <c r="AE440" i="1" s="1"/>
  <c r="AF440" i="1" s="1"/>
  <c r="AG440" i="1" s="1"/>
  <c r="AH440" i="1" s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W442" i="1"/>
  <c r="X442" i="1"/>
  <c r="Y442" i="1"/>
  <c r="Z442" i="1"/>
  <c r="AA442" i="1"/>
  <c r="AB442" i="1"/>
  <c r="AC442" i="1"/>
  <c r="AD442" i="1"/>
  <c r="AE442" i="1" s="1"/>
  <c r="AF442" i="1" s="1"/>
  <c r="AG442" i="1" s="1"/>
  <c r="AH442" i="1" s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W445" i="1"/>
  <c r="X445" i="1"/>
  <c r="Y445" i="1"/>
  <c r="Z445" i="1"/>
  <c r="AA445" i="1"/>
  <c r="AB445" i="1"/>
  <c r="AC445" i="1"/>
  <c r="AD445" i="1"/>
  <c r="AE445" i="1"/>
  <c r="AF445" i="1"/>
  <c r="AG445" i="1"/>
  <c r="AH445" i="1" s="1"/>
  <c r="W446" i="1"/>
  <c r="X446" i="1"/>
  <c r="Y446" i="1"/>
  <c r="Z446" i="1"/>
  <c r="AA446" i="1"/>
  <c r="AB446" i="1"/>
  <c r="AC446" i="1"/>
  <c r="AD446" i="1" s="1"/>
  <c r="AE446" i="1" s="1"/>
  <c r="AF446" i="1" s="1"/>
  <c r="AG446" i="1" s="1"/>
  <c r="AH446" i="1" s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W448" i="1"/>
  <c r="X448" i="1" s="1"/>
  <c r="Y448" i="1" s="1"/>
  <c r="Z448" i="1" s="1"/>
  <c r="AA448" i="1" s="1"/>
  <c r="AB448" i="1" s="1"/>
  <c r="AC448" i="1" s="1"/>
  <c r="AD448" i="1" s="1"/>
  <c r="AE448" i="1" s="1"/>
  <c r="AF448" i="1" s="1"/>
  <c r="AG448" i="1" s="1"/>
  <c r="AH448" i="1" s="1"/>
  <c r="W449" i="1"/>
  <c r="X449" i="1"/>
  <c r="Y449" i="1"/>
  <c r="Z449" i="1" s="1"/>
  <c r="AA449" i="1" s="1"/>
  <c r="AB449" i="1" s="1"/>
  <c r="AC449" i="1" s="1"/>
  <c r="AD449" i="1" s="1"/>
  <c r="AE449" i="1" s="1"/>
  <c r="AF449" i="1" s="1"/>
  <c r="AG449" i="1"/>
  <c r="AH449" i="1" s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W452" i="1"/>
  <c r="X452" i="1"/>
  <c r="Y452" i="1"/>
  <c r="Z452" i="1"/>
  <c r="AA452" i="1"/>
  <c r="AB452" i="1"/>
  <c r="AC452" i="1"/>
  <c r="AD452" i="1"/>
  <c r="AE452" i="1"/>
  <c r="AF452" i="1" s="1"/>
  <c r="AG452" i="1" s="1"/>
  <c r="AH452" i="1" s="1"/>
  <c r="W453" i="1"/>
  <c r="X453" i="1"/>
  <c r="Y453" i="1"/>
  <c r="Z453" i="1" s="1"/>
  <c r="AA453" i="1" s="1"/>
  <c r="AB453" i="1" s="1"/>
  <c r="AC453" i="1" s="1"/>
  <c r="AD453" i="1" s="1"/>
  <c r="AE453" i="1" s="1"/>
  <c r="AF453" i="1" s="1"/>
  <c r="AG453" i="1"/>
  <c r="AH453" i="1" s="1"/>
  <c r="W454" i="1"/>
  <c r="X454" i="1"/>
  <c r="Y454" i="1"/>
  <c r="Z454" i="1"/>
  <c r="AA454" i="1"/>
  <c r="AB454" i="1"/>
  <c r="AC454" i="1"/>
  <c r="AD454" i="1"/>
  <c r="AE454" i="1"/>
  <c r="AF454" i="1"/>
  <c r="AG454" i="1"/>
  <c r="AH454" i="1" s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W460" i="1"/>
  <c r="X460" i="1" s="1"/>
  <c r="Y460" i="1" s="1"/>
  <c r="Z460" i="1" s="1"/>
  <c r="AA460" i="1" s="1"/>
  <c r="AB460" i="1" s="1"/>
  <c r="AC460" i="1" s="1"/>
  <c r="AD460" i="1" s="1"/>
  <c r="AE460" i="1" s="1"/>
  <c r="AF460" i="1" s="1"/>
  <c r="AG460" i="1" s="1"/>
  <c r="AH460" i="1" s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W462" i="1"/>
  <c r="X462" i="1"/>
  <c r="Y462" i="1"/>
  <c r="Z462" i="1"/>
  <c r="AA462" i="1"/>
  <c r="AB462" i="1"/>
  <c r="AC462" i="1"/>
  <c r="AD462" i="1" s="1"/>
  <c r="AE462" i="1" s="1"/>
  <c r="AF462" i="1" s="1"/>
  <c r="AG462" i="1" s="1"/>
  <c r="AH462" i="1" s="1"/>
  <c r="W463" i="1"/>
  <c r="X463" i="1"/>
  <c r="Y463" i="1"/>
  <c r="Z463" i="1"/>
  <c r="AA463" i="1"/>
  <c r="AB463" i="1" s="1"/>
  <c r="AC463" i="1" s="1"/>
  <c r="AD463" i="1" s="1"/>
  <c r="AE463" i="1" s="1"/>
  <c r="AF463" i="1" s="1"/>
  <c r="AG463" i="1"/>
  <c r="AH463" i="1" s="1"/>
  <c r="W464" i="1"/>
  <c r="X464" i="1" s="1"/>
  <c r="Y464" i="1" s="1"/>
  <c r="Z464" i="1" s="1"/>
  <c r="AA464" i="1" s="1"/>
  <c r="AB464" i="1" s="1"/>
  <c r="AC464" i="1"/>
  <c r="AD464" i="1" s="1"/>
  <c r="AE464" i="1" s="1"/>
  <c r="AF464" i="1" s="1"/>
  <c r="AG464" i="1" s="1"/>
  <c r="AH464" i="1" s="1"/>
  <c r="W465" i="1"/>
  <c r="X465" i="1"/>
  <c r="Y465" i="1"/>
  <c r="Z465" i="1"/>
  <c r="AA465" i="1"/>
  <c r="AB465" i="1" s="1"/>
  <c r="AC465" i="1" s="1"/>
  <c r="AD465" i="1" s="1"/>
  <c r="AE465" i="1" s="1"/>
  <c r="AF465" i="1" s="1"/>
  <c r="AG465" i="1"/>
  <c r="AH465" i="1" s="1"/>
  <c r="W466" i="1"/>
  <c r="X466" i="1"/>
  <c r="Y466" i="1"/>
  <c r="Z466" i="1"/>
  <c r="AA466" i="1"/>
  <c r="AB466" i="1"/>
  <c r="AC466" i="1"/>
  <c r="AD466" i="1" s="1"/>
  <c r="AE466" i="1" s="1"/>
  <c r="AF466" i="1" s="1"/>
  <c r="AG466" i="1" s="1"/>
  <c r="AH466" i="1" s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W469" i="1"/>
  <c r="X469" i="1"/>
  <c r="Y469" i="1"/>
  <c r="Z469" i="1"/>
  <c r="AA469" i="1"/>
  <c r="AB469" i="1"/>
  <c r="AC469" i="1"/>
  <c r="AD469" i="1"/>
  <c r="AE469" i="1" s="1"/>
  <c r="AF469" i="1" s="1"/>
  <c r="AG469" i="1"/>
  <c r="AH469" i="1" s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W473" i="1"/>
  <c r="X473" i="1"/>
  <c r="Y473" i="1"/>
  <c r="Z473" i="1" s="1"/>
  <c r="AA473" i="1" s="1"/>
  <c r="AB473" i="1" s="1"/>
  <c r="AC473" i="1" s="1"/>
  <c r="AD473" i="1" s="1"/>
  <c r="AE473" i="1" s="1"/>
  <c r="AF473" i="1" s="1"/>
  <c r="AG473" i="1"/>
  <c r="AH473" i="1" s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W478" i="1"/>
  <c r="X478" i="1"/>
  <c r="Y478" i="1"/>
  <c r="Z478" i="1"/>
  <c r="AA478" i="1"/>
  <c r="AB478" i="1"/>
  <c r="AC478" i="1"/>
  <c r="AD478" i="1" s="1"/>
  <c r="AE478" i="1" s="1"/>
  <c r="AF478" i="1" s="1"/>
  <c r="AG478" i="1" s="1"/>
  <c r="AH478" i="1" s="1"/>
  <c r="W479" i="1"/>
  <c r="X479" i="1"/>
  <c r="Y479" i="1"/>
  <c r="Z479" i="1" s="1"/>
  <c r="AA479" i="1" s="1"/>
  <c r="AB479" i="1" s="1"/>
  <c r="AC479" i="1" s="1"/>
  <c r="AD479" i="1" s="1"/>
  <c r="AE479" i="1" s="1"/>
  <c r="AF479" i="1" s="1"/>
  <c r="AG479" i="1" s="1"/>
  <c r="AH479" i="1" s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W481" i="1"/>
  <c r="X481" i="1"/>
  <c r="Y481" i="1"/>
  <c r="Z481" i="1" s="1"/>
  <c r="AA481" i="1" s="1"/>
  <c r="AB481" i="1" s="1"/>
  <c r="AC481" i="1" s="1"/>
  <c r="AD481" i="1" s="1"/>
  <c r="AE481" i="1" s="1"/>
  <c r="AF481" i="1" s="1"/>
  <c r="AG481" i="1" s="1"/>
  <c r="AH481" i="1" s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W484" i="1"/>
  <c r="X484" i="1"/>
  <c r="Y484" i="1"/>
  <c r="Z484" i="1"/>
  <c r="AA484" i="1"/>
  <c r="AB484" i="1"/>
  <c r="AC484" i="1"/>
  <c r="AD484" i="1"/>
  <c r="AE484" i="1"/>
  <c r="AF484" i="1" s="1"/>
  <c r="AG484" i="1" s="1"/>
  <c r="AH484" i="1" s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W488" i="1"/>
  <c r="X488" i="1" s="1"/>
  <c r="Y488" i="1" s="1"/>
  <c r="Z488" i="1" s="1"/>
  <c r="AA488" i="1" s="1"/>
  <c r="AB488" i="1" s="1"/>
  <c r="AC488" i="1"/>
  <c r="AD488" i="1" s="1"/>
  <c r="AE488" i="1" s="1"/>
  <c r="AF488" i="1" s="1"/>
  <c r="AG488" i="1" s="1"/>
  <c r="AH488" i="1" s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W493" i="1"/>
  <c r="X493" i="1"/>
  <c r="Y493" i="1"/>
  <c r="Z493" i="1"/>
  <c r="AA493" i="1"/>
  <c r="AB493" i="1"/>
  <c r="AC493" i="1"/>
  <c r="AD493" i="1"/>
  <c r="AE493" i="1"/>
  <c r="AF493" i="1"/>
  <c r="AG493" i="1"/>
  <c r="AH493" i="1" s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W495" i="1"/>
  <c r="X495" i="1"/>
  <c r="Y495" i="1"/>
  <c r="Z495" i="1" s="1"/>
  <c r="AA495" i="1" s="1"/>
  <c r="AB495" i="1" s="1"/>
  <c r="AC495" i="1" s="1"/>
  <c r="AD495" i="1" s="1"/>
  <c r="AE495" i="1" s="1"/>
  <c r="AF495" i="1" s="1"/>
  <c r="AG495" i="1" s="1"/>
  <c r="AH495" i="1" s="1"/>
  <c r="W496" i="1"/>
  <c r="X496" i="1"/>
  <c r="Y496" i="1"/>
  <c r="Z496" i="1"/>
  <c r="AA496" i="1" s="1"/>
  <c r="AB496" i="1" s="1"/>
  <c r="AC496" i="1"/>
  <c r="AD496" i="1" s="1"/>
  <c r="AE496" i="1" s="1"/>
  <c r="AF496" i="1" s="1"/>
  <c r="AG496" i="1" s="1"/>
  <c r="AH496" i="1" s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W498" i="1"/>
  <c r="X498" i="1"/>
  <c r="Y498" i="1"/>
  <c r="Z498" i="1"/>
  <c r="AA498" i="1" s="1"/>
  <c r="AB498" i="1" s="1"/>
  <c r="AC498" i="1" s="1"/>
  <c r="AD498" i="1" s="1"/>
  <c r="AE498" i="1" s="1"/>
  <c r="AF498" i="1" s="1"/>
  <c r="AG498" i="1" s="1"/>
  <c r="AH498" i="1" s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W500" i="1"/>
  <c r="X500" i="1"/>
  <c r="Y500" i="1"/>
  <c r="Z500" i="1"/>
  <c r="AA500" i="1"/>
  <c r="AB500" i="1"/>
  <c r="AC500" i="1"/>
  <c r="AD500" i="1" s="1"/>
  <c r="AE500" i="1" s="1"/>
  <c r="AF500" i="1" s="1"/>
  <c r="AG500" i="1" s="1"/>
  <c r="AH500" i="1" s="1"/>
  <c r="W501" i="1"/>
  <c r="X501" i="1"/>
  <c r="Y501" i="1"/>
  <c r="Z501" i="1" s="1"/>
  <c r="AA501" i="1" s="1"/>
  <c r="AB501" i="1" s="1"/>
  <c r="AC501" i="1" s="1"/>
  <c r="AD501" i="1" s="1"/>
  <c r="AE501" i="1" s="1"/>
  <c r="AF501" i="1" s="1"/>
  <c r="AG501" i="1"/>
  <c r="AH501" i="1" s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W504" i="1"/>
  <c r="X504" i="1"/>
  <c r="Y504" i="1"/>
  <c r="Z504" i="1"/>
  <c r="AA504" i="1"/>
  <c r="AB504" i="1"/>
  <c r="AC504" i="1"/>
  <c r="AD504" i="1"/>
  <c r="AE504" i="1"/>
  <c r="AF504" i="1" s="1"/>
  <c r="AG504" i="1" s="1"/>
  <c r="AH504" i="1" s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W506" i="1"/>
  <c r="X506" i="1" s="1"/>
  <c r="Y506" i="1" s="1"/>
  <c r="Z506" i="1" s="1"/>
  <c r="AA506" i="1" s="1"/>
  <c r="AB506" i="1" s="1"/>
  <c r="AC506" i="1"/>
  <c r="AD506" i="1" s="1"/>
  <c r="AE506" i="1" s="1"/>
  <c r="AF506" i="1" s="1"/>
  <c r="AG506" i="1" s="1"/>
  <c r="AH506" i="1" s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W508" i="1"/>
  <c r="X508" i="1"/>
  <c r="Y508" i="1"/>
  <c r="Z508" i="1"/>
  <c r="AA508" i="1" s="1"/>
  <c r="AB508" i="1" s="1"/>
  <c r="AC508" i="1"/>
  <c r="AD508" i="1" s="1"/>
  <c r="AE508" i="1" s="1"/>
  <c r="AF508" i="1" s="1"/>
  <c r="AG508" i="1" s="1"/>
  <c r="AH508" i="1" s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W510" i="1"/>
  <c r="X510" i="1"/>
  <c r="Y510" i="1"/>
  <c r="Z510" i="1" s="1"/>
  <c r="AA510" i="1" s="1"/>
  <c r="AB510" i="1" s="1"/>
  <c r="AC510" i="1"/>
  <c r="AD510" i="1" s="1"/>
  <c r="AE510" i="1" s="1"/>
  <c r="AF510" i="1" s="1"/>
  <c r="AG510" i="1" s="1"/>
  <c r="AH510" i="1" s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W512" i="1"/>
  <c r="X512" i="1" s="1"/>
  <c r="Y512" i="1" s="1"/>
  <c r="Z512" i="1" s="1"/>
  <c r="AA512" i="1" s="1"/>
  <c r="AB512" i="1" s="1"/>
  <c r="AC512" i="1" s="1"/>
  <c r="AD512" i="1" s="1"/>
  <c r="AE512" i="1" s="1"/>
  <c r="AF512" i="1" s="1"/>
  <c r="AG512" i="1" s="1"/>
  <c r="AH512" i="1" s="1"/>
  <c r="W513" i="1"/>
  <c r="X513" i="1"/>
  <c r="Y513" i="1"/>
  <c r="Z513" i="1" s="1"/>
  <c r="AA513" i="1" s="1"/>
  <c r="AB513" i="1" s="1"/>
  <c r="AC513" i="1" s="1"/>
  <c r="AD513" i="1" s="1"/>
  <c r="AE513" i="1" s="1"/>
  <c r="AF513" i="1" s="1"/>
  <c r="AG513" i="1"/>
  <c r="AH513" i="1" s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W515" i="1"/>
  <c r="X515" i="1" s="1"/>
  <c r="Y515" i="1"/>
  <c r="Z515" i="1" s="1"/>
  <c r="AA515" i="1" s="1"/>
  <c r="AB515" i="1" s="1"/>
  <c r="AC515" i="1" s="1"/>
  <c r="AD515" i="1" s="1"/>
  <c r="AE515" i="1" s="1"/>
  <c r="AF515" i="1" s="1"/>
  <c r="AG515" i="1" s="1"/>
  <c r="AH515" i="1" s="1"/>
  <c r="W516" i="1"/>
  <c r="X516" i="1"/>
  <c r="Y516" i="1"/>
  <c r="Z516" i="1"/>
  <c r="AA516" i="1"/>
  <c r="AB516" i="1"/>
  <c r="AC516" i="1"/>
  <c r="AD516" i="1"/>
  <c r="AE516" i="1"/>
  <c r="AF516" i="1" s="1"/>
  <c r="AG516" i="1" s="1"/>
  <c r="AH516" i="1" s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W521" i="1"/>
  <c r="X521" i="1"/>
  <c r="Y521" i="1"/>
  <c r="Z521" i="1" s="1"/>
  <c r="AA521" i="1" s="1"/>
  <c r="AB521" i="1" s="1"/>
  <c r="AC521" i="1" s="1"/>
  <c r="AD521" i="1" s="1"/>
  <c r="AE521" i="1" s="1"/>
  <c r="AF521" i="1" s="1"/>
  <c r="AG521" i="1" s="1"/>
  <c r="AH521" i="1" s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W523" i="1"/>
  <c r="X523" i="1"/>
  <c r="Y523" i="1"/>
  <c r="Z523" i="1"/>
  <c r="AA523" i="1"/>
  <c r="AB523" i="1"/>
  <c r="AC523" i="1"/>
  <c r="AD523" i="1"/>
  <c r="AE523" i="1"/>
  <c r="AF523" i="1" s="1"/>
  <c r="AG523" i="1" s="1"/>
  <c r="AH523" i="1" s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W525" i="1"/>
  <c r="X525" i="1"/>
  <c r="Y525" i="1"/>
  <c r="Z525" i="1"/>
  <c r="AA525" i="1"/>
  <c r="AB525" i="1"/>
  <c r="AC525" i="1"/>
  <c r="AD525" i="1"/>
  <c r="AE525" i="1"/>
  <c r="AF525" i="1" s="1"/>
  <c r="AG525" i="1"/>
  <c r="AH525" i="1" s="1"/>
  <c r="W526" i="1"/>
  <c r="X526" i="1" s="1"/>
  <c r="Y526" i="1" s="1"/>
  <c r="Z526" i="1" s="1"/>
  <c r="AA526" i="1" s="1"/>
  <c r="AB526" i="1" s="1"/>
  <c r="AC526" i="1" s="1"/>
  <c r="AD526" i="1" s="1"/>
  <c r="AE526" i="1" s="1"/>
  <c r="AF526" i="1" s="1"/>
  <c r="AG526" i="1" s="1"/>
  <c r="AH526" i="1" s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W528" i="1"/>
  <c r="X528" i="1"/>
  <c r="Y528" i="1"/>
  <c r="Z528" i="1"/>
  <c r="AA528" i="1"/>
  <c r="AB528" i="1"/>
  <c r="AC528" i="1"/>
  <c r="AD528" i="1"/>
  <c r="AE528" i="1"/>
  <c r="AF528" i="1"/>
  <c r="AG528" i="1"/>
  <c r="AH528" i="1" s="1"/>
  <c r="W529" i="1"/>
  <c r="X529" i="1" s="1"/>
  <c r="Y529" i="1"/>
  <c r="Z529" i="1" s="1"/>
  <c r="AA529" i="1" s="1"/>
  <c r="AB529" i="1" s="1"/>
  <c r="AC529" i="1" s="1"/>
  <c r="AD529" i="1" s="1"/>
  <c r="AE529" i="1" s="1"/>
  <c r="AF529" i="1" s="1"/>
  <c r="AG529" i="1" s="1"/>
  <c r="AH529" i="1" s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W532" i="1"/>
  <c r="X532" i="1"/>
  <c r="Y532" i="1"/>
  <c r="Z532" i="1"/>
  <c r="AA532" i="1"/>
  <c r="AB532" i="1"/>
  <c r="AC532" i="1"/>
  <c r="AD532" i="1"/>
  <c r="AE532" i="1"/>
  <c r="AF532" i="1"/>
  <c r="AG532" i="1"/>
  <c r="AH532" i="1" s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W535" i="1"/>
  <c r="X535" i="1" s="1"/>
  <c r="Y535" i="1" s="1"/>
  <c r="Z535" i="1" s="1"/>
  <c r="AA535" i="1" s="1"/>
  <c r="AB535" i="1" s="1"/>
  <c r="AC535" i="1" s="1"/>
  <c r="AD535" i="1" s="1"/>
  <c r="AE535" i="1" s="1"/>
  <c r="AF535" i="1" s="1"/>
  <c r="AG535" i="1" s="1"/>
  <c r="AH535" i="1" s="1"/>
  <c r="W536" i="1"/>
  <c r="X536" i="1"/>
  <c r="Y536" i="1"/>
  <c r="Z536" i="1" s="1"/>
  <c r="AA536" i="1" s="1"/>
  <c r="AB536" i="1" s="1"/>
  <c r="AC536" i="1"/>
  <c r="AD536" i="1" s="1"/>
  <c r="AE536" i="1" s="1"/>
  <c r="AF536" i="1" s="1"/>
  <c r="AG536" i="1" s="1"/>
  <c r="AH536" i="1" s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W539" i="1"/>
  <c r="X539" i="1" s="1"/>
  <c r="Y539" i="1"/>
  <c r="Z539" i="1" s="1"/>
  <c r="AA539" i="1" s="1"/>
  <c r="AB539" i="1" s="1"/>
  <c r="AC539" i="1" s="1"/>
  <c r="AD539" i="1" s="1"/>
  <c r="AE539" i="1" s="1"/>
  <c r="AF539" i="1" s="1"/>
  <c r="AG539" i="1" s="1"/>
  <c r="AH539" i="1" s="1"/>
  <c r="W540" i="1"/>
  <c r="X540" i="1"/>
  <c r="Y540" i="1"/>
  <c r="Z540" i="1"/>
  <c r="AA540" i="1"/>
  <c r="AB540" i="1"/>
  <c r="AC540" i="1"/>
  <c r="AD540" i="1" s="1"/>
  <c r="AE540" i="1" s="1"/>
  <c r="AF540" i="1" s="1"/>
  <c r="AG540" i="1" s="1"/>
  <c r="AH540" i="1" s="1"/>
  <c r="W541" i="1"/>
  <c r="X541" i="1" s="1"/>
  <c r="Y541" i="1" s="1"/>
  <c r="Z541" i="1" s="1"/>
  <c r="AA541" i="1" s="1"/>
  <c r="AB541" i="1" s="1"/>
  <c r="AC541" i="1" s="1"/>
  <c r="AD541" i="1" s="1"/>
  <c r="AE541" i="1" s="1"/>
  <c r="AF541" i="1" s="1"/>
  <c r="AG541" i="1" s="1"/>
  <c r="AH541" i="1" s="1"/>
  <c r="W542" i="1"/>
  <c r="X542" i="1"/>
  <c r="Y542" i="1"/>
  <c r="Z542" i="1" s="1"/>
  <c r="AA542" i="1" s="1"/>
  <c r="AB542" i="1" s="1"/>
  <c r="AC542" i="1" s="1"/>
  <c r="AD542" i="1" s="1"/>
  <c r="AE542" i="1" s="1"/>
  <c r="AF542" i="1" s="1"/>
  <c r="AG542" i="1" s="1"/>
  <c r="AH542" i="1" s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W544" i="1"/>
  <c r="X544" i="1"/>
  <c r="Y544" i="1"/>
  <c r="Z544" i="1"/>
  <c r="AA544" i="1"/>
  <c r="AB544" i="1"/>
  <c r="AC544" i="1"/>
  <c r="AD544" i="1" s="1"/>
  <c r="AE544" i="1" s="1"/>
  <c r="AF544" i="1" s="1"/>
  <c r="AG544" i="1"/>
  <c r="AH544" i="1" s="1"/>
  <c r="W545" i="1"/>
  <c r="X545" i="1"/>
  <c r="Y545" i="1"/>
  <c r="Z545" i="1" s="1"/>
  <c r="AA545" i="1" s="1"/>
  <c r="AB545" i="1" s="1"/>
  <c r="AC545" i="1" s="1"/>
  <c r="AD545" i="1" s="1"/>
  <c r="AE545" i="1" s="1"/>
  <c r="AF545" i="1" s="1"/>
  <c r="AG545" i="1" s="1"/>
  <c r="AH545" i="1" s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W547" i="1"/>
  <c r="X547" i="1"/>
  <c r="Y547" i="1"/>
  <c r="Z547" i="1"/>
  <c r="AA547" i="1"/>
  <c r="AB547" i="1"/>
  <c r="AC547" i="1"/>
  <c r="AD547" i="1"/>
  <c r="AE547" i="1"/>
  <c r="AF547" i="1" s="1"/>
  <c r="AG547" i="1"/>
  <c r="AH547" i="1" s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W551" i="1"/>
  <c r="X551" i="1"/>
  <c r="Y551" i="1"/>
  <c r="Z551" i="1"/>
  <c r="AA551" i="1"/>
  <c r="AB551" i="1" s="1"/>
  <c r="AC551" i="1"/>
  <c r="AD551" i="1" s="1"/>
  <c r="AE551" i="1" s="1"/>
  <c r="AF551" i="1" s="1"/>
  <c r="AG551" i="1" s="1"/>
  <c r="AH551" i="1" s="1"/>
  <c r="W552" i="1"/>
  <c r="X552" i="1"/>
  <c r="Y552" i="1"/>
  <c r="Z552" i="1"/>
  <c r="AA552" i="1"/>
  <c r="AB552" i="1" s="1"/>
  <c r="AC552" i="1" s="1"/>
  <c r="AD552" i="1" s="1"/>
  <c r="AE552" i="1" s="1"/>
  <c r="AF552" i="1" s="1"/>
  <c r="AG552" i="1" s="1"/>
  <c r="AH552" i="1" s="1"/>
  <c r="W553" i="1"/>
  <c r="X553" i="1" s="1"/>
  <c r="Y553" i="1"/>
  <c r="Z553" i="1" s="1"/>
  <c r="AA553" i="1" s="1"/>
  <c r="AB553" i="1" s="1"/>
  <c r="AC553" i="1" s="1"/>
  <c r="AD553" i="1" s="1"/>
  <c r="AE553" i="1" s="1"/>
  <c r="AF553" i="1" s="1"/>
  <c r="AG553" i="1" s="1"/>
  <c r="AH553" i="1" s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W555" i="1"/>
  <c r="X555" i="1"/>
  <c r="Y555" i="1"/>
  <c r="Z555" i="1"/>
  <c r="AA555" i="1"/>
  <c r="AB555" i="1" s="1"/>
  <c r="AC555" i="1"/>
  <c r="AD555" i="1" s="1"/>
  <c r="AE555" i="1" s="1"/>
  <c r="AF555" i="1" s="1"/>
  <c r="AG555" i="1" s="1"/>
  <c r="AH555" i="1" s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W557" i="1"/>
  <c r="X557" i="1"/>
  <c r="Y557" i="1"/>
  <c r="Z557" i="1"/>
  <c r="AA557" i="1"/>
  <c r="AB557" i="1" s="1"/>
  <c r="AC557" i="1"/>
  <c r="AD557" i="1" s="1"/>
  <c r="AE557" i="1" s="1"/>
  <c r="AF557" i="1" s="1"/>
  <c r="AG557" i="1" s="1"/>
  <c r="AH557" i="1" s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W559" i="1"/>
  <c r="X559" i="1"/>
  <c r="Y559" i="1"/>
  <c r="Z559" i="1" s="1"/>
  <c r="AA559" i="1" s="1"/>
  <c r="AB559" i="1" s="1"/>
  <c r="AC559" i="1" s="1"/>
  <c r="AD559" i="1" s="1"/>
  <c r="AE559" i="1" s="1"/>
  <c r="AF559" i="1" s="1"/>
  <c r="AG559" i="1" s="1"/>
  <c r="AH559" i="1" s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W564" i="1"/>
  <c r="X564" i="1"/>
  <c r="Y564" i="1"/>
  <c r="Z564" i="1"/>
  <c r="AA564" i="1"/>
  <c r="AB564" i="1"/>
  <c r="AC564" i="1"/>
  <c r="AD564" i="1"/>
  <c r="AE564" i="1"/>
  <c r="AF564" i="1" s="1"/>
  <c r="AG564" i="1"/>
  <c r="AH564" i="1" s="1"/>
  <c r="W565" i="1"/>
  <c r="X565" i="1"/>
  <c r="Y565" i="1"/>
  <c r="Z565" i="1"/>
  <c r="AA565" i="1"/>
  <c r="AB565" i="1" s="1"/>
  <c r="AC565" i="1"/>
  <c r="AD565" i="1" s="1"/>
  <c r="AE565" i="1" s="1"/>
  <c r="AF565" i="1" s="1"/>
  <c r="AG565" i="1"/>
  <c r="AH565" i="1" s="1"/>
  <c r="W566" i="1"/>
  <c r="X566" i="1" s="1"/>
  <c r="Y566" i="1" s="1"/>
  <c r="Z566" i="1" s="1"/>
  <c r="AA566" i="1" s="1"/>
  <c r="AB566" i="1" s="1"/>
  <c r="AC566" i="1" s="1"/>
  <c r="AD566" i="1" s="1"/>
  <c r="AE566" i="1" s="1"/>
  <c r="AF566" i="1" s="1"/>
  <c r="AG566" i="1" s="1"/>
  <c r="AH566" i="1" s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W570" i="1"/>
  <c r="X570" i="1" s="1"/>
  <c r="Y570" i="1"/>
  <c r="Z570" i="1" s="1"/>
  <c r="AA570" i="1" s="1"/>
  <c r="AB570" i="1" s="1"/>
  <c r="AC570" i="1" s="1"/>
  <c r="AD570" i="1" s="1"/>
  <c r="AE570" i="1" s="1"/>
  <c r="AF570" i="1" s="1"/>
  <c r="AG570" i="1" s="1"/>
  <c r="AH570" i="1" s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W572" i="1"/>
  <c r="X572" i="1"/>
  <c r="Y572" i="1"/>
  <c r="Z572" i="1"/>
  <c r="AA572" i="1"/>
  <c r="AB572" i="1"/>
  <c r="AC572" i="1"/>
  <c r="AD572" i="1"/>
  <c r="AE572" i="1"/>
  <c r="AF572" i="1"/>
  <c r="AG572" i="1"/>
  <c r="AH572" i="1" s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W574" i="1"/>
  <c r="X574" i="1" s="1"/>
  <c r="Y574" i="1" s="1"/>
  <c r="Z574" i="1" s="1"/>
  <c r="AA574" i="1" s="1"/>
  <c r="AB574" i="1" s="1"/>
  <c r="AC574" i="1" s="1"/>
  <c r="AD574" i="1" s="1"/>
  <c r="AE574" i="1" s="1"/>
  <c r="AF574" i="1" s="1"/>
  <c r="AG574" i="1" s="1"/>
  <c r="AH574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W579" i="1"/>
  <c r="X579" i="1"/>
  <c r="Y579" i="1"/>
  <c r="Z579" i="1"/>
  <c r="AA579" i="1"/>
  <c r="AB579" i="1"/>
  <c r="AC579" i="1" s="1"/>
  <c r="AD579" i="1"/>
  <c r="AE579" i="1" s="1"/>
  <c r="AF579" i="1" s="1"/>
  <c r="AG579" i="1" s="1"/>
  <c r="AH579" i="1" s="1"/>
  <c r="W580" i="1"/>
  <c r="X580" i="1"/>
  <c r="Y580" i="1"/>
  <c r="Z580" i="1"/>
  <c r="AA580" i="1"/>
  <c r="AB580" i="1" s="1"/>
  <c r="AC580" i="1"/>
  <c r="AD580" i="1" s="1"/>
  <c r="AE580" i="1" s="1"/>
  <c r="AF580" i="1" s="1"/>
  <c r="AG580" i="1" s="1"/>
  <c r="AH580" i="1" s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W582" i="1"/>
  <c r="X582" i="1"/>
  <c r="Y582" i="1"/>
  <c r="Z582" i="1" s="1"/>
  <c r="AA582" i="1" s="1"/>
  <c r="AB582" i="1" s="1"/>
  <c r="AC582" i="1" s="1"/>
  <c r="AD582" i="1"/>
  <c r="AE582" i="1" s="1"/>
  <c r="AF582" i="1" s="1"/>
  <c r="AG582" i="1" s="1"/>
  <c r="AH582" i="1" s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W586" i="1"/>
  <c r="X586" i="1"/>
  <c r="Y586" i="1"/>
  <c r="Z586" i="1"/>
  <c r="AA586" i="1"/>
  <c r="AB586" i="1"/>
  <c r="AC586" i="1"/>
  <c r="AD586" i="1"/>
  <c r="AE586" i="1" s="1"/>
  <c r="AF586" i="1" s="1"/>
  <c r="AG586" i="1" s="1"/>
  <c r="AH586" i="1" s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W592" i="1"/>
  <c r="X592" i="1"/>
  <c r="Y592" i="1"/>
  <c r="Z592" i="1"/>
  <c r="AA592" i="1"/>
  <c r="AB592" i="1"/>
  <c r="AC592" i="1" s="1"/>
  <c r="AD592" i="1" s="1"/>
  <c r="AE592" i="1" s="1"/>
  <c r="AF592" i="1" s="1"/>
  <c r="AG592" i="1" s="1"/>
  <c r="AH592" i="1" s="1"/>
  <c r="W593" i="1"/>
  <c r="X593" i="1"/>
  <c r="Y593" i="1"/>
  <c r="Z593" i="1"/>
  <c r="AA593" i="1"/>
  <c r="AB593" i="1"/>
  <c r="AC593" i="1"/>
  <c r="AD593" i="1" s="1"/>
  <c r="AE593" i="1" s="1"/>
  <c r="AF593" i="1" s="1"/>
  <c r="AG593" i="1" s="1"/>
  <c r="AH593" i="1" s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W598" i="1"/>
  <c r="X598" i="1"/>
  <c r="Y598" i="1"/>
  <c r="Z598" i="1" s="1"/>
  <c r="AA598" i="1" s="1"/>
  <c r="AB598" i="1" s="1"/>
  <c r="AC598" i="1" s="1"/>
  <c r="AD598" i="1"/>
  <c r="AE598" i="1" s="1"/>
  <c r="AF598" i="1" s="1"/>
  <c r="AG598" i="1" s="1"/>
  <c r="AH598" i="1" s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W602" i="1"/>
  <c r="X602" i="1"/>
  <c r="Y602" i="1"/>
  <c r="Z602" i="1" s="1"/>
  <c r="AA602" i="1" s="1"/>
  <c r="AB602" i="1" s="1"/>
  <c r="AC602" i="1" s="1"/>
  <c r="AD602" i="1"/>
  <c r="AE602" i="1" s="1"/>
  <c r="AF602" i="1" s="1"/>
  <c r="AG602" i="1" s="1"/>
  <c r="AH602" i="1" s="1"/>
  <c r="W603" i="1"/>
  <c r="X603" i="1"/>
  <c r="Y603" i="1"/>
  <c r="Z603" i="1"/>
  <c r="AA603" i="1" s="1"/>
  <c r="AB603" i="1" s="1"/>
  <c r="AC603" i="1" s="1"/>
  <c r="AD603" i="1" s="1"/>
  <c r="AE603" i="1" s="1"/>
  <c r="AF603" i="1" s="1"/>
  <c r="AG603" i="1" s="1"/>
  <c r="AH603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W607" i="1"/>
  <c r="X607" i="1"/>
  <c r="Y607" i="1"/>
  <c r="Z607" i="1"/>
  <c r="AA607" i="1"/>
  <c r="AB607" i="1"/>
  <c r="AC607" i="1"/>
  <c r="AD607" i="1" s="1"/>
  <c r="AE607" i="1" s="1"/>
  <c r="AF607" i="1" s="1"/>
  <c r="AG607" i="1" s="1"/>
  <c r="AH607" i="1" s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W612" i="1"/>
  <c r="X612" i="1"/>
  <c r="Y612" i="1"/>
  <c r="Z612" i="1"/>
  <c r="AA612" i="1"/>
  <c r="AB612" i="1"/>
  <c r="AC612" i="1"/>
  <c r="AD612" i="1"/>
  <c r="AE612" i="1"/>
  <c r="AF612" i="1"/>
  <c r="AG612" i="1"/>
  <c r="AH612" i="1" s="1"/>
  <c r="W613" i="1"/>
  <c r="X613" i="1"/>
  <c r="Y613" i="1"/>
  <c r="Z613" i="1"/>
  <c r="AA613" i="1"/>
  <c r="AB613" i="1"/>
  <c r="AC613" i="1"/>
  <c r="AD613" i="1"/>
  <c r="AE613" i="1"/>
  <c r="AF613" i="1"/>
  <c r="AG613" i="1" s="1"/>
  <c r="AH613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W620" i="1"/>
  <c r="X620" i="1" s="1"/>
  <c r="Y620" i="1" s="1"/>
  <c r="Z620" i="1" s="1"/>
  <c r="AA620" i="1" s="1"/>
  <c r="AB620" i="1" s="1"/>
  <c r="AC620" i="1" s="1"/>
  <c r="AD620" i="1" s="1"/>
  <c r="AE620" i="1" s="1"/>
  <c r="AF620" i="1" s="1"/>
  <c r="AG620" i="1" s="1"/>
  <c r="AH620" i="1" s="1"/>
  <c r="W621" i="1"/>
  <c r="X621" i="1"/>
  <c r="Y621" i="1"/>
  <c r="Z621" i="1"/>
  <c r="AA621" i="1"/>
  <c r="AB621" i="1" s="1"/>
  <c r="AC621" i="1" s="1"/>
  <c r="AD621" i="1" s="1"/>
  <c r="AE621" i="1" s="1"/>
  <c r="AF621" i="1" s="1"/>
  <c r="AG621" i="1" s="1"/>
  <c r="AH621" i="1"/>
  <c r="W622" i="1"/>
  <c r="X622" i="1"/>
  <c r="Y622" i="1"/>
  <c r="Z622" i="1" s="1"/>
  <c r="AA622" i="1" s="1"/>
  <c r="AB622" i="1" s="1"/>
  <c r="AC622" i="1" s="1"/>
  <c r="AD622" i="1" s="1"/>
  <c r="AE622" i="1" s="1"/>
  <c r="AF622" i="1" s="1"/>
  <c r="AG622" i="1" s="1"/>
  <c r="AH622" i="1" s="1"/>
  <c r="W623" i="1"/>
  <c r="X623" i="1"/>
  <c r="Y623" i="1"/>
  <c r="Z623" i="1"/>
  <c r="AA623" i="1" s="1"/>
  <c r="AB623" i="1" s="1"/>
  <c r="AC623" i="1" s="1"/>
  <c r="AD623" i="1" s="1"/>
  <c r="AE623" i="1" s="1"/>
  <c r="AF623" i="1" s="1"/>
  <c r="AG623" i="1" s="1"/>
  <c r="AH623" i="1"/>
  <c r="W624" i="1"/>
  <c r="X624" i="1"/>
  <c r="Y624" i="1"/>
  <c r="Z624" i="1"/>
  <c r="AA624" i="1"/>
  <c r="AB624" i="1"/>
  <c r="AC624" i="1"/>
  <c r="AD624" i="1"/>
  <c r="AE624" i="1"/>
  <c r="AF624" i="1"/>
  <c r="AG624" i="1"/>
  <c r="AH624" i="1" s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W626" i="1"/>
  <c r="X626" i="1"/>
  <c r="Y626" i="1"/>
  <c r="Z626" i="1" s="1"/>
  <c r="AA626" i="1" s="1"/>
  <c r="AB626" i="1" s="1"/>
  <c r="AC626" i="1" s="1"/>
  <c r="AD626" i="1" s="1"/>
  <c r="AE626" i="1" s="1"/>
  <c r="AF626" i="1" s="1"/>
  <c r="AG626" i="1" s="1"/>
  <c r="AH626" i="1" s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W629" i="1"/>
  <c r="X629" i="1"/>
  <c r="Y629" i="1" s="1"/>
  <c r="Z629" i="1" s="1"/>
  <c r="AA629" i="1" s="1"/>
  <c r="AB629" i="1" s="1"/>
  <c r="AC629" i="1" s="1"/>
  <c r="AD629" i="1" s="1"/>
  <c r="AE629" i="1" s="1"/>
  <c r="AF629" i="1" s="1"/>
  <c r="AG629" i="1" s="1"/>
  <c r="AH629" i="1" s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W631" i="1"/>
  <c r="X631" i="1"/>
  <c r="Y631" i="1"/>
  <c r="Z631" i="1"/>
  <c r="AA631" i="1" s="1"/>
  <c r="AB631" i="1" s="1"/>
  <c r="AC631" i="1" s="1"/>
  <c r="AD631" i="1" s="1"/>
  <c r="AE631" i="1" s="1"/>
  <c r="AF631" i="1" s="1"/>
  <c r="AG631" i="1" s="1"/>
  <c r="AH631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W638" i="1"/>
  <c r="X638" i="1"/>
  <c r="Y638" i="1"/>
  <c r="Z638" i="1"/>
  <c r="AA638" i="1"/>
  <c r="AB638" i="1"/>
  <c r="AC638" i="1"/>
  <c r="AD638" i="1"/>
  <c r="AE638" i="1" s="1"/>
  <c r="AF638" i="1" s="1"/>
  <c r="AG638" i="1" s="1"/>
  <c r="AH638" i="1" s="1"/>
  <c r="W639" i="1"/>
  <c r="X639" i="1"/>
  <c r="Y639" i="1" s="1"/>
  <c r="Z639" i="1" s="1"/>
  <c r="AA639" i="1" s="1"/>
  <c r="AB639" i="1" s="1"/>
  <c r="AC639" i="1" s="1"/>
  <c r="AD639" i="1" s="1"/>
  <c r="AE639" i="1" s="1"/>
  <c r="AF639" i="1" s="1"/>
  <c r="AG639" i="1" s="1"/>
  <c r="AH639" i="1" s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W642" i="1"/>
  <c r="X642" i="1"/>
  <c r="Y642" i="1"/>
  <c r="Z642" i="1"/>
  <c r="AA642" i="1"/>
  <c r="AB642" i="1"/>
  <c r="AC642" i="1" s="1"/>
  <c r="AD642" i="1" s="1"/>
  <c r="AE642" i="1" s="1"/>
  <c r="AF642" i="1" s="1"/>
  <c r="AG642" i="1" s="1"/>
  <c r="AH642" i="1" s="1"/>
  <c r="W643" i="1"/>
  <c r="X643" i="1"/>
  <c r="Y643" i="1" s="1"/>
  <c r="Z643" i="1" s="1"/>
  <c r="AA643" i="1" s="1"/>
  <c r="AB643" i="1" s="1"/>
  <c r="AC643" i="1" s="1"/>
  <c r="AD643" i="1" s="1"/>
  <c r="AE643" i="1" s="1"/>
  <c r="AF643" i="1" s="1"/>
  <c r="AG643" i="1" s="1"/>
  <c r="AH643" i="1" s="1"/>
  <c r="W644" i="1"/>
  <c r="X644" i="1"/>
  <c r="Y644" i="1"/>
  <c r="Z644" i="1"/>
  <c r="AA644" i="1"/>
  <c r="AB644" i="1"/>
  <c r="AC644" i="1"/>
  <c r="AD644" i="1"/>
  <c r="AE644" i="1"/>
  <c r="AF644" i="1" s="1"/>
  <c r="AG644" i="1" s="1"/>
  <c r="AH644" i="1" s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W647" i="1"/>
  <c r="X647" i="1"/>
  <c r="Y647" i="1"/>
  <c r="Z647" i="1"/>
  <c r="AA647" i="1" s="1"/>
  <c r="AB647" i="1" s="1"/>
  <c r="AC647" i="1" s="1"/>
  <c r="AD647" i="1" s="1"/>
  <c r="AE647" i="1" s="1"/>
  <c r="AF647" i="1" s="1"/>
  <c r="AG647" i="1" s="1"/>
  <c r="AH647" i="1" s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W649" i="1"/>
  <c r="X649" i="1"/>
  <c r="Y649" i="1"/>
  <c r="Z649" i="1"/>
  <c r="AA649" i="1"/>
  <c r="AB649" i="1"/>
  <c r="AC649" i="1"/>
  <c r="AD649" i="1" s="1"/>
  <c r="AE649" i="1" s="1"/>
  <c r="AF649" i="1" s="1"/>
  <c r="AG649" i="1" s="1"/>
  <c r="AH649" i="1" s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W652" i="1"/>
  <c r="X652" i="1"/>
  <c r="Y652" i="1"/>
  <c r="Z652" i="1"/>
  <c r="AA652" i="1"/>
  <c r="AB652" i="1"/>
  <c r="AC652" i="1" s="1"/>
  <c r="AD652" i="1"/>
  <c r="AE652" i="1" s="1"/>
  <c r="AF652" i="1" s="1"/>
  <c r="AG652" i="1" s="1"/>
  <c r="AH652" i="1" s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W656" i="1"/>
  <c r="X656" i="1"/>
  <c r="Y656" i="1"/>
  <c r="Z656" i="1"/>
  <c r="AA656" i="1"/>
  <c r="AB656" i="1"/>
  <c r="AC656" i="1"/>
  <c r="AD656" i="1"/>
  <c r="AE656" i="1" s="1"/>
  <c r="AF656" i="1" s="1"/>
  <c r="AG656" i="1" s="1"/>
  <c r="AH656" i="1" s="1"/>
  <c r="W657" i="1"/>
  <c r="X657" i="1"/>
  <c r="Y657" i="1"/>
  <c r="Z657" i="1"/>
  <c r="AA657" i="1"/>
  <c r="AB657" i="1" s="1"/>
  <c r="AC657" i="1" s="1"/>
  <c r="AD657" i="1" s="1"/>
  <c r="AE657" i="1" s="1"/>
  <c r="AF657" i="1" s="1"/>
  <c r="AG657" i="1" s="1"/>
  <c r="AH657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W660" i="1"/>
  <c r="X660" i="1" s="1"/>
  <c r="Y660" i="1" s="1"/>
  <c r="Z660" i="1" s="1"/>
  <c r="AA660" i="1" s="1"/>
  <c r="AB660" i="1" s="1"/>
  <c r="AC660" i="1" s="1"/>
  <c r="AD660" i="1"/>
  <c r="AE660" i="1" s="1"/>
  <c r="AF660" i="1" s="1"/>
  <c r="AG660" i="1" s="1"/>
  <c r="AH660" i="1" s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W662" i="1"/>
  <c r="X662" i="1" s="1"/>
  <c r="Y662" i="1" s="1"/>
  <c r="Z662" i="1" s="1"/>
  <c r="AA662" i="1" s="1"/>
  <c r="AB662" i="1" s="1"/>
  <c r="AC662" i="1" s="1"/>
  <c r="AD662" i="1"/>
  <c r="AE662" i="1" s="1"/>
  <c r="AF662" i="1" s="1"/>
  <c r="AG662" i="1" s="1"/>
  <c r="AH662" i="1" s="1"/>
  <c r="W663" i="1"/>
  <c r="X663" i="1"/>
  <c r="Y663" i="1"/>
  <c r="Z663" i="1"/>
  <c r="AA663" i="1"/>
  <c r="AB663" i="1"/>
  <c r="AC663" i="1"/>
  <c r="AD663" i="1" s="1"/>
  <c r="AE663" i="1" s="1"/>
  <c r="AF663" i="1" s="1"/>
  <c r="AG663" i="1" s="1"/>
  <c r="AH663" i="1"/>
  <c r="W664" i="1"/>
  <c r="X664" i="1"/>
  <c r="Y664" i="1"/>
  <c r="Z664" i="1"/>
  <c r="AA664" i="1"/>
  <c r="AB664" i="1"/>
  <c r="AC664" i="1" s="1"/>
  <c r="AD664" i="1" s="1"/>
  <c r="AE664" i="1" s="1"/>
  <c r="AF664" i="1" s="1"/>
  <c r="AG664" i="1" s="1"/>
  <c r="AH664" i="1" s="1"/>
  <c r="W665" i="1"/>
  <c r="X665" i="1"/>
  <c r="Y665" i="1"/>
  <c r="Z665" i="1"/>
  <c r="AA665" i="1"/>
  <c r="AB665" i="1"/>
  <c r="AC665" i="1"/>
  <c r="AD665" i="1"/>
  <c r="AE665" i="1"/>
  <c r="AF665" i="1"/>
  <c r="AG665" i="1" s="1"/>
  <c r="AH665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W668" i="1"/>
  <c r="X668" i="1"/>
  <c r="Y668" i="1"/>
  <c r="Z668" i="1"/>
  <c r="AA668" i="1"/>
  <c r="AB668" i="1"/>
  <c r="AC668" i="1"/>
  <c r="AD668" i="1"/>
  <c r="AE668" i="1"/>
  <c r="AF668" i="1" s="1"/>
  <c r="AG668" i="1" s="1"/>
  <c r="AH668" i="1" s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W670" i="1"/>
  <c r="X670" i="1"/>
  <c r="Y670" i="1"/>
  <c r="Z670" i="1"/>
  <c r="AA670" i="1"/>
  <c r="AB670" i="1"/>
  <c r="AC670" i="1"/>
  <c r="AD670" i="1"/>
  <c r="AE670" i="1"/>
  <c r="AF670" i="1"/>
  <c r="AG670" i="1"/>
  <c r="AH670" i="1" s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W672" i="1"/>
  <c r="X672" i="1"/>
  <c r="Y672" i="1"/>
  <c r="Z672" i="1"/>
  <c r="AA672" i="1"/>
  <c r="AB672" i="1"/>
  <c r="AC672" i="1"/>
  <c r="AD672" i="1"/>
  <c r="AE672" i="1" s="1"/>
  <c r="AF672" i="1" s="1"/>
  <c r="AG672" i="1" s="1"/>
  <c r="AH672" i="1" s="1"/>
  <c r="W673" i="1"/>
  <c r="X673" i="1"/>
  <c r="Y673" i="1" s="1"/>
  <c r="Z673" i="1" s="1"/>
  <c r="AA673" i="1" s="1"/>
  <c r="AB673" i="1" s="1"/>
  <c r="AC673" i="1" s="1"/>
  <c r="AD673" i="1" s="1"/>
  <c r="AE673" i="1" s="1"/>
  <c r="AF673" i="1" s="1"/>
  <c r="AG673" i="1" s="1"/>
  <c r="AH673" i="1" s="1"/>
  <c r="W674" i="1"/>
  <c r="X674" i="1"/>
  <c r="Y674" i="1"/>
  <c r="Z674" i="1"/>
  <c r="AA674" i="1"/>
  <c r="AB674" i="1"/>
  <c r="AC674" i="1"/>
  <c r="AD674" i="1"/>
  <c r="AE674" i="1" s="1"/>
  <c r="AF674" i="1" s="1"/>
  <c r="AG674" i="1" s="1"/>
  <c r="AH674" i="1" s="1"/>
  <c r="W675" i="1"/>
  <c r="X675" i="1"/>
  <c r="Y675" i="1" s="1"/>
  <c r="Z675" i="1"/>
  <c r="AA675" i="1" s="1"/>
  <c r="AB675" i="1" s="1"/>
  <c r="AC675" i="1" s="1"/>
  <c r="AD675" i="1" s="1"/>
  <c r="AE675" i="1" s="1"/>
  <c r="AF675" i="1" s="1"/>
  <c r="AG675" i="1" s="1"/>
  <c r="AH675" i="1"/>
  <c r="W676" i="1"/>
  <c r="X676" i="1"/>
  <c r="Y676" i="1"/>
  <c r="Z676" i="1" s="1"/>
  <c r="AA676" i="1" s="1"/>
  <c r="AB676" i="1" s="1"/>
  <c r="AC676" i="1" s="1"/>
  <c r="AD676" i="1"/>
  <c r="AE676" i="1" s="1"/>
  <c r="AF676" i="1" s="1"/>
  <c r="AG676" i="1" s="1"/>
  <c r="AH676" i="1" s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W679" i="1"/>
  <c r="X679" i="1"/>
  <c r="Y679" i="1"/>
  <c r="Z679" i="1"/>
  <c r="AA679" i="1" s="1"/>
  <c r="AB679" i="1" s="1"/>
  <c r="AC679" i="1" s="1"/>
  <c r="AD679" i="1" s="1"/>
  <c r="AE679" i="1" s="1"/>
  <c r="AF679" i="1" s="1"/>
  <c r="AG679" i="1" s="1"/>
  <c r="AH679" i="1" s="1"/>
  <c r="W680" i="1"/>
  <c r="X680" i="1"/>
  <c r="Y680" i="1"/>
  <c r="Z680" i="1"/>
  <c r="AA680" i="1"/>
  <c r="AB680" i="1"/>
  <c r="AC680" i="1"/>
  <c r="AD680" i="1"/>
  <c r="AE680" i="1" s="1"/>
  <c r="AF680" i="1" s="1"/>
  <c r="AG680" i="1" s="1"/>
  <c r="AH680" i="1" s="1"/>
  <c r="W681" i="1"/>
  <c r="X681" i="1"/>
  <c r="Y681" i="1"/>
  <c r="Z681" i="1"/>
  <c r="AA681" i="1" s="1"/>
  <c r="AB681" i="1" s="1"/>
  <c r="AC681" i="1" s="1"/>
  <c r="AD681" i="1" s="1"/>
  <c r="AE681" i="1" s="1"/>
  <c r="AF681" i="1" s="1"/>
  <c r="AG681" i="1" s="1"/>
  <c r="AH681" i="1" s="1"/>
  <c r="W682" i="1"/>
  <c r="X682" i="1"/>
  <c r="Y682" i="1"/>
  <c r="Z682" i="1" s="1"/>
  <c r="AA682" i="1" s="1"/>
  <c r="AB682" i="1" s="1"/>
  <c r="AC682" i="1" s="1"/>
  <c r="AD682" i="1"/>
  <c r="AE682" i="1" s="1"/>
  <c r="AF682" i="1" s="1"/>
  <c r="AG682" i="1" s="1"/>
  <c r="AH682" i="1" s="1"/>
  <c r="W683" i="1"/>
  <c r="X683" i="1"/>
  <c r="Y683" i="1"/>
  <c r="Z683" i="1"/>
  <c r="AA683" i="1"/>
  <c r="AB683" i="1"/>
  <c r="AC683" i="1"/>
  <c r="AD683" i="1" s="1"/>
  <c r="AE683" i="1" s="1"/>
  <c r="AF683" i="1" s="1"/>
  <c r="AG683" i="1" s="1"/>
  <c r="AH683" i="1"/>
  <c r="W684" i="1"/>
  <c r="X684" i="1" s="1"/>
  <c r="Y684" i="1" s="1"/>
  <c r="Z684" i="1" s="1"/>
  <c r="AA684" i="1" s="1"/>
  <c r="AB684" i="1" s="1"/>
  <c r="AC684" i="1" s="1"/>
  <c r="AD684" i="1"/>
  <c r="AE684" i="1" s="1"/>
  <c r="AF684" i="1" s="1"/>
  <c r="AG684" i="1" s="1"/>
  <c r="AH684" i="1" s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W687" i="1"/>
  <c r="X687" i="1"/>
  <c r="Y687" i="1"/>
  <c r="Z687" i="1"/>
  <c r="AA687" i="1"/>
  <c r="AB687" i="1"/>
  <c r="AC687" i="1"/>
  <c r="AD687" i="1"/>
  <c r="AE687" i="1"/>
  <c r="AF687" i="1"/>
  <c r="AG687" i="1" s="1"/>
  <c r="AH687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W689" i="1"/>
  <c r="X689" i="1"/>
  <c r="Y689" i="1" s="1"/>
  <c r="Z689" i="1" s="1"/>
  <c r="AA689" i="1" s="1"/>
  <c r="AB689" i="1" s="1"/>
  <c r="AC689" i="1" s="1"/>
  <c r="AD689" i="1" s="1"/>
  <c r="AE689" i="1" s="1"/>
  <c r="AF689" i="1" s="1"/>
  <c r="AG689" i="1" s="1"/>
  <c r="AH689" i="1" s="1"/>
  <c r="W690" i="1"/>
  <c r="X690" i="1"/>
  <c r="Y690" i="1"/>
  <c r="Z690" i="1"/>
  <c r="AA690" i="1"/>
  <c r="AB690" i="1"/>
  <c r="AC690" i="1" s="1"/>
  <c r="AD690" i="1" s="1"/>
  <c r="AE690" i="1" s="1"/>
  <c r="AF690" i="1" s="1"/>
  <c r="AG690" i="1" s="1"/>
  <c r="AH690" i="1" s="1"/>
  <c r="W691" i="1"/>
  <c r="X691" i="1"/>
  <c r="Y691" i="1"/>
  <c r="Z691" i="1"/>
  <c r="AA691" i="1" s="1"/>
  <c r="AB691" i="1" s="1"/>
  <c r="AC691" i="1" s="1"/>
  <c r="AD691" i="1" s="1"/>
  <c r="AE691" i="1" s="1"/>
  <c r="AF691" i="1" s="1"/>
  <c r="AG691" i="1" s="1"/>
  <c r="AH691" i="1" s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W693" i="1"/>
  <c r="X693" i="1"/>
  <c r="Y693" i="1"/>
  <c r="Z693" i="1"/>
  <c r="AA693" i="1" s="1"/>
  <c r="AB693" i="1" s="1"/>
  <c r="AC693" i="1" s="1"/>
  <c r="AD693" i="1" s="1"/>
  <c r="AE693" i="1" s="1"/>
  <c r="AF693" i="1" s="1"/>
  <c r="AG693" i="1" s="1"/>
  <c r="AH693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W695" i="1"/>
  <c r="X695" i="1"/>
  <c r="Y695" i="1"/>
  <c r="Z695" i="1"/>
  <c r="AA695" i="1" s="1"/>
  <c r="AB695" i="1" s="1"/>
  <c r="AC695" i="1" s="1"/>
  <c r="AD695" i="1" s="1"/>
  <c r="AE695" i="1" s="1"/>
  <c r="AF695" i="1" s="1"/>
  <c r="AG695" i="1" s="1"/>
  <c r="AH695" i="1" s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W697" i="1"/>
  <c r="X697" i="1"/>
  <c r="Y697" i="1"/>
  <c r="Z697" i="1"/>
  <c r="AA697" i="1" s="1"/>
  <c r="AB697" i="1" s="1"/>
  <c r="AC697" i="1" s="1"/>
  <c r="AD697" i="1" s="1"/>
  <c r="AE697" i="1" s="1"/>
  <c r="AF697" i="1" s="1"/>
  <c r="AG697" i="1" s="1"/>
  <c r="AH697" i="1" s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W699" i="1"/>
  <c r="X699" i="1"/>
  <c r="Y699" i="1"/>
  <c r="Z699" i="1"/>
  <c r="AA699" i="1" s="1"/>
  <c r="AB699" i="1" s="1"/>
  <c r="AC699" i="1" s="1"/>
  <c r="AD699" i="1" s="1"/>
  <c r="AE699" i="1" s="1"/>
  <c r="AF699" i="1" s="1"/>
  <c r="AG699" i="1" s="1"/>
  <c r="AH699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W704" i="1"/>
  <c r="X704" i="1" s="1"/>
  <c r="Y704" i="1" s="1"/>
  <c r="Z704" i="1" s="1"/>
  <c r="AA704" i="1" s="1"/>
  <c r="AB704" i="1" s="1"/>
  <c r="AC704" i="1" s="1"/>
  <c r="AD704" i="1" s="1"/>
  <c r="AE704" i="1" s="1"/>
  <c r="AF704" i="1" s="1"/>
  <c r="AG704" i="1" s="1"/>
  <c r="AH704" i="1" s="1"/>
  <c r="W705" i="1"/>
  <c r="X705" i="1"/>
  <c r="Y705" i="1"/>
  <c r="Z705" i="1"/>
  <c r="AA705" i="1"/>
  <c r="AB705" i="1"/>
  <c r="AC705" i="1"/>
  <c r="AD705" i="1"/>
  <c r="AE705" i="1"/>
  <c r="AF705" i="1"/>
  <c r="AG705" i="1" s="1"/>
  <c r="AH705" i="1"/>
  <c r="W706" i="1"/>
  <c r="X706" i="1"/>
  <c r="Y706" i="1"/>
  <c r="Z706" i="1"/>
  <c r="AA706" i="1"/>
  <c r="AB706" i="1"/>
  <c r="AC706" i="1" s="1"/>
  <c r="AD706" i="1" s="1"/>
  <c r="AE706" i="1" s="1"/>
  <c r="AF706" i="1" s="1"/>
  <c r="AG706" i="1" s="1"/>
  <c r="AH706" i="1" s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W712" i="1"/>
  <c r="X712" i="1"/>
  <c r="Y712" i="1"/>
  <c r="Z712" i="1" s="1"/>
  <c r="AA712" i="1" s="1"/>
  <c r="AB712" i="1" s="1"/>
  <c r="AC712" i="1" s="1"/>
  <c r="AD712" i="1" s="1"/>
  <c r="AE712" i="1" s="1"/>
  <c r="AF712" i="1" s="1"/>
  <c r="AG712" i="1" s="1"/>
  <c r="AH712" i="1" s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W716" i="1"/>
  <c r="X716" i="1"/>
  <c r="Y716" i="1"/>
  <c r="Z716" i="1"/>
  <c r="AA716" i="1"/>
  <c r="AB716" i="1"/>
  <c r="AC716" i="1"/>
  <c r="AD716" i="1"/>
  <c r="AE716" i="1"/>
  <c r="AF716" i="1"/>
  <c r="AG716" i="1"/>
  <c r="AH716" i="1" s="1"/>
  <c r="W717" i="1"/>
  <c r="X717" i="1"/>
  <c r="Y717" i="1"/>
  <c r="Z717" i="1"/>
  <c r="AA717" i="1"/>
  <c r="AB717" i="1"/>
  <c r="AC717" i="1"/>
  <c r="AD717" i="1" s="1"/>
  <c r="AE717" i="1" s="1"/>
  <c r="AF717" i="1" s="1"/>
  <c r="AG717" i="1" s="1"/>
  <c r="AH717" i="1"/>
  <c r="W718" i="1"/>
  <c r="X718" i="1"/>
  <c r="Y718" i="1"/>
  <c r="Z718" i="1"/>
  <c r="AA718" i="1"/>
  <c r="AB718" i="1"/>
  <c r="AC718" i="1" s="1"/>
  <c r="AD718" i="1" s="1"/>
  <c r="AE718" i="1" s="1"/>
  <c r="AF718" i="1" s="1"/>
  <c r="AG718" i="1" s="1"/>
  <c r="AH718" i="1" s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W720" i="1"/>
  <c r="X720" i="1"/>
  <c r="Y720" i="1"/>
  <c r="Z720" i="1"/>
  <c r="AA720" i="1"/>
  <c r="AB720" i="1"/>
  <c r="AC720" i="1"/>
  <c r="AD720" i="1"/>
  <c r="AE720" i="1"/>
  <c r="AF720" i="1" s="1"/>
  <c r="AG720" i="1" s="1"/>
  <c r="AH720" i="1" s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W722" i="1"/>
  <c r="X722" i="1"/>
  <c r="Y722" i="1"/>
  <c r="Z722" i="1"/>
  <c r="AA722" i="1"/>
  <c r="AB722" i="1"/>
  <c r="AC722" i="1" s="1"/>
  <c r="AD722" i="1" s="1"/>
  <c r="AE722" i="1" s="1"/>
  <c r="AF722" i="1" s="1"/>
  <c r="AG722" i="1" s="1"/>
  <c r="AH722" i="1" s="1"/>
  <c r="W723" i="1"/>
  <c r="X723" i="1"/>
  <c r="Y723" i="1"/>
  <c r="Z723" i="1"/>
  <c r="AA723" i="1"/>
  <c r="AB723" i="1"/>
  <c r="AC723" i="1"/>
  <c r="AD723" i="1"/>
  <c r="AE723" i="1"/>
  <c r="AF723" i="1"/>
  <c r="AG723" i="1" s="1"/>
  <c r="AH723" i="1"/>
  <c r="W724" i="1"/>
  <c r="X724" i="1"/>
  <c r="Y724" i="1"/>
  <c r="Z724" i="1"/>
  <c r="AA724" i="1"/>
  <c r="AB724" i="1"/>
  <c r="AC724" i="1"/>
  <c r="AD724" i="1"/>
  <c r="AE724" i="1" s="1"/>
  <c r="AF724" i="1" s="1"/>
  <c r="AG724" i="1" s="1"/>
  <c r="AH724" i="1" s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W726" i="1"/>
  <c r="X726" i="1" s="1"/>
  <c r="Y726" i="1" s="1"/>
  <c r="Z726" i="1" s="1"/>
  <c r="AA726" i="1" s="1"/>
  <c r="AB726" i="1" s="1"/>
  <c r="AC726" i="1" s="1"/>
  <c r="AD726" i="1"/>
  <c r="AE726" i="1" s="1"/>
  <c r="AF726" i="1" s="1"/>
  <c r="AG726" i="1" s="1"/>
  <c r="AH726" i="1" s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W731" i="1"/>
  <c r="X731" i="1"/>
  <c r="Y731" i="1"/>
  <c r="Z731" i="1"/>
  <c r="AA731" i="1"/>
  <c r="AB731" i="1" s="1"/>
  <c r="AC731" i="1" s="1"/>
  <c r="AD731" i="1" s="1"/>
  <c r="AE731" i="1"/>
  <c r="AF731" i="1" s="1"/>
  <c r="AG731" i="1" s="1"/>
  <c r="AH731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W734" i="1"/>
  <c r="X734" i="1"/>
  <c r="Y734" i="1"/>
  <c r="Z734" i="1"/>
  <c r="AA734" i="1"/>
  <c r="AB734" i="1"/>
  <c r="AC734" i="1" s="1"/>
  <c r="AD734" i="1" s="1"/>
  <c r="AE734" i="1" s="1"/>
  <c r="AF734" i="1" s="1"/>
  <c r="AG734" i="1" s="1"/>
  <c r="AH734" i="1" s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W740" i="1"/>
  <c r="X740" i="1"/>
  <c r="Y740" i="1"/>
  <c r="Z740" i="1"/>
  <c r="AA740" i="1"/>
  <c r="AB740" i="1"/>
  <c r="AC740" i="1"/>
  <c r="AD740" i="1"/>
  <c r="AE740" i="1" s="1"/>
  <c r="AF740" i="1" s="1"/>
  <c r="AG740" i="1" s="1"/>
  <c r="AH740" i="1" s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W745" i="1"/>
  <c r="X745" i="1"/>
  <c r="Y745" i="1"/>
  <c r="Z745" i="1"/>
  <c r="AA745" i="1"/>
  <c r="AB745" i="1"/>
  <c r="AC745" i="1"/>
  <c r="AD745" i="1" s="1"/>
  <c r="AE745" i="1" s="1"/>
  <c r="AF745" i="1" s="1"/>
  <c r="AG745" i="1" s="1"/>
  <c r="AH745" i="1" s="1"/>
  <c r="W746" i="1"/>
  <c r="X746" i="1"/>
  <c r="Y746" i="1"/>
  <c r="Z746" i="1"/>
  <c r="AA746" i="1"/>
  <c r="AB746" i="1" s="1"/>
  <c r="AC746" i="1" s="1"/>
  <c r="AD746" i="1" s="1"/>
  <c r="AE746" i="1" s="1"/>
  <c r="AF746" i="1" s="1"/>
  <c r="AG746" i="1" s="1"/>
  <c r="AH746" i="1" s="1"/>
  <c r="W747" i="1"/>
  <c r="X747" i="1"/>
  <c r="Y747" i="1" s="1"/>
  <c r="Z747" i="1" s="1"/>
  <c r="AA747" i="1" s="1"/>
  <c r="AB747" i="1" s="1"/>
  <c r="AC747" i="1" s="1"/>
  <c r="AD747" i="1" s="1"/>
  <c r="AE747" i="1"/>
  <c r="AF747" i="1" s="1"/>
  <c r="AG747" i="1" s="1"/>
  <c r="AH747" i="1" s="1"/>
  <c r="W748" i="1"/>
  <c r="X748" i="1"/>
  <c r="Y748" i="1"/>
  <c r="Z748" i="1" s="1"/>
  <c r="AA748" i="1"/>
  <c r="AB748" i="1" s="1"/>
  <c r="AC748" i="1" s="1"/>
  <c r="AD748" i="1"/>
  <c r="AE748" i="1" s="1"/>
  <c r="AF748" i="1" s="1"/>
  <c r="AG748" i="1" s="1"/>
  <c r="AH748" i="1" s="1"/>
  <c r="W749" i="1"/>
  <c r="X749" i="1"/>
  <c r="Y749" i="1" s="1"/>
  <c r="Z749" i="1" s="1"/>
  <c r="AA749" i="1" s="1"/>
  <c r="AB749" i="1" s="1"/>
  <c r="AC749" i="1" s="1"/>
  <c r="AD749" i="1" s="1"/>
  <c r="AE749" i="1" s="1"/>
  <c r="AF749" i="1" s="1"/>
  <c r="AG749" i="1" s="1"/>
  <c r="AH749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W753" i="1"/>
  <c r="X753" i="1"/>
  <c r="Y753" i="1"/>
  <c r="Z753" i="1"/>
  <c r="AA753" i="1"/>
  <c r="AB753" i="1"/>
  <c r="AC753" i="1"/>
  <c r="AD753" i="1" s="1"/>
  <c r="AE753" i="1"/>
  <c r="AF753" i="1" s="1"/>
  <c r="AG753" i="1" s="1"/>
  <c r="AH753" i="1" s="1"/>
  <c r="W754" i="1"/>
  <c r="X754" i="1"/>
  <c r="Y754" i="1"/>
  <c r="Z754" i="1"/>
  <c r="AA754" i="1"/>
  <c r="AB754" i="1"/>
  <c r="AC754" i="1" s="1"/>
  <c r="AD754" i="1" s="1"/>
  <c r="AE754" i="1" s="1"/>
  <c r="AF754" i="1" s="1"/>
  <c r="AG754" i="1" s="1"/>
  <c r="AH754" i="1" s="1"/>
  <c r="W755" i="1"/>
  <c r="X755" i="1"/>
  <c r="Y755" i="1"/>
  <c r="Z755" i="1"/>
  <c r="AA755" i="1"/>
  <c r="AB755" i="1"/>
  <c r="AC755" i="1"/>
  <c r="AD755" i="1" s="1"/>
  <c r="AE755" i="1" s="1"/>
  <c r="AF755" i="1" s="1"/>
  <c r="AG755" i="1" s="1"/>
  <c r="AH755" i="1" s="1"/>
  <c r="W756" i="1"/>
  <c r="X756" i="1"/>
  <c r="Y756" i="1"/>
  <c r="Z756" i="1"/>
  <c r="AA756" i="1"/>
  <c r="AB756" i="1"/>
  <c r="AC756" i="1"/>
  <c r="AD756" i="1"/>
  <c r="AE756" i="1"/>
  <c r="AF756" i="1"/>
  <c r="AG756" i="1"/>
  <c r="AH756" i="1" s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W758" i="1"/>
  <c r="X758" i="1" s="1"/>
  <c r="Y758" i="1" s="1"/>
  <c r="Z758" i="1" s="1"/>
  <c r="AA758" i="1"/>
  <c r="AB758" i="1" s="1"/>
  <c r="AC758" i="1" s="1"/>
  <c r="AD758" i="1"/>
  <c r="AE758" i="1" s="1"/>
  <c r="AF758" i="1" s="1"/>
  <c r="AG758" i="1" s="1"/>
  <c r="AH758" i="1" s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W769" i="1"/>
  <c r="X769" i="1"/>
  <c r="Y769" i="1"/>
  <c r="Z769" i="1"/>
  <c r="AA769" i="1"/>
  <c r="AB769" i="1"/>
  <c r="AC769" i="1" s="1"/>
  <c r="AD769" i="1" s="1"/>
  <c r="AE769" i="1" s="1"/>
  <c r="AF769" i="1"/>
  <c r="AG769" i="1" s="1"/>
  <c r="AH769" i="1" s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W772" i="1"/>
  <c r="X772" i="1"/>
  <c r="Y772" i="1"/>
  <c r="Z772" i="1"/>
  <c r="AA772" i="1"/>
  <c r="AB772" i="1"/>
  <c r="AC772" i="1" s="1"/>
  <c r="AD772" i="1" s="1"/>
  <c r="AE772" i="1" s="1"/>
  <c r="AF772" i="1" s="1"/>
  <c r="AG772" i="1" s="1"/>
  <c r="AH772" i="1" s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W777" i="1"/>
  <c r="X777" i="1"/>
  <c r="Y777" i="1"/>
  <c r="Z777" i="1"/>
  <c r="AA777" i="1"/>
  <c r="AB777" i="1" s="1"/>
  <c r="AC777" i="1" s="1"/>
  <c r="AD777" i="1" s="1"/>
  <c r="AE777" i="1" s="1"/>
  <c r="AF777" i="1" s="1"/>
  <c r="AG777" i="1" s="1"/>
  <c r="AH777" i="1" s="1"/>
  <c r="W778" i="1"/>
  <c r="X778" i="1"/>
  <c r="Y778" i="1"/>
  <c r="Z778" i="1"/>
  <c r="AA778" i="1"/>
  <c r="AB778" i="1"/>
  <c r="AC778" i="1"/>
  <c r="AD778" i="1"/>
  <c r="AE778" i="1"/>
  <c r="AF778" i="1" s="1"/>
  <c r="AG778" i="1" s="1"/>
  <c r="AH778" i="1" s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W780" i="1"/>
  <c r="X780" i="1"/>
  <c r="Y780" i="1"/>
  <c r="Z780" i="1"/>
  <c r="AA780" i="1"/>
  <c r="AB780" i="1"/>
  <c r="AC780" i="1"/>
  <c r="AD780" i="1" s="1"/>
  <c r="AE780" i="1" s="1"/>
  <c r="AF780" i="1" s="1"/>
  <c r="AG780" i="1" s="1"/>
  <c r="AH780" i="1" s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W782" i="1"/>
  <c r="X782" i="1"/>
  <c r="Y782" i="1"/>
  <c r="Z782" i="1"/>
  <c r="AA782" i="1"/>
  <c r="AB782" i="1"/>
  <c r="AC782" i="1"/>
  <c r="AD782" i="1"/>
  <c r="AE782" i="1" s="1"/>
  <c r="AF782" i="1" s="1"/>
  <c r="AG782" i="1" s="1"/>
  <c r="AH782" i="1" s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W784" i="1"/>
  <c r="X784" i="1"/>
  <c r="Y784" i="1" s="1"/>
  <c r="Z784" i="1" s="1"/>
  <c r="AA784" i="1"/>
  <c r="AB784" i="1" s="1"/>
  <c r="AC784" i="1"/>
  <c r="AD784" i="1" s="1"/>
  <c r="AE784" i="1" s="1"/>
  <c r="AF784" i="1" s="1"/>
  <c r="AG784" i="1" s="1"/>
  <c r="AH784" i="1" s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W786" i="1"/>
  <c r="X786" i="1"/>
  <c r="Y786" i="1"/>
  <c r="Z786" i="1"/>
  <c r="AA786" i="1"/>
  <c r="AB786" i="1"/>
  <c r="AC786" i="1"/>
  <c r="AD786" i="1"/>
  <c r="AE786" i="1" s="1"/>
  <c r="AF786" i="1"/>
  <c r="AG786" i="1" s="1"/>
  <c r="AH786" i="1" s="1"/>
  <c r="W787" i="1"/>
  <c r="X787" i="1"/>
  <c r="Y787" i="1"/>
  <c r="Z787" i="1"/>
  <c r="AA787" i="1"/>
  <c r="AB787" i="1"/>
  <c r="AC787" i="1" s="1"/>
  <c r="AD787" i="1" s="1"/>
  <c r="AE787" i="1" s="1"/>
  <c r="AF787" i="1" s="1"/>
  <c r="AG787" i="1" s="1"/>
  <c r="AH787" i="1" s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W791" i="1"/>
  <c r="X791" i="1"/>
  <c r="Y791" i="1"/>
  <c r="Z791" i="1"/>
  <c r="AA791" i="1"/>
  <c r="AB791" i="1"/>
  <c r="AC791" i="1"/>
  <c r="AD791" i="1"/>
  <c r="AE791" i="1"/>
  <c r="AF791" i="1"/>
  <c r="AG791" i="1" s="1"/>
  <c r="AH791" i="1" s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W794" i="1"/>
  <c r="X794" i="1"/>
  <c r="Y794" i="1" s="1"/>
  <c r="Z794" i="1"/>
  <c r="AA794" i="1"/>
  <c r="AB794" i="1" s="1"/>
  <c r="AC794" i="1" s="1"/>
  <c r="AD794" i="1" s="1"/>
  <c r="AE794" i="1" s="1"/>
  <c r="AF794" i="1" s="1"/>
  <c r="AG794" i="1" s="1"/>
  <c r="AH794" i="1" s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W800" i="1"/>
  <c r="X800" i="1" s="1"/>
  <c r="Y800" i="1" s="1"/>
  <c r="Z800" i="1" s="1"/>
  <c r="AA800" i="1" s="1"/>
  <c r="AB800" i="1"/>
  <c r="AC800" i="1" s="1"/>
  <c r="AD800" i="1"/>
  <c r="AE800" i="1" s="1"/>
  <c r="AF800" i="1" s="1"/>
  <c r="AG800" i="1" s="1"/>
  <c r="AH800" i="1" s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W804" i="1"/>
  <c r="X804" i="1"/>
  <c r="Y804" i="1" s="1"/>
  <c r="Z804" i="1" s="1"/>
  <c r="AA804" i="1" s="1"/>
  <c r="AB804" i="1"/>
  <c r="AC804" i="1" s="1"/>
  <c r="AD804" i="1"/>
  <c r="AE804" i="1" s="1"/>
  <c r="AF804" i="1" s="1"/>
  <c r="AG804" i="1" s="1"/>
  <c r="AH804" i="1" s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W807" i="1"/>
  <c r="X807" i="1"/>
  <c r="Y807" i="1"/>
  <c r="Z807" i="1"/>
  <c r="AA807" i="1"/>
  <c r="AB807" i="1" s="1"/>
  <c r="AC807" i="1" s="1"/>
  <c r="AD807" i="1" s="1"/>
  <c r="AE807" i="1" s="1"/>
  <c r="AF807" i="1" s="1"/>
  <c r="AG807" i="1" s="1"/>
  <c r="AH807" i="1" s="1"/>
  <c r="W808" i="1"/>
  <c r="X808" i="1" s="1"/>
  <c r="Y808" i="1" s="1"/>
  <c r="Z808" i="1" s="1"/>
  <c r="AA808" i="1" s="1"/>
  <c r="AB808" i="1" s="1"/>
  <c r="AC808" i="1" s="1"/>
  <c r="AD808" i="1" s="1"/>
  <c r="AE808" i="1" s="1"/>
  <c r="AF808" i="1" s="1"/>
  <c r="AG808" i="1" s="1"/>
  <c r="AH808" i="1" s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W812" i="1"/>
  <c r="X812" i="1"/>
  <c r="Y812" i="1"/>
  <c r="Z812" i="1"/>
  <c r="AA812" i="1"/>
  <c r="AB812" i="1"/>
  <c r="AC812" i="1" s="1"/>
  <c r="AD812" i="1"/>
  <c r="AE812" i="1" s="1"/>
  <c r="AF812" i="1" s="1"/>
  <c r="AG812" i="1" s="1"/>
  <c r="AH812" i="1" s="1"/>
  <c r="W813" i="1"/>
  <c r="X813" i="1"/>
  <c r="Y813" i="1"/>
  <c r="Z813" i="1"/>
  <c r="AA813" i="1"/>
  <c r="AB813" i="1"/>
  <c r="AC813" i="1" s="1"/>
  <c r="AD813" i="1" s="1"/>
  <c r="AE813" i="1" s="1"/>
  <c r="AF813" i="1"/>
  <c r="AG813" i="1" s="1"/>
  <c r="AH813" i="1"/>
  <c r="W814" i="1"/>
  <c r="X814" i="1"/>
  <c r="Y814" i="1"/>
  <c r="Z814" i="1"/>
  <c r="AA814" i="1"/>
  <c r="AB814" i="1"/>
  <c r="AC814" i="1"/>
  <c r="AD814" i="1"/>
  <c r="AE814" i="1"/>
  <c r="AF814" i="1"/>
  <c r="AG814" i="1" s="1"/>
  <c r="AH814" i="1" s="1"/>
  <c r="W815" i="1"/>
  <c r="X815" i="1"/>
  <c r="Y815" i="1"/>
  <c r="Z815" i="1"/>
  <c r="AA815" i="1"/>
  <c r="AB815" i="1"/>
  <c r="AC815" i="1" s="1"/>
  <c r="AD815" i="1" s="1"/>
  <c r="AE815" i="1" s="1"/>
  <c r="AF815" i="1" s="1"/>
  <c r="AG815" i="1" s="1"/>
  <c r="AH815" i="1" s="1"/>
  <c r="W816" i="1"/>
  <c r="X816" i="1"/>
  <c r="Y816" i="1"/>
  <c r="Z816" i="1"/>
  <c r="AA816" i="1"/>
  <c r="AB816" i="1"/>
  <c r="AC816" i="1" s="1"/>
  <c r="AD816" i="1" s="1"/>
  <c r="AE816" i="1" s="1"/>
  <c r="AF816" i="1" s="1"/>
  <c r="AG816" i="1" s="1"/>
  <c r="AH816" i="1" s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W818" i="1"/>
  <c r="X818" i="1"/>
  <c r="Y818" i="1" s="1"/>
  <c r="Z818" i="1" s="1"/>
  <c r="AA818" i="1" s="1"/>
  <c r="AB818" i="1"/>
  <c r="AC818" i="1" s="1"/>
  <c r="AD818" i="1" s="1"/>
  <c r="AE818" i="1" s="1"/>
  <c r="AF818" i="1" s="1"/>
  <c r="AG818" i="1" s="1"/>
  <c r="AH818" i="1" s="1"/>
  <c r="W819" i="1"/>
  <c r="X819" i="1"/>
  <c r="Y819" i="1"/>
  <c r="Z819" i="1"/>
  <c r="AA819" i="1"/>
  <c r="AB819" i="1"/>
  <c r="AC819" i="1" s="1"/>
  <c r="AD819" i="1" s="1"/>
  <c r="AE819" i="1" s="1"/>
  <c r="AF819" i="1"/>
  <c r="AG819" i="1" s="1"/>
  <c r="AH819" i="1" s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W822" i="1"/>
  <c r="X822" i="1"/>
  <c r="Y822" i="1"/>
  <c r="Z822" i="1"/>
  <c r="AA822" i="1"/>
  <c r="AB822" i="1"/>
  <c r="AC822" i="1" s="1"/>
  <c r="AD822" i="1"/>
  <c r="AE822" i="1" s="1"/>
  <c r="AF822" i="1" s="1"/>
  <c r="AG822" i="1" s="1"/>
  <c r="AH822" i="1" s="1"/>
  <c r="W823" i="1"/>
  <c r="X823" i="1"/>
  <c r="Y823" i="1"/>
  <c r="Z823" i="1"/>
  <c r="AA823" i="1"/>
  <c r="AB823" i="1"/>
  <c r="AC823" i="1" s="1"/>
  <c r="AD823" i="1" s="1"/>
  <c r="AE823" i="1" s="1"/>
  <c r="AF823" i="1"/>
  <c r="AG823" i="1" s="1"/>
  <c r="AH823" i="1"/>
  <c r="W824" i="1"/>
  <c r="X824" i="1"/>
  <c r="Y824" i="1"/>
  <c r="Z824" i="1"/>
  <c r="AA824" i="1"/>
  <c r="AB824" i="1"/>
  <c r="AC824" i="1"/>
  <c r="AD824" i="1"/>
  <c r="AE824" i="1"/>
  <c r="AF824" i="1"/>
  <c r="AG824" i="1" s="1"/>
  <c r="AH824" i="1" s="1"/>
  <c r="W825" i="1"/>
  <c r="X825" i="1"/>
  <c r="Y825" i="1" s="1"/>
  <c r="Z825" i="1"/>
  <c r="AA825" i="1" s="1"/>
  <c r="AB825" i="1" s="1"/>
  <c r="AC825" i="1" s="1"/>
  <c r="AD825" i="1" s="1"/>
  <c r="AE825" i="1" s="1"/>
  <c r="AF825" i="1" s="1"/>
  <c r="AG825" i="1" s="1"/>
  <c r="AH825" i="1" s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W828" i="1"/>
  <c r="X828" i="1"/>
  <c r="Y828" i="1"/>
  <c r="Z828" i="1"/>
  <c r="AA828" i="1"/>
  <c r="AB828" i="1"/>
  <c r="AC828" i="1" s="1"/>
  <c r="AD828" i="1" s="1"/>
  <c r="AE828" i="1" s="1"/>
  <c r="AF828" i="1" s="1"/>
  <c r="AG828" i="1" s="1"/>
  <c r="AH828" i="1" s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W830" i="1"/>
  <c r="X830" i="1"/>
  <c r="Y830" i="1"/>
  <c r="Z830" i="1"/>
  <c r="AA830" i="1"/>
  <c r="AB830" i="1"/>
  <c r="AC830" i="1" s="1"/>
  <c r="AD830" i="1" s="1"/>
  <c r="AE830" i="1" s="1"/>
  <c r="AF830" i="1" s="1"/>
  <c r="AG830" i="1" s="1"/>
  <c r="AH830" i="1" s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W832" i="1"/>
  <c r="X832" i="1"/>
  <c r="Y832" i="1"/>
  <c r="Z832" i="1"/>
  <c r="AA832" i="1"/>
  <c r="AB832" i="1"/>
  <c r="AC832" i="1"/>
  <c r="AD832" i="1"/>
  <c r="AE832" i="1"/>
  <c r="AF832" i="1" s="1"/>
  <c r="AG832" i="1" s="1"/>
  <c r="AH832" i="1" s="1"/>
  <c r="W833" i="1"/>
  <c r="X833" i="1"/>
  <c r="Y833" i="1" s="1"/>
  <c r="Z833" i="1" s="1"/>
  <c r="AA833" i="1" s="1"/>
  <c r="AB833" i="1" s="1"/>
  <c r="AC833" i="1" s="1"/>
  <c r="AD833" i="1" s="1"/>
  <c r="AE833" i="1" s="1"/>
  <c r="AF833" i="1" s="1"/>
  <c r="AG833" i="1" s="1"/>
  <c r="AH833" i="1" s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W836" i="1"/>
  <c r="X836" i="1"/>
  <c r="Y836" i="1" s="1"/>
  <c r="Z836" i="1" s="1"/>
  <c r="AA836" i="1" s="1"/>
  <c r="AB836" i="1" s="1"/>
  <c r="AC836" i="1" s="1"/>
  <c r="AD836" i="1" s="1"/>
  <c r="AE836" i="1" s="1"/>
  <c r="AF836" i="1" s="1"/>
  <c r="AG836" i="1" s="1"/>
  <c r="AH836" i="1" s="1"/>
  <c r="W837" i="1"/>
  <c r="X837" i="1"/>
  <c r="Y837" i="1" s="1"/>
  <c r="Z837" i="1"/>
  <c r="AA837" i="1" s="1"/>
  <c r="AB837" i="1" s="1"/>
  <c r="AC837" i="1" s="1"/>
  <c r="AD837" i="1" s="1"/>
  <c r="AE837" i="1" s="1"/>
  <c r="AF837" i="1"/>
  <c r="AG837" i="1" s="1"/>
  <c r="AH837" i="1" s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W839" i="1"/>
  <c r="X839" i="1"/>
  <c r="Y839" i="1"/>
  <c r="Z839" i="1"/>
  <c r="AA839" i="1" s="1"/>
  <c r="AB839" i="1" s="1"/>
  <c r="AC839" i="1" s="1"/>
  <c r="AD839" i="1" s="1"/>
  <c r="AE839" i="1" s="1"/>
  <c r="AF839" i="1"/>
  <c r="AG839" i="1" s="1"/>
  <c r="AH839" i="1" s="1"/>
  <c r="W840" i="1"/>
  <c r="X840" i="1"/>
  <c r="Y840" i="1"/>
  <c r="Z840" i="1"/>
  <c r="AA840" i="1"/>
  <c r="AB840" i="1"/>
  <c r="AC840" i="1" s="1"/>
  <c r="AD840" i="1"/>
  <c r="AE840" i="1" s="1"/>
  <c r="AF840" i="1" s="1"/>
  <c r="AG840" i="1" s="1"/>
  <c r="AH840" i="1" s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W843" i="1"/>
  <c r="X843" i="1"/>
  <c r="Y843" i="1" s="1"/>
  <c r="Z843" i="1"/>
  <c r="AA843" i="1" s="1"/>
  <c r="AB843" i="1" s="1"/>
  <c r="AC843" i="1" s="1"/>
  <c r="AD843" i="1" s="1"/>
  <c r="AE843" i="1" s="1"/>
  <c r="AF843" i="1" s="1"/>
  <c r="AG843" i="1" s="1"/>
  <c r="AH843" i="1" s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W849" i="1"/>
  <c r="X849" i="1"/>
  <c r="Y849" i="1"/>
  <c r="Z849" i="1"/>
  <c r="AA849" i="1"/>
  <c r="AB849" i="1" s="1"/>
  <c r="AC849" i="1" s="1"/>
  <c r="AD849" i="1" s="1"/>
  <c r="AE849" i="1" s="1"/>
  <c r="AF849" i="1" s="1"/>
  <c r="AG849" i="1" s="1"/>
  <c r="AH849" i="1" s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W851" i="1"/>
  <c r="X851" i="1"/>
  <c r="Y851" i="1"/>
  <c r="Z851" i="1"/>
  <c r="AA851" i="1" s="1"/>
  <c r="AB851" i="1" s="1"/>
  <c r="AC851" i="1" s="1"/>
  <c r="AD851" i="1" s="1"/>
  <c r="AE851" i="1" s="1"/>
  <c r="AF851" i="1" s="1"/>
  <c r="AG851" i="1" s="1"/>
  <c r="AH851" i="1" s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W853" i="1"/>
  <c r="X853" i="1"/>
  <c r="Y853" i="1"/>
  <c r="Z853" i="1"/>
  <c r="AA853" i="1"/>
  <c r="AB853" i="1"/>
  <c r="AC853" i="1"/>
  <c r="AD853" i="1"/>
  <c r="AE853" i="1"/>
  <c r="AF853" i="1"/>
  <c r="AG853" i="1" s="1"/>
  <c r="AH853" i="1" s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W855" i="1"/>
  <c r="X855" i="1"/>
  <c r="Y855" i="1" s="1"/>
  <c r="Z855" i="1"/>
  <c r="AA855" i="1" s="1"/>
  <c r="AB855" i="1" s="1"/>
  <c r="AC855" i="1" s="1"/>
  <c r="AD855" i="1" s="1"/>
  <c r="AE855" i="1" s="1"/>
  <c r="AF855" i="1" s="1"/>
  <c r="AG855" i="1" s="1"/>
  <c r="AH855" i="1" s="1"/>
  <c r="W856" i="1"/>
  <c r="X856" i="1"/>
  <c r="Y856" i="1"/>
  <c r="Z856" i="1"/>
  <c r="AA856" i="1"/>
  <c r="AB856" i="1"/>
  <c r="AC856" i="1"/>
  <c r="AD856" i="1"/>
  <c r="AE856" i="1"/>
  <c r="AF856" i="1" s="1"/>
  <c r="AG856" i="1" s="1"/>
  <c r="AH856" i="1" s="1"/>
  <c r="W857" i="1"/>
  <c r="X857" i="1"/>
  <c r="Y857" i="1" s="1"/>
  <c r="Z857" i="1" s="1"/>
  <c r="AA857" i="1" s="1"/>
  <c r="AB857" i="1" s="1"/>
  <c r="AC857" i="1" s="1"/>
  <c r="AD857" i="1" s="1"/>
  <c r="AE857" i="1" s="1"/>
  <c r="AF857" i="1" s="1"/>
  <c r="AG857" i="1" s="1"/>
  <c r="AH857" i="1" s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W859" i="1"/>
  <c r="X859" i="1"/>
  <c r="Y859" i="1"/>
  <c r="Z859" i="1"/>
  <c r="AA859" i="1"/>
  <c r="AB859" i="1"/>
  <c r="AC859" i="1"/>
  <c r="AD859" i="1"/>
  <c r="AE859" i="1"/>
  <c r="AF859" i="1"/>
  <c r="AG859" i="1" s="1"/>
  <c r="AH859" i="1" s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W862" i="1"/>
  <c r="X862" i="1"/>
  <c r="Y862" i="1"/>
  <c r="Z862" i="1"/>
  <c r="AA862" i="1"/>
  <c r="AB862" i="1"/>
  <c r="AC862" i="1"/>
  <c r="AD862" i="1"/>
  <c r="AE862" i="1" s="1"/>
  <c r="AF862" i="1" s="1"/>
  <c r="AG862" i="1" s="1"/>
  <c r="AH862" i="1" s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W867" i="1"/>
  <c r="X867" i="1"/>
  <c r="Y867" i="1" s="1"/>
  <c r="Z867" i="1"/>
  <c r="AA867" i="1" s="1"/>
  <c r="AB867" i="1" s="1"/>
  <c r="AC867" i="1" s="1"/>
  <c r="AD867" i="1" s="1"/>
  <c r="AE867" i="1" s="1"/>
  <c r="AF867" i="1"/>
  <c r="AG867" i="1" s="1"/>
  <c r="AH867" i="1" s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W870" i="1"/>
  <c r="X870" i="1" s="1"/>
  <c r="Y870" i="1" s="1"/>
  <c r="Z870" i="1" s="1"/>
  <c r="AA870" i="1" s="1"/>
  <c r="AB870" i="1" s="1"/>
  <c r="AC870" i="1" s="1"/>
  <c r="AD870" i="1" s="1"/>
  <c r="AE870" i="1" s="1"/>
  <c r="AF870" i="1" s="1"/>
  <c r="AG870" i="1" s="1"/>
  <c r="AH870" i="1" s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W879" i="1"/>
  <c r="X879" i="1"/>
  <c r="Y879" i="1"/>
  <c r="Z879" i="1"/>
  <c r="AA879" i="1"/>
  <c r="AB879" i="1"/>
  <c r="AC879" i="1"/>
  <c r="AD879" i="1"/>
  <c r="AE879" i="1"/>
  <c r="AF879" i="1"/>
  <c r="AG879" i="1" s="1"/>
  <c r="AH879" i="1" s="1"/>
  <c r="W880" i="1"/>
  <c r="X880" i="1"/>
  <c r="Y880" i="1"/>
  <c r="Z880" i="1"/>
  <c r="AA880" i="1"/>
  <c r="AB880" i="1"/>
  <c r="AC880" i="1" s="1"/>
  <c r="AD880" i="1" s="1"/>
  <c r="AE880" i="1" s="1"/>
  <c r="AF880" i="1" s="1"/>
  <c r="AG880" i="1" s="1"/>
  <c r="AH880" i="1" s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W883" i="1"/>
  <c r="X883" i="1"/>
  <c r="Y883" i="1"/>
  <c r="Z883" i="1"/>
  <c r="AA883" i="1"/>
  <c r="AB883" i="1"/>
  <c r="AC883" i="1"/>
  <c r="AD883" i="1"/>
  <c r="AE883" i="1"/>
  <c r="AF883" i="1"/>
  <c r="AG883" i="1" s="1"/>
  <c r="AH883" i="1" s="1"/>
  <c r="W884" i="1"/>
  <c r="X884" i="1"/>
  <c r="Y884" i="1"/>
  <c r="Z884" i="1"/>
  <c r="AA884" i="1"/>
  <c r="AB884" i="1"/>
  <c r="AC884" i="1" s="1"/>
  <c r="AD884" i="1"/>
  <c r="AE884" i="1" s="1"/>
  <c r="AF884" i="1" s="1"/>
  <c r="AG884" i="1" s="1"/>
  <c r="AH884" i="1" s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W886" i="1"/>
  <c r="X886" i="1"/>
  <c r="Y886" i="1"/>
  <c r="Z886" i="1"/>
  <c r="AA886" i="1"/>
  <c r="AB886" i="1"/>
  <c r="AC886" i="1" s="1"/>
  <c r="AD886" i="1" s="1"/>
  <c r="AE886" i="1" s="1"/>
  <c r="AF886" i="1" s="1"/>
  <c r="AG886" i="1" s="1"/>
  <c r="AH886" i="1" s="1"/>
  <c r="W887" i="1"/>
  <c r="X887" i="1"/>
  <c r="Y887" i="1"/>
  <c r="Z887" i="1"/>
  <c r="AA887" i="1"/>
  <c r="AB887" i="1"/>
  <c r="AC887" i="1"/>
  <c r="AD887" i="1"/>
  <c r="AE887" i="1"/>
  <c r="AF887" i="1"/>
  <c r="AG887" i="1" s="1"/>
  <c r="AH887" i="1" s="1"/>
  <c r="W888" i="1"/>
  <c r="X888" i="1"/>
  <c r="Y888" i="1"/>
  <c r="Z888" i="1"/>
  <c r="AA888" i="1"/>
  <c r="AB888" i="1"/>
  <c r="AC888" i="1"/>
  <c r="AD888" i="1"/>
  <c r="AE888" i="1" s="1"/>
  <c r="AF888" i="1" s="1"/>
  <c r="AG888" i="1" s="1"/>
  <c r="AH888" i="1" s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W890" i="1"/>
  <c r="X890" i="1"/>
  <c r="Y890" i="1"/>
  <c r="Z890" i="1"/>
  <c r="AA890" i="1"/>
  <c r="AB890" i="1"/>
  <c r="AC890" i="1"/>
  <c r="AD890" i="1"/>
  <c r="AE890" i="1"/>
  <c r="AF890" i="1" s="1"/>
  <c r="AG890" i="1" s="1"/>
  <c r="AH890" i="1" s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W892" i="1"/>
  <c r="X892" i="1"/>
  <c r="Y892" i="1" s="1"/>
  <c r="Z892" i="1" s="1"/>
  <c r="AA892" i="1" s="1"/>
  <c r="AB892" i="1"/>
  <c r="AC892" i="1" s="1"/>
  <c r="AD892" i="1"/>
  <c r="AE892" i="1" s="1"/>
  <c r="AF892" i="1" s="1"/>
  <c r="AG892" i="1" s="1"/>
  <c r="AH892" i="1" s="1"/>
  <c r="W893" i="1"/>
  <c r="X893" i="1"/>
  <c r="Y893" i="1" s="1"/>
  <c r="Z893" i="1" s="1"/>
  <c r="AA893" i="1" s="1"/>
  <c r="AB893" i="1" s="1"/>
  <c r="AC893" i="1" s="1"/>
  <c r="AD893" i="1" s="1"/>
  <c r="AE893" i="1" s="1"/>
  <c r="AF893" i="1" s="1"/>
  <c r="AG893" i="1" s="1"/>
  <c r="AH893" i="1" s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W897" i="1"/>
  <c r="X897" i="1"/>
  <c r="Y897" i="1"/>
  <c r="Z897" i="1"/>
  <c r="AA897" i="1"/>
  <c r="AB897" i="1"/>
  <c r="AC897" i="1" s="1"/>
  <c r="AD897" i="1" s="1"/>
  <c r="AE897" i="1" s="1"/>
  <c r="AF897" i="1" s="1"/>
  <c r="AG897" i="1" s="1"/>
  <c r="AH897" i="1" s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W900" i="1"/>
  <c r="X900" i="1"/>
  <c r="Y900" i="1"/>
  <c r="Z900" i="1"/>
  <c r="AA900" i="1"/>
  <c r="AB900" i="1"/>
  <c r="AC900" i="1" s="1"/>
  <c r="AD900" i="1" s="1"/>
  <c r="AE900" i="1" s="1"/>
  <c r="AF900" i="1" s="1"/>
  <c r="AG900" i="1" s="1"/>
  <c r="AH900" i="1" s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W903" i="1"/>
  <c r="X903" i="1"/>
  <c r="Y903" i="1" s="1"/>
  <c r="Z903" i="1" s="1"/>
  <c r="AA903" i="1" s="1"/>
  <c r="AB903" i="1" s="1"/>
  <c r="AC903" i="1" s="1"/>
  <c r="AD903" i="1" s="1"/>
  <c r="AE903" i="1" s="1"/>
  <c r="AF903" i="1" s="1"/>
  <c r="AG903" i="1" s="1"/>
  <c r="AH903" i="1" s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W906" i="1"/>
  <c r="X906" i="1"/>
  <c r="Y906" i="1"/>
  <c r="Z906" i="1"/>
  <c r="AA906" i="1"/>
  <c r="AB906" i="1"/>
  <c r="AC906" i="1"/>
  <c r="AD906" i="1"/>
  <c r="AE906" i="1" s="1"/>
  <c r="AF906" i="1" s="1"/>
  <c r="AG906" i="1" s="1"/>
  <c r="AH906" i="1" s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W911" i="1"/>
  <c r="X911" i="1"/>
  <c r="Y911" i="1" s="1"/>
  <c r="Z911" i="1" s="1"/>
  <c r="AA911" i="1" s="1"/>
  <c r="AB911" i="1" s="1"/>
  <c r="AC911" i="1" s="1"/>
  <c r="AD911" i="1" s="1"/>
  <c r="AE911" i="1" s="1"/>
  <c r="AF911" i="1" s="1"/>
  <c r="AG911" i="1" s="1"/>
  <c r="AH911" i="1" s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W914" i="1"/>
  <c r="X914" i="1"/>
  <c r="Y914" i="1"/>
  <c r="Z914" i="1"/>
  <c r="AA914" i="1"/>
  <c r="AB914" i="1"/>
  <c r="AC914" i="1" s="1"/>
  <c r="AD914" i="1" s="1"/>
  <c r="AE914" i="1" s="1"/>
  <c r="AF914" i="1" s="1"/>
  <c r="AG914" i="1" s="1"/>
  <c r="AH914" i="1" s="1"/>
  <c r="W915" i="1"/>
  <c r="X915" i="1"/>
  <c r="Y915" i="1"/>
  <c r="Z915" i="1"/>
  <c r="AA915" i="1" s="1"/>
  <c r="AB915" i="1" s="1"/>
  <c r="AC915" i="1" s="1"/>
  <c r="AD915" i="1" s="1"/>
  <c r="AE915" i="1" s="1"/>
  <c r="AF915" i="1" s="1"/>
  <c r="AG915" i="1" s="1"/>
  <c r="AH915" i="1" s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W918" i="1"/>
  <c r="X918" i="1" s="1"/>
  <c r="Y918" i="1" s="1"/>
  <c r="Z918" i="1" s="1"/>
  <c r="AA918" i="1" s="1"/>
  <c r="AB918" i="1" s="1"/>
  <c r="AC918" i="1" s="1"/>
  <c r="AD918" i="1" s="1"/>
  <c r="AE918" i="1" s="1"/>
  <c r="AF918" i="1" s="1"/>
  <c r="AG918" i="1" s="1"/>
  <c r="AH918" i="1" s="1"/>
  <c r="W919" i="1"/>
  <c r="X919" i="1"/>
  <c r="Y919" i="1" s="1"/>
  <c r="Z919" i="1"/>
  <c r="AA919" i="1" s="1"/>
  <c r="AB919" i="1" s="1"/>
  <c r="AC919" i="1" s="1"/>
  <c r="AD919" i="1" s="1"/>
  <c r="AE919" i="1" s="1"/>
  <c r="AF919" i="1" s="1"/>
  <c r="AG919" i="1" s="1"/>
  <c r="AH919" i="1" s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W925" i="1"/>
  <c r="X925" i="1"/>
  <c r="Y925" i="1"/>
  <c r="Z925" i="1"/>
  <c r="AA925" i="1" s="1"/>
  <c r="AB925" i="1" s="1"/>
  <c r="AC925" i="1" s="1"/>
  <c r="AD925" i="1" s="1"/>
  <c r="AE925" i="1" s="1"/>
  <c r="AF925" i="1"/>
  <c r="AG925" i="1" s="1"/>
  <c r="AH925" i="1" s="1"/>
  <c r="W926" i="1"/>
  <c r="X926" i="1"/>
  <c r="Y926" i="1" s="1"/>
  <c r="Z926" i="1" s="1"/>
  <c r="AA926" i="1" s="1"/>
  <c r="AB926" i="1" s="1"/>
  <c r="AC926" i="1" s="1"/>
  <c r="AD926" i="1" s="1"/>
  <c r="AE926" i="1" s="1"/>
  <c r="AF926" i="1" s="1"/>
  <c r="AG926" i="1" s="1"/>
  <c r="AH926" i="1" s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W929" i="1"/>
  <c r="X929" i="1"/>
  <c r="Y929" i="1" s="1"/>
  <c r="Z929" i="1"/>
  <c r="AA929" i="1" s="1"/>
  <c r="AB929" i="1" s="1"/>
  <c r="AC929" i="1" s="1"/>
  <c r="AD929" i="1" s="1"/>
  <c r="AE929" i="1" s="1"/>
  <c r="AF929" i="1" s="1"/>
  <c r="AG929" i="1" s="1"/>
  <c r="AH929" i="1" s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W931" i="1"/>
  <c r="X931" i="1"/>
  <c r="Y931" i="1"/>
  <c r="Z931" i="1"/>
  <c r="AA931" i="1" s="1"/>
  <c r="AB931" i="1" s="1"/>
  <c r="AC931" i="1" s="1"/>
  <c r="AD931" i="1" s="1"/>
  <c r="AE931" i="1" s="1"/>
  <c r="AF931" i="1" s="1"/>
  <c r="AG931" i="1" s="1"/>
  <c r="AH931" i="1" s="1"/>
  <c r="W932" i="1"/>
  <c r="X932" i="1" s="1"/>
  <c r="Y932" i="1" s="1"/>
  <c r="Z932" i="1" s="1"/>
  <c r="AA932" i="1" s="1"/>
  <c r="AB932" i="1" s="1"/>
  <c r="AC932" i="1" s="1"/>
  <c r="AD932" i="1" s="1"/>
  <c r="AE932" i="1" s="1"/>
  <c r="AF932" i="1" s="1"/>
  <c r="AG932" i="1" s="1"/>
  <c r="AH932" i="1" s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W934" i="1"/>
  <c r="X934" i="1"/>
  <c r="Y934" i="1"/>
  <c r="Z934" i="1"/>
  <c r="AA934" i="1"/>
  <c r="AB934" i="1"/>
  <c r="AC934" i="1"/>
  <c r="AD934" i="1"/>
  <c r="AE934" i="1"/>
  <c r="AF934" i="1" s="1"/>
  <c r="AG934" i="1" s="1"/>
  <c r="AH934" i="1" s="1"/>
  <c r="W935" i="1"/>
  <c r="X935" i="1"/>
  <c r="Y935" i="1"/>
  <c r="Z935" i="1"/>
  <c r="AA935" i="1"/>
  <c r="AB935" i="1"/>
  <c r="AC935" i="1"/>
  <c r="AD935" i="1"/>
  <c r="AE935" i="1"/>
  <c r="AF935" i="1"/>
  <c r="AG935" i="1" s="1"/>
  <c r="AH935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W940" i="1"/>
  <c r="X940" i="1"/>
  <c r="Y940" i="1"/>
  <c r="Z940" i="1"/>
  <c r="AA940" i="1"/>
  <c r="AB940" i="1"/>
  <c r="AC940" i="1"/>
  <c r="AD940" i="1"/>
  <c r="AE940" i="1"/>
  <c r="AF940" i="1"/>
  <c r="AG940" i="1" s="1"/>
  <c r="AH940" i="1" s="1"/>
  <c r="W941" i="1"/>
  <c r="X941" i="1"/>
  <c r="Y941" i="1" s="1"/>
  <c r="Z941" i="1" s="1"/>
  <c r="AA941" i="1" s="1"/>
  <c r="AB941" i="1" s="1"/>
  <c r="AC941" i="1" s="1"/>
  <c r="AD941" i="1" s="1"/>
  <c r="AE941" i="1" s="1"/>
  <c r="AF941" i="1" s="1"/>
  <c r="AG941" i="1" s="1"/>
  <c r="AH941" i="1" s="1"/>
  <c r="W942" i="1"/>
  <c r="X942" i="1"/>
  <c r="Y942" i="1"/>
  <c r="Z942" i="1"/>
  <c r="AA942" i="1"/>
  <c r="AB942" i="1"/>
  <c r="AC942" i="1"/>
  <c r="AD942" i="1"/>
  <c r="AE942" i="1" s="1"/>
  <c r="AF942" i="1" s="1"/>
  <c r="AG942" i="1" s="1"/>
  <c r="AH942" i="1" s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W944" i="1"/>
  <c r="X944" i="1" s="1"/>
  <c r="Y944" i="1" s="1"/>
  <c r="Z944" i="1" s="1"/>
  <c r="AA944" i="1" s="1"/>
  <c r="AB944" i="1" s="1"/>
  <c r="AC944" i="1" s="1"/>
  <c r="AD944" i="1" s="1"/>
  <c r="AE944" i="1" s="1"/>
  <c r="AF944" i="1" s="1"/>
  <c r="AG944" i="1" s="1"/>
  <c r="AH944" i="1" s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W947" i="1"/>
  <c r="X947" i="1"/>
  <c r="Y947" i="1"/>
  <c r="Z947" i="1"/>
  <c r="AA947" i="1"/>
  <c r="AB947" i="1"/>
  <c r="AC947" i="1"/>
  <c r="AD947" i="1"/>
  <c r="AE947" i="1"/>
  <c r="AF947" i="1"/>
  <c r="AG947" i="1" s="1"/>
  <c r="AH947" i="1" s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W952" i="1"/>
  <c r="X952" i="1"/>
  <c r="Y952" i="1"/>
  <c r="Z952" i="1"/>
  <c r="AA952" i="1"/>
  <c r="AB952" i="1"/>
  <c r="AC952" i="1"/>
  <c r="AD952" i="1"/>
  <c r="AE952" i="1" s="1"/>
  <c r="AF952" i="1" s="1"/>
  <c r="AG952" i="1" s="1"/>
  <c r="AH952" i="1" s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W957" i="1"/>
  <c r="X957" i="1"/>
  <c r="Y957" i="1"/>
  <c r="Z957" i="1"/>
  <c r="AA957" i="1"/>
  <c r="AB957" i="1"/>
  <c r="AC957" i="1"/>
  <c r="AD957" i="1"/>
  <c r="AE957" i="1"/>
  <c r="AF957" i="1"/>
  <c r="AG957" i="1" s="1"/>
  <c r="AH957" i="1" s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W961" i="1"/>
  <c r="X961" i="1"/>
  <c r="Y961" i="1" s="1"/>
  <c r="Z961" i="1"/>
  <c r="AA961" i="1" s="1"/>
  <c r="AB961" i="1" s="1"/>
  <c r="AC961" i="1" s="1"/>
  <c r="AD961" i="1" s="1"/>
  <c r="AE961" i="1" s="1"/>
  <c r="AF961" i="1" s="1"/>
  <c r="AG961" i="1" s="1"/>
  <c r="AH961" i="1" s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W966" i="1"/>
  <c r="X966" i="1"/>
  <c r="Y966" i="1"/>
  <c r="Z966" i="1"/>
  <c r="AA966" i="1"/>
  <c r="AB966" i="1"/>
  <c r="AC966" i="1" s="1"/>
  <c r="AD966" i="1" s="1"/>
  <c r="AE966" i="1" s="1"/>
  <c r="AF966" i="1" s="1"/>
  <c r="AG966" i="1" s="1"/>
  <c r="AH966" i="1" s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W970" i="1"/>
  <c r="X970" i="1"/>
  <c r="Y970" i="1"/>
  <c r="Z970" i="1"/>
  <c r="AA970" i="1"/>
  <c r="AB970" i="1"/>
  <c r="AC970" i="1" s="1"/>
  <c r="AD970" i="1" s="1"/>
  <c r="AE970" i="1" s="1"/>
  <c r="AF970" i="1" s="1"/>
  <c r="AG970" i="1" s="1"/>
  <c r="AH970" i="1" s="1"/>
  <c r="W971" i="1"/>
  <c r="X971" i="1"/>
  <c r="Y971" i="1"/>
  <c r="Z971" i="1"/>
  <c r="AA971" i="1" s="1"/>
  <c r="AB971" i="1" s="1"/>
  <c r="AC971" i="1" s="1"/>
  <c r="AD971" i="1" s="1"/>
  <c r="AE971" i="1" s="1"/>
  <c r="AF971" i="1" s="1"/>
  <c r="AG971" i="1" s="1"/>
  <c r="AH971" i="1" s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W973" i="1"/>
  <c r="X973" i="1"/>
  <c r="Y973" i="1" s="1"/>
  <c r="Z973" i="1" s="1"/>
  <c r="AA973" i="1" s="1"/>
  <c r="AB973" i="1" s="1"/>
  <c r="AC973" i="1" s="1"/>
  <c r="AD973" i="1" s="1"/>
  <c r="AE973" i="1" s="1"/>
  <c r="AF973" i="1" s="1"/>
  <c r="AG973" i="1" s="1"/>
  <c r="AH973" i="1" s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W976" i="1"/>
  <c r="X976" i="1"/>
  <c r="Y976" i="1"/>
  <c r="Z976" i="1"/>
  <c r="AA976" i="1"/>
  <c r="AB976" i="1"/>
  <c r="AC976" i="1" s="1"/>
  <c r="AD976" i="1" s="1"/>
  <c r="AE976" i="1" s="1"/>
  <c r="AF976" i="1" s="1"/>
  <c r="AG976" i="1" s="1"/>
  <c r="AH976" i="1" s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W979" i="1"/>
  <c r="X979" i="1"/>
  <c r="Y979" i="1"/>
  <c r="Z979" i="1"/>
  <c r="AA979" i="1"/>
  <c r="AB979" i="1"/>
  <c r="AC979" i="1"/>
  <c r="AD979" i="1"/>
  <c r="AE979" i="1"/>
  <c r="AF979" i="1"/>
  <c r="AG979" i="1" s="1"/>
  <c r="AH979" i="1"/>
  <c r="W980" i="1"/>
  <c r="X980" i="1"/>
  <c r="Y980" i="1"/>
  <c r="Z980" i="1"/>
  <c r="AA980" i="1"/>
  <c r="AB980" i="1"/>
  <c r="AC980" i="1" s="1"/>
  <c r="AD980" i="1" s="1"/>
  <c r="AE980" i="1" s="1"/>
  <c r="AF980" i="1" s="1"/>
  <c r="AG980" i="1" s="1"/>
  <c r="AH980" i="1" s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W982" i="1"/>
  <c r="X982" i="1" s="1"/>
  <c r="Y982" i="1" s="1"/>
  <c r="Z982" i="1" s="1"/>
  <c r="AA982" i="1" s="1"/>
  <c r="AB982" i="1" s="1"/>
  <c r="AC982" i="1" s="1"/>
  <c r="AD982" i="1" s="1"/>
  <c r="AE982" i="1" s="1"/>
  <c r="AF982" i="1" s="1"/>
  <c r="AG982" i="1" s="1"/>
  <c r="AH982" i="1" s="1"/>
  <c r="W983" i="1"/>
  <c r="X983" i="1"/>
  <c r="Y983" i="1"/>
  <c r="Z983" i="1"/>
  <c r="AA983" i="1"/>
  <c r="AB983" i="1"/>
  <c r="AC983" i="1"/>
  <c r="AD983" i="1"/>
  <c r="AE983" i="1"/>
  <c r="AF983" i="1"/>
  <c r="AG983" i="1" s="1"/>
  <c r="AH983" i="1"/>
  <c r="W984" i="1"/>
  <c r="X984" i="1"/>
  <c r="Y984" i="1"/>
  <c r="Z984" i="1"/>
  <c r="AA984" i="1"/>
  <c r="AB984" i="1"/>
  <c r="AC984" i="1" s="1"/>
  <c r="AD984" i="1"/>
  <c r="AE984" i="1" s="1"/>
  <c r="AF984" i="1" s="1"/>
  <c r="AG984" i="1" s="1"/>
  <c r="AH984" i="1" s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W990" i="1"/>
  <c r="X990" i="1"/>
  <c r="Y990" i="1"/>
  <c r="Z990" i="1"/>
  <c r="AA990" i="1"/>
  <c r="AB990" i="1"/>
  <c r="AC990" i="1" s="1"/>
  <c r="AD990" i="1"/>
  <c r="AE990" i="1" s="1"/>
  <c r="AF990" i="1" s="1"/>
  <c r="AG990" i="1" s="1"/>
  <c r="AH990" i="1" s="1"/>
  <c r="W991" i="1"/>
  <c r="X991" i="1"/>
  <c r="Y991" i="1"/>
  <c r="Z991" i="1"/>
  <c r="AA991" i="1"/>
  <c r="AB991" i="1"/>
  <c r="AC991" i="1"/>
  <c r="AD991" i="1"/>
  <c r="AE991" i="1"/>
  <c r="AF991" i="1"/>
  <c r="AG991" i="1" s="1"/>
  <c r="AH991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W993" i="1"/>
  <c r="X993" i="1"/>
  <c r="Y993" i="1" s="1"/>
  <c r="Z993" i="1" s="1"/>
  <c r="AA993" i="1" s="1"/>
  <c r="AB993" i="1" s="1"/>
  <c r="AC993" i="1" s="1"/>
  <c r="AD993" i="1" s="1"/>
  <c r="AE993" i="1" s="1"/>
  <c r="AF993" i="1" s="1"/>
  <c r="AG993" i="1" s="1"/>
  <c r="AH993" i="1" s="1"/>
  <c r="W994" i="1"/>
  <c r="X994" i="1" s="1"/>
  <c r="Y994" i="1" s="1"/>
  <c r="Z994" i="1" s="1"/>
  <c r="AA994" i="1" s="1"/>
  <c r="AB994" i="1" s="1"/>
  <c r="AC994" i="1" s="1"/>
  <c r="AD994" i="1" s="1"/>
  <c r="AE994" i="1" s="1"/>
  <c r="AF994" i="1" s="1"/>
  <c r="AG994" i="1" s="1"/>
  <c r="AH994" i="1" s="1"/>
  <c r="W995" i="1"/>
  <c r="X995" i="1"/>
  <c r="Y995" i="1"/>
  <c r="Z995" i="1"/>
  <c r="AA995" i="1"/>
  <c r="AB995" i="1"/>
  <c r="AC995" i="1"/>
  <c r="AD995" i="1"/>
  <c r="AE995" i="1"/>
  <c r="AF995" i="1"/>
  <c r="AG995" i="1" s="1"/>
  <c r="AH995" i="1" s="1"/>
  <c r="W996" i="1"/>
  <c r="X996" i="1"/>
  <c r="Y996" i="1"/>
  <c r="Z996" i="1"/>
  <c r="AA996" i="1"/>
  <c r="AB996" i="1"/>
  <c r="AC996" i="1"/>
  <c r="AD996" i="1"/>
  <c r="AE996" i="1" s="1"/>
  <c r="AF996" i="1" s="1"/>
  <c r="AG996" i="1" s="1"/>
  <c r="AH996" i="1" s="1"/>
  <c r="W997" i="1"/>
  <c r="X997" i="1"/>
  <c r="Y997" i="1"/>
  <c r="Z997" i="1"/>
  <c r="AA997" i="1" s="1"/>
  <c r="AB997" i="1" s="1"/>
  <c r="AC997" i="1" s="1"/>
  <c r="AD997" i="1" s="1"/>
  <c r="AE997" i="1" s="1"/>
  <c r="AF997" i="1" s="1"/>
  <c r="AG997" i="1" s="1"/>
  <c r="AH997" i="1" s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W999" i="1"/>
  <c r="X999" i="1"/>
  <c r="Y999" i="1"/>
  <c r="Z999" i="1"/>
  <c r="AA999" i="1"/>
  <c r="AB999" i="1"/>
  <c r="AC999" i="1" s="1"/>
  <c r="AD999" i="1" s="1"/>
  <c r="AE999" i="1" s="1"/>
  <c r="AF999" i="1"/>
  <c r="AG999" i="1" s="1"/>
  <c r="AH999" i="1" s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W1001" i="1"/>
  <c r="X1001" i="1"/>
  <c r="Y1001" i="1"/>
  <c r="Z1001" i="1"/>
  <c r="AA1001" i="1" s="1"/>
  <c r="AB1001" i="1" s="1"/>
  <c r="AC1001" i="1" s="1"/>
  <c r="AD1001" i="1" s="1"/>
  <c r="AE1001" i="1"/>
  <c r="AF1001" i="1"/>
  <c r="AG1001" i="1" s="1"/>
  <c r="AH1001" i="1" s="1"/>
  <c r="W1002" i="1"/>
  <c r="X1002" i="1" s="1"/>
  <c r="Y1002" i="1" s="1"/>
  <c r="Z1002" i="1" s="1"/>
  <c r="AA1002" i="1" s="1"/>
  <c r="AB1002" i="1" s="1"/>
  <c r="AC1002" i="1" s="1"/>
  <c r="AD1002" i="1" s="1"/>
  <c r="AE1002" i="1" s="1"/>
  <c r="AF1002" i="1" s="1"/>
  <c r="AG1002" i="1" s="1"/>
  <c r="AH1002" i="1" s="1"/>
  <c r="W1003" i="1"/>
  <c r="X1003" i="1"/>
  <c r="Y1003" i="1"/>
  <c r="Z1003" i="1"/>
  <c r="AA1003" i="1"/>
  <c r="AB1003" i="1"/>
  <c r="AC1003" i="1" s="1"/>
  <c r="AD1003" i="1" s="1"/>
  <c r="AE1003" i="1" s="1"/>
  <c r="AF1003" i="1" s="1"/>
  <c r="AG1003" i="1" s="1"/>
  <c r="AH1003" i="1" s="1"/>
  <c r="W1004" i="1"/>
  <c r="X1004" i="1"/>
  <c r="Y1004" i="1" s="1"/>
  <c r="Z1004" i="1" s="1"/>
  <c r="AA1004" i="1" s="1"/>
  <c r="AB1004" i="1" s="1"/>
  <c r="AC1004" i="1" s="1"/>
  <c r="AD1004" i="1" s="1"/>
  <c r="AE1004" i="1" s="1"/>
  <c r="AF1004" i="1" s="1"/>
  <c r="AG1004" i="1" s="1"/>
  <c r="AH1004" i="1" s="1"/>
  <c r="W1005" i="1"/>
  <c r="X1005" i="1"/>
  <c r="Y1005" i="1"/>
  <c r="Z1005" i="1"/>
  <c r="AA1005" i="1"/>
  <c r="AB1005" i="1"/>
  <c r="AC1005" i="1" s="1"/>
  <c r="AD1005" i="1" s="1"/>
  <c r="AE1005" i="1"/>
  <c r="AF1005" i="1" s="1"/>
  <c r="AG1005" i="1" s="1"/>
  <c r="AH1005" i="1" s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W1008" i="1"/>
  <c r="X1008" i="1"/>
  <c r="Y1008" i="1"/>
  <c r="Z1008" i="1"/>
  <c r="AA1008" i="1"/>
  <c r="AB1008" i="1"/>
  <c r="AC1008" i="1" s="1"/>
  <c r="AD1008" i="1" s="1"/>
  <c r="AE1008" i="1" s="1"/>
  <c r="AF1008" i="1" s="1"/>
  <c r="AG1008" i="1" s="1"/>
  <c r="AH1008" i="1" s="1"/>
  <c r="W1009" i="1"/>
  <c r="X1009" i="1"/>
  <c r="Y1009" i="1" s="1"/>
  <c r="Z1009" i="1" s="1"/>
  <c r="AA1009" i="1" s="1"/>
  <c r="AB1009" i="1" s="1"/>
  <c r="AC1009" i="1" s="1"/>
  <c r="AD1009" i="1" s="1"/>
  <c r="AE1009" i="1"/>
  <c r="AF1009" i="1" s="1"/>
  <c r="AG1009" i="1" s="1"/>
  <c r="AH1009" i="1" s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W1013" i="1"/>
  <c r="X1013" i="1"/>
  <c r="Y1013" i="1" s="1"/>
  <c r="Z1013" i="1"/>
  <c r="AA1013" i="1" s="1"/>
  <c r="AB1013" i="1" s="1"/>
  <c r="AC1013" i="1" s="1"/>
  <c r="AD1013" i="1" s="1"/>
  <c r="AE1013" i="1" s="1"/>
  <c r="AF1013" i="1" s="1"/>
  <c r="AG1013" i="1" s="1"/>
  <c r="AH1013" i="1" s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W1015" i="1"/>
  <c r="X1015" i="1"/>
  <c r="Y1015" i="1"/>
  <c r="Z1015" i="1"/>
  <c r="AA1015" i="1"/>
  <c r="AB1015" i="1"/>
  <c r="AC1015" i="1"/>
  <c r="AD1015" i="1"/>
  <c r="AE1015" i="1"/>
  <c r="AF1015" i="1" s="1"/>
  <c r="AG1015" i="1" s="1"/>
  <c r="AH1015" i="1" s="1"/>
  <c r="W1016" i="1"/>
  <c r="X1016" i="1" s="1"/>
  <c r="Y1016" i="1" s="1"/>
  <c r="Z1016" i="1" s="1"/>
  <c r="AA1016" i="1"/>
  <c r="AB1016" i="1" s="1"/>
  <c r="AC1016" i="1"/>
  <c r="AD1016" i="1" s="1"/>
  <c r="AE1016" i="1" s="1"/>
  <c r="AF1016" i="1" s="1"/>
  <c r="AG1016" i="1" s="1"/>
  <c r="AH1016" i="1" s="1"/>
  <c r="W1017" i="1"/>
  <c r="X1017" i="1"/>
  <c r="Y1017" i="1" s="1"/>
  <c r="Z1017" i="1" s="1"/>
  <c r="AA1017" i="1" s="1"/>
  <c r="AB1017" i="1" s="1"/>
  <c r="AC1017" i="1" s="1"/>
  <c r="AD1017" i="1" s="1"/>
  <c r="AE1017" i="1" s="1"/>
  <c r="AF1017" i="1" s="1"/>
  <c r="AG1017" i="1" s="1"/>
  <c r="AH1017" i="1" s="1"/>
  <c r="W1018" i="1"/>
  <c r="X1018" i="1"/>
  <c r="Y1018" i="1" s="1"/>
  <c r="Z1018" i="1" s="1"/>
  <c r="AA1018" i="1" s="1"/>
  <c r="AB1018" i="1" s="1"/>
  <c r="AC1018" i="1" s="1"/>
  <c r="AD1018" i="1" s="1"/>
  <c r="AE1018" i="1" s="1"/>
  <c r="AF1018" i="1" s="1"/>
  <c r="AG1018" i="1" s="1"/>
  <c r="AH1018" i="1" s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W1020" i="1"/>
  <c r="X1020" i="1" s="1"/>
  <c r="Y1020" i="1" s="1"/>
  <c r="Z1020" i="1" s="1"/>
  <c r="AA1020" i="1" s="1"/>
  <c r="AB1020" i="1" s="1"/>
  <c r="AC1020" i="1" s="1"/>
  <c r="AD1020" i="1"/>
  <c r="AE1020" i="1" s="1"/>
  <c r="AF1020" i="1" s="1"/>
  <c r="AG1020" i="1" s="1"/>
  <c r="AH1020" i="1" s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W1026" i="1"/>
  <c r="X1026" i="1" s="1"/>
  <c r="Y1026" i="1" s="1"/>
  <c r="Z1026" i="1"/>
  <c r="AA1026" i="1" s="1"/>
  <c r="AB1026" i="1" s="1"/>
  <c r="AC1026" i="1" s="1"/>
  <c r="AD1026" i="1" s="1"/>
  <c r="AE1026" i="1" s="1"/>
  <c r="AF1026" i="1" s="1"/>
  <c r="AG1026" i="1" s="1"/>
  <c r="AH1026" i="1" s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W1030" i="1"/>
  <c r="X1030" i="1" s="1"/>
  <c r="Y1030" i="1" s="1"/>
  <c r="Z1030" i="1" s="1"/>
  <c r="AA1030" i="1" s="1"/>
  <c r="AB1030" i="1" s="1"/>
  <c r="AC1030" i="1" s="1"/>
  <c r="AD1030" i="1" s="1"/>
  <c r="AE1030" i="1" s="1"/>
  <c r="AF1030" i="1" s="1"/>
  <c r="AG1030" i="1" s="1"/>
  <c r="AH1030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 s="1"/>
  <c r="W1032" i="1"/>
  <c r="X1032" i="1"/>
  <c r="Y1032" i="1"/>
  <c r="Z1032" i="1"/>
  <c r="AA1032" i="1"/>
  <c r="AB1032" i="1"/>
  <c r="AC1032" i="1"/>
  <c r="AD1032" i="1"/>
  <c r="AE1032" i="1" s="1"/>
  <c r="AF1032" i="1" s="1"/>
  <c r="AG1032" i="1" s="1"/>
  <c r="AH1032" i="1" s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W1035" i="1"/>
  <c r="X1035" i="1"/>
  <c r="Y1035" i="1" s="1"/>
  <c r="W1036" i="1"/>
  <c r="X1036" i="1"/>
  <c r="Y1036" i="1" s="1"/>
  <c r="Z1036" i="1"/>
  <c r="AA1036" i="1" s="1"/>
  <c r="AB1036" i="1" s="1"/>
  <c r="AC1036" i="1" s="1"/>
  <c r="AD1036" i="1" s="1"/>
  <c r="AE1036" i="1" s="1"/>
  <c r="AF1036" i="1" s="1"/>
  <c r="AG1036" i="1" s="1"/>
  <c r="AH1036" i="1" s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W1038" i="1"/>
  <c r="X1038" i="1"/>
  <c r="Y1038" i="1"/>
  <c r="Z1038" i="1"/>
  <c r="AA1038" i="1"/>
  <c r="AB1038" i="1"/>
  <c r="AC1038" i="1"/>
  <c r="AD1038" i="1"/>
  <c r="AE1038" i="1"/>
  <c r="AF1038" i="1" s="1"/>
  <c r="AG1038" i="1" s="1"/>
  <c r="AH1038" i="1" s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W1042" i="1"/>
  <c r="X1042" i="1"/>
  <c r="Y1042" i="1"/>
  <c r="Z1042" i="1"/>
  <c r="AA1042" i="1"/>
  <c r="AB1042" i="1"/>
  <c r="AC1042" i="1"/>
  <c r="AD1042" i="1"/>
  <c r="AE1042" i="1" s="1"/>
  <c r="AF1042" i="1" s="1"/>
  <c r="AG1042" i="1" s="1"/>
  <c r="AH1042" i="1" s="1"/>
  <c r="W1043" i="1"/>
  <c r="X1043" i="1"/>
  <c r="Y1043" i="1"/>
  <c r="Z1043" i="1"/>
  <c r="AA1043" i="1" s="1"/>
  <c r="AB1043" i="1" s="1"/>
  <c r="AC1043" i="1" s="1"/>
  <c r="AD1043" i="1" s="1"/>
  <c r="AE1043" i="1" s="1"/>
  <c r="AF1043" i="1" s="1"/>
  <c r="AG1043" i="1" s="1"/>
  <c r="AH1043" i="1" s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W1046" i="1"/>
  <c r="X1046" i="1" s="1"/>
  <c r="Y1046" i="1" s="1"/>
  <c r="Z1046" i="1" s="1"/>
  <c r="AA1046" i="1" s="1"/>
  <c r="AB1046" i="1" s="1"/>
  <c r="AC1046" i="1" s="1"/>
  <c r="AD1046" i="1" s="1"/>
  <c r="AE1046" i="1" s="1"/>
  <c r="AF1046" i="1" s="1"/>
  <c r="AG1046" i="1" s="1"/>
  <c r="AH1046" i="1" s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W1049" i="1"/>
  <c r="X1049" i="1"/>
  <c r="Y1049" i="1"/>
  <c r="Z1049" i="1"/>
  <c r="AA1049" i="1"/>
  <c r="AB1049" i="1"/>
  <c r="AC1049" i="1"/>
  <c r="AD1049" i="1"/>
  <c r="AE1049" i="1"/>
  <c r="AF1049" i="1"/>
  <c r="AG1049" i="1" s="1"/>
  <c r="AH1049" i="1" s="1"/>
  <c r="W1050" i="1"/>
  <c r="X1050" i="1" s="1"/>
  <c r="Y1050" i="1" s="1"/>
  <c r="Z1050" i="1" s="1"/>
  <c r="AA1050" i="1" s="1"/>
  <c r="AB1050" i="1" s="1"/>
  <c r="AC1050" i="1"/>
  <c r="AD1050" i="1"/>
  <c r="AE1050" i="1" s="1"/>
  <c r="AF1050" i="1" s="1"/>
  <c r="AG1050" i="1" s="1"/>
  <c r="AH1050" i="1" s="1"/>
  <c r="W1051" i="1"/>
  <c r="X1051" i="1" s="1"/>
  <c r="Y1051" i="1" s="1"/>
  <c r="Z1051" i="1" s="1"/>
  <c r="AA1051" i="1"/>
  <c r="AB1051" i="1" s="1"/>
  <c r="AC1051" i="1" s="1"/>
  <c r="AD1051" i="1" s="1"/>
  <c r="AE1051" i="1" s="1"/>
  <c r="AF1051" i="1" s="1"/>
  <c r="AG1051" i="1" s="1"/>
  <c r="AH1051" i="1" s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W1054" i="1"/>
  <c r="X1054" i="1" s="1"/>
  <c r="Y1054" i="1" s="1"/>
  <c r="Z1054" i="1" s="1"/>
  <c r="AA1054" i="1"/>
  <c r="AB1054" i="1" s="1"/>
  <c r="AC1054" i="1" s="1"/>
  <c r="AD1054" i="1" s="1"/>
  <c r="AE1054" i="1" s="1"/>
  <c r="AF1054" i="1" s="1"/>
  <c r="AG1054" i="1" s="1"/>
  <c r="AH1054" i="1" s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W1057" i="1"/>
  <c r="X1057" i="1"/>
  <c r="Y1057" i="1"/>
  <c r="Z1057" i="1"/>
  <c r="AA1057" i="1"/>
  <c r="AB1057" i="1"/>
  <c r="AC1057" i="1"/>
  <c r="AD1057" i="1"/>
  <c r="AE1057" i="1"/>
  <c r="AF1057" i="1" s="1"/>
  <c r="AG1057" i="1"/>
  <c r="AH1057" i="1" s="1"/>
  <c r="W1058" i="1"/>
  <c r="X1058" i="1" s="1"/>
  <c r="Y1058" i="1" s="1"/>
  <c r="Z1058" i="1"/>
  <c r="AA1058" i="1" s="1"/>
  <c r="AB1058" i="1" s="1"/>
  <c r="AC1058" i="1" s="1"/>
  <c r="AD1058" i="1" s="1"/>
  <c r="AE1058" i="1"/>
  <c r="AF1058" i="1" s="1"/>
  <c r="AG1058" i="1" s="1"/>
  <c r="AH1058" i="1"/>
  <c r="W1059" i="1"/>
  <c r="X1059" i="1"/>
  <c r="Y1059" i="1"/>
  <c r="Z1059" i="1" s="1"/>
  <c r="AA1059" i="1" s="1"/>
  <c r="AB1059" i="1" s="1"/>
  <c r="AC1059" i="1" s="1"/>
  <c r="AD1059" i="1" s="1"/>
  <c r="AE1059" i="1" s="1"/>
  <c r="AF1059" i="1" s="1"/>
  <c r="AG1059" i="1" s="1"/>
  <c r="AH1059" i="1" s="1"/>
  <c r="W1060" i="1"/>
  <c r="X1060" i="1"/>
  <c r="Y1060" i="1"/>
  <c r="Z1060" i="1"/>
  <c r="AA1060" i="1"/>
  <c r="AB1060" i="1"/>
  <c r="AC1060" i="1"/>
  <c r="AD1060" i="1"/>
  <c r="AE1060" i="1"/>
  <c r="AF1060" i="1"/>
  <c r="AG1060" i="1" s="1"/>
  <c r="AH1060" i="1"/>
  <c r="W1061" i="1"/>
  <c r="X1061" i="1"/>
  <c r="Y1061" i="1"/>
  <c r="Z1061" i="1"/>
  <c r="AA1061" i="1"/>
  <c r="AB1061" i="1" s="1"/>
  <c r="AC1061" i="1" s="1"/>
  <c r="AD1061" i="1" s="1"/>
  <c r="AE1061" i="1" s="1"/>
  <c r="AF1061" i="1" s="1"/>
  <c r="AG1061" i="1" s="1"/>
  <c r="AH1061" i="1" s="1"/>
  <c r="W1062" i="1"/>
  <c r="X1062" i="1"/>
  <c r="Y1062" i="1"/>
  <c r="Z1062" i="1"/>
  <c r="AA1062" i="1"/>
  <c r="AB1062" i="1"/>
  <c r="AC1062" i="1"/>
  <c r="AD1062" i="1"/>
  <c r="AE1062" i="1"/>
  <c r="AF1062" i="1" s="1"/>
  <c r="AG1062" i="1" s="1"/>
  <c r="AH1062" i="1" s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W1064" i="1"/>
  <c r="X1064" i="1"/>
  <c r="Y1064" i="1"/>
  <c r="Z1064" i="1"/>
  <c r="AA1064" i="1"/>
  <c r="AB1064" i="1"/>
  <c r="AC1064" i="1" s="1"/>
  <c r="AD1064" i="1" s="1"/>
  <c r="AE1064" i="1" s="1"/>
  <c r="AF1064" i="1" s="1"/>
  <c r="AG1064" i="1" s="1"/>
  <c r="AH1064" i="1"/>
  <c r="W1065" i="1"/>
  <c r="X1065" i="1" s="1"/>
  <c r="Y1065" i="1" s="1"/>
  <c r="Z1065" i="1" s="1"/>
  <c r="AA1065" i="1" s="1"/>
  <c r="AB1065" i="1" s="1"/>
  <c r="AC1065" i="1" s="1"/>
  <c r="AD1065" i="1" s="1"/>
  <c r="AE1065" i="1" s="1"/>
  <c r="AF1065" i="1" s="1"/>
  <c r="AG1065" i="1" s="1"/>
  <c r="AH1065" i="1" s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W1067" i="1"/>
  <c r="X1067" i="1"/>
  <c r="Y1067" i="1"/>
  <c r="Z1067" i="1"/>
  <c r="AA1067" i="1"/>
  <c r="AB1067" i="1"/>
  <c r="AC1067" i="1"/>
  <c r="AD1067" i="1"/>
  <c r="AE1067" i="1"/>
  <c r="AF1067" i="1"/>
  <c r="AG1067" i="1" s="1"/>
  <c r="AH1067" i="1" s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W1073" i="1"/>
  <c r="X1073" i="1"/>
  <c r="Y1073" i="1"/>
  <c r="Z1073" i="1" s="1"/>
  <c r="AA1073" i="1" s="1"/>
  <c r="AB1073" i="1" s="1"/>
  <c r="AC1073" i="1" s="1"/>
  <c r="AD1073" i="1" s="1"/>
  <c r="AE1073" i="1" s="1"/>
  <c r="AF1073" i="1" s="1"/>
  <c r="AG1073" i="1" s="1"/>
  <c r="AH1073" i="1" s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W1075" i="1"/>
  <c r="X1075" i="1"/>
  <c r="Y1075" i="1"/>
  <c r="Z1075" i="1"/>
  <c r="AA1075" i="1"/>
  <c r="AB1075" i="1" s="1"/>
  <c r="AC1075" i="1" s="1"/>
  <c r="AD1075" i="1" s="1"/>
  <c r="AE1075" i="1" s="1"/>
  <c r="AF1075" i="1" s="1"/>
  <c r="AG1075" i="1" s="1"/>
  <c r="AH1075" i="1" s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W1077" i="1"/>
  <c r="X1077" i="1" s="1"/>
  <c r="Y1077" i="1" s="1"/>
  <c r="Z1077" i="1" s="1"/>
  <c r="AA1077" i="1" s="1"/>
  <c r="AB1077" i="1" s="1"/>
  <c r="AC1077" i="1" s="1"/>
  <c r="AD1077" i="1"/>
  <c r="AE1077" i="1" s="1"/>
  <c r="AF1077" i="1" s="1"/>
  <c r="AG1077" i="1" s="1"/>
  <c r="AH1077" i="1" s="1"/>
  <c r="W1078" i="1"/>
  <c r="X1078" i="1"/>
  <c r="Y1078" i="1"/>
  <c r="Z1078" i="1"/>
  <c r="AA1078" i="1" s="1"/>
  <c r="AB1078" i="1" s="1"/>
  <c r="AC1078" i="1" s="1"/>
  <c r="AD1078" i="1" s="1"/>
  <c r="AE1078" i="1" s="1"/>
  <c r="AF1078" i="1" s="1"/>
  <c r="AG1078" i="1" s="1"/>
  <c r="AH1078" i="1" s="1"/>
  <c r="W1079" i="1"/>
  <c r="X1079" i="1"/>
  <c r="Y1079" i="1" s="1"/>
  <c r="Z1079" i="1" s="1"/>
  <c r="AA1079" i="1" s="1"/>
  <c r="AB1079" i="1" s="1"/>
  <c r="AC1079" i="1" s="1"/>
  <c r="AD1079" i="1" s="1"/>
  <c r="AE1079" i="1" s="1"/>
  <c r="AF1079" i="1" s="1"/>
  <c r="AG1079" i="1" s="1"/>
  <c r="AH1079" i="1" s="1"/>
  <c r="W1080" i="1"/>
  <c r="X1080" i="1" s="1"/>
  <c r="Y1080" i="1" s="1"/>
  <c r="Z1080" i="1" s="1"/>
  <c r="AA1080" i="1" s="1"/>
  <c r="AB1080" i="1" s="1"/>
  <c r="AC1080" i="1" s="1"/>
  <c r="AD1080" i="1" s="1"/>
  <c r="AE1080" i="1" s="1"/>
  <c r="AF1080" i="1" s="1"/>
  <c r="AG1080" i="1" s="1"/>
  <c r="AH1080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W1082" i="1"/>
  <c r="X1082" i="1" s="1"/>
  <c r="Y1082" i="1" s="1"/>
  <c r="Z1082" i="1"/>
  <c r="AA1082" i="1" s="1"/>
  <c r="AB1082" i="1" s="1"/>
  <c r="AC1082" i="1" s="1"/>
  <c r="AD1082" i="1" s="1"/>
  <c r="AE1082" i="1" s="1"/>
  <c r="AF1082" i="1" s="1"/>
  <c r="AG1082" i="1" s="1"/>
  <c r="AH1082" i="1" s="1"/>
  <c r="W1083" i="1"/>
  <c r="X1083" i="1"/>
  <c r="Y1083" i="1"/>
  <c r="Z1083" i="1"/>
  <c r="AA1083" i="1" s="1"/>
  <c r="AB1083" i="1" s="1"/>
  <c r="AC1083" i="1" s="1"/>
  <c r="AD1083" i="1" s="1"/>
  <c r="AE1083" i="1" s="1"/>
  <c r="AF1083" i="1" s="1"/>
  <c r="AG1083" i="1" s="1"/>
  <c r="AH1083" i="1" s="1"/>
  <c r="W1084" i="1"/>
  <c r="X1084" i="1"/>
  <c r="Y1084" i="1"/>
  <c r="Z1084" i="1"/>
  <c r="AA1084" i="1"/>
  <c r="AB1084" i="1"/>
  <c r="AC1084" i="1"/>
  <c r="AD1084" i="1"/>
  <c r="AE1084" i="1" s="1"/>
  <c r="AF1084" i="1" s="1"/>
  <c r="AG1084" i="1" s="1"/>
  <c r="AH1084" i="1"/>
  <c r="W1085" i="1"/>
  <c r="X1085" i="1"/>
  <c r="Y1085" i="1"/>
  <c r="Z1085" i="1"/>
  <c r="AA1085" i="1"/>
  <c r="AB1085" i="1"/>
  <c r="AC1085" i="1"/>
  <c r="AD1085" i="1"/>
  <c r="AE1085" i="1" s="1"/>
  <c r="AF1085" i="1" s="1"/>
  <c r="AG1085" i="1" s="1"/>
  <c r="AH1085" i="1" s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W1087" i="1"/>
  <c r="X1087" i="1"/>
  <c r="Y1087" i="1"/>
  <c r="Z1087" i="1"/>
  <c r="AA1087" i="1"/>
  <c r="AB1087" i="1"/>
  <c r="AC1087" i="1"/>
  <c r="AD1087" i="1"/>
  <c r="AE1087" i="1"/>
  <c r="AF1087" i="1" s="1"/>
  <c r="AG1087" i="1" s="1"/>
  <c r="AH1087" i="1" s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W1089" i="1"/>
  <c r="X1089" i="1"/>
  <c r="Y1089" i="1"/>
  <c r="Z1089" i="1"/>
  <c r="AA1089" i="1"/>
  <c r="AB1089" i="1"/>
  <c r="AC1089" i="1"/>
  <c r="AD1089" i="1"/>
  <c r="AE1089" i="1"/>
  <c r="AF1089" i="1" s="1"/>
  <c r="AG1089" i="1" s="1"/>
  <c r="AH1089" i="1" s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W1093" i="1"/>
  <c r="X1093" i="1" s="1"/>
  <c r="Y1093" i="1" s="1"/>
  <c r="Z1093" i="1" s="1"/>
  <c r="AA1093" i="1" s="1"/>
  <c r="AB1093" i="1" s="1"/>
  <c r="AC1093" i="1" s="1"/>
  <c r="AD1093" i="1" s="1"/>
  <c r="AE1093" i="1" s="1"/>
  <c r="AF1093" i="1" s="1"/>
  <c r="AG1093" i="1" s="1"/>
  <c r="AH1093" i="1" s="1"/>
  <c r="W1094" i="1"/>
  <c r="X1094" i="1"/>
  <c r="Y1094" i="1"/>
  <c r="Z1094" i="1"/>
  <c r="AA1094" i="1"/>
  <c r="AB1094" i="1"/>
  <c r="AC1094" i="1"/>
  <c r="AD1094" i="1" s="1"/>
  <c r="AE1094" i="1"/>
  <c r="AF1094" i="1" s="1"/>
  <c r="AG1094" i="1" s="1"/>
  <c r="AH1094" i="1" s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W1096" i="1"/>
  <c r="X1096" i="1"/>
  <c r="Y1096" i="1"/>
  <c r="Z1096" i="1"/>
  <c r="AA1096" i="1"/>
  <c r="AB1096" i="1"/>
  <c r="AC1096" i="1" s="1"/>
  <c r="AD1096" i="1"/>
  <c r="AE1096" i="1" s="1"/>
  <c r="AF1096" i="1" s="1"/>
  <c r="AG1096" i="1" s="1"/>
  <c r="AH1096" i="1" s="1"/>
  <c r="W1097" i="1"/>
  <c r="X1097" i="1" s="1"/>
  <c r="Y1097" i="1" s="1"/>
  <c r="Z1097" i="1" s="1"/>
  <c r="AA1097" i="1" s="1"/>
  <c r="AB1097" i="1" s="1"/>
  <c r="AC1097" i="1" s="1"/>
  <c r="AD1097" i="1" s="1"/>
  <c r="AE1097" i="1" s="1"/>
  <c r="AF1097" i="1" s="1"/>
  <c r="AG1097" i="1" s="1"/>
  <c r="AH1097" i="1" s="1"/>
  <c r="W1098" i="1"/>
  <c r="X1098" i="1"/>
  <c r="Y1098" i="1"/>
  <c r="Z1098" i="1"/>
  <c r="AA1098" i="1"/>
  <c r="AB1098" i="1"/>
  <c r="AC1098" i="1"/>
  <c r="AD1098" i="1" s="1"/>
  <c r="AE1098" i="1" s="1"/>
  <c r="AF1098" i="1" s="1"/>
  <c r="AG1098" i="1" s="1"/>
  <c r="AH1098" i="1" s="1"/>
  <c r="W1099" i="1"/>
  <c r="X1099" i="1"/>
  <c r="Y1099" i="1"/>
  <c r="Z1099" i="1"/>
  <c r="AA1099" i="1"/>
  <c r="AB1099" i="1"/>
  <c r="AC1099" i="1"/>
  <c r="AD1099" i="1"/>
  <c r="AE1099" i="1" s="1"/>
  <c r="AF1099" i="1"/>
  <c r="AG1099" i="1" s="1"/>
  <c r="AH1099" i="1" s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W1101" i="1"/>
  <c r="X1101" i="1"/>
  <c r="Y1101" i="1"/>
  <c r="Z1101" i="1"/>
  <c r="AA1101" i="1"/>
  <c r="AB1101" i="1"/>
  <c r="AC1101" i="1"/>
  <c r="AD1101" i="1"/>
  <c r="AE1101" i="1" s="1"/>
  <c r="AF1101" i="1" s="1"/>
  <c r="AG1101" i="1" s="1"/>
  <c r="AH1101" i="1" s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W1103" i="1"/>
  <c r="X1103" i="1"/>
  <c r="Y1103" i="1"/>
  <c r="Z1103" i="1"/>
  <c r="AA1103" i="1"/>
  <c r="AB1103" i="1"/>
  <c r="AC1103" i="1" s="1"/>
  <c r="AD1103" i="1" s="1"/>
  <c r="AE1103" i="1"/>
  <c r="AF1103" i="1" s="1"/>
  <c r="AG1103" i="1"/>
  <c r="AH1103" i="1" s="1"/>
  <c r="W1104" i="1"/>
  <c r="X1104" i="1"/>
  <c r="Y1104" i="1" s="1"/>
  <c r="Z1104" i="1" s="1"/>
  <c r="AA1104" i="1" s="1"/>
  <c r="AB1104" i="1"/>
  <c r="AC1104" i="1" s="1"/>
  <c r="AD1104" i="1"/>
  <c r="AE1104" i="1" s="1"/>
  <c r="AF1104" i="1" s="1"/>
  <c r="AG1104" i="1" s="1"/>
  <c r="AH1104" i="1" s="1"/>
  <c r="W1105" i="1"/>
  <c r="X1105" i="1" s="1"/>
  <c r="Y1105" i="1" s="1"/>
  <c r="Z1105" i="1"/>
  <c r="AA1105" i="1" s="1"/>
  <c r="AB1105" i="1" s="1"/>
  <c r="AC1105" i="1" s="1"/>
  <c r="AD1105" i="1" s="1"/>
  <c r="AE1105" i="1" s="1"/>
  <c r="AF1105" i="1" s="1"/>
  <c r="AG1105" i="1" s="1"/>
  <c r="AH1105" i="1" s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W1107" i="1"/>
  <c r="X1107" i="1"/>
  <c r="Y1107" i="1"/>
  <c r="Z1107" i="1"/>
  <c r="AA1107" i="1" s="1"/>
  <c r="AB1107" i="1" s="1"/>
  <c r="AC1107" i="1" s="1"/>
  <c r="AD1107" i="1"/>
  <c r="AE1107" i="1" s="1"/>
  <c r="AF1107" i="1"/>
  <c r="AG1107" i="1" s="1"/>
  <c r="AH1107" i="1" s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W1110" i="1"/>
  <c r="X1110" i="1"/>
  <c r="Y1110" i="1"/>
  <c r="Z1110" i="1"/>
  <c r="AA1110" i="1" s="1"/>
  <c r="AB1110" i="1" s="1"/>
  <c r="AC1110" i="1" s="1"/>
  <c r="AD1110" i="1" s="1"/>
  <c r="AE1110" i="1" s="1"/>
  <c r="AF1110" i="1" s="1"/>
  <c r="AG1110" i="1" s="1"/>
  <c r="AH1110" i="1" s="1"/>
  <c r="W1111" i="1"/>
  <c r="X1111" i="1"/>
  <c r="Y1111" i="1"/>
  <c r="Z1111" i="1"/>
  <c r="AA1111" i="1"/>
  <c r="AB1111" i="1"/>
  <c r="AC1111" i="1" s="1"/>
  <c r="AD1111" i="1"/>
  <c r="AE1111" i="1" s="1"/>
  <c r="AF1111" i="1" s="1"/>
  <c r="AG1111" i="1"/>
  <c r="AH1111" i="1" s="1"/>
  <c r="W1112" i="1"/>
  <c r="X1112" i="1"/>
  <c r="Y1112" i="1"/>
  <c r="Z1112" i="1"/>
  <c r="AA1112" i="1"/>
  <c r="AB1112" i="1"/>
  <c r="AC1112" i="1"/>
  <c r="AD1112" i="1" s="1"/>
  <c r="AE1112" i="1"/>
  <c r="AF1112" i="1" s="1"/>
  <c r="AG1112" i="1" s="1"/>
  <c r="AH1112" i="1" s="1"/>
  <c r="W1113" i="1"/>
  <c r="X1113" i="1"/>
  <c r="Y1113" i="1" s="1"/>
  <c r="Z1113" i="1" s="1"/>
  <c r="AA1113" i="1" s="1"/>
  <c r="AB1113" i="1" s="1"/>
  <c r="AC1113" i="1" s="1"/>
  <c r="AD1113" i="1" s="1"/>
  <c r="AE1113" i="1" s="1"/>
  <c r="AF1113" i="1" s="1"/>
  <c r="AG1113" i="1" s="1"/>
  <c r="AH1113" i="1" s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W1115" i="1"/>
  <c r="X1115" i="1"/>
  <c r="Y1115" i="1"/>
  <c r="Z1115" i="1"/>
  <c r="AA1115" i="1" s="1"/>
  <c r="AB1115" i="1" s="1"/>
  <c r="AC1115" i="1" s="1"/>
  <c r="AD1115" i="1" s="1"/>
  <c r="AE1115" i="1"/>
  <c r="AF1115" i="1" s="1"/>
  <c r="AG1115" i="1" s="1"/>
  <c r="AH1115" i="1" s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W1117" i="1"/>
  <c r="X1117" i="1"/>
  <c r="Y1117" i="1"/>
  <c r="Z1117" i="1"/>
  <c r="AA1117" i="1" s="1"/>
  <c r="AB1117" i="1" s="1"/>
  <c r="AC1117" i="1" s="1"/>
  <c r="AD1117" i="1"/>
  <c r="AE1117" i="1" s="1"/>
  <c r="AF1117" i="1" s="1"/>
  <c r="AG1117" i="1" s="1"/>
  <c r="AH1117" i="1" s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W1121" i="1"/>
  <c r="X1121" i="1"/>
  <c r="Y1121" i="1"/>
  <c r="Z1121" i="1" s="1"/>
  <c r="AA1121" i="1" s="1"/>
  <c r="AB1121" i="1" s="1"/>
  <c r="AC1121" i="1" s="1"/>
  <c r="AD1121" i="1" s="1"/>
  <c r="AE1121" i="1" s="1"/>
  <c r="AF1121" i="1" s="1"/>
  <c r="AG1121" i="1" s="1"/>
  <c r="AH1121" i="1" s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W1123" i="1"/>
  <c r="X1123" i="1"/>
  <c r="Y1123" i="1"/>
  <c r="Z1123" i="1"/>
  <c r="AA1123" i="1" s="1"/>
  <c r="AB1123" i="1"/>
  <c r="AC1123" i="1" s="1"/>
  <c r="AD1123" i="1" s="1"/>
  <c r="AE1123" i="1" s="1"/>
  <c r="AF1123" i="1" s="1"/>
  <c r="AG1123" i="1" s="1"/>
  <c r="AH1123" i="1" s="1"/>
  <c r="W1124" i="1"/>
  <c r="X1124" i="1"/>
  <c r="Y1124" i="1"/>
  <c r="Z1124" i="1" s="1"/>
  <c r="AA1124" i="1" s="1"/>
  <c r="AB1124" i="1" s="1"/>
  <c r="AC1124" i="1" s="1"/>
  <c r="AD1124" i="1" s="1"/>
  <c r="AE1124" i="1" s="1"/>
  <c r="AF1124" i="1" s="1"/>
  <c r="AG1124" i="1" s="1"/>
  <c r="AH1124" i="1" s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W1127" i="1"/>
  <c r="X1127" i="1"/>
  <c r="Y1127" i="1"/>
  <c r="Z1127" i="1"/>
  <c r="AA1127" i="1"/>
  <c r="AB1127" i="1" s="1"/>
  <c r="AC1127" i="1"/>
  <c r="AD1127" i="1" s="1"/>
  <c r="AE1127" i="1" s="1"/>
  <c r="AF1127" i="1" s="1"/>
  <c r="AG1127" i="1" s="1"/>
  <c r="AH1127" i="1" s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W1130" i="1"/>
  <c r="X1130" i="1" s="1"/>
  <c r="Y1130" i="1" s="1"/>
  <c r="Z1130" i="1" s="1"/>
  <c r="AA1130" i="1" s="1"/>
  <c r="AB1130" i="1" s="1"/>
  <c r="AC1130" i="1" s="1"/>
  <c r="AD1130" i="1" s="1"/>
  <c r="AE1130" i="1" s="1"/>
  <c r="AF1130" i="1" s="1"/>
  <c r="AG1130" i="1" s="1"/>
  <c r="AH1130" i="1" s="1"/>
  <c r="W1131" i="1"/>
  <c r="X1131" i="1"/>
  <c r="Y1131" i="1"/>
  <c r="Z1131" i="1"/>
  <c r="AA1131" i="1"/>
  <c r="AB1131" i="1"/>
  <c r="AC1131" i="1"/>
  <c r="AD1131" i="1" s="1"/>
  <c r="AE1131" i="1" s="1"/>
  <c r="AF1131" i="1" s="1"/>
  <c r="AG1131" i="1" s="1"/>
  <c r="AH1131" i="1" s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 s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W1137" i="1"/>
  <c r="X1137" i="1"/>
  <c r="Y1137" i="1"/>
  <c r="Z1137" i="1"/>
  <c r="AA1137" i="1"/>
  <c r="AB1137" i="1"/>
  <c r="AC1137" i="1"/>
  <c r="AD1137" i="1"/>
  <c r="AE1137" i="1" s="1"/>
  <c r="AF1137" i="1" s="1"/>
  <c r="AG1137" i="1" s="1"/>
  <c r="AH1137" i="1" s="1"/>
  <c r="W1138" i="1"/>
  <c r="X1138" i="1"/>
  <c r="Y1138" i="1"/>
  <c r="Z1138" i="1"/>
  <c r="AA1138" i="1"/>
  <c r="AB1138" i="1"/>
  <c r="AC1138" i="1" s="1"/>
  <c r="AD1138" i="1" s="1"/>
  <c r="AE1138" i="1"/>
  <c r="AF1138" i="1" s="1"/>
  <c r="AG1138" i="1" s="1"/>
  <c r="AH1138" i="1" s="1"/>
  <c r="W1139" i="1"/>
  <c r="X1139" i="1"/>
  <c r="Y1139" i="1"/>
  <c r="Z1139" i="1"/>
  <c r="AA1139" i="1"/>
  <c r="AB1139" i="1" s="1"/>
  <c r="AC1139" i="1"/>
  <c r="AD1139" i="1" s="1"/>
  <c r="AE1139" i="1" s="1"/>
  <c r="AF1139" i="1" s="1"/>
  <c r="AG1139" i="1" s="1"/>
  <c r="AH1139" i="1" s="1"/>
  <c r="W1140" i="1"/>
  <c r="X1140" i="1"/>
  <c r="Y1140" i="1"/>
  <c r="Z1140" i="1"/>
  <c r="AA1140" i="1" s="1"/>
  <c r="AB1140" i="1" s="1"/>
  <c r="AC1140" i="1" s="1"/>
  <c r="AD1140" i="1" s="1"/>
  <c r="AE1140" i="1" s="1"/>
  <c r="AF1140" i="1" s="1"/>
  <c r="AG1140" i="1" s="1"/>
  <c r="AH1140" i="1" s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W1144" i="1"/>
  <c r="X1144" i="1"/>
  <c r="Y1144" i="1"/>
  <c r="Z1144" i="1"/>
  <c r="AA1144" i="1" s="1"/>
  <c r="AB1144" i="1"/>
  <c r="AC1144" i="1" s="1"/>
  <c r="AD1144" i="1" s="1"/>
  <c r="AE1144" i="1" s="1"/>
  <c r="AF1144" i="1" s="1"/>
  <c r="AG1144" i="1" s="1"/>
  <c r="AH1144" i="1" s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 s="1"/>
  <c r="W1147" i="1"/>
  <c r="X1147" i="1"/>
  <c r="Y1147" i="1"/>
  <c r="Z1147" i="1" s="1"/>
  <c r="AA1147" i="1"/>
  <c r="AB1147" i="1" s="1"/>
  <c r="AC1147" i="1" s="1"/>
  <c r="AD1147" i="1" s="1"/>
  <c r="AE1147" i="1" s="1"/>
  <c r="AF1147" i="1" s="1"/>
  <c r="AG1147" i="1" s="1"/>
  <c r="AH1147" i="1" s="1"/>
  <c r="W1148" i="1"/>
  <c r="X1148" i="1"/>
  <c r="Y1148" i="1"/>
  <c r="Z1148" i="1"/>
  <c r="AA1148" i="1"/>
  <c r="AB1148" i="1"/>
  <c r="AC1148" i="1"/>
  <c r="AD1148" i="1" s="1"/>
  <c r="AE1148" i="1" s="1"/>
  <c r="AF1148" i="1" s="1"/>
  <c r="AG1148" i="1" s="1"/>
  <c r="AH1148" i="1" s="1"/>
  <c r="W1149" i="1"/>
  <c r="X1149" i="1"/>
  <c r="Y1149" i="1"/>
  <c r="Z1149" i="1"/>
  <c r="AA1149" i="1"/>
  <c r="AB1149" i="1" s="1"/>
  <c r="AC1149" i="1" s="1"/>
  <c r="AD1149" i="1" s="1"/>
  <c r="AE1149" i="1" s="1"/>
  <c r="AF1149" i="1" s="1"/>
  <c r="AG1149" i="1" s="1"/>
  <c r="AH1149" i="1" s="1"/>
  <c r="W1150" i="1"/>
  <c r="X1150" i="1"/>
  <c r="Y1150" i="1"/>
  <c r="Z1150" i="1"/>
  <c r="AA1150" i="1" s="1"/>
  <c r="AB1150" i="1" s="1"/>
  <c r="AC1150" i="1" s="1"/>
  <c r="AD1150" i="1" s="1"/>
  <c r="AE1150" i="1" s="1"/>
  <c r="AF1150" i="1" s="1"/>
  <c r="AG1150" i="1" s="1"/>
  <c r="AH1150" i="1" s="1"/>
  <c r="W1151" i="1"/>
  <c r="X1151" i="1"/>
  <c r="Y1151" i="1"/>
  <c r="Z1151" i="1" s="1"/>
  <c r="AA1151" i="1" s="1"/>
  <c r="AB1151" i="1" s="1"/>
  <c r="AC1151" i="1" s="1"/>
  <c r="AD1151" i="1" s="1"/>
  <c r="AE1151" i="1" s="1"/>
  <c r="AF1151" i="1" s="1"/>
  <c r="AG1151" i="1" s="1"/>
  <c r="AH1151" i="1" s="1"/>
  <c r="W1152" i="1"/>
  <c r="X1152" i="1"/>
  <c r="Y1152" i="1"/>
  <c r="Z1152" i="1"/>
  <c r="AA1152" i="1"/>
  <c r="AB1152" i="1"/>
  <c r="AC1152" i="1"/>
  <c r="AD1152" i="1" s="1"/>
  <c r="AE1152" i="1"/>
  <c r="AF1152" i="1" s="1"/>
  <c r="AG1152" i="1" s="1"/>
  <c r="AH1152" i="1" s="1"/>
  <c r="W1153" i="1"/>
  <c r="X1153" i="1"/>
  <c r="Y1153" i="1"/>
  <c r="Z1153" i="1" s="1"/>
  <c r="AA1153" i="1" s="1"/>
  <c r="AB1153" i="1" s="1"/>
  <c r="AC1153" i="1" s="1"/>
  <c r="AD1153" i="1" s="1"/>
  <c r="AE1153" i="1" s="1"/>
  <c r="AF1153" i="1" s="1"/>
  <c r="AG1153" i="1" s="1"/>
  <c r="AH1153" i="1" s="1"/>
  <c r="W1154" i="1"/>
  <c r="X1154" i="1"/>
  <c r="Y1154" i="1"/>
  <c r="Z1154" i="1"/>
  <c r="AA1154" i="1"/>
  <c r="AB1154" i="1"/>
  <c r="AC1154" i="1"/>
  <c r="AD1154" i="1"/>
  <c r="AE1154" i="1"/>
  <c r="AF1154" i="1" s="1"/>
  <c r="AG1154" i="1" s="1"/>
  <c r="AH1154" i="1" s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 s="1"/>
  <c r="W1156" i="1"/>
  <c r="X1156" i="1"/>
  <c r="Y1156" i="1"/>
  <c r="Z1156" i="1" s="1"/>
  <c r="AA1156" i="1" s="1"/>
  <c r="AB1156" i="1" s="1"/>
  <c r="AC1156" i="1" s="1"/>
  <c r="AD1156" i="1" s="1"/>
  <c r="AE1156" i="1" s="1"/>
  <c r="AF1156" i="1" s="1"/>
  <c r="AG1156" i="1" s="1"/>
  <c r="AH1156" i="1" s="1"/>
  <c r="W1157" i="1"/>
  <c r="X1157" i="1"/>
  <c r="Y1157" i="1"/>
  <c r="Z1157" i="1"/>
  <c r="AA1157" i="1"/>
  <c r="AB1157" i="1"/>
  <c r="AC1157" i="1"/>
  <c r="AD1157" i="1" s="1"/>
  <c r="AE1157" i="1" s="1"/>
  <c r="AF1157" i="1" s="1"/>
  <c r="AG1157" i="1" s="1"/>
  <c r="AH1157" i="1" s="1"/>
  <c r="W1158" i="1"/>
  <c r="X1158" i="1"/>
  <c r="Y1158" i="1"/>
  <c r="Z1158" i="1"/>
  <c r="AA1158" i="1" s="1"/>
  <c r="AB1158" i="1"/>
  <c r="AC1158" i="1" s="1"/>
  <c r="AD1158" i="1" s="1"/>
  <c r="AE1158" i="1" s="1"/>
  <c r="AF1158" i="1" s="1"/>
  <c r="AG1158" i="1" s="1"/>
  <c r="AH1158" i="1" s="1"/>
  <c r="W1159" i="1"/>
  <c r="X1159" i="1"/>
  <c r="Y1159" i="1"/>
  <c r="Z1159" i="1"/>
  <c r="AA1159" i="1"/>
  <c r="AB1159" i="1" s="1"/>
  <c r="AC1159" i="1"/>
  <c r="AD1159" i="1"/>
  <c r="AE1159" i="1" s="1"/>
  <c r="AF1159" i="1" s="1"/>
  <c r="AG1159" i="1" s="1"/>
  <c r="AH1159" i="1" s="1"/>
  <c r="W1160" i="1"/>
  <c r="X1160" i="1"/>
  <c r="Y1160" i="1"/>
  <c r="Z1160" i="1" s="1"/>
  <c r="AA1160" i="1" s="1"/>
  <c r="AB1160" i="1" s="1"/>
  <c r="AC1160" i="1" s="1"/>
  <c r="AD1160" i="1" s="1"/>
  <c r="AE1160" i="1" s="1"/>
  <c r="AF1160" i="1" s="1"/>
  <c r="AG1160" i="1" s="1"/>
  <c r="AH1160" i="1" s="1"/>
  <c r="W1161" i="1"/>
  <c r="X1161" i="1"/>
  <c r="Y1161" i="1" s="1"/>
  <c r="Z1161" i="1" s="1"/>
  <c r="AA1161" i="1" s="1"/>
  <c r="AB1161" i="1" s="1"/>
  <c r="AC1161" i="1" s="1"/>
  <c r="AD1161" i="1" s="1"/>
  <c r="AE1161" i="1" s="1"/>
  <c r="AF1161" i="1" s="1"/>
  <c r="AG1161" i="1" s="1"/>
  <c r="AH1161" i="1" s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 s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X4" i="1"/>
  <c r="Y4" i="1"/>
  <c r="Z4" i="1"/>
  <c r="AA4" i="1"/>
  <c r="AB4" i="1"/>
  <c r="AC4" i="1"/>
  <c r="AD4" i="1"/>
  <c r="AE4" i="1"/>
  <c r="AF4" i="1"/>
  <c r="AG4" i="1"/>
  <c r="AH4" i="1"/>
  <c r="W4" i="1"/>
  <c r="E19" i="2"/>
  <c r="B20" i="2"/>
  <c r="D4" i="2"/>
  <c r="D5" i="2"/>
  <c r="D6" i="2"/>
  <c r="D7" i="2"/>
  <c r="D8" i="2"/>
  <c r="N4" i="3"/>
  <c r="N5" i="3"/>
  <c r="N6" i="3"/>
  <c r="N7" i="3"/>
  <c r="N8" i="3"/>
  <c r="N9" i="3"/>
  <c r="N10" i="3"/>
  <c r="N11" i="3"/>
  <c r="N12" i="3"/>
  <c r="N13" i="3"/>
  <c r="N14" i="3"/>
  <c r="N3" i="3"/>
  <c r="M4" i="3"/>
  <c r="M5" i="3"/>
  <c r="M6" i="3"/>
  <c r="M7" i="3"/>
  <c r="M8" i="3"/>
  <c r="M9" i="3"/>
  <c r="M10" i="3"/>
  <c r="M11" i="3"/>
  <c r="M12" i="3"/>
  <c r="M13" i="3"/>
  <c r="M14" i="3"/>
  <c r="M3" i="3"/>
  <c r="E18" i="3" l="1"/>
  <c r="F18" i="3" s="1"/>
  <c r="F3" i="3"/>
  <c r="F14" i="3"/>
  <c r="F13" i="3"/>
  <c r="F12" i="3"/>
  <c r="F10" i="3"/>
  <c r="F9" i="3"/>
  <c r="F8" i="3"/>
  <c r="F11" i="3"/>
  <c r="F7" i="3"/>
  <c r="M15" i="3"/>
  <c r="M26" i="3"/>
  <c r="M25" i="3"/>
  <c r="M24" i="3"/>
  <c r="M23" i="3"/>
  <c r="M22" i="3"/>
  <c r="M21" i="3"/>
  <c r="M20" i="3"/>
  <c r="M19" i="3"/>
  <c r="M18" i="3"/>
  <c r="M17" i="3"/>
  <c r="M16" i="3"/>
  <c r="R9" i="3"/>
  <c r="Q10" i="3" s="1"/>
  <c r="AH2" i="1"/>
  <c r="Z1035" i="1"/>
  <c r="AA1035" i="1" s="1"/>
  <c r="AB1035" i="1" s="1"/>
  <c r="AC1035" i="1" s="1"/>
  <c r="AD1035" i="1" s="1"/>
  <c r="AE1035" i="1" s="1"/>
  <c r="AF1035" i="1" s="1"/>
  <c r="AG1035" i="1" s="1"/>
  <c r="AH1035" i="1" s="1"/>
  <c r="Y2" i="1"/>
  <c r="AG2" i="1"/>
  <c r="X2" i="1"/>
  <c r="W2" i="1"/>
  <c r="AC2" i="1"/>
  <c r="AB2" i="1"/>
  <c r="AF2" i="1"/>
  <c r="AA2" i="1"/>
  <c r="AE2" i="1"/>
  <c r="Z2" i="1"/>
  <c r="AD2" i="1"/>
  <c r="L4" i="3"/>
  <c r="L5" i="3"/>
  <c r="L6" i="3"/>
  <c r="L7" i="3"/>
  <c r="L8" i="3"/>
  <c r="L9" i="3"/>
  <c r="L10" i="3"/>
  <c r="L11" i="3"/>
  <c r="L12" i="3"/>
  <c r="L13" i="3"/>
  <c r="L14" i="3"/>
  <c r="L3" i="3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4" i="1"/>
  <c r="H2" i="1"/>
  <c r="O2" i="1"/>
  <c r="V2" i="1"/>
  <c r="U2" i="1"/>
  <c r="R2" i="1"/>
  <c r="Q2" i="1"/>
  <c r="N2" i="1"/>
  <c r="M2" i="1"/>
  <c r="J2" i="1"/>
  <c r="I2" i="1"/>
  <c r="F2" i="1"/>
  <c r="E2" i="1"/>
  <c r="T2" i="1"/>
  <c r="S2" i="1"/>
  <c r="P2" i="1"/>
  <c r="L2" i="1"/>
  <c r="K2" i="1"/>
  <c r="H4" i="3" l="1"/>
  <c r="H16" i="3"/>
  <c r="H28" i="3"/>
  <c r="H5" i="3"/>
  <c r="H17" i="3"/>
  <c r="H29" i="3"/>
  <c r="H35" i="3"/>
  <c r="H6" i="3"/>
  <c r="H18" i="3"/>
  <c r="H30" i="3"/>
  <c r="H7" i="3"/>
  <c r="H19" i="3"/>
  <c r="H31" i="3"/>
  <c r="H8" i="3"/>
  <c r="H20" i="3"/>
  <c r="H32" i="3"/>
  <c r="H9" i="3"/>
  <c r="H21" i="3"/>
  <c r="H33" i="3"/>
  <c r="H23" i="3"/>
  <c r="H10" i="3"/>
  <c r="H22" i="3"/>
  <c r="H34" i="3"/>
  <c r="H11" i="3"/>
  <c r="H12" i="3"/>
  <c r="H24" i="3"/>
  <c r="H36" i="3"/>
  <c r="H13" i="3"/>
  <c r="H25" i="3"/>
  <c r="H37" i="3"/>
  <c r="H14" i="3"/>
  <c r="H26" i="3"/>
  <c r="H38" i="3"/>
  <c r="H15" i="3"/>
  <c r="H27" i="3"/>
  <c r="H3" i="3"/>
  <c r="K28" i="3"/>
  <c r="K29" i="3"/>
  <c r="K30" i="3"/>
  <c r="K31" i="3"/>
  <c r="K32" i="3"/>
  <c r="K33" i="3"/>
  <c r="K34" i="3"/>
  <c r="K35" i="3"/>
  <c r="K36" i="3"/>
  <c r="K37" i="3"/>
  <c r="K38" i="3"/>
  <c r="K27" i="3"/>
  <c r="E23" i="2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G2" i="1"/>
  <c r="K3" i="2" l="1"/>
  <c r="L3" i="2" s="1"/>
  <c r="D2" i="1"/>
</calcChain>
</file>

<file path=xl/sharedStrings.xml><?xml version="1.0" encoding="utf-8"?>
<sst xmlns="http://schemas.openxmlformats.org/spreadsheetml/2006/main" count="3844" uniqueCount="1312">
  <si>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</si>
  <si>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</si>
  <si>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</si>
  <si>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</si>
  <si>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</si>
  <si>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</si>
  <si>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</si>
  <si>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</si>
  <si>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</si>
  <si>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</si>
  <si>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</si>
  <si>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</si>
  <si>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</si>
  <si>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</si>
  <si>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</si>
  <si>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</si>
  <si>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</si>
  <si>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</si>
  <si>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</si>
  <si>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</si>
  <si>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</si>
  <si>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</si>
  <si>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</si>
  <si>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</si>
  <si>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</si>
  <si>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</si>
  <si>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</si>
  <si>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</si>
  <si>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</si>
  <si>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</si>
  <si>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</si>
  <si>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</si>
  <si>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</si>
  <si>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</si>
  <si>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</si>
  <si>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</si>
  <si>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</si>
  <si>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</si>
  <si>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</si>
  <si>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</si>
  <si>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</si>
  <si>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</si>
  <si>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</si>
  <si>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</si>
  <si>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</si>
  <si>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</si>
  <si>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</si>
  <si>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</si>
  <si>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</si>
  <si>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</si>
  <si>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</si>
  <si>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</si>
  <si>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</si>
  <si>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</si>
  <si>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</si>
  <si>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</si>
  <si>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</si>
  <si>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</si>
  <si>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</si>
  <si>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</si>
  <si>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</si>
  <si>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</si>
  <si>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</si>
  <si>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</si>
  <si>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</si>
  <si>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</si>
  <si>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</si>
  <si>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</si>
  <si>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</si>
  <si>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</si>
  <si>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</si>
  <si>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</si>
  <si>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</si>
  <si>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</si>
  <si>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</si>
  <si>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</si>
  <si>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</si>
  <si>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</si>
  <si>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</si>
  <si>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</si>
  <si>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</si>
  <si>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</si>
  <si>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</si>
  <si>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</si>
  <si>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</si>
  <si>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</si>
  <si>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</si>
  <si>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</si>
  <si>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</si>
  <si>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</si>
  <si>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</si>
  <si>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</si>
  <si>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</si>
  <si>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</si>
  <si>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</si>
  <si>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</si>
  <si>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</si>
  <si>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</si>
  <si>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</si>
  <si>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</si>
  <si>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</si>
  <si>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</si>
  <si>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</si>
  <si>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</si>
  <si>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</si>
  <si>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</si>
  <si>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</si>
  <si>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</si>
  <si>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</si>
  <si>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</si>
  <si>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</si>
  <si>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</si>
  <si>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</si>
  <si>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</si>
  <si>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</si>
  <si>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</si>
  <si>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</si>
  <si>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</si>
  <si>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</si>
  <si>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</si>
  <si>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</si>
  <si>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</si>
  <si>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</si>
  <si>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</si>
  <si>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</si>
  <si>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</si>
  <si>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</si>
  <si>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</si>
  <si>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</si>
  <si>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</si>
  <si>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</si>
  <si>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</si>
  <si>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</si>
  <si>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</si>
  <si>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</si>
  <si>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</si>
  <si>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</si>
  <si>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</si>
  <si>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</si>
  <si>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</si>
  <si>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</si>
  <si>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</si>
  <si>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</si>
  <si>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</si>
  <si>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</si>
  <si>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</si>
  <si>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</si>
  <si>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</si>
  <si>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</si>
  <si>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</si>
  <si>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</si>
  <si>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</si>
  <si>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</si>
  <si>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</si>
  <si>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</si>
  <si>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</si>
  <si>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</si>
  <si>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</si>
  <si>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</si>
  <si>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</si>
  <si>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</si>
  <si>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</si>
  <si>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</si>
  <si>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</si>
  <si>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</si>
  <si>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</si>
  <si>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</si>
  <si>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</si>
  <si>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</si>
  <si>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</si>
  <si>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</si>
  <si>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</si>
  <si>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</si>
  <si>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</si>
  <si>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</si>
  <si>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</si>
  <si>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</si>
  <si>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</si>
  <si>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</si>
  <si>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</si>
  <si>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</si>
  <si>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</si>
  <si>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</si>
  <si>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</si>
  <si>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</si>
  <si>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</si>
  <si>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</si>
  <si>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</si>
  <si>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</si>
  <si>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</si>
  <si>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</si>
  <si>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</si>
  <si>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</si>
  <si>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</si>
  <si>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</si>
  <si>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</si>
  <si>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</si>
  <si>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</si>
  <si>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</si>
  <si>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</si>
  <si>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</si>
  <si>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</si>
  <si>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</si>
  <si>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</si>
  <si>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</si>
  <si>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</si>
  <si>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</si>
  <si>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</si>
  <si>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</si>
  <si>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</si>
  <si>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</si>
  <si>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</si>
  <si>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</si>
  <si>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</si>
  <si>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</si>
  <si>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</si>
  <si>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</si>
  <si>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</si>
  <si>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</si>
  <si>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</si>
  <si>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</si>
  <si>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</si>
  <si>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</si>
  <si>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</si>
  <si>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</si>
  <si>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</si>
  <si>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</si>
  <si>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</si>
  <si>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</si>
  <si>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</si>
  <si>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</si>
  <si>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</si>
  <si>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</si>
  <si>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</si>
  <si>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</si>
  <si>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</si>
  <si>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</si>
  <si>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</si>
  <si>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</si>
  <si>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</si>
  <si>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</si>
  <si>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</si>
  <si>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</si>
  <si>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</si>
  <si>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</si>
  <si>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</si>
  <si>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</si>
  <si>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</si>
  <si>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</si>
  <si>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</si>
  <si>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</si>
  <si>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</si>
  <si>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</si>
  <si>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</si>
  <si>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</si>
  <si>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</si>
  <si>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</si>
  <si>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</si>
  <si>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</si>
  <si>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</si>
  <si>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</si>
  <si>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</si>
  <si>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</si>
  <si>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</si>
  <si>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</si>
  <si>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</si>
  <si>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</si>
  <si>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</si>
  <si>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</si>
  <si>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</si>
  <si>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</si>
  <si>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</si>
  <si>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</si>
  <si>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</si>
  <si>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</si>
  <si>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</si>
  <si>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</si>
  <si>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</si>
  <si>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</si>
  <si>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</si>
  <si>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</si>
  <si>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</si>
  <si>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</si>
  <si>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</si>
  <si>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</si>
  <si>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</si>
  <si>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</si>
  <si>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</si>
  <si>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</si>
  <si>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</si>
  <si>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</si>
  <si>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</si>
  <si>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</si>
  <si>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</si>
  <si>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</si>
  <si>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</si>
  <si>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</si>
  <si>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</si>
  <si>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</si>
  <si>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</si>
  <si>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</si>
  <si>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</si>
  <si>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</si>
  <si>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</si>
  <si>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</si>
  <si>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</si>
  <si>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</si>
  <si>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</si>
  <si>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</si>
  <si>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</si>
  <si>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</si>
  <si>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</si>
  <si>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</si>
  <si>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</si>
  <si>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</si>
  <si>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</si>
  <si>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</si>
  <si>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</si>
  <si>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</si>
  <si>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</si>
  <si>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</si>
  <si>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</si>
  <si>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</si>
  <si>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</si>
  <si>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</si>
  <si>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</si>
  <si>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</si>
  <si>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</si>
  <si>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</si>
  <si>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</si>
  <si>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</si>
  <si>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</si>
  <si>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</si>
  <si>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</si>
  <si>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</si>
  <si>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</si>
  <si>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</si>
  <si>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</si>
  <si>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</si>
  <si>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</si>
  <si>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</si>
  <si>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</si>
  <si>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</si>
  <si>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</si>
  <si>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</si>
  <si>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</si>
  <si>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</si>
  <si>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</si>
  <si>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</si>
  <si>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</si>
  <si>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</si>
  <si>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</si>
  <si>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</si>
  <si>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</si>
  <si>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</si>
  <si>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</si>
  <si>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</si>
  <si>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</si>
  <si>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</si>
  <si>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</si>
  <si>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</si>
  <si>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</si>
  <si>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</si>
  <si>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</si>
  <si>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</si>
  <si>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</si>
  <si>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</si>
  <si>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</si>
  <si>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</si>
  <si>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</si>
  <si>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</si>
  <si>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</si>
  <si>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</si>
  <si>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</si>
  <si>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</si>
  <si>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</si>
  <si>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</si>
  <si>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</si>
  <si>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</si>
  <si>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</si>
  <si>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</si>
  <si>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</si>
  <si>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</si>
  <si>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</si>
  <si>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</si>
  <si>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</si>
  <si>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</si>
  <si>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</si>
  <si>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</si>
  <si>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</si>
  <si>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</si>
  <si>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</si>
  <si>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</si>
  <si>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</si>
  <si>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</si>
  <si>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</si>
  <si>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</si>
  <si>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</si>
  <si>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</si>
  <si>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</si>
  <si>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</si>
  <si>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</si>
  <si>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</si>
  <si>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</si>
  <si>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</si>
  <si>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</si>
  <si>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</si>
  <si>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</si>
  <si>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</si>
  <si>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</si>
  <si>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</si>
  <si>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</si>
  <si>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</si>
  <si>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</si>
  <si>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</si>
  <si>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</si>
  <si>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</si>
  <si>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</si>
  <si>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</si>
  <si>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</si>
  <si>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</si>
  <si>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</si>
  <si>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</si>
  <si>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</si>
  <si>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</si>
  <si>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</si>
  <si>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</si>
  <si>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</si>
  <si>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</si>
  <si>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</si>
  <si>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</si>
  <si>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</si>
  <si>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</si>
  <si>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</si>
  <si>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</si>
  <si>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</si>
  <si>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</si>
  <si>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</si>
  <si>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</si>
  <si>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</si>
  <si>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</si>
  <si>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</si>
  <si>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</si>
  <si>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</si>
  <si>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</si>
  <si>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</si>
  <si>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</si>
  <si>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</si>
  <si>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</si>
  <si>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</si>
  <si>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</si>
  <si>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</si>
  <si>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</si>
  <si>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</si>
  <si>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</si>
  <si>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</si>
  <si>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</si>
  <si>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</si>
  <si>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</si>
  <si>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</si>
  <si>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</si>
  <si>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</si>
  <si>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</si>
  <si>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</si>
  <si>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</si>
  <si>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</si>
  <si>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</si>
  <si>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</si>
  <si>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</si>
  <si>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</si>
  <si>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</si>
  <si>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</si>
  <si>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</si>
  <si>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</si>
  <si>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</si>
  <si>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</si>
  <si>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</si>
  <si>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</si>
  <si>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</si>
  <si>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</si>
  <si>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</si>
  <si>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</si>
  <si>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</si>
  <si>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</si>
  <si>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</si>
  <si>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</si>
  <si>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</si>
  <si>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</si>
  <si>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</si>
  <si>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</si>
  <si>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</si>
  <si>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</si>
  <si>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</si>
  <si>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</si>
  <si>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</si>
  <si>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</si>
  <si>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</si>
  <si>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</si>
  <si>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</si>
  <si>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</si>
  <si>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</si>
  <si>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</si>
  <si>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</si>
  <si>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</si>
  <si>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</si>
  <si>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</si>
  <si>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</si>
  <si>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</si>
  <si>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</si>
  <si>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</si>
  <si>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</si>
  <si>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</si>
  <si>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</si>
  <si>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</si>
  <si>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</si>
  <si>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</si>
  <si>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</si>
  <si>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</si>
  <si>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</si>
  <si>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</si>
  <si>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</si>
  <si>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</si>
  <si>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</si>
  <si>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</si>
  <si>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</si>
  <si>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</si>
  <si>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</si>
  <si>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</si>
  <si>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</si>
  <si>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</si>
  <si>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</si>
  <si>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</si>
  <si>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</si>
  <si>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</si>
  <si>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</si>
  <si>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</si>
  <si>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</si>
  <si>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</si>
  <si>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</si>
  <si>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</si>
  <si>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</si>
  <si>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</si>
  <si>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</si>
  <si>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</si>
  <si>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</si>
  <si>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</si>
  <si>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</si>
  <si>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</si>
  <si>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</si>
  <si>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</si>
  <si>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</si>
  <si>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</si>
  <si>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</si>
  <si>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</si>
  <si>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</si>
  <si>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</si>
  <si>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</si>
  <si>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</si>
  <si>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</si>
  <si>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</si>
  <si>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</si>
  <si>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</si>
  <si>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</si>
  <si>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</si>
  <si>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</si>
  <si>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</si>
  <si>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</si>
  <si>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</si>
  <si>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</si>
  <si>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</si>
  <si>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</si>
  <si>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</si>
  <si>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</si>
  <si>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</si>
  <si>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</si>
  <si>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</si>
  <si>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</si>
  <si>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</si>
  <si>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</si>
  <si>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</si>
  <si>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</si>
  <si>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</si>
  <si>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</si>
  <si>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</si>
  <si>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</si>
  <si>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</si>
  <si>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</si>
  <si>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</si>
  <si>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</si>
  <si>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</si>
  <si>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</si>
  <si>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</si>
  <si>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</si>
  <si>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</si>
  <si>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</si>
  <si>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</si>
  <si>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</si>
  <si>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</si>
  <si>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</si>
  <si>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</si>
  <si>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</si>
  <si>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</si>
  <si>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</si>
  <si>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</si>
  <si>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</si>
  <si>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</si>
  <si>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</si>
  <si>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</si>
  <si>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</si>
  <si>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</si>
  <si>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</si>
  <si>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</si>
  <si>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</si>
  <si>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</si>
  <si>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</si>
  <si>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</si>
  <si>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</si>
  <si>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</si>
  <si>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</si>
  <si>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</si>
  <si>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</si>
  <si>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</si>
  <si>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</si>
  <si>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</si>
  <si>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</si>
  <si>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</si>
  <si>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</si>
  <si>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</si>
  <si>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</si>
  <si>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</si>
  <si>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</si>
  <si>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</si>
  <si>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</si>
  <si>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</si>
  <si>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</si>
  <si>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</si>
  <si>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</si>
  <si>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</si>
  <si>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</si>
  <si>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</si>
  <si>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</si>
  <si>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</si>
  <si>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</si>
  <si>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</si>
  <si>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</si>
  <si>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</si>
  <si>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</si>
  <si>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</si>
  <si>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</si>
  <si>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</si>
  <si>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</si>
  <si>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</si>
  <si>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</si>
  <si>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</si>
  <si>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</si>
  <si>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</si>
  <si>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</si>
  <si>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</si>
  <si>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</si>
  <si>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</si>
  <si>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</si>
  <si>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</si>
  <si>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</si>
  <si>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</si>
  <si>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</si>
  <si>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</si>
  <si>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</si>
  <si>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</si>
  <si>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</si>
  <si>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</si>
  <si>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</si>
  <si>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</si>
  <si>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</si>
  <si>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</si>
  <si>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</si>
  <si>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</si>
  <si>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</si>
  <si>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</si>
  <si>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</si>
  <si>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</si>
  <si>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</si>
  <si>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</si>
  <si>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</si>
  <si>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</si>
  <si>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</si>
  <si>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</si>
  <si>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</si>
  <si>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</si>
  <si>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</si>
  <si>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</si>
  <si>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</si>
  <si>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</si>
  <si>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</si>
  <si>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</si>
  <si>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</si>
  <si>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</si>
  <si>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</si>
  <si>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</si>
  <si>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</si>
  <si>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</si>
  <si>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</si>
  <si>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</si>
  <si>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</si>
  <si>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</si>
  <si>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</si>
  <si>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</si>
  <si>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</si>
  <si>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</si>
  <si>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</si>
  <si>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</si>
  <si>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</si>
  <si>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</si>
  <si>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</si>
  <si>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</si>
  <si>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</si>
  <si>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</si>
  <si>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</si>
  <si>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</si>
  <si>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</si>
  <si>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</si>
  <si>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</si>
  <si>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</si>
  <si>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</si>
  <si>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</si>
  <si>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</si>
  <si>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</si>
  <si>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</si>
  <si>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</si>
  <si>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</si>
  <si>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</si>
  <si>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</si>
  <si>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</si>
  <si>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</si>
  <si>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</si>
  <si>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</si>
  <si>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</si>
  <si>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</si>
  <si>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</si>
  <si>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</si>
  <si>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</si>
  <si>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</si>
  <si>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</si>
  <si>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</si>
  <si>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</si>
  <si>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</si>
  <si>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</si>
  <si>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</si>
  <si>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</si>
  <si>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</si>
  <si>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</si>
  <si>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</si>
  <si>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</si>
  <si>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</si>
  <si>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</si>
  <si>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</si>
  <si>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</si>
  <si>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</si>
  <si>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</si>
  <si>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</si>
  <si>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</si>
  <si>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</si>
  <si>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</si>
  <si>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</si>
  <si>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</si>
  <si>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</si>
  <si>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</si>
  <si>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</si>
  <si>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</si>
  <si>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</si>
  <si>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</si>
  <si>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</si>
  <si>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</si>
  <si>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</si>
  <si>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</si>
  <si>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</si>
  <si>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</si>
  <si>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</si>
  <si>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</si>
  <si>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</si>
  <si>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</si>
  <si>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</si>
  <si>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</si>
  <si>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</si>
  <si>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</si>
  <si>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</si>
  <si>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</si>
  <si>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</si>
  <si>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</si>
  <si>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</si>
  <si>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</si>
  <si>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</si>
  <si>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</si>
  <si>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</si>
  <si>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</si>
  <si>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</si>
  <si>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</si>
  <si>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</si>
  <si>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</si>
  <si>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</si>
  <si>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</si>
  <si>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</si>
  <si>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</si>
  <si>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</si>
  <si>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</si>
  <si>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</si>
  <si>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</si>
  <si>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</si>
  <si>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</si>
  <si>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</si>
  <si>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</si>
  <si>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</si>
  <si>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</si>
  <si>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</si>
  <si>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</si>
  <si>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</si>
  <si>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</si>
  <si>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</si>
  <si>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</si>
  <si>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</si>
  <si>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</si>
  <si>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</si>
  <si>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</si>
  <si>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</si>
  <si>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</si>
  <si>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</si>
  <si>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</si>
  <si>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</si>
  <si>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</si>
  <si>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</si>
  <si>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</si>
  <si>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</si>
  <si>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</si>
  <si>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</si>
  <si>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</si>
  <si>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</si>
  <si>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</si>
  <si>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</si>
  <si>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</si>
  <si>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</si>
  <si>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</si>
  <si>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</si>
  <si>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</si>
  <si>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</si>
  <si>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</si>
  <si>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</si>
  <si>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</si>
  <si>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</si>
  <si>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</si>
  <si>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</si>
  <si>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</si>
  <si>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</si>
  <si>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</si>
  <si>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</si>
  <si>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</si>
  <si>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</si>
  <si>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</si>
  <si>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</si>
  <si>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</si>
  <si>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</si>
  <si>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</si>
  <si>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</si>
  <si>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</si>
  <si>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</si>
  <si>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</si>
  <si>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</si>
  <si>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</si>
  <si>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</si>
  <si>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</si>
  <si>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</si>
  <si>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</si>
  <si>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</si>
  <si>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</si>
  <si>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</si>
  <si>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</si>
  <si>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</si>
  <si>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</si>
  <si>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</si>
  <si>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</si>
  <si>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</si>
  <si>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</si>
  <si>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</si>
  <si>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</si>
  <si>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</si>
  <si>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</si>
  <si>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</si>
  <si>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</si>
  <si>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</si>
  <si>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</si>
  <si>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</si>
  <si>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</si>
  <si>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</si>
  <si>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</si>
  <si>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</si>
  <si>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</si>
  <si>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</si>
  <si>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</si>
  <si>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</si>
  <si>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</si>
  <si>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</si>
  <si>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</si>
  <si>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</si>
  <si>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</si>
  <si>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</si>
  <si>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</si>
  <si>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</si>
  <si>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</si>
  <si>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</si>
  <si>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</si>
  <si>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</si>
  <si>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</si>
  <si>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</si>
  <si>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</si>
  <si>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</si>
  <si>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</si>
  <si>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</si>
  <si>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</si>
  <si>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</si>
  <si>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</si>
  <si>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</si>
  <si>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</si>
  <si>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</si>
  <si>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</si>
  <si>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</si>
  <si>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</si>
  <si>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</si>
  <si>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</si>
  <si>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</si>
  <si>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</si>
  <si>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</si>
  <si>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</si>
  <si>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</si>
  <si>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</si>
  <si>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</si>
  <si>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</si>
  <si>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</si>
  <si>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</si>
  <si>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</si>
  <si>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</si>
  <si>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</si>
  <si>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</si>
  <si>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</si>
  <si>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</si>
  <si>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</si>
  <si>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</si>
  <si>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</si>
  <si>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</si>
  <si>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</si>
  <si>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</si>
  <si>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</si>
  <si>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</si>
  <si>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</si>
  <si>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</si>
  <si>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</si>
  <si>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</si>
  <si>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</si>
  <si>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</si>
  <si>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</si>
  <si>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</si>
  <si>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</si>
  <si>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</si>
  <si>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</si>
  <si>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</si>
  <si>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</si>
  <si>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</si>
  <si>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</si>
  <si>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</si>
  <si>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</si>
  <si>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</si>
  <si>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</si>
  <si>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</si>
  <si>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</si>
  <si>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</si>
  <si>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</si>
  <si>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</si>
  <si>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</si>
  <si>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</si>
  <si>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</si>
  <si>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</si>
  <si>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</si>
  <si>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</si>
  <si>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</si>
  <si>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</si>
  <si>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</si>
  <si>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</si>
  <si>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</si>
  <si>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</si>
  <si>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</si>
  <si>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</si>
  <si>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</si>
  <si>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</si>
  <si>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</si>
  <si>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</si>
  <si>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</si>
  <si>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</si>
  <si>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</si>
  <si>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</si>
  <si>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</si>
  <si>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</si>
  <si>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</si>
  <si>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</si>
  <si>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</si>
  <si>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</si>
  <si>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</si>
  <si>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</si>
  <si>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</si>
  <si>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</si>
  <si>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</si>
  <si>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</si>
  <si>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</si>
  <si>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</si>
  <si>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</si>
  <si>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</si>
  <si>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</si>
  <si>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</si>
  <si>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</si>
  <si>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</si>
  <si>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</si>
  <si>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</si>
  <si>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</si>
  <si>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</si>
  <si>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</si>
  <si>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</si>
  <si>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</si>
  <si>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</si>
  <si>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</si>
  <si>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</si>
  <si>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</si>
  <si>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</si>
  <si>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</si>
  <si>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</si>
  <si>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</si>
  <si>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</si>
  <si>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</si>
  <si>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</si>
  <si>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</si>
  <si>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</si>
  <si>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</si>
  <si>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</si>
  <si>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</si>
  <si>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</si>
  <si>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</si>
  <si>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</si>
  <si>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</si>
  <si>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</si>
  <si>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</si>
  <si>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</si>
  <si>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</si>
  <si>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</si>
  <si>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</si>
  <si>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</si>
  <si>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</si>
  <si>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</si>
  <si>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</si>
  <si>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</si>
  <si>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</si>
  <si>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</si>
  <si>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</si>
  <si>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</si>
  <si>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</si>
  <si>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</si>
  <si>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</si>
  <si>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</si>
  <si>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</si>
  <si>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</si>
  <si>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</si>
  <si>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</si>
  <si>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</si>
  <si>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</si>
  <si>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</si>
  <si>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</si>
  <si>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</si>
  <si>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</si>
  <si>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</si>
  <si>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</si>
  <si>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</si>
  <si>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</si>
  <si>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</si>
  <si>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</si>
  <si>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</si>
  <si>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</si>
  <si>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</si>
  <si>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</si>
  <si>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</si>
  <si>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</si>
  <si>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</si>
  <si>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</si>
  <si>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</si>
  <si>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</si>
  <si>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</si>
  <si>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</si>
  <si>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</si>
  <si>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</si>
  <si>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</si>
  <si>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</si>
  <si>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</si>
  <si>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</si>
  <si>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</si>
  <si>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</si>
  <si>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</si>
  <si>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</si>
  <si>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</si>
  <si>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</si>
  <si>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</si>
  <si>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</si>
  <si>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</si>
  <si>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</si>
  <si>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</si>
  <si>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</si>
  <si>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</si>
  <si>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</si>
  <si>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</si>
  <si>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</si>
  <si>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</si>
  <si>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</si>
  <si>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</si>
  <si>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</si>
  <si>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</si>
  <si>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</si>
  <si>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</si>
  <si>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</si>
  <si>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</si>
  <si>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</si>
  <si>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</si>
  <si>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</si>
  <si>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</si>
  <si>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</si>
  <si>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</si>
  <si>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</si>
  <si>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</si>
  <si>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</si>
  <si>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</si>
  <si>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</si>
  <si>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</si>
  <si>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</si>
  <si>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</si>
  <si>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</si>
  <si>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</si>
  <si>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</si>
  <si>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</si>
  <si>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</si>
  <si>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</si>
  <si>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</si>
  <si>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</si>
  <si>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</si>
  <si>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</si>
  <si>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</si>
  <si>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</si>
  <si>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</si>
  <si>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</si>
  <si>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</si>
  <si>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</si>
  <si>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</si>
  <si>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</si>
  <si>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</si>
  <si>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</si>
  <si>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</si>
  <si>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</si>
  <si>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</si>
  <si>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</si>
  <si>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</si>
  <si>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</si>
  <si>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</si>
  <si>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</si>
  <si>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</si>
  <si>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</si>
  <si>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</si>
  <si>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</si>
  <si>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</si>
  <si>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</si>
  <si>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</si>
  <si>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</si>
  <si>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</si>
  <si>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</si>
  <si>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</si>
  <si>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</si>
  <si>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</si>
  <si>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</si>
  <si>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</si>
  <si>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</si>
  <si>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</si>
  <si>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</si>
  <si>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</si>
  <si>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</si>
  <si>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</si>
  <si>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</si>
  <si>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</si>
  <si>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</si>
  <si>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</si>
  <si>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</si>
  <si>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</si>
  <si>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</si>
  <si>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</si>
  <si>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</si>
  <si>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</si>
  <si>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</si>
  <si>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</si>
  <si>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</si>
  <si>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</si>
  <si>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</si>
  <si>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</si>
  <si>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</si>
  <si>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</si>
  <si>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</si>
  <si>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</si>
  <si>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</si>
  <si>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</si>
  <si>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</si>
  <si>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</si>
  <si>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</si>
  <si>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</si>
  <si>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</si>
  <si>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</si>
  <si>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</si>
  <si>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</si>
  <si>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</si>
  <si>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</si>
  <si>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</si>
  <si>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</si>
  <si>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</si>
  <si>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</si>
  <si>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</si>
  <si>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</si>
  <si>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</si>
  <si>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</si>
  <si>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</si>
  <si>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</si>
  <si>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</si>
  <si>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</si>
  <si>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</si>
  <si>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</si>
  <si>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</si>
  <si>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</si>
  <si>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</si>
  <si>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</si>
  <si>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</si>
  <si>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</si>
  <si>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</si>
  <si>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</si>
  <si>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</si>
  <si>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</si>
  <si>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</si>
  <si>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</si>
  <si>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</si>
  <si>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</si>
  <si>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</si>
  <si>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</si>
  <si>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</si>
  <si>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</si>
  <si>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</si>
  <si>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</si>
  <si>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</si>
  <si>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</si>
  <si>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</si>
  <si>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</si>
  <si>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</si>
  <si>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</si>
  <si>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</si>
  <si>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</si>
  <si>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</si>
  <si>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</si>
  <si>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</si>
  <si>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</si>
  <si>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</si>
  <si>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</si>
  <si>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</si>
  <si>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</si>
  <si>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</si>
  <si>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</si>
  <si>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</si>
  <si>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</si>
  <si>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</si>
  <si>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</si>
  <si>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</si>
  <si>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</si>
  <si>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</si>
  <si>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</si>
  <si>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</si>
  <si>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</si>
  <si>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</si>
  <si>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</si>
  <si>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</si>
  <si>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</si>
  <si>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</si>
  <si>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</si>
  <si>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</si>
  <si>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</si>
  <si>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</si>
  <si>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</si>
  <si>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</si>
  <si>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</si>
  <si>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</si>
  <si>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</si>
  <si>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</si>
  <si>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</si>
  <si>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</si>
  <si>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</si>
  <si>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</si>
  <si>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</si>
  <si>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</si>
  <si>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</si>
  <si>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</si>
  <si>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</si>
  <si>
    <t>Seasonal Naive</t>
  </si>
  <si>
    <t>Next_year</t>
  </si>
  <si>
    <t>Seasonal forecast</t>
  </si>
  <si>
    <t>YoY Increase in Sales</t>
  </si>
  <si>
    <t>Deaseasonalized Actuals</t>
  </si>
  <si>
    <t>Linear forecast</t>
  </si>
  <si>
    <t>D3/E3</t>
  </si>
  <si>
    <t>s_factor</t>
  </si>
  <si>
    <t>Linear forecast on deasonalized history</t>
  </si>
  <si>
    <t>Linear forecast on deasonalized history reseasonalized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</si>
</sst>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7030A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5" fillId="0" borderId="0" xfId="0" applyFont="1"/>
    <xf numFmtId="9" fontId="5" fillId="0" borderId="0" xfId="1" applyFont="1"/>
    <xf numFmtId="9" fontId="2" fillId="0" borderId="0" xfId="0" applyNumberFormat="1" applyFont="1"/>
    <xf numFmtId="0" fontId="6" fillId="0" borderId="1" xfId="0" applyFont="1" applyBorder="1"/>
    <xf numFmtId="0" fontId="1" fillId="0" borderId="1" xfId="0" applyFont="1" applyBorder="1"/>
    <xf numFmtId="3" fontId="1" fillId="0" borderId="1" xfId="0" applyNumberFormat="1" applyFont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  <xf numFmtId="3" fontId="2" fillId="0" borderId="1" xfId="0" applyNumberFormat="1" applyFont="1" applyBorder="1"/>
    <xf numFmtId="3" fontId="7" fillId="2" borderId="1" xfId="0" applyNumberFormat="1" applyFont="1" applyFill="1" applyBorder="1"/>
    <xf numFmtId="3" fontId="8" fillId="0" borderId="3" xfId="0" applyNumberFormat="1" applyFont="1" applyBorder="1"/>
    <xf numFmtId="3" fontId="0" fillId="0" borderId="3" xfId="0" applyNumberFormat="1" applyBorder="1"/>
    <xf numFmtId="0" fontId="1" fillId="0" borderId="2" xfId="0" applyFont="1" applyBorder="1"/>
    <xf numFmtId="9" fontId="5" fillId="0" borderId="4" xfId="1" applyFont="1" applyBorder="1"/>
    <xf numFmtId="9" fontId="2" fillId="0" borderId="4" xfId="1" applyFont="1" applyBorder="1"/>
    <xf numFmtId="9" fontId="2" fillId="0" borderId="4" xfId="0" applyNumberFormat="1" applyFont="1" applyBorder="1"/>
    <xf numFmtId="3" fontId="10" fillId="0" borderId="4" xfId="0" applyNumberFormat="1" applyFont="1" applyBorder="1"/>
    <xf numFmtId="3" fontId="11" fillId="2" borderId="4" xfId="0" applyNumberFormat="1" applyFont="1" applyFill="1" applyBorder="1"/>
    <xf numFmtId="9" fontId="9" fillId="0" borderId="4" xfId="0" applyNumberFormat="1" applyFont="1" applyBorder="1" applyAlignment="1">
      <alignment vertical="center"/>
    </xf>
    <xf numFmtId="0" fontId="10" fillId="0" borderId="4" xfId="0" applyFont="1" applyBorder="1"/>
    <xf numFmtId="0" fontId="11" fillId="2" borderId="4" xfId="0" applyFont="1" applyFill="1" applyBorder="1"/>
    <xf numFmtId="3" fontId="1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0" fillId="0" borderId="2" xfId="1" applyFont="1" applyBorder="1"/>
    <xf numFmtId="3" fontId="0" fillId="0" borderId="1" xfId="1" applyNumberFormat="1" applyFont="1" applyBorder="1"/>
    <xf numFmtId="3" fontId="2" fillId="0" borderId="1" xfId="1" applyNumberFormat="1" applyFont="1" applyBorder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B-4D68-9155-88F4BE05D3C0}"/>
            </c:ext>
          </c:extLst>
        </c:ser>
        <c:ser>
          <c:idx val="1"/>
          <c:order val="1"/>
          <c:tx>
            <c:strRef>
              <c:f>Seasonality!$J$2</c:f>
              <c:strCache>
                <c:ptCount val="1"/>
                <c:pt idx="0">
                  <c:v>Seasonal Naive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Seasonality!$J$3:$J$38</c:f>
              <c:numCache>
                <c:formatCode>#,##0</c:formatCode>
                <c:ptCount val="36"/>
                <c:pt idx="12">
                  <c:v>315208</c:v>
                </c:pt>
                <c:pt idx="13">
                  <c:v>124695</c:v>
                </c:pt>
                <c:pt idx="14">
                  <c:v>279159</c:v>
                </c:pt>
                <c:pt idx="15">
                  <c:v>292385</c:v>
                </c:pt>
                <c:pt idx="16">
                  <c:v>358999</c:v>
                </c:pt>
                <c:pt idx="17">
                  <c:v>135750</c:v>
                </c:pt>
                <c:pt idx="18">
                  <c:v>275102</c:v>
                </c:pt>
                <c:pt idx="19">
                  <c:v>431817</c:v>
                </c:pt>
                <c:pt idx="20">
                  <c:v>154903</c:v>
                </c:pt>
                <c:pt idx="21">
                  <c:v>252743</c:v>
                </c:pt>
                <c:pt idx="22">
                  <c:v>384925</c:v>
                </c:pt>
                <c:pt idx="23">
                  <c:v>396514</c:v>
                </c:pt>
                <c:pt idx="24">
                  <c:v>433593</c:v>
                </c:pt>
                <c:pt idx="25">
                  <c:v>270488</c:v>
                </c:pt>
                <c:pt idx="26">
                  <c:v>172915</c:v>
                </c:pt>
                <c:pt idx="27">
                  <c:v>259561</c:v>
                </c:pt>
                <c:pt idx="28">
                  <c:v>283065</c:v>
                </c:pt>
                <c:pt idx="29">
                  <c:v>257989</c:v>
                </c:pt>
                <c:pt idx="30">
                  <c:v>291682</c:v>
                </c:pt>
                <c:pt idx="31">
                  <c:v>341289</c:v>
                </c:pt>
                <c:pt idx="32">
                  <c:v>305120</c:v>
                </c:pt>
                <c:pt idx="33">
                  <c:v>334736</c:v>
                </c:pt>
                <c:pt idx="34">
                  <c:v>369755</c:v>
                </c:pt>
                <c:pt idx="35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B-4D68-9155-88F4BE05D3C0}"/>
            </c:ext>
          </c:extLst>
        </c:ser>
        <c:ser>
          <c:idx val="2"/>
          <c:order val="2"/>
          <c:tx>
            <c:strRef>
              <c:f>Seasonality!$K$2</c:f>
              <c:strCache>
                <c:ptCount val="1"/>
                <c:pt idx="0">
                  <c:v>Seasonal forecast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Seasonality!$K$3:$K$38</c:f>
              <c:numCache>
                <c:formatCode>#,##0</c:formatCode>
                <c:ptCount val="36"/>
                <c:pt idx="24">
                  <c:v>465732.89142972312</c:v>
                </c:pt>
                <c:pt idx="25">
                  <c:v>245792.56869832211</c:v>
                </c:pt>
                <c:pt idx="26">
                  <c:v>281177.15008420218</c:v>
                </c:pt>
                <c:pt idx="27">
                  <c:v>343294.68910040177</c:v>
                </c:pt>
                <c:pt idx="28">
                  <c:v>399345.51797197619</c:v>
                </c:pt>
                <c:pt idx="29">
                  <c:v>244894.44183254</c:v>
                </c:pt>
                <c:pt idx="30">
                  <c:v>352523.50242067548</c:v>
                </c:pt>
                <c:pt idx="31">
                  <c:v>480849.90907019033</c:v>
                </c:pt>
                <c:pt idx="32">
                  <c:v>286121.20164659974</c:v>
                </c:pt>
                <c:pt idx="33">
                  <c:v>365395.20289668726</c:v>
                </c:pt>
                <c:pt idx="34">
                  <c:v>469389.46195876272</c:v>
                </c:pt>
                <c:pt idx="35">
                  <c:v>633527.12245255534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EB-4D68-9155-88F4BE05D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Seasonality!$H$2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4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Seasonality!$H$3:$H$38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269137.64543950657</c:v>
                      </c:pt>
                      <c:pt idx="1">
                        <c:v>272344.72699549154</c:v>
                      </c:pt>
                      <c:pt idx="2">
                        <c:v>275551.80855147645</c:v>
                      </c:pt>
                      <c:pt idx="3">
                        <c:v>278758.89010746137</c:v>
                      </c:pt>
                      <c:pt idx="4">
                        <c:v>281965.97166344628</c:v>
                      </c:pt>
                      <c:pt idx="5">
                        <c:v>285173.05321943125</c:v>
                      </c:pt>
                      <c:pt idx="6">
                        <c:v>288380.13477541617</c:v>
                      </c:pt>
                      <c:pt idx="7">
                        <c:v>291587.21633140108</c:v>
                      </c:pt>
                      <c:pt idx="8">
                        <c:v>294794.29788738606</c:v>
                      </c:pt>
                      <c:pt idx="9">
                        <c:v>298001.37944337097</c:v>
                      </c:pt>
                      <c:pt idx="10">
                        <c:v>301208.46099935588</c:v>
                      </c:pt>
                      <c:pt idx="11">
                        <c:v>304415.5425553408</c:v>
                      </c:pt>
                      <c:pt idx="12">
                        <c:v>307622.62411132577</c:v>
                      </c:pt>
                      <c:pt idx="13">
                        <c:v>310829.70566731069</c:v>
                      </c:pt>
                      <c:pt idx="14">
                        <c:v>314036.78722329566</c:v>
                      </c:pt>
                      <c:pt idx="15">
                        <c:v>317243.86877928057</c:v>
                      </c:pt>
                      <c:pt idx="16">
                        <c:v>320450.95033526549</c:v>
                      </c:pt>
                      <c:pt idx="17">
                        <c:v>323658.0318912504</c:v>
                      </c:pt>
                      <c:pt idx="18">
                        <c:v>326865.11344723537</c:v>
                      </c:pt>
                      <c:pt idx="19">
                        <c:v>330072.19500322029</c:v>
                      </c:pt>
                      <c:pt idx="20">
                        <c:v>333279.2765592052</c:v>
                      </c:pt>
                      <c:pt idx="21">
                        <c:v>336486.35811519017</c:v>
                      </c:pt>
                      <c:pt idx="22">
                        <c:v>339693.43967117509</c:v>
                      </c:pt>
                      <c:pt idx="23">
                        <c:v>342900.52122716</c:v>
                      </c:pt>
                      <c:pt idx="24">
                        <c:v>346107.60278314492</c:v>
                      </c:pt>
                      <c:pt idx="25">
                        <c:v>349314.68433912989</c:v>
                      </c:pt>
                      <c:pt idx="26">
                        <c:v>352521.7658951148</c:v>
                      </c:pt>
                      <c:pt idx="27">
                        <c:v>355728.84745109972</c:v>
                      </c:pt>
                      <c:pt idx="28">
                        <c:v>358935.92900708469</c:v>
                      </c:pt>
                      <c:pt idx="29">
                        <c:v>362143.01056306961</c:v>
                      </c:pt>
                      <c:pt idx="30">
                        <c:v>365350.09211905452</c:v>
                      </c:pt>
                      <c:pt idx="31">
                        <c:v>368557.17367503943</c:v>
                      </c:pt>
                      <c:pt idx="32">
                        <c:v>371764.25523102441</c:v>
                      </c:pt>
                      <c:pt idx="33">
                        <c:v>374971.33678700932</c:v>
                      </c:pt>
                      <c:pt idx="34">
                        <c:v>378178.41834299429</c:v>
                      </c:pt>
                      <c:pt idx="35">
                        <c:v>381385.49989897921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58-4D12-9DEF-EC52B865E18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Seasonality!$I$2</c15:sqref>
                        </c15:formulaRef>
                      </c:ext>
                    </c:extLst>
                    <c:strCache>
                      <c:ptCount val="1"/>
                      <c:pt idx="0">
                        <c:v>Linear forecast on deasonalized history reseasonalized</c:v>
                      </c:pt>
                    </c:strCache>
                  </c:strRef>
                </c:tx>
                <c:spPr>
                  <a:ln w="22225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solidFill>
                      <a:srgbClr val="7030A0"/>
                    </a:solidFill>
                    <a:ln w="9525">
                      <a:solidFill>
                        <a:srgbClr val="7030A0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Seasonality!$I$3:$I$38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329277.72975391446</c:v>
                      </c:pt>
                      <c:pt idx="1">
                        <c:v>175848.52074572584</c:v>
                      </c:pt>
                      <c:pt idx="2">
                        <c:v>203532.74531479407</c:v>
                      </c:pt>
                      <c:pt idx="3">
                        <c:v>251389.31318159003</c:v>
                      </c:pt>
                      <c:pt idx="4">
                        <c:v>295798.8725051498</c:v>
                      </c:pt>
                      <c:pt idx="5">
                        <c:v>183458.74312560409</c:v>
                      </c:pt>
                      <c:pt idx="6">
                        <c:v>267057.27716090059</c:v>
                      </c:pt>
                      <c:pt idx="7">
                        <c:v>368323.15163750004</c:v>
                      </c:pt>
                      <c:pt idx="8">
                        <c:v>221574.67406915361</c:v>
                      </c:pt>
                      <c:pt idx="9">
                        <c:v>286043.52135013172</c:v>
                      </c:pt>
                      <c:pt idx="10">
                        <c:v>371408.21230973437</c:v>
                      </c:pt>
                      <c:pt idx="11">
                        <c:v>506620.82171968539</c:v>
                      </c:pt>
                      <c:pt idx="12">
                        <c:v>376362.35957591666</c:v>
                      </c:pt>
                      <c:pt idx="13">
                        <c:v>200697.63989346771</c:v>
                      </c:pt>
                      <c:pt idx="14">
                        <c:v>231959.17228558048</c:v>
                      </c:pt>
                      <c:pt idx="15">
                        <c:v>286095.69457228639</c:v>
                      </c:pt>
                      <c:pt idx="16">
                        <c:v>336171.87649691</c:v>
                      </c:pt>
                      <c:pt idx="17">
                        <c:v>208217.06350910425</c:v>
                      </c:pt>
                      <c:pt idx="18">
                        <c:v>302696.67244620831</c:v>
                      </c:pt>
                      <c:pt idx="19">
                        <c:v>416936.08060416655</c:v>
                      </c:pt>
                      <c:pt idx="20">
                        <c:v>250500.93440348396</c:v>
                      </c:pt>
                      <c:pt idx="21">
                        <c:v>322984.2188694994</c:v>
                      </c:pt>
                      <c:pt idx="22">
                        <c:v>418862.51383185922</c:v>
                      </c:pt>
                      <c:pt idx="23">
                        <c:v>570669.10044723144</c:v>
                      </c:pt>
                      <c:pt idx="24">
                        <c:v>423446.98939791881</c:v>
                      </c:pt>
                      <c:pt idx="25">
                        <c:v>225546.75904120962</c:v>
                      </c:pt>
                      <c:pt idx="26">
                        <c:v>260385.59925636684</c:v>
                      </c:pt>
                      <c:pt idx="27">
                        <c:v>320802.07596298272</c:v>
                      </c:pt>
                      <c:pt idx="28">
                        <c:v>376544.8804886702</c:v>
                      </c:pt>
                      <c:pt idx="29">
                        <c:v>232975.38389260444</c:v>
                      </c:pt>
                      <c:pt idx="30">
                        <c:v>338336.06773151597</c:v>
                      </c:pt>
                      <c:pt idx="31">
                        <c:v>465549.009570833</c:v>
                      </c:pt>
                      <c:pt idx="32">
                        <c:v>279427.19473781431</c:v>
                      </c:pt>
                      <c:pt idx="33">
                        <c:v>359924.91638886702</c:v>
                      </c:pt>
                      <c:pt idx="34">
                        <c:v>466316.81535398413</c:v>
                      </c:pt>
                      <c:pt idx="35">
                        <c:v>634717.37917477742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758-4D12-9DEF-EC52B865E188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Seasonality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Seasonality!$B$3</c:f>
              <c:strCache>
                <c:ptCount val="1"/>
                <c:pt idx="0">
                  <c:v>Prev_year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Seasonality!$D$3:$D$14</c:f>
              <c:numCache>
                <c:formatCode>#,##0</c:formatCode>
                <c:ptCount val="12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66-4A0A-BB10-6E152A296805}"/>
            </c:ext>
          </c:extLst>
        </c:ser>
        <c:ser>
          <c:idx val="1"/>
          <c:order val="1"/>
          <c:tx>
            <c:strRef>
              <c:f>Seasonality!$B$15</c:f>
              <c:strCache>
                <c:ptCount val="1"/>
                <c:pt idx="0">
                  <c:v>Last_year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Seasonality!$D$15:$D$26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66-4A0A-BB10-6E152A296805}"/>
            </c:ext>
          </c:extLst>
        </c:ser>
        <c:ser>
          <c:idx val="2"/>
          <c:order val="2"/>
          <c:tx>
            <c:strRef>
              <c:f>Seasonality!$J$2</c:f>
              <c:strCache>
                <c:ptCount val="1"/>
                <c:pt idx="0">
                  <c:v>Seasonal Naive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Seasonality!$J$27:$J$38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66-4A0A-BB10-6E152A296805}"/>
            </c:ext>
          </c:extLst>
        </c:ser>
        <c:ser>
          <c:idx val="3"/>
          <c:order val="3"/>
          <c:tx>
            <c:strRef>
              <c:f>Seasonality!$K$2</c:f>
              <c:strCache>
                <c:ptCount val="1"/>
                <c:pt idx="0">
                  <c:v>Seasonal forecast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Seasonality!$K$27:$K$38</c:f>
              <c:numCache>
                <c:formatCode>#,##0</c:formatCode>
                <c:ptCount val="12"/>
                <c:pt idx="0">
                  <c:v>465732.89142972312</c:v>
                </c:pt>
                <c:pt idx="1">
                  <c:v>245792.56869832211</c:v>
                </c:pt>
                <c:pt idx="2">
                  <c:v>281177.15008420218</c:v>
                </c:pt>
                <c:pt idx="3">
                  <c:v>343294.68910040177</c:v>
                </c:pt>
                <c:pt idx="4">
                  <c:v>399345.51797197619</c:v>
                </c:pt>
                <c:pt idx="5">
                  <c:v>244894.44183254</c:v>
                </c:pt>
                <c:pt idx="6">
                  <c:v>352523.50242067548</c:v>
                </c:pt>
                <c:pt idx="7">
                  <c:v>480849.90907019033</c:v>
                </c:pt>
                <c:pt idx="8">
                  <c:v>286121.20164659974</c:v>
                </c:pt>
                <c:pt idx="9">
                  <c:v>365395.20289668726</c:v>
                </c:pt>
                <c:pt idx="10">
                  <c:v>469389.46195876272</c:v>
                </c:pt>
                <c:pt idx="11">
                  <c:v>633527.12245255534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66-4A0A-BB10-6E152A296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8925759"/>
        <c:axId val="248926239"/>
      </c:barChart>
      <c:catAx>
        <c:axId val="2489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6239"/>
        <c:crosses val="autoZero"/>
        <c:auto val="1"/>
        <c:lblAlgn val="ctr"/>
        <c:lblOffset val="100"/>
        <c:noMultiLvlLbl val="0"/>
      </c:catAx>
      <c:valAx>
        <c:axId val="24892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A5-4F4C-AB8E-D71D14090990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269137.64543950657</c:v>
                </c:pt>
                <c:pt idx="1">
                  <c:v>272344.72699549154</c:v>
                </c:pt>
                <c:pt idx="2">
                  <c:v>275551.80855147645</c:v>
                </c:pt>
                <c:pt idx="3">
                  <c:v>278758.89010746137</c:v>
                </c:pt>
                <c:pt idx="4">
                  <c:v>281965.97166344628</c:v>
                </c:pt>
                <c:pt idx="5">
                  <c:v>285173.05321943125</c:v>
                </c:pt>
                <c:pt idx="6">
                  <c:v>288380.13477541617</c:v>
                </c:pt>
                <c:pt idx="7">
                  <c:v>291587.21633140108</c:v>
                </c:pt>
                <c:pt idx="8">
                  <c:v>294794.29788738606</c:v>
                </c:pt>
                <c:pt idx="9">
                  <c:v>298001.37944337097</c:v>
                </c:pt>
                <c:pt idx="10">
                  <c:v>301208.46099935588</c:v>
                </c:pt>
                <c:pt idx="11">
                  <c:v>304415.5425553408</c:v>
                </c:pt>
                <c:pt idx="12">
                  <c:v>307622.62411132577</c:v>
                </c:pt>
                <c:pt idx="13">
                  <c:v>310829.70566731069</c:v>
                </c:pt>
                <c:pt idx="14">
                  <c:v>314036.78722329566</c:v>
                </c:pt>
                <c:pt idx="15">
                  <c:v>317243.86877928057</c:v>
                </c:pt>
                <c:pt idx="16">
                  <c:v>320450.95033526549</c:v>
                </c:pt>
                <c:pt idx="17">
                  <c:v>323658.0318912504</c:v>
                </c:pt>
                <c:pt idx="18">
                  <c:v>326865.11344723537</c:v>
                </c:pt>
                <c:pt idx="19">
                  <c:v>330072.19500322029</c:v>
                </c:pt>
                <c:pt idx="20">
                  <c:v>333279.2765592052</c:v>
                </c:pt>
                <c:pt idx="21">
                  <c:v>336486.35811519017</c:v>
                </c:pt>
                <c:pt idx="22">
                  <c:v>339693.43967117509</c:v>
                </c:pt>
                <c:pt idx="23">
                  <c:v>342900.52122716</c:v>
                </c:pt>
                <c:pt idx="24">
                  <c:v>346107.60278314492</c:v>
                </c:pt>
                <c:pt idx="25">
                  <c:v>349314.68433912989</c:v>
                </c:pt>
                <c:pt idx="26">
                  <c:v>352521.7658951148</c:v>
                </c:pt>
                <c:pt idx="27">
                  <c:v>355728.84745109972</c:v>
                </c:pt>
                <c:pt idx="28">
                  <c:v>358935.92900708469</c:v>
                </c:pt>
                <c:pt idx="29">
                  <c:v>362143.01056306961</c:v>
                </c:pt>
                <c:pt idx="30">
                  <c:v>365350.09211905452</c:v>
                </c:pt>
                <c:pt idx="31">
                  <c:v>368557.17367503943</c:v>
                </c:pt>
                <c:pt idx="32">
                  <c:v>371764.25523102441</c:v>
                </c:pt>
                <c:pt idx="33">
                  <c:v>374971.33678700932</c:v>
                </c:pt>
                <c:pt idx="34">
                  <c:v>378178.41834299429</c:v>
                </c:pt>
                <c:pt idx="35">
                  <c:v>381385.49989897921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A5-4F4C-AB8E-D71D14090990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329277.72975391446</c:v>
                </c:pt>
                <c:pt idx="1">
                  <c:v>175848.52074572584</c:v>
                </c:pt>
                <c:pt idx="2">
                  <c:v>203532.74531479407</c:v>
                </c:pt>
                <c:pt idx="3">
                  <c:v>251389.31318159003</c:v>
                </c:pt>
                <c:pt idx="4">
                  <c:v>295798.8725051498</c:v>
                </c:pt>
                <c:pt idx="5">
                  <c:v>183458.74312560409</c:v>
                </c:pt>
                <c:pt idx="6">
                  <c:v>267057.27716090059</c:v>
                </c:pt>
                <c:pt idx="7">
                  <c:v>368323.15163750004</c:v>
                </c:pt>
                <c:pt idx="8">
                  <c:v>221574.67406915361</c:v>
                </c:pt>
                <c:pt idx="9">
                  <c:v>286043.52135013172</c:v>
                </c:pt>
                <c:pt idx="10">
                  <c:v>371408.21230973437</c:v>
                </c:pt>
                <c:pt idx="11">
                  <c:v>506620.82171968539</c:v>
                </c:pt>
                <c:pt idx="12">
                  <c:v>376362.35957591666</c:v>
                </c:pt>
                <c:pt idx="13">
                  <c:v>200697.63989346771</c:v>
                </c:pt>
                <c:pt idx="14">
                  <c:v>231959.17228558048</c:v>
                </c:pt>
                <c:pt idx="15">
                  <c:v>286095.69457228639</c:v>
                </c:pt>
                <c:pt idx="16">
                  <c:v>336171.87649691</c:v>
                </c:pt>
                <c:pt idx="17">
                  <c:v>208217.06350910425</c:v>
                </c:pt>
                <c:pt idx="18">
                  <c:v>302696.67244620831</c:v>
                </c:pt>
                <c:pt idx="19">
                  <c:v>416936.08060416655</c:v>
                </c:pt>
                <c:pt idx="20">
                  <c:v>250500.93440348396</c:v>
                </c:pt>
                <c:pt idx="21">
                  <c:v>322984.2188694994</c:v>
                </c:pt>
                <c:pt idx="22">
                  <c:v>418862.51383185922</c:v>
                </c:pt>
                <c:pt idx="23">
                  <c:v>570669.10044723144</c:v>
                </c:pt>
                <c:pt idx="24">
                  <c:v>423446.98939791881</c:v>
                </c:pt>
                <c:pt idx="25">
                  <c:v>225546.75904120962</c:v>
                </c:pt>
                <c:pt idx="26">
                  <c:v>260385.59925636684</c:v>
                </c:pt>
                <c:pt idx="27">
                  <c:v>320802.07596298272</c:v>
                </c:pt>
                <c:pt idx="28">
                  <c:v>376544.8804886702</c:v>
                </c:pt>
                <c:pt idx="29">
                  <c:v>232975.38389260444</c:v>
                </c:pt>
                <c:pt idx="30">
                  <c:v>338336.06773151597</c:v>
                </c:pt>
                <c:pt idx="31">
                  <c:v>465549.009570833</c:v>
                </c:pt>
                <c:pt idx="32">
                  <c:v>279427.19473781431</c:v>
                </c:pt>
                <c:pt idx="33">
                  <c:v>359924.91638886702</c:v>
                </c:pt>
                <c:pt idx="34">
                  <c:v>466316.81535398413</c:v>
                </c:pt>
                <c:pt idx="35">
                  <c:v>634717.37917477742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A5-4F4C-AB8E-D71D14090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Seasonality!$J$2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Seasonality!$J$3:$J$38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1A5-4F4C-AB8E-D71D1409099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Seasonality!$K$2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Seasonality!$K$3:$K$38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465732.89142972312</c:v>
                      </c:pt>
                      <c:pt idx="25">
                        <c:v>245792.56869832211</c:v>
                      </c:pt>
                      <c:pt idx="26">
                        <c:v>281177.15008420218</c:v>
                      </c:pt>
                      <c:pt idx="27">
                        <c:v>343294.68910040177</c:v>
                      </c:pt>
                      <c:pt idx="28">
                        <c:v>399345.51797197619</c:v>
                      </c:pt>
                      <c:pt idx="29">
                        <c:v>244894.44183254</c:v>
                      </c:pt>
                      <c:pt idx="30">
                        <c:v>352523.50242067548</c:v>
                      </c:pt>
                      <c:pt idx="31">
                        <c:v>480849.90907019033</c:v>
                      </c:pt>
                      <c:pt idx="32">
                        <c:v>286121.20164659974</c:v>
                      </c:pt>
                      <c:pt idx="33">
                        <c:v>365395.20289668726</c:v>
                      </c:pt>
                      <c:pt idx="34">
                        <c:v>469389.46195876272</c:v>
                      </c:pt>
                      <c:pt idx="35">
                        <c:v>633527.12245255534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1A5-4F4C-AB8E-D71D14090990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14942</xdr:colOff>
      <xdr:row>38</xdr:row>
      <xdr:rowOff>164353</xdr:rowOff>
    </xdr:from>
    <xdr:to>
      <xdr:col>9</xdr:col>
      <xdr:colOff>143917</xdr:colOff>
      <xdr:row>68</xdr:row>
      <xdr:rowOff>12221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2" y="7074647"/>
          <a:ext cx="11491740" cy="5450809"/>
        </a:xfrm>
        <a:prstGeom prst="rect">
          <a:avLst/>
        </a:prstGeom>
      </xdr:spPr>
    </xdr:pic>
    <xdr:clientData/>
  </xdr:twoCellAnchor>
  <xdr:twoCellAnchor>
    <xdr:from>
      <xdr:col>18</xdr:col>
      <xdr:colOff>114170</xdr:colOff>
      <xdr:row>1</xdr:row>
      <xdr:rowOff>103354</xdr:rowOff>
    </xdr:from>
    <xdr:to>
      <xdr:col>40</xdr:col>
      <xdr:colOff>134470</xdr:colOff>
      <xdr:row>34</xdr:row>
      <xdr:rowOff>156883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6061EA-EA0C-398E-3278-96E8119312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508001</xdr:colOff>
      <xdr:row>36</xdr:row>
      <xdr:rowOff>32870</xdr:rowOff>
    </xdr:from>
    <xdr:to>
      <xdr:col>40</xdr:col>
      <xdr:colOff>179294</xdr:colOff>
      <xdr:row>54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FD12697-7E9D-6C9D-54F3-5545C57794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0</xdr:colOff>
      <xdr:row>2</xdr:row>
      <xdr:rowOff>0</xdr:rowOff>
    </xdr:from>
    <xdr:to>
      <xdr:col>63</xdr:col>
      <xdr:colOff>20301</xdr:colOff>
      <xdr:row>35</xdr:row>
      <xdr:rowOff>53528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254B04-C7B4-4C11-B57B-4B809659C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2497-863C-4D5B-B2C0-ABDAF52F9390}">
  <dimension ref="A1:AI1241"/>
  <sheetViews>
    <sheetView topLeftCell="E1" zoomScaleNormal="100" workbookViewId="0">
      <pane ySplit="3" topLeftCell="A4" activePane="bottomLeft" state="frozen"/>
      <selection pane="bottomLeft" activeCell="X4" sqref="X4"/>
    </sheetView>
  </sheetViews>
  <sheetFormatPr defaultRowHeight="14.5" x14ac:dyDescent="0.35"/>
  <cols>
    <col min="1" max="1" width="36.81640625" bestFit="1" customWidth="1"/>
    <col min="2" max="2" width="7.453125" bestFit="1" customWidth="1"/>
    <col min="3" max="3" width="15.81640625" bestFit="1" customWidth="1"/>
    <col min="4" max="4" width="10.81640625" style="1" bestFit="1" customWidth="1"/>
    <col min="5" max="20" width="9.81640625" bestFit="1" customWidth="1"/>
    <col min="21" max="22" width="10.36328125" bestFit="1" customWidth="1"/>
    <col min="23" max="34" width="9.7265625" bestFit="1" customWidth="1"/>
  </cols>
  <sheetData>
    <row r="1" spans="1:35" x14ac:dyDescent="0.35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 s="8">
        <v>19</v>
      </c>
      <c r="X1" s="8">
        <v>20</v>
      </c>
      <c r="Y1" s="8">
        <v>21</v>
      </c>
      <c r="Z1" s="8">
        <v>22</v>
      </c>
      <c r="AA1" s="8">
        <v>23</v>
      </c>
      <c r="AB1" s="8">
        <v>24</v>
      </c>
      <c r="AC1" s="8">
        <v>25</v>
      </c>
      <c r="AD1" s="8">
        <v>26</v>
      </c>
      <c r="AE1" s="8">
        <v>27</v>
      </c>
      <c r="AF1" s="8">
        <v>28</v>
      </c>
      <c r="AG1" s="8">
        <v>29</v>
      </c>
      <c r="AH1" s="8">
        <v>30</v>
      </c>
      <c r="AI1" s="8"/>
    </row>
    <row r="2" spans="1:35" x14ac:dyDescent="0.35">
      <c r="B2" s="1" t="s">
        <v>0</v>
      </c>
      <c r="C2" s="1" t="s">
        <v>1</v>
      </c>
      <c r="D2" s="2">
        <f>SUBTOTAL(9,D$4:D$5001)</f>
        <v>789495828.36094213</v>
      </c>
      <c r="E2" s="2">
        <f t="shared" ref="E2:AH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2">
        <f t="shared" si="0"/>
        <v>52354486.405860662</v>
      </c>
      <c r="X2" s="2">
        <f t="shared" si="0"/>
        <v>52892036.561048582</v>
      </c>
      <c r="Y2" s="2">
        <f t="shared" si="0"/>
        <v>53321502.034284137</v>
      </c>
      <c r="Z2" s="2">
        <f t="shared" si="0"/>
        <v>53717975.922510102</v>
      </c>
      <c r="AA2" s="2">
        <f t="shared" si="0"/>
        <v>54058191.624665998</v>
      </c>
      <c r="AB2" s="2">
        <f t="shared" si="0"/>
        <v>54315424.767952725</v>
      </c>
      <c r="AC2" s="2">
        <f t="shared" si="0"/>
        <v>54533056.713890068</v>
      </c>
      <c r="AD2" s="2">
        <f t="shared" si="0"/>
        <v>54731768.744764961</v>
      </c>
      <c r="AE2" s="2">
        <f t="shared" si="0"/>
        <v>54915873.63498196</v>
      </c>
      <c r="AF2" s="2">
        <f t="shared" si="0"/>
        <v>55086133.23948025</v>
      </c>
      <c r="AG2" s="2">
        <f t="shared" si="0"/>
        <v>55240201.273518674</v>
      </c>
      <c r="AH2" s="2">
        <f t="shared" si="0"/>
        <v>55372853.263108574</v>
      </c>
    </row>
    <row r="3" spans="1:35" x14ac:dyDescent="0.3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10" t="s">
        <v>23</v>
      </c>
      <c r="X3" s="10" t="s">
        <v>1271</v>
      </c>
      <c r="Y3" s="10" t="s">
        <v>1272</v>
      </c>
      <c r="Z3" s="10" t="s">
        <v>1273</v>
      </c>
      <c r="AA3" s="10" t="s">
        <v>1274</v>
      </c>
      <c r="AB3" s="10" t="s">
        <v>1275</v>
      </c>
      <c r="AC3" s="10" t="s">
        <v>1296</v>
      </c>
      <c r="AD3" s="10" t="s">
        <v>1297</v>
      </c>
      <c r="AE3" s="10" t="s">
        <v>1298</v>
      </c>
      <c r="AF3" s="10" t="s">
        <v>1299</v>
      </c>
      <c r="AG3" s="10" t="s">
        <v>1300</v>
      </c>
      <c r="AH3" s="10" t="s">
        <v>1301</v>
      </c>
    </row>
    <row r="4" spans="1:35" x14ac:dyDescent="0.35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IF(OR((SLOPE($E4:$V4,$E$1:$V$1)*W$1+INTERCEPT($E4:$V4,$E$1:$V$1))&gt;(AVERAGE($E4:$V4)+_xlfn.STDEV.P($E4:$V4)),(SLOPE($E4:$V4,$E$1:$V$1)*W$1+INTERCEPT($E4:$V4,$E$1:$V$1))&lt;(AVERAGE($E4:$V4)-_xlfn.STDEV.P($E4:$V4))),V4,(SLOPE($E4:$V4,$E$1:$V$1)*W$1+INTERCEPT($E4:$V4,$E$1:$V$1)))</f>
        <v>1324341.2700414956</v>
      </c>
      <c r="X4" s="5">
        <f t="shared" ref="X4:AH4" si="2">IF(OR((SLOPE($E4:$V4,$E$1:$V$1)*X$1+INTERCEPT($E4:$V4,$E$1:$V$1))&gt;(AVERAGE($E4:$V4)+_xlfn.STDEV.P($E4:$V4)),(SLOPE($E4:$V4,$E$1:$V$1)*X$1+INTERCEPT($E4:$V4,$E$1:$V$1))&lt;(AVERAGE($E4:$V4)-_xlfn.STDEV.P($E4:$V4))),W4,(SLOPE($E4:$V4,$E$1:$V$1)*X$1+INTERCEPT($E4:$V4,$E$1:$V$1)))</f>
        <v>1336902.236676502</v>
      </c>
      <c r="Y4" s="5">
        <f t="shared" si="2"/>
        <v>1349463.2033115083</v>
      </c>
      <c r="Z4" s="5">
        <f t="shared" si="2"/>
        <v>1362024.1699465145</v>
      </c>
      <c r="AA4" s="5">
        <f t="shared" si="2"/>
        <v>1374585.136581521</v>
      </c>
      <c r="AB4" s="5">
        <f t="shared" si="2"/>
        <v>1387146.1032165273</v>
      </c>
      <c r="AC4" s="5">
        <f t="shared" si="2"/>
        <v>1399707.0698515335</v>
      </c>
      <c r="AD4" s="5">
        <f t="shared" si="2"/>
        <v>1412268.0364865398</v>
      </c>
      <c r="AE4" s="5">
        <f t="shared" si="2"/>
        <v>1424829.003121546</v>
      </c>
      <c r="AF4" s="5">
        <f t="shared" si="2"/>
        <v>1437389.9697565525</v>
      </c>
      <c r="AG4" s="5">
        <f t="shared" si="2"/>
        <v>1449950.9363915587</v>
      </c>
      <c r="AH4" s="5">
        <f t="shared" si="2"/>
        <v>1462511.903026565</v>
      </c>
    </row>
    <row r="5" spans="1:35" x14ac:dyDescent="0.35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H5" si="3">IF(OR((SLOPE($E5:$V5,$E$1:$V$1)*W$1+INTERCEPT($E5:$V5,$E$1:$V$1))&gt;(AVERAGE($E5:$V5)+_xlfn.STDEV.P($E5:$V5)),(SLOPE($E5:$V5,$E$1:$V$1)*W$1+INTERCEPT($E5:$V5,$E$1:$V$1))&lt;(AVERAGE($E5:$V5)-_xlfn.STDEV.P($E5:$V5))),V5,(SLOPE($E5:$V5,$E$1:$V$1)*W$1+INTERCEPT($E5:$V5,$E$1:$V$1)))</f>
        <v>1293952.0796327014</v>
      </c>
      <c r="X5" s="5">
        <f t="shared" si="3"/>
        <v>1311277.8782803761</v>
      </c>
      <c r="Y5" s="5">
        <f t="shared" si="3"/>
        <v>1328603.6769280508</v>
      </c>
      <c r="Z5" s="5">
        <f t="shared" si="3"/>
        <v>1345929.4755757255</v>
      </c>
      <c r="AA5" s="5">
        <f t="shared" si="3"/>
        <v>1363255.2742234003</v>
      </c>
      <c r="AB5" s="5">
        <f t="shared" si="3"/>
        <v>1380581.072871075</v>
      </c>
      <c r="AC5" s="5">
        <f t="shared" si="3"/>
        <v>1380581.072871075</v>
      </c>
      <c r="AD5" s="5">
        <f t="shared" si="3"/>
        <v>1380581.072871075</v>
      </c>
      <c r="AE5" s="5">
        <f t="shared" si="3"/>
        <v>1380581.072871075</v>
      </c>
      <c r="AF5" s="5">
        <f t="shared" si="3"/>
        <v>1380581.072871075</v>
      </c>
      <c r="AG5" s="5">
        <f t="shared" si="3"/>
        <v>1380581.072871075</v>
      </c>
      <c r="AH5" s="5">
        <f t="shared" si="3"/>
        <v>1380581.072871075</v>
      </c>
    </row>
    <row r="6" spans="1:35" x14ac:dyDescent="0.35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ref="W6:AH6" si="4">IF(OR((SLOPE($E6:$V6,$E$1:$V$1)*W$1+INTERCEPT($E6:$V6,$E$1:$V$1))&gt;(AVERAGE($E6:$V6)+_xlfn.STDEV.P($E6:$V6)),(SLOPE($E6:$V6,$E$1:$V$1)*W$1+INTERCEPT($E6:$V6,$E$1:$V$1))&lt;(AVERAGE($E6:$V6)-_xlfn.STDEV.P($E6:$V6))),V6,(SLOPE($E6:$V6,$E$1:$V$1)*W$1+INTERCEPT($E6:$V6,$E$1:$V$1)))</f>
        <v>968205.23368171148</v>
      </c>
      <c r="X6" s="5">
        <f t="shared" si="4"/>
        <v>977249.96438370668</v>
      </c>
      <c r="Y6" s="5">
        <f t="shared" si="4"/>
        <v>986294.695085702</v>
      </c>
      <c r="Z6" s="5">
        <f t="shared" si="4"/>
        <v>995339.42578769731</v>
      </c>
      <c r="AA6" s="5">
        <f t="shared" si="4"/>
        <v>1004384.1564896926</v>
      </c>
      <c r="AB6" s="5">
        <f t="shared" si="4"/>
        <v>1013428.8871916879</v>
      </c>
      <c r="AC6" s="5">
        <f t="shared" si="4"/>
        <v>1022473.6178936833</v>
      </c>
      <c r="AD6" s="5">
        <f t="shared" si="4"/>
        <v>1031518.3485956785</v>
      </c>
      <c r="AE6" s="5">
        <f t="shared" si="4"/>
        <v>1040563.0792976738</v>
      </c>
      <c r="AF6" s="5">
        <f t="shared" si="4"/>
        <v>1049607.809999669</v>
      </c>
      <c r="AG6" s="5">
        <f t="shared" si="4"/>
        <v>1058652.5407016643</v>
      </c>
      <c r="AH6" s="5">
        <f t="shared" si="4"/>
        <v>1067697.2714036596</v>
      </c>
    </row>
    <row r="7" spans="1:35" x14ac:dyDescent="0.35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ref="W7:AH7" si="5">IF(OR((SLOPE($E7:$V7,$E$1:$V$1)*W$1+INTERCEPT($E7:$V7,$E$1:$V$1))&gt;(AVERAGE($E7:$V7)+_xlfn.STDEV.P($E7:$V7)),(SLOPE($E7:$V7,$E$1:$V$1)*W$1+INTERCEPT($E7:$V7,$E$1:$V$1))&lt;(AVERAGE($E7:$V7)-_xlfn.STDEV.P($E7:$V7))),V7,(SLOPE($E7:$V7,$E$1:$V$1)*W$1+INTERCEPT($E7:$V7,$E$1:$V$1)))</f>
        <v>1098322.7594533272</v>
      </c>
      <c r="X7" s="5">
        <f t="shared" si="5"/>
        <v>1122152.5045400697</v>
      </c>
      <c r="Y7" s="5">
        <f t="shared" si="5"/>
        <v>1145982.2496268121</v>
      </c>
      <c r="Z7" s="5">
        <f t="shared" si="5"/>
        <v>1169811.9947135546</v>
      </c>
      <c r="AA7" s="5">
        <f t="shared" si="5"/>
        <v>1193641.7398002972</v>
      </c>
      <c r="AB7" s="5">
        <f t="shared" si="5"/>
        <v>1193641.7398002972</v>
      </c>
      <c r="AC7" s="5">
        <f t="shared" si="5"/>
        <v>1193641.7398002972</v>
      </c>
      <c r="AD7" s="5">
        <f t="shared" si="5"/>
        <v>1193641.7398002972</v>
      </c>
      <c r="AE7" s="5">
        <f t="shared" si="5"/>
        <v>1193641.7398002972</v>
      </c>
      <c r="AF7" s="5">
        <f t="shared" si="5"/>
        <v>1193641.7398002972</v>
      </c>
      <c r="AG7" s="5">
        <f t="shared" si="5"/>
        <v>1193641.7398002972</v>
      </c>
      <c r="AH7" s="5">
        <f t="shared" si="5"/>
        <v>1193641.7398002972</v>
      </c>
    </row>
    <row r="8" spans="1:35" x14ac:dyDescent="0.35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ref="W8:AH8" si="6">IF(OR((SLOPE($E8:$V8,$E$1:$V$1)*W$1+INTERCEPT($E8:$V8,$E$1:$V$1))&gt;(AVERAGE($E8:$V8)+_xlfn.STDEV.P($E8:$V8)),(SLOPE($E8:$V8,$E$1:$V$1)*W$1+INTERCEPT($E8:$V8,$E$1:$V$1))&lt;(AVERAGE($E8:$V8)-_xlfn.STDEV.P($E8:$V8))),V8,(SLOPE($E8:$V8,$E$1:$V$1)*W$1+INTERCEPT($E8:$V8,$E$1:$V$1)))</f>
        <v>1393578.3311448521</v>
      </c>
      <c r="X8" s="5">
        <f t="shared" si="6"/>
        <v>1453198.4125016159</v>
      </c>
      <c r="Y8" s="5">
        <f t="shared" si="6"/>
        <v>1453198.4125016159</v>
      </c>
      <c r="Z8" s="5">
        <f t="shared" si="6"/>
        <v>1453198.4125016159</v>
      </c>
      <c r="AA8" s="5">
        <f t="shared" si="6"/>
        <v>1453198.4125016159</v>
      </c>
      <c r="AB8" s="5">
        <f t="shared" si="6"/>
        <v>1453198.4125016159</v>
      </c>
      <c r="AC8" s="5">
        <f t="shared" si="6"/>
        <v>1453198.4125016159</v>
      </c>
      <c r="AD8" s="5">
        <f t="shared" si="6"/>
        <v>1453198.4125016159</v>
      </c>
      <c r="AE8" s="5">
        <f t="shared" si="6"/>
        <v>1453198.4125016159</v>
      </c>
      <c r="AF8" s="5">
        <f t="shared" si="6"/>
        <v>1453198.4125016159</v>
      </c>
      <c r="AG8" s="5">
        <f t="shared" si="6"/>
        <v>1453198.4125016159</v>
      </c>
      <c r="AH8" s="5">
        <f t="shared" si="6"/>
        <v>1453198.4125016159</v>
      </c>
    </row>
    <row r="9" spans="1:35" x14ac:dyDescent="0.35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ref="W9:AH9" si="7">IF(OR((SLOPE($E9:$V9,$E$1:$V$1)*W$1+INTERCEPT($E9:$V9,$E$1:$V$1))&gt;(AVERAGE($E9:$V9)+_xlfn.STDEV.P($E9:$V9)),(SLOPE($E9:$V9,$E$1:$V$1)*W$1+INTERCEPT($E9:$V9,$E$1:$V$1))&lt;(AVERAGE($E9:$V9)-_xlfn.STDEV.P($E9:$V9))),V9,(SLOPE($E9:$V9,$E$1:$V$1)*W$1+INTERCEPT($E9:$V9,$E$1:$V$1)))</f>
        <v>1057341.5999999999</v>
      </c>
      <c r="X9" s="5">
        <f t="shared" si="7"/>
        <v>1057341.5999999999</v>
      </c>
      <c r="Y9" s="5">
        <f t="shared" si="7"/>
        <v>1057341.5999999999</v>
      </c>
      <c r="Z9" s="5">
        <f t="shared" si="7"/>
        <v>1057341.5999999999</v>
      </c>
      <c r="AA9" s="5">
        <f t="shared" si="7"/>
        <v>1057341.5999999999</v>
      </c>
      <c r="AB9" s="5">
        <f t="shared" si="7"/>
        <v>1057341.5999999999</v>
      </c>
      <c r="AC9" s="5">
        <f t="shared" si="7"/>
        <v>1057341.5999999999</v>
      </c>
      <c r="AD9" s="5">
        <f t="shared" si="7"/>
        <v>1057341.5999999999</v>
      </c>
      <c r="AE9" s="5">
        <f t="shared" si="7"/>
        <v>1057341.5999999999</v>
      </c>
      <c r="AF9" s="5">
        <f t="shared" si="7"/>
        <v>1057341.5999999999</v>
      </c>
      <c r="AG9" s="5">
        <f t="shared" si="7"/>
        <v>1057341.5999999999</v>
      </c>
      <c r="AH9" s="5">
        <f t="shared" si="7"/>
        <v>1057341.5999999999</v>
      </c>
    </row>
    <row r="10" spans="1:35" x14ac:dyDescent="0.35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ref="W10:AH10" si="8">IF(OR((SLOPE($E10:$V10,$E$1:$V$1)*W$1+INTERCEPT($E10:$V10,$E$1:$V$1))&gt;(AVERAGE($E10:$V10)+_xlfn.STDEV.P($E10:$V10)),(SLOPE($E10:$V10,$E$1:$V$1)*W$1+INTERCEPT($E10:$V10,$E$1:$V$1))&lt;(AVERAGE($E10:$V10)-_xlfn.STDEV.P($E10:$V10))),V10,(SLOPE($E10:$V10,$E$1:$V$1)*W$1+INTERCEPT($E10:$V10,$E$1:$V$1)))</f>
        <v>641343.00262708194</v>
      </c>
      <c r="X10" s="5">
        <f t="shared" si="8"/>
        <v>634986.61196229921</v>
      </c>
      <c r="Y10" s="5">
        <f t="shared" si="8"/>
        <v>628630.22129751649</v>
      </c>
      <c r="Z10" s="5">
        <f t="shared" si="8"/>
        <v>622273.83063273376</v>
      </c>
      <c r="AA10" s="5">
        <f t="shared" si="8"/>
        <v>615917.43996795104</v>
      </c>
      <c r="AB10" s="5">
        <f t="shared" si="8"/>
        <v>609561.0493031682</v>
      </c>
      <c r="AC10" s="5">
        <f t="shared" si="8"/>
        <v>603204.65863838547</v>
      </c>
      <c r="AD10" s="5">
        <f t="shared" si="8"/>
        <v>596848.26797360275</v>
      </c>
      <c r="AE10" s="5">
        <f t="shared" si="8"/>
        <v>590491.87730882003</v>
      </c>
      <c r="AF10" s="5">
        <f t="shared" si="8"/>
        <v>584135.4866440373</v>
      </c>
      <c r="AG10" s="5">
        <f t="shared" si="8"/>
        <v>577779.09597925446</v>
      </c>
      <c r="AH10" s="5">
        <f t="shared" si="8"/>
        <v>571422.70531447174</v>
      </c>
    </row>
    <row r="11" spans="1:35" x14ac:dyDescent="0.35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ref="W11:AH11" si="9">IF(OR((SLOPE($E11:$V11,$E$1:$V$1)*W$1+INTERCEPT($E11:$V11,$E$1:$V$1))&gt;(AVERAGE($E11:$V11)+_xlfn.STDEV.P($E11:$V11)),(SLOPE($E11:$V11,$E$1:$V$1)*W$1+INTERCEPT($E11:$V11,$E$1:$V$1))&lt;(AVERAGE($E11:$V11)-_xlfn.STDEV.P($E11:$V11))),V11,(SLOPE($E11:$V11,$E$1:$V$1)*W$1+INTERCEPT($E11:$V11,$E$1:$V$1)))</f>
        <v>1054410.7918235294</v>
      </c>
      <c r="X11" s="5">
        <f t="shared" si="9"/>
        <v>1093085.2466470588</v>
      </c>
      <c r="Y11" s="5">
        <f t="shared" si="9"/>
        <v>1093085.2466470588</v>
      </c>
      <c r="Z11" s="5">
        <f t="shared" si="9"/>
        <v>1093085.2466470588</v>
      </c>
      <c r="AA11" s="5">
        <f t="shared" si="9"/>
        <v>1093085.2466470588</v>
      </c>
      <c r="AB11" s="5">
        <f t="shared" si="9"/>
        <v>1093085.2466470588</v>
      </c>
      <c r="AC11" s="5">
        <f t="shared" si="9"/>
        <v>1093085.2466470588</v>
      </c>
      <c r="AD11" s="5">
        <f t="shared" si="9"/>
        <v>1093085.2466470588</v>
      </c>
      <c r="AE11" s="5">
        <f t="shared" si="9"/>
        <v>1093085.2466470588</v>
      </c>
      <c r="AF11" s="5">
        <f t="shared" si="9"/>
        <v>1093085.2466470588</v>
      </c>
      <c r="AG11" s="5">
        <f t="shared" si="9"/>
        <v>1093085.2466470588</v>
      </c>
      <c r="AH11" s="5">
        <f t="shared" si="9"/>
        <v>1093085.2466470588</v>
      </c>
    </row>
    <row r="12" spans="1:35" x14ac:dyDescent="0.35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ref="W12:AH12" si="10">IF(OR((SLOPE($E12:$V12,$E$1:$V$1)*W$1+INTERCEPT($E12:$V12,$E$1:$V$1))&gt;(AVERAGE($E12:$V12)+_xlfn.STDEV.P($E12:$V12)),(SLOPE($E12:$V12,$E$1:$V$1)*W$1+INTERCEPT($E12:$V12,$E$1:$V$1))&lt;(AVERAGE($E12:$V12)-_xlfn.STDEV.P($E12:$V12))),V12,(SLOPE($E12:$V12,$E$1:$V$1)*W$1+INTERCEPT($E12:$V12,$E$1:$V$1)))</f>
        <v>623807.5227951745</v>
      </c>
      <c r="X12" s="5">
        <f t="shared" si="10"/>
        <v>628163.23856729432</v>
      </c>
      <c r="Y12" s="5">
        <f t="shared" si="10"/>
        <v>632518.95433941402</v>
      </c>
      <c r="Z12" s="5">
        <f t="shared" si="10"/>
        <v>636874.67011153384</v>
      </c>
      <c r="AA12" s="5">
        <f t="shared" si="10"/>
        <v>641230.38588365354</v>
      </c>
      <c r="AB12" s="5">
        <f t="shared" si="10"/>
        <v>645586.10165577335</v>
      </c>
      <c r="AC12" s="5">
        <f t="shared" si="10"/>
        <v>649941.81742789305</v>
      </c>
      <c r="AD12" s="5">
        <f t="shared" si="10"/>
        <v>654297.53320001287</v>
      </c>
      <c r="AE12" s="5">
        <f t="shared" si="10"/>
        <v>658653.24897213257</v>
      </c>
      <c r="AF12" s="5">
        <f t="shared" si="10"/>
        <v>663008.96474425239</v>
      </c>
      <c r="AG12" s="5">
        <f t="shared" si="10"/>
        <v>667364.68051637209</v>
      </c>
      <c r="AH12" s="5">
        <f t="shared" si="10"/>
        <v>671720.3962884919</v>
      </c>
    </row>
    <row r="13" spans="1:35" x14ac:dyDescent="0.35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ref="W13:AH13" si="11">IF(OR((SLOPE($E13:$V13,$E$1:$V$1)*W$1+INTERCEPT($E13:$V13,$E$1:$V$1))&gt;(AVERAGE($E13:$V13)+_xlfn.STDEV.P($E13:$V13)),(SLOPE($E13:$V13,$E$1:$V$1)*W$1+INTERCEPT($E13:$V13,$E$1:$V$1))&lt;(AVERAGE($E13:$V13)-_xlfn.STDEV.P($E13:$V13))),V13,(SLOPE($E13:$V13,$E$1:$V$1)*W$1+INTERCEPT($E13:$V13,$E$1:$V$1)))</f>
        <v>605564.61997142225</v>
      </c>
      <c r="X13" s="5">
        <f t="shared" si="11"/>
        <v>609100.05609341559</v>
      </c>
      <c r="Y13" s="5">
        <f t="shared" si="11"/>
        <v>612635.49221540894</v>
      </c>
      <c r="Z13" s="5">
        <f t="shared" si="11"/>
        <v>616170.92833740218</v>
      </c>
      <c r="AA13" s="5">
        <f t="shared" si="11"/>
        <v>619706.36445939553</v>
      </c>
      <c r="AB13" s="5">
        <f t="shared" si="11"/>
        <v>623241.80058138887</v>
      </c>
      <c r="AC13" s="5">
        <f t="shared" si="11"/>
        <v>626777.23670338222</v>
      </c>
      <c r="AD13" s="5">
        <f t="shared" si="11"/>
        <v>630312.67282537557</v>
      </c>
      <c r="AE13" s="5">
        <f t="shared" si="11"/>
        <v>633848.1089473688</v>
      </c>
      <c r="AF13" s="5">
        <f t="shared" si="11"/>
        <v>637383.54506936215</v>
      </c>
      <c r="AG13" s="5">
        <f t="shared" si="11"/>
        <v>640918.9811913555</v>
      </c>
      <c r="AH13" s="5">
        <f t="shared" si="11"/>
        <v>644454.41731334873</v>
      </c>
    </row>
    <row r="14" spans="1:35" x14ac:dyDescent="0.35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ref="W14:AH14" si="12">IF(OR((SLOPE($E14:$V14,$E$1:$V$1)*W$1+INTERCEPT($E14:$V14,$E$1:$V$1))&gt;(AVERAGE($E14:$V14)+_xlfn.STDEV.P($E14:$V14)),(SLOPE($E14:$V14,$E$1:$V$1)*W$1+INTERCEPT($E14:$V14,$E$1:$V$1))&lt;(AVERAGE($E14:$V14)-_xlfn.STDEV.P($E14:$V14))),V14,(SLOPE($E14:$V14,$E$1:$V$1)*W$1+INTERCEPT($E14:$V14,$E$1:$V$1)))</f>
        <v>612805.94826784439</v>
      </c>
      <c r="X14" s="5">
        <f t="shared" si="12"/>
        <v>612805.94826784439</v>
      </c>
      <c r="Y14" s="5">
        <f t="shared" si="12"/>
        <v>612805.94826784439</v>
      </c>
      <c r="Z14" s="5">
        <f t="shared" si="12"/>
        <v>612805.94826784439</v>
      </c>
      <c r="AA14" s="5">
        <f t="shared" si="12"/>
        <v>612805.94826784439</v>
      </c>
      <c r="AB14" s="5">
        <f t="shared" si="12"/>
        <v>612805.94826784439</v>
      </c>
      <c r="AC14" s="5">
        <f t="shared" si="12"/>
        <v>612805.94826784439</v>
      </c>
      <c r="AD14" s="5">
        <f t="shared" si="12"/>
        <v>612805.94826784439</v>
      </c>
      <c r="AE14" s="5">
        <f t="shared" si="12"/>
        <v>612805.94826784439</v>
      </c>
      <c r="AF14" s="5">
        <f t="shared" si="12"/>
        <v>612805.94826784439</v>
      </c>
      <c r="AG14" s="5">
        <f t="shared" si="12"/>
        <v>612805.94826784439</v>
      </c>
      <c r="AH14" s="5">
        <f t="shared" si="12"/>
        <v>612805.94826784439</v>
      </c>
    </row>
    <row r="15" spans="1:35" x14ac:dyDescent="0.35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ref="W15:AH15" si="13">IF(OR((SLOPE($E15:$V15,$E$1:$V$1)*W$1+INTERCEPT($E15:$V15,$E$1:$V$1))&gt;(AVERAGE($E15:$V15)+_xlfn.STDEV.P($E15:$V15)),(SLOPE($E15:$V15,$E$1:$V$1)*W$1+INTERCEPT($E15:$V15,$E$1:$V$1))&lt;(AVERAGE($E15:$V15)-_xlfn.STDEV.P($E15:$V15))),V15,(SLOPE($E15:$V15,$E$1:$V$1)*W$1+INTERCEPT($E15:$V15,$E$1:$V$1)))</f>
        <v>583434.36350391316</v>
      </c>
      <c r="X15" s="5">
        <f t="shared" si="13"/>
        <v>589663.77719506773</v>
      </c>
      <c r="Y15" s="5">
        <f t="shared" si="13"/>
        <v>595893.19088622229</v>
      </c>
      <c r="Z15" s="5">
        <f t="shared" si="13"/>
        <v>602122.60457737674</v>
      </c>
      <c r="AA15" s="5">
        <f t="shared" si="13"/>
        <v>608352.0182685313</v>
      </c>
      <c r="AB15" s="5">
        <f t="shared" si="13"/>
        <v>614581.43195968587</v>
      </c>
      <c r="AC15" s="5">
        <f t="shared" si="13"/>
        <v>620810.84565084032</v>
      </c>
      <c r="AD15" s="5">
        <f t="shared" si="13"/>
        <v>627040.25934199488</v>
      </c>
      <c r="AE15" s="5">
        <f t="shared" si="13"/>
        <v>633269.67303314945</v>
      </c>
      <c r="AF15" s="5">
        <f t="shared" si="13"/>
        <v>639499.0867243039</v>
      </c>
      <c r="AG15" s="5">
        <f t="shared" si="13"/>
        <v>645728.50041545846</v>
      </c>
      <c r="AH15" s="5">
        <f t="shared" si="13"/>
        <v>651957.91410661303</v>
      </c>
    </row>
    <row r="16" spans="1:35" x14ac:dyDescent="0.35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ref="W16:AH16" si="14">IF(OR((SLOPE($E16:$V16,$E$1:$V$1)*W$1+INTERCEPT($E16:$V16,$E$1:$V$1))&gt;(AVERAGE($E16:$V16)+_xlfn.STDEV.P($E16:$V16)),(SLOPE($E16:$V16,$E$1:$V$1)*W$1+INTERCEPT($E16:$V16,$E$1:$V$1))&lt;(AVERAGE($E16:$V16)-_xlfn.STDEV.P($E16:$V16))),V16,(SLOPE($E16:$V16,$E$1:$V$1)*W$1+INTERCEPT($E16:$V16,$E$1:$V$1)))</f>
        <v>382684.20416470588</v>
      </c>
      <c r="X16" s="5">
        <f t="shared" si="14"/>
        <v>368087.36576099071</v>
      </c>
      <c r="Y16" s="5">
        <f t="shared" si="14"/>
        <v>353490.52735727554</v>
      </c>
      <c r="Z16" s="5">
        <f t="shared" si="14"/>
        <v>338893.68895356037</v>
      </c>
      <c r="AA16" s="5">
        <f t="shared" si="14"/>
        <v>324296.8505498452</v>
      </c>
      <c r="AB16" s="5">
        <f t="shared" si="14"/>
        <v>324296.8505498452</v>
      </c>
      <c r="AC16" s="5">
        <f t="shared" si="14"/>
        <v>324296.8505498452</v>
      </c>
      <c r="AD16" s="5">
        <f t="shared" si="14"/>
        <v>324296.8505498452</v>
      </c>
      <c r="AE16" s="5">
        <f t="shared" si="14"/>
        <v>324296.8505498452</v>
      </c>
      <c r="AF16" s="5">
        <f t="shared" si="14"/>
        <v>324296.8505498452</v>
      </c>
      <c r="AG16" s="5">
        <f t="shared" si="14"/>
        <v>324296.8505498452</v>
      </c>
      <c r="AH16" s="5">
        <f t="shared" si="14"/>
        <v>324296.8505498452</v>
      </c>
    </row>
    <row r="17" spans="1:34" x14ac:dyDescent="0.35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ref="W17:AH17" si="15">IF(OR((SLOPE($E17:$V17,$E$1:$V$1)*W$1+INTERCEPT($E17:$V17,$E$1:$V$1))&gt;(AVERAGE($E17:$V17)+_xlfn.STDEV.P($E17:$V17)),(SLOPE($E17:$V17,$E$1:$V$1)*W$1+INTERCEPT($E17:$V17,$E$1:$V$1))&lt;(AVERAGE($E17:$V17)-_xlfn.STDEV.P($E17:$V17))),V17,(SLOPE($E17:$V17,$E$1:$V$1)*W$1+INTERCEPT($E17:$V17,$E$1:$V$1)))</f>
        <v>493468.7486499527</v>
      </c>
      <c r="X17" s="5">
        <f t="shared" si="15"/>
        <v>491012.76945386326</v>
      </c>
      <c r="Y17" s="5">
        <f t="shared" si="15"/>
        <v>488556.79025777383</v>
      </c>
      <c r="Z17" s="5">
        <f t="shared" si="15"/>
        <v>486100.81106168439</v>
      </c>
      <c r="AA17" s="5">
        <f t="shared" si="15"/>
        <v>483644.83186559496</v>
      </c>
      <c r="AB17" s="5">
        <f t="shared" si="15"/>
        <v>481188.85266950552</v>
      </c>
      <c r="AC17" s="5">
        <f t="shared" si="15"/>
        <v>478732.87347341602</v>
      </c>
      <c r="AD17" s="5">
        <f t="shared" si="15"/>
        <v>476276.89427732659</v>
      </c>
      <c r="AE17" s="5">
        <f t="shared" si="15"/>
        <v>473820.91508123715</v>
      </c>
      <c r="AF17" s="5">
        <f t="shared" si="15"/>
        <v>471364.93588514772</v>
      </c>
      <c r="AG17" s="5">
        <f t="shared" si="15"/>
        <v>468908.95668905828</v>
      </c>
      <c r="AH17" s="5">
        <f t="shared" si="15"/>
        <v>466452.97749296884</v>
      </c>
    </row>
    <row r="18" spans="1:34" x14ac:dyDescent="0.35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ref="W18:AH18" si="16">IF(OR((SLOPE($E18:$V18,$E$1:$V$1)*W$1+INTERCEPT($E18:$V18,$E$1:$V$1))&gt;(AVERAGE($E18:$V18)+_xlfn.STDEV.P($E18:$V18)),(SLOPE($E18:$V18,$E$1:$V$1)*W$1+INTERCEPT($E18:$V18,$E$1:$V$1))&lt;(AVERAGE($E18:$V18)-_xlfn.STDEV.P($E18:$V18))),V18,(SLOPE($E18:$V18,$E$1:$V$1)*W$1+INTERCEPT($E18:$V18,$E$1:$V$1)))</f>
        <v>415747.90123820346</v>
      </c>
      <c r="X18" s="5">
        <f t="shared" si="16"/>
        <v>410053.22905335377</v>
      </c>
      <c r="Y18" s="5">
        <f t="shared" si="16"/>
        <v>404358.55686850415</v>
      </c>
      <c r="Z18" s="5">
        <f t="shared" si="16"/>
        <v>398663.88468365453</v>
      </c>
      <c r="AA18" s="5">
        <f t="shared" si="16"/>
        <v>392969.2124988049</v>
      </c>
      <c r="AB18" s="5">
        <f t="shared" si="16"/>
        <v>387274.54031395528</v>
      </c>
      <c r="AC18" s="5">
        <f t="shared" si="16"/>
        <v>381579.86812910566</v>
      </c>
      <c r="AD18" s="5">
        <f t="shared" si="16"/>
        <v>375885.19594425603</v>
      </c>
      <c r="AE18" s="5">
        <f t="shared" si="16"/>
        <v>370190.52375940635</v>
      </c>
      <c r="AF18" s="5">
        <f t="shared" si="16"/>
        <v>364495.85157455673</v>
      </c>
      <c r="AG18" s="5">
        <f t="shared" si="16"/>
        <v>358801.17938970705</v>
      </c>
      <c r="AH18" s="5">
        <f t="shared" si="16"/>
        <v>353106.50720485742</v>
      </c>
    </row>
    <row r="19" spans="1:34" x14ac:dyDescent="0.35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ref="W19:AH19" si="17">IF(OR((SLOPE($E19:$V19,$E$1:$V$1)*W$1+INTERCEPT($E19:$V19,$E$1:$V$1))&gt;(AVERAGE($E19:$V19)+_xlfn.STDEV.P($E19:$V19)),(SLOPE($E19:$V19,$E$1:$V$1)*W$1+INTERCEPT($E19:$V19,$E$1:$V$1))&lt;(AVERAGE($E19:$V19)-_xlfn.STDEV.P($E19:$V19))),V19,(SLOPE($E19:$V19,$E$1:$V$1)*W$1+INTERCEPT($E19:$V19,$E$1:$V$1)))</f>
        <v>434260.98061203514</v>
      </c>
      <c r="X19" s="5">
        <f t="shared" si="17"/>
        <v>432082.21886348893</v>
      </c>
      <c r="Y19" s="5">
        <f t="shared" si="17"/>
        <v>429903.45711494272</v>
      </c>
      <c r="Z19" s="5">
        <f t="shared" si="17"/>
        <v>427724.69536639651</v>
      </c>
      <c r="AA19" s="5">
        <f t="shared" si="17"/>
        <v>425545.9336178503</v>
      </c>
      <c r="AB19" s="5">
        <f t="shared" si="17"/>
        <v>423367.17186930409</v>
      </c>
      <c r="AC19" s="5">
        <f t="shared" si="17"/>
        <v>421188.41012075788</v>
      </c>
      <c r="AD19" s="5">
        <f t="shared" si="17"/>
        <v>419009.64837221167</v>
      </c>
      <c r="AE19" s="5">
        <f t="shared" si="17"/>
        <v>416830.88662366546</v>
      </c>
      <c r="AF19" s="5">
        <f t="shared" si="17"/>
        <v>414652.12487511925</v>
      </c>
      <c r="AG19" s="5">
        <f t="shared" si="17"/>
        <v>412473.36312657304</v>
      </c>
      <c r="AH19" s="5">
        <f t="shared" si="17"/>
        <v>410294.60137802683</v>
      </c>
    </row>
    <row r="20" spans="1:34" x14ac:dyDescent="0.35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ref="W20:AH20" si="18">IF(OR((SLOPE($E20:$V20,$E$1:$V$1)*W$1+INTERCEPT($E20:$V20,$E$1:$V$1))&gt;(AVERAGE($E20:$V20)+_xlfn.STDEV.P($E20:$V20)),(SLOPE($E20:$V20,$E$1:$V$1)*W$1+INTERCEPT($E20:$V20,$E$1:$V$1))&lt;(AVERAGE($E20:$V20)-_xlfn.STDEV.P($E20:$V20))),V20,(SLOPE($E20:$V20,$E$1:$V$1)*W$1+INTERCEPT($E20:$V20,$E$1:$V$1)))</f>
        <v>908386.79400000011</v>
      </c>
      <c r="X20" s="5">
        <f t="shared" si="18"/>
        <v>908386.79400000011</v>
      </c>
      <c r="Y20" s="5">
        <f t="shared" si="18"/>
        <v>908386.79400000011</v>
      </c>
      <c r="Z20" s="5">
        <f t="shared" si="18"/>
        <v>908386.79400000011</v>
      </c>
      <c r="AA20" s="5">
        <f t="shared" si="18"/>
        <v>908386.79400000011</v>
      </c>
      <c r="AB20" s="5">
        <f t="shared" si="18"/>
        <v>908386.79400000011</v>
      </c>
      <c r="AC20" s="5">
        <f t="shared" si="18"/>
        <v>908386.79400000011</v>
      </c>
      <c r="AD20" s="5">
        <f t="shared" si="18"/>
        <v>908386.79400000011</v>
      </c>
      <c r="AE20" s="5">
        <f t="shared" si="18"/>
        <v>908386.79400000011</v>
      </c>
      <c r="AF20" s="5">
        <f t="shared" si="18"/>
        <v>908386.79400000011</v>
      </c>
      <c r="AG20" s="5">
        <f t="shared" si="18"/>
        <v>908386.79400000011</v>
      </c>
      <c r="AH20" s="5">
        <f t="shared" si="18"/>
        <v>908386.79400000011</v>
      </c>
    </row>
    <row r="21" spans="1:34" x14ac:dyDescent="0.35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H21" si="19">IF(OR((SLOPE($E21:$V21,$E$1:$V$1)*W$1+INTERCEPT($E21:$V21,$E$1:$V$1))&gt;(AVERAGE($E21:$V21)+_xlfn.STDEV.P($E21:$V21)),(SLOPE($E21:$V21,$E$1:$V$1)*W$1+INTERCEPT($E21:$V21,$E$1:$V$1))&lt;(AVERAGE($E21:$V21)-_xlfn.STDEV.P($E21:$V21))),V21,(SLOPE($E21:$V21,$E$1:$V$1)*W$1+INTERCEPT($E21:$V21,$E$1:$V$1)))</f>
        <v>475658.14544974593</v>
      </c>
      <c r="X21" s="5">
        <f t="shared" si="19"/>
        <v>480315.46627409552</v>
      </c>
      <c r="Y21" s="5">
        <f t="shared" si="19"/>
        <v>484972.78709844511</v>
      </c>
      <c r="Z21" s="5">
        <f t="shared" si="19"/>
        <v>489630.10792279465</v>
      </c>
      <c r="AA21" s="5">
        <f t="shared" si="19"/>
        <v>494287.42874714424</v>
      </c>
      <c r="AB21" s="5">
        <f t="shared" si="19"/>
        <v>498944.74957149383</v>
      </c>
      <c r="AC21" s="5">
        <f t="shared" si="19"/>
        <v>503602.07039584336</v>
      </c>
      <c r="AD21" s="5">
        <f t="shared" si="19"/>
        <v>508259.39122019295</v>
      </c>
      <c r="AE21" s="5">
        <f t="shared" si="19"/>
        <v>512916.71204454254</v>
      </c>
      <c r="AF21" s="5">
        <f t="shared" si="19"/>
        <v>517574.03286889207</v>
      </c>
      <c r="AG21" s="5">
        <f t="shared" si="19"/>
        <v>522231.35369324172</v>
      </c>
      <c r="AH21" s="5">
        <f t="shared" si="19"/>
        <v>526888.67451759125</v>
      </c>
    </row>
    <row r="22" spans="1:34" x14ac:dyDescent="0.35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ref="W22:AH22" si="20">IF(OR((SLOPE($E22:$V22,$E$1:$V$1)*W$1+INTERCEPT($E22:$V22,$E$1:$V$1))&gt;(AVERAGE($E22:$V22)+_xlfn.STDEV.P($E22:$V22)),(SLOPE($E22:$V22,$E$1:$V$1)*W$1+INTERCEPT($E22:$V22,$E$1:$V$1))&lt;(AVERAGE($E22:$V22)-_xlfn.STDEV.P($E22:$V22))),V22,(SLOPE($E22:$V22,$E$1:$V$1)*W$1+INTERCEPT($E22:$V22,$E$1:$V$1)))</f>
        <v>448077.10428815032</v>
      </c>
      <c r="X22" s="5">
        <f t="shared" si="20"/>
        <v>450281.18099835305</v>
      </c>
      <c r="Y22" s="5">
        <f t="shared" si="20"/>
        <v>452485.25770855573</v>
      </c>
      <c r="Z22" s="5">
        <f t="shared" si="20"/>
        <v>454689.3344187584</v>
      </c>
      <c r="AA22" s="5">
        <f t="shared" si="20"/>
        <v>456893.41112896113</v>
      </c>
      <c r="AB22" s="5">
        <f t="shared" si="20"/>
        <v>459097.4878391638</v>
      </c>
      <c r="AC22" s="5">
        <f t="shared" si="20"/>
        <v>461301.56454936648</v>
      </c>
      <c r="AD22" s="5">
        <f t="shared" si="20"/>
        <v>463505.64125956921</v>
      </c>
      <c r="AE22" s="5">
        <f t="shared" si="20"/>
        <v>465709.71796977188</v>
      </c>
      <c r="AF22" s="5">
        <f t="shared" si="20"/>
        <v>467913.79467997456</v>
      </c>
      <c r="AG22" s="5">
        <f t="shared" si="20"/>
        <v>470117.87139017723</v>
      </c>
      <c r="AH22" s="5">
        <f t="shared" si="20"/>
        <v>472321.94810037996</v>
      </c>
    </row>
    <row r="23" spans="1:34" x14ac:dyDescent="0.35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ref="W23:AH23" si="21">IF(OR((SLOPE($E23:$V23,$E$1:$V$1)*W$1+INTERCEPT($E23:$V23,$E$1:$V$1))&gt;(AVERAGE($E23:$V23)+_xlfn.STDEV.P($E23:$V23)),(SLOPE($E23:$V23,$E$1:$V$1)*W$1+INTERCEPT($E23:$V23,$E$1:$V$1))&lt;(AVERAGE($E23:$V23)-_xlfn.STDEV.P($E23:$V23))),V23,(SLOPE($E23:$V23,$E$1:$V$1)*W$1+INTERCEPT($E23:$V23,$E$1:$V$1)))</f>
        <v>519844.12782403332</v>
      </c>
      <c r="X23" s="5">
        <f t="shared" si="21"/>
        <v>532035.48881478526</v>
      </c>
      <c r="Y23" s="5">
        <f t="shared" si="21"/>
        <v>544226.84980553715</v>
      </c>
      <c r="Z23" s="5">
        <f t="shared" si="21"/>
        <v>556418.21079628915</v>
      </c>
      <c r="AA23" s="5">
        <f t="shared" si="21"/>
        <v>568609.57178704103</v>
      </c>
      <c r="AB23" s="5">
        <f t="shared" si="21"/>
        <v>568609.57178704103</v>
      </c>
      <c r="AC23" s="5">
        <f t="shared" si="21"/>
        <v>568609.57178704103</v>
      </c>
      <c r="AD23" s="5">
        <f t="shared" si="21"/>
        <v>568609.57178704103</v>
      </c>
      <c r="AE23" s="5">
        <f t="shared" si="21"/>
        <v>568609.57178704103</v>
      </c>
      <c r="AF23" s="5">
        <f t="shared" si="21"/>
        <v>568609.57178704103</v>
      </c>
      <c r="AG23" s="5">
        <f t="shared" si="21"/>
        <v>568609.57178704103</v>
      </c>
      <c r="AH23" s="5">
        <f t="shared" si="21"/>
        <v>568609.57178704103</v>
      </c>
    </row>
    <row r="24" spans="1:34" x14ac:dyDescent="0.35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ref="W24:AH24" si="22">IF(OR((SLOPE($E24:$V24,$E$1:$V$1)*W$1+INTERCEPT($E24:$V24,$E$1:$V$1))&gt;(AVERAGE($E24:$V24)+_xlfn.STDEV.P($E24:$V24)),(SLOPE($E24:$V24,$E$1:$V$1)*W$1+INTERCEPT($E24:$V24,$E$1:$V$1))&lt;(AVERAGE($E24:$V24)-_xlfn.STDEV.P($E24:$V24))),V24,(SLOPE($E24:$V24,$E$1:$V$1)*W$1+INTERCEPT($E24:$V24,$E$1:$V$1)))</f>
        <v>254784.34665717054</v>
      </c>
      <c r="X24" s="5">
        <f t="shared" si="22"/>
        <v>242298.94153158067</v>
      </c>
      <c r="Y24" s="5">
        <f t="shared" si="22"/>
        <v>229813.53640599077</v>
      </c>
      <c r="Z24" s="5">
        <f t="shared" si="22"/>
        <v>229813.53640599077</v>
      </c>
      <c r="AA24" s="5">
        <f t="shared" si="22"/>
        <v>229813.53640599077</v>
      </c>
      <c r="AB24" s="5">
        <f t="shared" si="22"/>
        <v>229813.53640599077</v>
      </c>
      <c r="AC24" s="5">
        <f t="shared" si="22"/>
        <v>229813.53640599077</v>
      </c>
      <c r="AD24" s="5">
        <f t="shared" si="22"/>
        <v>229813.53640599077</v>
      </c>
      <c r="AE24" s="5">
        <f t="shared" si="22"/>
        <v>229813.53640599077</v>
      </c>
      <c r="AF24" s="5">
        <f t="shared" si="22"/>
        <v>229813.53640599077</v>
      </c>
      <c r="AG24" s="5">
        <f t="shared" si="22"/>
        <v>229813.53640599077</v>
      </c>
      <c r="AH24" s="5">
        <f t="shared" si="22"/>
        <v>229813.53640599077</v>
      </c>
    </row>
    <row r="25" spans="1:34" x14ac:dyDescent="0.35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ref="W25:AH25" si="23">IF(OR((SLOPE($E25:$V25,$E$1:$V$1)*W$1+INTERCEPT($E25:$V25,$E$1:$V$1))&gt;(AVERAGE($E25:$V25)+_xlfn.STDEV.P($E25:$V25)),(SLOPE($E25:$V25,$E$1:$V$1)*W$1+INTERCEPT($E25:$V25,$E$1:$V$1))&lt;(AVERAGE($E25:$V25)-_xlfn.STDEV.P($E25:$V25))),V25,(SLOPE($E25:$V25,$E$1:$V$1)*W$1+INTERCEPT($E25:$V25,$E$1:$V$1)))</f>
        <v>331146.22230782779</v>
      </c>
      <c r="X25" s="5">
        <f t="shared" si="23"/>
        <v>327263.58588597417</v>
      </c>
      <c r="Y25" s="5">
        <f t="shared" si="23"/>
        <v>323380.94946412055</v>
      </c>
      <c r="Z25" s="5">
        <f t="shared" si="23"/>
        <v>319498.31304226693</v>
      </c>
      <c r="AA25" s="5">
        <f t="shared" si="23"/>
        <v>315615.67662041332</v>
      </c>
      <c r="AB25" s="5">
        <f t="shared" si="23"/>
        <v>311733.04019855964</v>
      </c>
      <c r="AC25" s="5">
        <f t="shared" si="23"/>
        <v>307850.40377670608</v>
      </c>
      <c r="AD25" s="5">
        <f t="shared" si="23"/>
        <v>303967.7673548524</v>
      </c>
      <c r="AE25" s="5">
        <f t="shared" si="23"/>
        <v>300085.13093299884</v>
      </c>
      <c r="AF25" s="5">
        <f t="shared" si="23"/>
        <v>296202.49451114517</v>
      </c>
      <c r="AG25" s="5">
        <f t="shared" si="23"/>
        <v>292319.85808929161</v>
      </c>
      <c r="AH25" s="5">
        <f t="shared" si="23"/>
        <v>288437.22166743793</v>
      </c>
    </row>
    <row r="26" spans="1:34" x14ac:dyDescent="0.35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ref="W26:AH26" si="24">IF(OR((SLOPE($E26:$V26,$E$1:$V$1)*W$1+INTERCEPT($E26:$V26,$E$1:$V$1))&gt;(AVERAGE($E26:$V26)+_xlfn.STDEV.P($E26:$V26)),(SLOPE($E26:$V26,$E$1:$V$1)*W$1+INTERCEPT($E26:$V26,$E$1:$V$1))&lt;(AVERAGE($E26:$V26)-_xlfn.STDEV.P($E26:$V26))),V26,(SLOPE($E26:$V26,$E$1:$V$1)*W$1+INTERCEPT($E26:$V26,$E$1:$V$1)))</f>
        <v>394135.37656014209</v>
      </c>
      <c r="X26" s="5">
        <f t="shared" si="24"/>
        <v>394135.37656014209</v>
      </c>
      <c r="Y26" s="5">
        <f t="shared" si="24"/>
        <v>394135.37656014209</v>
      </c>
      <c r="Z26" s="5">
        <f t="shared" si="24"/>
        <v>394135.37656014209</v>
      </c>
      <c r="AA26" s="5">
        <f t="shared" si="24"/>
        <v>394135.37656014209</v>
      </c>
      <c r="AB26" s="5">
        <f t="shared" si="24"/>
        <v>394135.37656014209</v>
      </c>
      <c r="AC26" s="5">
        <f t="shared" si="24"/>
        <v>394135.37656014209</v>
      </c>
      <c r="AD26" s="5">
        <f t="shared" si="24"/>
        <v>394135.37656014209</v>
      </c>
      <c r="AE26" s="5">
        <f t="shared" si="24"/>
        <v>394135.37656014209</v>
      </c>
      <c r="AF26" s="5">
        <f t="shared" si="24"/>
        <v>394135.37656014209</v>
      </c>
      <c r="AG26" s="5">
        <f t="shared" si="24"/>
        <v>394135.37656014209</v>
      </c>
      <c r="AH26" s="5">
        <f t="shared" si="24"/>
        <v>394135.37656014209</v>
      </c>
    </row>
    <row r="27" spans="1:34" x14ac:dyDescent="0.35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ref="W27:AH27" si="25">IF(OR((SLOPE($E27:$V27,$E$1:$V$1)*W$1+INTERCEPT($E27:$V27,$E$1:$V$1))&gt;(AVERAGE($E27:$V27)+_xlfn.STDEV.P($E27:$V27)),(SLOPE($E27:$V27,$E$1:$V$1)*W$1+INTERCEPT($E27:$V27,$E$1:$V$1))&lt;(AVERAGE($E27:$V27)-_xlfn.STDEV.P($E27:$V27))),V27,(SLOPE($E27:$V27,$E$1:$V$1)*W$1+INTERCEPT($E27:$V27,$E$1:$V$1)))</f>
        <v>345895.0497429875</v>
      </c>
      <c r="X27" s="5">
        <f t="shared" si="25"/>
        <v>348113.84327133209</v>
      </c>
      <c r="Y27" s="5">
        <f t="shared" si="25"/>
        <v>350332.63679967663</v>
      </c>
      <c r="Z27" s="5">
        <f t="shared" si="25"/>
        <v>352551.43032802123</v>
      </c>
      <c r="AA27" s="5">
        <f t="shared" si="25"/>
        <v>354770.22385636577</v>
      </c>
      <c r="AB27" s="5">
        <f t="shared" si="25"/>
        <v>356989.01738471031</v>
      </c>
      <c r="AC27" s="5">
        <f t="shared" si="25"/>
        <v>359207.81091305491</v>
      </c>
      <c r="AD27" s="5">
        <f t="shared" si="25"/>
        <v>361426.60444139945</v>
      </c>
      <c r="AE27" s="5">
        <f t="shared" si="25"/>
        <v>363645.39796974405</v>
      </c>
      <c r="AF27" s="5">
        <f t="shared" si="25"/>
        <v>365864.19149808859</v>
      </c>
      <c r="AG27" s="5">
        <f t="shared" si="25"/>
        <v>368082.98502643313</v>
      </c>
      <c r="AH27" s="5">
        <f t="shared" si="25"/>
        <v>370301.77855477773</v>
      </c>
    </row>
    <row r="28" spans="1:34" x14ac:dyDescent="0.35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ref="W28:AH28" si="26">IF(OR((SLOPE($E28:$V28,$E$1:$V$1)*W$1+INTERCEPT($E28:$V28,$E$1:$V$1))&gt;(AVERAGE($E28:$V28)+_xlfn.STDEV.P($E28:$V28)),(SLOPE($E28:$V28,$E$1:$V$1)*W$1+INTERCEPT($E28:$V28,$E$1:$V$1))&lt;(AVERAGE($E28:$V28)-_xlfn.STDEV.P($E28:$V28))),V28,(SLOPE($E28:$V28,$E$1:$V$1)*W$1+INTERCEPT($E28:$V28,$E$1:$V$1)))</f>
        <v>350450.07529411756</v>
      </c>
      <c r="X28" s="5">
        <f t="shared" si="26"/>
        <v>353238.34216718253</v>
      </c>
      <c r="Y28" s="5">
        <f t="shared" si="26"/>
        <v>356026.60904024757</v>
      </c>
      <c r="Z28" s="5">
        <f t="shared" si="26"/>
        <v>358814.87591331254</v>
      </c>
      <c r="AA28" s="5">
        <f t="shared" si="26"/>
        <v>361603.14278637758</v>
      </c>
      <c r="AB28" s="5">
        <f t="shared" si="26"/>
        <v>364391.40965944261</v>
      </c>
      <c r="AC28" s="5">
        <f t="shared" si="26"/>
        <v>367179.67653250764</v>
      </c>
      <c r="AD28" s="5">
        <f t="shared" si="26"/>
        <v>369967.94340557262</v>
      </c>
      <c r="AE28" s="5">
        <f t="shared" si="26"/>
        <v>372756.21027863765</v>
      </c>
      <c r="AF28" s="5">
        <f t="shared" si="26"/>
        <v>375544.47715170262</v>
      </c>
      <c r="AG28" s="5">
        <f t="shared" si="26"/>
        <v>378332.74402476766</v>
      </c>
      <c r="AH28" s="5">
        <f t="shared" si="26"/>
        <v>378332.74402476766</v>
      </c>
    </row>
    <row r="29" spans="1:34" x14ac:dyDescent="0.35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ref="W29:AH29" si="27">IF(OR((SLOPE($E29:$V29,$E$1:$V$1)*W$1+INTERCEPT($E29:$V29,$E$1:$V$1))&gt;(AVERAGE($E29:$V29)+_xlfn.STDEV.P($E29:$V29)),(SLOPE($E29:$V29,$E$1:$V$1)*W$1+INTERCEPT($E29:$V29,$E$1:$V$1))&lt;(AVERAGE($E29:$V29)-_xlfn.STDEV.P($E29:$V29))),V29,(SLOPE($E29:$V29,$E$1:$V$1)*W$1+INTERCEPT($E29:$V29,$E$1:$V$1)))</f>
        <v>365588.0920588235</v>
      </c>
      <c r="X29" s="5">
        <f t="shared" si="27"/>
        <v>371379.02280185756</v>
      </c>
      <c r="Y29" s="5">
        <f t="shared" si="27"/>
        <v>377169.95354489156</v>
      </c>
      <c r="Z29" s="5">
        <f t="shared" si="27"/>
        <v>382960.88428792567</v>
      </c>
      <c r="AA29" s="5">
        <f t="shared" si="27"/>
        <v>388751.81503095967</v>
      </c>
      <c r="AB29" s="5">
        <f t="shared" si="27"/>
        <v>394542.74577399378</v>
      </c>
      <c r="AC29" s="5">
        <f t="shared" si="27"/>
        <v>400333.67651702778</v>
      </c>
      <c r="AD29" s="5">
        <f t="shared" si="27"/>
        <v>400333.67651702778</v>
      </c>
      <c r="AE29" s="5">
        <f t="shared" si="27"/>
        <v>400333.67651702778</v>
      </c>
      <c r="AF29" s="5">
        <f t="shared" si="27"/>
        <v>400333.67651702778</v>
      </c>
      <c r="AG29" s="5">
        <f t="shared" si="27"/>
        <v>400333.67651702778</v>
      </c>
      <c r="AH29" s="5">
        <f t="shared" si="27"/>
        <v>400333.67651702778</v>
      </c>
    </row>
    <row r="30" spans="1:34" x14ac:dyDescent="0.35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ref="W30:AH30" si="28">IF(OR((SLOPE($E30:$V30,$E$1:$V$1)*W$1+INTERCEPT($E30:$V30,$E$1:$V$1))&gt;(AVERAGE($E30:$V30)+_xlfn.STDEV.P($E30:$V30)),(SLOPE($E30:$V30,$E$1:$V$1)*W$1+INTERCEPT($E30:$V30,$E$1:$V$1))&lt;(AVERAGE($E30:$V30)-_xlfn.STDEV.P($E30:$V30))),V30,(SLOPE($E30:$V30,$E$1:$V$1)*W$1+INTERCEPT($E30:$V30,$E$1:$V$1)))</f>
        <v>345264.54814197397</v>
      </c>
      <c r="X30" s="5">
        <f t="shared" si="28"/>
        <v>349085.726860567</v>
      </c>
      <c r="Y30" s="5">
        <f t="shared" si="28"/>
        <v>352906.90557915997</v>
      </c>
      <c r="Z30" s="5">
        <f t="shared" si="28"/>
        <v>356728.08429775294</v>
      </c>
      <c r="AA30" s="5">
        <f t="shared" si="28"/>
        <v>360549.26301634597</v>
      </c>
      <c r="AB30" s="5">
        <f t="shared" si="28"/>
        <v>364370.44173493894</v>
      </c>
      <c r="AC30" s="5">
        <f t="shared" si="28"/>
        <v>368191.62045353197</v>
      </c>
      <c r="AD30" s="5">
        <f t="shared" si="28"/>
        <v>372012.79917212494</v>
      </c>
      <c r="AE30" s="5">
        <f t="shared" si="28"/>
        <v>372012.79917212494</v>
      </c>
      <c r="AF30" s="5">
        <f t="shared" si="28"/>
        <v>372012.79917212494</v>
      </c>
      <c r="AG30" s="5">
        <f t="shared" si="28"/>
        <v>372012.79917212494</v>
      </c>
      <c r="AH30" s="5">
        <f t="shared" si="28"/>
        <v>372012.79917212494</v>
      </c>
    </row>
    <row r="31" spans="1:34" x14ac:dyDescent="0.35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ref="W31:AH31" si="29">IF(OR((SLOPE($E31:$V31,$E$1:$V$1)*W$1+INTERCEPT($E31:$V31,$E$1:$V$1))&gt;(AVERAGE($E31:$V31)+_xlfn.STDEV.P($E31:$V31)),(SLOPE($E31:$V31,$E$1:$V$1)*W$1+INTERCEPT($E31:$V31,$E$1:$V$1))&lt;(AVERAGE($E31:$V31)-_xlfn.STDEV.P($E31:$V31))),V31,(SLOPE($E31:$V31,$E$1:$V$1)*W$1+INTERCEPT($E31:$V31,$E$1:$V$1)))</f>
        <v>275240.35373617086</v>
      </c>
      <c r="X31" s="5">
        <f t="shared" si="29"/>
        <v>271878.88926082011</v>
      </c>
      <c r="Y31" s="5">
        <f t="shared" si="29"/>
        <v>268517.42478546943</v>
      </c>
      <c r="Z31" s="5">
        <f t="shared" si="29"/>
        <v>265155.96031011868</v>
      </c>
      <c r="AA31" s="5">
        <f t="shared" si="29"/>
        <v>261794.49583476793</v>
      </c>
      <c r="AB31" s="5">
        <f t="shared" si="29"/>
        <v>258433.03135941725</v>
      </c>
      <c r="AC31" s="5">
        <f t="shared" si="29"/>
        <v>255071.5668840665</v>
      </c>
      <c r="AD31" s="5">
        <f t="shared" si="29"/>
        <v>251710.10240871579</v>
      </c>
      <c r="AE31" s="5">
        <f t="shared" si="29"/>
        <v>248348.63793336507</v>
      </c>
      <c r="AF31" s="5">
        <f t="shared" si="29"/>
        <v>244987.17345801435</v>
      </c>
      <c r="AG31" s="5">
        <f t="shared" si="29"/>
        <v>241625.70898266364</v>
      </c>
      <c r="AH31" s="5">
        <f t="shared" si="29"/>
        <v>238264.24450731289</v>
      </c>
    </row>
    <row r="32" spans="1:34" x14ac:dyDescent="0.35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ref="W32:AH32" si="30">IF(OR((SLOPE($E32:$V32,$E$1:$V$1)*W$1+INTERCEPT($E32:$V32,$E$1:$V$1))&gt;(AVERAGE($E32:$V32)+_xlfn.STDEV.P($E32:$V32)),(SLOPE($E32:$V32,$E$1:$V$1)*W$1+INTERCEPT($E32:$V32,$E$1:$V$1))&lt;(AVERAGE($E32:$V32)-_xlfn.STDEV.P($E32:$V32))),V32,(SLOPE($E32:$V32,$E$1:$V$1)*W$1+INTERCEPT($E32:$V32,$E$1:$V$1)))</f>
        <v>545584.6190431274</v>
      </c>
      <c r="X32" s="5">
        <f t="shared" si="30"/>
        <v>571561.05701619037</v>
      </c>
      <c r="Y32" s="5">
        <f t="shared" si="30"/>
        <v>597537.49498925358</v>
      </c>
      <c r="Z32" s="5">
        <f t="shared" si="30"/>
        <v>623513.93296231655</v>
      </c>
      <c r="AA32" s="5">
        <f t="shared" si="30"/>
        <v>649490.37093537976</v>
      </c>
      <c r="AB32" s="5">
        <f t="shared" si="30"/>
        <v>649490.37093537976</v>
      </c>
      <c r="AC32" s="5">
        <f t="shared" si="30"/>
        <v>649490.37093537976</v>
      </c>
      <c r="AD32" s="5">
        <f t="shared" si="30"/>
        <v>649490.37093537976</v>
      </c>
      <c r="AE32" s="5">
        <f t="shared" si="30"/>
        <v>649490.37093537976</v>
      </c>
      <c r="AF32" s="5">
        <f t="shared" si="30"/>
        <v>649490.37093537976</v>
      </c>
      <c r="AG32" s="5">
        <f t="shared" si="30"/>
        <v>649490.37093537976</v>
      </c>
      <c r="AH32" s="5">
        <f t="shared" si="30"/>
        <v>649490.37093537976</v>
      </c>
    </row>
    <row r="33" spans="1:34" x14ac:dyDescent="0.35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ref="W33:AH33" si="31">IF(OR((SLOPE($E33:$V33,$E$1:$V$1)*W$1+INTERCEPT($E33:$V33,$E$1:$V$1))&gt;(AVERAGE($E33:$V33)+_xlfn.STDEV.P($E33:$V33)),(SLOPE($E33:$V33,$E$1:$V$1)*W$1+INTERCEPT($E33:$V33,$E$1:$V$1))&lt;(AVERAGE($E33:$V33)-_xlfn.STDEV.P($E33:$V33))),V33,(SLOPE($E33:$V33,$E$1:$V$1)*W$1+INTERCEPT($E33:$V33,$E$1:$V$1)))</f>
        <v>302522.40719436645</v>
      </c>
      <c r="X33" s="5">
        <f t="shared" si="31"/>
        <v>303337.0048054689</v>
      </c>
      <c r="Y33" s="5">
        <f t="shared" si="31"/>
        <v>304151.60241657135</v>
      </c>
      <c r="Z33" s="5">
        <f t="shared" si="31"/>
        <v>304966.20002767374</v>
      </c>
      <c r="AA33" s="5">
        <f t="shared" si="31"/>
        <v>305780.79763877619</v>
      </c>
      <c r="AB33" s="5">
        <f t="shared" si="31"/>
        <v>306595.39524987864</v>
      </c>
      <c r="AC33" s="5">
        <f t="shared" si="31"/>
        <v>307409.99286098109</v>
      </c>
      <c r="AD33" s="5">
        <f t="shared" si="31"/>
        <v>308224.59047208354</v>
      </c>
      <c r="AE33" s="5">
        <f t="shared" si="31"/>
        <v>309039.18808318599</v>
      </c>
      <c r="AF33" s="5">
        <f t="shared" si="31"/>
        <v>309853.78569428844</v>
      </c>
      <c r="AG33" s="5">
        <f t="shared" si="31"/>
        <v>310668.38330539089</v>
      </c>
      <c r="AH33" s="5">
        <f t="shared" si="31"/>
        <v>311482.98091649334</v>
      </c>
    </row>
    <row r="34" spans="1:34" x14ac:dyDescent="0.35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ref="W34:AH34" si="32">IF(OR((SLOPE($E34:$V34,$E$1:$V$1)*W$1+INTERCEPT($E34:$V34,$E$1:$V$1))&gt;(AVERAGE($E34:$V34)+_xlfn.STDEV.P($E34:$V34)),(SLOPE($E34:$V34,$E$1:$V$1)*W$1+INTERCEPT($E34:$V34,$E$1:$V$1))&lt;(AVERAGE($E34:$V34)-_xlfn.STDEV.P($E34:$V34))),V34,(SLOPE($E34:$V34,$E$1:$V$1)*W$1+INTERCEPT($E34:$V34,$E$1:$V$1)))</f>
        <v>322896.57976470591</v>
      </c>
      <c r="X34" s="5">
        <f t="shared" si="32"/>
        <v>326089.18310835917</v>
      </c>
      <c r="Y34" s="5">
        <f t="shared" si="32"/>
        <v>329281.78645201237</v>
      </c>
      <c r="Z34" s="5">
        <f t="shared" si="32"/>
        <v>332474.38979566563</v>
      </c>
      <c r="AA34" s="5">
        <f t="shared" si="32"/>
        <v>335666.99313931889</v>
      </c>
      <c r="AB34" s="5">
        <f t="shared" si="32"/>
        <v>338859.59648297215</v>
      </c>
      <c r="AC34" s="5">
        <f t="shared" si="32"/>
        <v>342052.19982662541</v>
      </c>
      <c r="AD34" s="5">
        <f t="shared" si="32"/>
        <v>345244.80317027867</v>
      </c>
      <c r="AE34" s="5">
        <f t="shared" si="32"/>
        <v>348437.40651393193</v>
      </c>
      <c r="AF34" s="5">
        <f t="shared" si="32"/>
        <v>351630.00985758519</v>
      </c>
      <c r="AG34" s="5">
        <f t="shared" si="32"/>
        <v>354822.61320123839</v>
      </c>
      <c r="AH34" s="5">
        <f t="shared" si="32"/>
        <v>358015.21654489165</v>
      </c>
    </row>
    <row r="35" spans="1:34" x14ac:dyDescent="0.35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ref="W35:AH35" si="33">IF(OR((SLOPE($E35:$V35,$E$1:$V$1)*W$1+INTERCEPT($E35:$V35,$E$1:$V$1))&gt;(AVERAGE($E35:$V35)+_xlfn.STDEV.P($E35:$V35)),(SLOPE($E35:$V35,$E$1:$V$1)*W$1+INTERCEPT($E35:$V35,$E$1:$V$1))&lt;(AVERAGE($E35:$V35)-_xlfn.STDEV.P($E35:$V35))),V35,(SLOPE($E35:$V35,$E$1:$V$1)*W$1+INTERCEPT($E35:$V35,$E$1:$V$1)))</f>
        <v>326887.42861851363</v>
      </c>
      <c r="X35" s="5">
        <f t="shared" si="33"/>
        <v>330575.26593693678</v>
      </c>
      <c r="Y35" s="5">
        <f t="shared" si="33"/>
        <v>334263.10325535998</v>
      </c>
      <c r="Z35" s="5">
        <f t="shared" si="33"/>
        <v>337950.94057378313</v>
      </c>
      <c r="AA35" s="5">
        <f t="shared" si="33"/>
        <v>341638.77789220633</v>
      </c>
      <c r="AB35" s="5">
        <f t="shared" si="33"/>
        <v>345326.61521062953</v>
      </c>
      <c r="AC35" s="5">
        <f t="shared" si="33"/>
        <v>349014.45252905268</v>
      </c>
      <c r="AD35" s="5">
        <f t="shared" si="33"/>
        <v>352702.28984747583</v>
      </c>
      <c r="AE35" s="5">
        <f t="shared" si="33"/>
        <v>356390.12716589903</v>
      </c>
      <c r="AF35" s="5">
        <f t="shared" si="33"/>
        <v>360077.96448432223</v>
      </c>
      <c r="AG35" s="5">
        <f t="shared" si="33"/>
        <v>360077.96448432223</v>
      </c>
      <c r="AH35" s="5">
        <f t="shared" si="33"/>
        <v>360077.96448432223</v>
      </c>
    </row>
    <row r="36" spans="1:34" x14ac:dyDescent="0.35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ref="W36:AH36" si="34">IF(OR((SLOPE($E36:$V36,$E$1:$V$1)*W$1+INTERCEPT($E36:$V36,$E$1:$V$1))&gt;(AVERAGE($E36:$V36)+_xlfn.STDEV.P($E36:$V36)),(SLOPE($E36:$V36,$E$1:$V$1)*W$1+INTERCEPT($E36:$V36,$E$1:$V$1))&lt;(AVERAGE($E36:$V36)-_xlfn.STDEV.P($E36:$V36))),V36,(SLOPE($E36:$V36,$E$1:$V$1)*W$1+INTERCEPT($E36:$V36,$E$1:$V$1)))</f>
        <v>305139.21203630278</v>
      </c>
      <c r="X36" s="5">
        <f t="shared" si="34"/>
        <v>307719.15098553855</v>
      </c>
      <c r="Y36" s="5">
        <f t="shared" si="34"/>
        <v>310299.08993477433</v>
      </c>
      <c r="Z36" s="5">
        <f t="shared" si="34"/>
        <v>312879.02888401004</v>
      </c>
      <c r="AA36" s="5">
        <f t="shared" si="34"/>
        <v>315458.96783324576</v>
      </c>
      <c r="AB36" s="5">
        <f t="shared" si="34"/>
        <v>318038.90678248153</v>
      </c>
      <c r="AC36" s="5">
        <f t="shared" si="34"/>
        <v>320618.84573171724</v>
      </c>
      <c r="AD36" s="5">
        <f t="shared" si="34"/>
        <v>323198.78468095302</v>
      </c>
      <c r="AE36" s="5">
        <f t="shared" si="34"/>
        <v>325778.72363018873</v>
      </c>
      <c r="AF36" s="5">
        <f t="shared" si="34"/>
        <v>328358.6625794245</v>
      </c>
      <c r="AG36" s="5">
        <f t="shared" si="34"/>
        <v>328358.6625794245</v>
      </c>
      <c r="AH36" s="5">
        <f t="shared" si="34"/>
        <v>328358.6625794245</v>
      </c>
    </row>
    <row r="37" spans="1:34" x14ac:dyDescent="0.35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H37" si="35">IF(OR((SLOPE($E37:$V37,$E$1:$V$1)*W$1+INTERCEPT($E37:$V37,$E$1:$V$1))&gt;(AVERAGE($E37:$V37)+_xlfn.STDEV.P($E37:$V37)),(SLOPE($E37:$V37,$E$1:$V$1)*W$1+INTERCEPT($E37:$V37,$E$1:$V$1))&lt;(AVERAGE($E37:$V37)-_xlfn.STDEV.P($E37:$V37))),V37,(SLOPE($E37:$V37,$E$1:$V$1)*W$1+INTERCEPT($E37:$V37,$E$1:$V$1)))</f>
        <v>430432.44387769653</v>
      </c>
      <c r="X37" s="5">
        <f t="shared" si="35"/>
        <v>446559.71186708065</v>
      </c>
      <c r="Y37" s="5">
        <f t="shared" si="35"/>
        <v>462686.97985646472</v>
      </c>
      <c r="Z37" s="5">
        <f t="shared" si="35"/>
        <v>478814.24784584885</v>
      </c>
      <c r="AA37" s="5">
        <f t="shared" si="35"/>
        <v>494941.51583523297</v>
      </c>
      <c r="AB37" s="5">
        <f t="shared" si="35"/>
        <v>511068.78382461704</v>
      </c>
      <c r="AC37" s="5">
        <f t="shared" si="35"/>
        <v>527196.05181400117</v>
      </c>
      <c r="AD37" s="5">
        <f t="shared" si="35"/>
        <v>543323.3198033853</v>
      </c>
      <c r="AE37" s="5">
        <f t="shared" si="35"/>
        <v>559450.58779276942</v>
      </c>
      <c r="AF37" s="5">
        <f t="shared" si="35"/>
        <v>575577.85578215355</v>
      </c>
      <c r="AG37" s="5">
        <f t="shared" si="35"/>
        <v>591705.12377153756</v>
      </c>
      <c r="AH37" s="5">
        <f t="shared" si="35"/>
        <v>607832.3917609218</v>
      </c>
    </row>
    <row r="38" spans="1:34" x14ac:dyDescent="0.35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ref="W38:AH38" si="36">IF(OR((SLOPE($E38:$V38,$E$1:$V$1)*W$1+INTERCEPT($E38:$V38,$E$1:$V$1))&gt;(AVERAGE($E38:$V38)+_xlfn.STDEV.P($E38:$V38)),(SLOPE($E38:$V38,$E$1:$V$1)*W$1+INTERCEPT($E38:$V38,$E$1:$V$1))&lt;(AVERAGE($E38:$V38)-_xlfn.STDEV.P($E38:$V38))),V38,(SLOPE($E38:$V38,$E$1:$V$1)*W$1+INTERCEPT($E38:$V38,$E$1:$V$1)))</f>
        <v>321060.33309310337</v>
      </c>
      <c r="X38" s="5">
        <f t="shared" si="36"/>
        <v>327549.19744534662</v>
      </c>
      <c r="Y38" s="5">
        <f t="shared" si="36"/>
        <v>334038.06179758988</v>
      </c>
      <c r="Z38" s="5">
        <f t="shared" si="36"/>
        <v>340526.92614983319</v>
      </c>
      <c r="AA38" s="5">
        <f t="shared" si="36"/>
        <v>347015.79050207644</v>
      </c>
      <c r="AB38" s="5">
        <f t="shared" si="36"/>
        <v>353504.6548543197</v>
      </c>
      <c r="AC38" s="5">
        <f t="shared" si="36"/>
        <v>359993.51920656295</v>
      </c>
      <c r="AD38" s="5">
        <f t="shared" si="36"/>
        <v>366482.38355880621</v>
      </c>
      <c r="AE38" s="5">
        <f t="shared" si="36"/>
        <v>372971.24791104952</v>
      </c>
      <c r="AF38" s="5">
        <f t="shared" si="36"/>
        <v>379460.11226329277</v>
      </c>
      <c r="AG38" s="5">
        <f t="shared" si="36"/>
        <v>385948.97661553603</v>
      </c>
      <c r="AH38" s="5">
        <f t="shared" si="36"/>
        <v>392437.84096777928</v>
      </c>
    </row>
    <row r="39" spans="1:34" x14ac:dyDescent="0.35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ref="W39:AH39" si="37">IF(OR((SLOPE($E39:$V39,$E$1:$V$1)*W$1+INTERCEPT($E39:$V39,$E$1:$V$1))&gt;(AVERAGE($E39:$V39)+_xlfn.STDEV.P($E39:$V39)),(SLOPE($E39:$V39,$E$1:$V$1)*W$1+INTERCEPT($E39:$V39,$E$1:$V$1))&lt;(AVERAGE($E39:$V39)-_xlfn.STDEV.P($E39:$V39))),V39,(SLOPE($E39:$V39,$E$1:$V$1)*W$1+INTERCEPT($E39:$V39,$E$1:$V$1)))</f>
        <v>255922.42943242603</v>
      </c>
      <c r="X39" s="5">
        <f t="shared" si="37"/>
        <v>255643.49224397974</v>
      </c>
      <c r="Y39" s="5">
        <f t="shared" si="37"/>
        <v>255364.55505553348</v>
      </c>
      <c r="Z39" s="5">
        <f t="shared" si="37"/>
        <v>255085.61786708719</v>
      </c>
      <c r="AA39" s="5">
        <f t="shared" si="37"/>
        <v>254806.68067864093</v>
      </c>
      <c r="AB39" s="5">
        <f t="shared" si="37"/>
        <v>254527.74349019467</v>
      </c>
      <c r="AC39" s="5">
        <f t="shared" si="37"/>
        <v>254248.80630174838</v>
      </c>
      <c r="AD39" s="5">
        <f t="shared" si="37"/>
        <v>253969.86911330212</v>
      </c>
      <c r="AE39" s="5">
        <f t="shared" si="37"/>
        <v>253690.93192485586</v>
      </c>
      <c r="AF39" s="5">
        <f t="shared" si="37"/>
        <v>253411.99473640957</v>
      </c>
      <c r="AG39" s="5">
        <f t="shared" si="37"/>
        <v>253133.05754796331</v>
      </c>
      <c r="AH39" s="5">
        <f t="shared" si="37"/>
        <v>252854.12035951702</v>
      </c>
    </row>
    <row r="40" spans="1:34" x14ac:dyDescent="0.35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ref="W40:AH40" si="38">IF(OR((SLOPE($E40:$V40,$E$1:$V$1)*W$1+INTERCEPT($E40:$V40,$E$1:$V$1))&gt;(AVERAGE($E40:$V40)+_xlfn.STDEV.P($E40:$V40)),(SLOPE($E40:$V40,$E$1:$V$1)*W$1+INTERCEPT($E40:$V40,$E$1:$V$1))&lt;(AVERAGE($E40:$V40)-_xlfn.STDEV.P($E40:$V40))),V40,(SLOPE($E40:$V40,$E$1:$V$1)*W$1+INTERCEPT($E40:$V40,$E$1:$V$1)))</f>
        <v>290612.17871246964</v>
      </c>
      <c r="X40" s="5">
        <f t="shared" si="38"/>
        <v>290612.17871246964</v>
      </c>
      <c r="Y40" s="5">
        <f t="shared" si="38"/>
        <v>290612.17871246964</v>
      </c>
      <c r="Z40" s="5">
        <f t="shared" si="38"/>
        <v>290612.17871246964</v>
      </c>
      <c r="AA40" s="5">
        <f t="shared" si="38"/>
        <v>290612.17871246964</v>
      </c>
      <c r="AB40" s="5">
        <f t="shared" si="38"/>
        <v>290612.17871246964</v>
      </c>
      <c r="AC40" s="5">
        <f t="shared" si="38"/>
        <v>290612.17871246964</v>
      </c>
      <c r="AD40" s="5">
        <f t="shared" si="38"/>
        <v>290612.17871246964</v>
      </c>
      <c r="AE40" s="5">
        <f t="shared" si="38"/>
        <v>290612.17871246964</v>
      </c>
      <c r="AF40" s="5">
        <f t="shared" si="38"/>
        <v>290612.17871246964</v>
      </c>
      <c r="AG40" s="5">
        <f t="shared" si="38"/>
        <v>290612.17871246964</v>
      </c>
      <c r="AH40" s="5">
        <f t="shared" si="38"/>
        <v>290612.17871246964</v>
      </c>
    </row>
    <row r="41" spans="1:34" x14ac:dyDescent="0.35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ref="W41:AH41" si="39">IF(OR((SLOPE($E41:$V41,$E$1:$V$1)*W$1+INTERCEPT($E41:$V41,$E$1:$V$1))&gt;(AVERAGE($E41:$V41)+_xlfn.STDEV.P($E41:$V41)),(SLOPE($E41:$V41,$E$1:$V$1)*W$1+INTERCEPT($E41:$V41,$E$1:$V$1))&lt;(AVERAGE($E41:$V41)-_xlfn.STDEV.P($E41:$V41))),V41,(SLOPE($E41:$V41,$E$1:$V$1)*W$1+INTERCEPT($E41:$V41,$E$1:$V$1)))</f>
        <v>323147.63558823522</v>
      </c>
      <c r="X41" s="5">
        <f t="shared" si="39"/>
        <v>331025.25317647052</v>
      </c>
      <c r="Y41" s="5">
        <f t="shared" si="39"/>
        <v>338902.87076470582</v>
      </c>
      <c r="Z41" s="5">
        <f t="shared" si="39"/>
        <v>346780.48835294112</v>
      </c>
      <c r="AA41" s="5">
        <f t="shared" si="39"/>
        <v>346780.48835294112</v>
      </c>
      <c r="AB41" s="5">
        <f t="shared" si="39"/>
        <v>346780.48835294112</v>
      </c>
      <c r="AC41" s="5">
        <f t="shared" si="39"/>
        <v>346780.48835294112</v>
      </c>
      <c r="AD41" s="5">
        <f t="shared" si="39"/>
        <v>346780.48835294112</v>
      </c>
      <c r="AE41" s="5">
        <f t="shared" si="39"/>
        <v>346780.48835294112</v>
      </c>
      <c r="AF41" s="5">
        <f t="shared" si="39"/>
        <v>346780.48835294112</v>
      </c>
      <c r="AG41" s="5">
        <f t="shared" si="39"/>
        <v>346780.48835294112</v>
      </c>
      <c r="AH41" s="5">
        <f t="shared" si="39"/>
        <v>346780.48835294112</v>
      </c>
    </row>
    <row r="42" spans="1:34" x14ac:dyDescent="0.35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ref="W42:AH42" si="40">IF(OR((SLOPE($E42:$V42,$E$1:$V$1)*W$1+INTERCEPT($E42:$V42,$E$1:$V$1))&gt;(AVERAGE($E42:$V42)+_xlfn.STDEV.P($E42:$V42)),(SLOPE($E42:$V42,$E$1:$V$1)*W$1+INTERCEPT($E42:$V42,$E$1:$V$1))&lt;(AVERAGE($E42:$V42)-_xlfn.STDEV.P($E42:$V42))),V42,(SLOPE($E42:$V42,$E$1:$V$1)*W$1+INTERCEPT($E42:$V42,$E$1:$V$1)))</f>
        <v>433972.02799999993</v>
      </c>
      <c r="X42" s="5">
        <f t="shared" si="40"/>
        <v>433972.02799999993</v>
      </c>
      <c r="Y42" s="5">
        <f t="shared" si="40"/>
        <v>433972.02799999993</v>
      </c>
      <c r="Z42" s="5">
        <f t="shared" si="40"/>
        <v>433972.02799999993</v>
      </c>
      <c r="AA42" s="5">
        <f t="shared" si="40"/>
        <v>433972.02799999993</v>
      </c>
      <c r="AB42" s="5">
        <f t="shared" si="40"/>
        <v>433972.02799999993</v>
      </c>
      <c r="AC42" s="5">
        <f t="shared" si="40"/>
        <v>433972.02799999993</v>
      </c>
      <c r="AD42" s="5">
        <f t="shared" si="40"/>
        <v>433972.02799999993</v>
      </c>
      <c r="AE42" s="5">
        <f t="shared" si="40"/>
        <v>433972.02799999993</v>
      </c>
      <c r="AF42" s="5">
        <f t="shared" si="40"/>
        <v>433972.02799999993</v>
      </c>
      <c r="AG42" s="5">
        <f t="shared" si="40"/>
        <v>433972.02799999993</v>
      </c>
      <c r="AH42" s="5">
        <f t="shared" si="40"/>
        <v>433972.02799999993</v>
      </c>
    </row>
    <row r="43" spans="1:34" x14ac:dyDescent="0.35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ref="W43:AH43" si="41">IF(OR((SLOPE($E43:$V43,$E$1:$V$1)*W$1+INTERCEPT($E43:$V43,$E$1:$V$1))&gt;(AVERAGE($E43:$V43)+_xlfn.STDEV.P($E43:$V43)),(SLOPE($E43:$V43,$E$1:$V$1)*W$1+INTERCEPT($E43:$V43,$E$1:$V$1))&lt;(AVERAGE($E43:$V43)-_xlfn.STDEV.P($E43:$V43))),V43,(SLOPE($E43:$V43,$E$1:$V$1)*W$1+INTERCEPT($E43:$V43,$E$1:$V$1)))</f>
        <v>204817.75464705887</v>
      </c>
      <c r="X43" s="5">
        <f t="shared" si="41"/>
        <v>201053.76639938087</v>
      </c>
      <c r="Y43" s="5">
        <f t="shared" si="41"/>
        <v>197289.77815170283</v>
      </c>
      <c r="Z43" s="5">
        <f t="shared" si="41"/>
        <v>193525.7899040248</v>
      </c>
      <c r="AA43" s="5">
        <f t="shared" si="41"/>
        <v>189761.80165634683</v>
      </c>
      <c r="AB43" s="5">
        <f t="shared" si="41"/>
        <v>185997.81340866879</v>
      </c>
      <c r="AC43" s="5">
        <f t="shared" si="41"/>
        <v>182233.82516099076</v>
      </c>
      <c r="AD43" s="5">
        <f t="shared" si="41"/>
        <v>178469.83691331276</v>
      </c>
      <c r="AE43" s="5">
        <f t="shared" si="41"/>
        <v>178469.83691331276</v>
      </c>
      <c r="AF43" s="5">
        <f t="shared" si="41"/>
        <v>178469.83691331276</v>
      </c>
      <c r="AG43" s="5">
        <f t="shared" si="41"/>
        <v>178469.83691331276</v>
      </c>
      <c r="AH43" s="5">
        <f t="shared" si="41"/>
        <v>178469.83691331276</v>
      </c>
    </row>
    <row r="44" spans="1:34" x14ac:dyDescent="0.35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ref="W44:AH44" si="42">IF(OR((SLOPE($E44:$V44,$E$1:$V$1)*W$1+INTERCEPT($E44:$V44,$E$1:$V$1))&gt;(AVERAGE($E44:$V44)+_xlfn.STDEV.P($E44:$V44)),(SLOPE($E44:$V44,$E$1:$V$1)*W$1+INTERCEPT($E44:$V44,$E$1:$V$1))&lt;(AVERAGE($E44:$V44)-_xlfn.STDEV.P($E44:$V44))),V44,(SLOPE($E44:$V44,$E$1:$V$1)*W$1+INTERCEPT($E44:$V44,$E$1:$V$1)))</f>
        <v>260338.22022125692</v>
      </c>
      <c r="X44" s="5">
        <f t="shared" si="42"/>
        <v>262539.38810146617</v>
      </c>
      <c r="Y44" s="5">
        <f t="shared" si="42"/>
        <v>264740.5559816754</v>
      </c>
      <c r="Z44" s="5">
        <f t="shared" si="42"/>
        <v>266941.72386188462</v>
      </c>
      <c r="AA44" s="5">
        <f t="shared" si="42"/>
        <v>269142.8917420939</v>
      </c>
      <c r="AB44" s="5">
        <f t="shared" si="42"/>
        <v>271344.05962230312</v>
      </c>
      <c r="AC44" s="5">
        <f t="shared" si="42"/>
        <v>273545.2275025124</v>
      </c>
      <c r="AD44" s="5">
        <f t="shared" si="42"/>
        <v>275746.39538272162</v>
      </c>
      <c r="AE44" s="5">
        <f t="shared" si="42"/>
        <v>277947.56326293084</v>
      </c>
      <c r="AF44" s="5">
        <f t="shared" si="42"/>
        <v>280148.73114314012</v>
      </c>
      <c r="AG44" s="5">
        <f t="shared" si="42"/>
        <v>282349.89902334934</v>
      </c>
      <c r="AH44" s="5">
        <f t="shared" si="42"/>
        <v>284551.06690355856</v>
      </c>
    </row>
    <row r="45" spans="1:34" x14ac:dyDescent="0.35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ref="W45:AH45" si="43">IF(OR((SLOPE($E45:$V45,$E$1:$V$1)*W$1+INTERCEPT($E45:$V45,$E$1:$V$1))&gt;(AVERAGE($E45:$V45)+_xlfn.STDEV.P($E45:$V45)),(SLOPE($E45:$V45,$E$1:$V$1)*W$1+INTERCEPT($E45:$V45,$E$1:$V$1))&lt;(AVERAGE($E45:$V45)-_xlfn.STDEV.P($E45:$V45))),V45,(SLOPE($E45:$V45,$E$1:$V$1)*W$1+INTERCEPT($E45:$V45,$E$1:$V$1)))</f>
        <v>292677.57070588227</v>
      </c>
      <c r="X45" s="5">
        <f t="shared" si="43"/>
        <v>298700.01962229097</v>
      </c>
      <c r="Y45" s="5">
        <f t="shared" si="43"/>
        <v>304722.46853869967</v>
      </c>
      <c r="Z45" s="5">
        <f t="shared" si="43"/>
        <v>310744.91745510831</v>
      </c>
      <c r="AA45" s="5">
        <f t="shared" si="43"/>
        <v>316767.36637151695</v>
      </c>
      <c r="AB45" s="5">
        <f t="shared" si="43"/>
        <v>322789.81528792565</v>
      </c>
      <c r="AC45" s="5">
        <f t="shared" si="43"/>
        <v>322789.81528792565</v>
      </c>
      <c r="AD45" s="5">
        <f t="shared" si="43"/>
        <v>322789.81528792565</v>
      </c>
      <c r="AE45" s="5">
        <f t="shared" si="43"/>
        <v>322789.81528792565</v>
      </c>
      <c r="AF45" s="5">
        <f t="shared" si="43"/>
        <v>322789.81528792565</v>
      </c>
      <c r="AG45" s="5">
        <f t="shared" si="43"/>
        <v>322789.81528792565</v>
      </c>
      <c r="AH45" s="5">
        <f t="shared" si="43"/>
        <v>322789.81528792565</v>
      </c>
    </row>
    <row r="46" spans="1:34" x14ac:dyDescent="0.35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ref="W46:AH46" si="44">IF(OR((SLOPE($E46:$V46,$E$1:$V$1)*W$1+INTERCEPT($E46:$V46,$E$1:$V$1))&gt;(AVERAGE($E46:$V46)+_xlfn.STDEV.P($E46:$V46)),(SLOPE($E46:$V46,$E$1:$V$1)*W$1+INTERCEPT($E46:$V46,$E$1:$V$1))&lt;(AVERAGE($E46:$V46)-_xlfn.STDEV.P($E46:$V46))),V46,(SLOPE($E46:$V46,$E$1:$V$1)*W$1+INTERCEPT($E46:$V46,$E$1:$V$1)))</f>
        <v>259521.86866666673</v>
      </c>
      <c r="X46" s="5">
        <f t="shared" si="44"/>
        <v>262815.15866666671</v>
      </c>
      <c r="Y46" s="5">
        <f t="shared" si="44"/>
        <v>266108.44866666675</v>
      </c>
      <c r="Z46" s="5">
        <f t="shared" si="44"/>
        <v>269401.73866666673</v>
      </c>
      <c r="AA46" s="5">
        <f t="shared" si="44"/>
        <v>272695.02866666671</v>
      </c>
      <c r="AB46" s="5">
        <f t="shared" si="44"/>
        <v>275988.31866666675</v>
      </c>
      <c r="AC46" s="5">
        <f t="shared" si="44"/>
        <v>279281.60866666673</v>
      </c>
      <c r="AD46" s="5">
        <f t="shared" si="44"/>
        <v>282574.8986666667</v>
      </c>
      <c r="AE46" s="5">
        <f t="shared" si="44"/>
        <v>285868.18866666674</v>
      </c>
      <c r="AF46" s="5">
        <f t="shared" si="44"/>
        <v>289161.47866666678</v>
      </c>
      <c r="AG46" s="5">
        <f t="shared" si="44"/>
        <v>292454.76866666676</v>
      </c>
      <c r="AH46" s="5">
        <f t="shared" si="44"/>
        <v>295748.05866666674</v>
      </c>
    </row>
    <row r="47" spans="1:34" x14ac:dyDescent="0.35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ref="W47:AH47" si="45">IF(OR((SLOPE($E47:$V47,$E$1:$V$1)*W$1+INTERCEPT($E47:$V47,$E$1:$V$1))&gt;(AVERAGE($E47:$V47)+_xlfn.STDEV.P($E47:$V47)),(SLOPE($E47:$V47,$E$1:$V$1)*W$1+INTERCEPT($E47:$V47,$E$1:$V$1))&lt;(AVERAGE($E47:$V47)-_xlfn.STDEV.P($E47:$V47))),V47,(SLOPE($E47:$V47,$E$1:$V$1)*W$1+INTERCEPT($E47:$V47,$E$1:$V$1)))</f>
        <v>272712.43999999994</v>
      </c>
      <c r="X47" s="5">
        <f t="shared" si="45"/>
        <v>272712.43999999994</v>
      </c>
      <c r="Y47" s="5">
        <f t="shared" si="45"/>
        <v>272712.43999999994</v>
      </c>
      <c r="Z47" s="5">
        <f t="shared" si="45"/>
        <v>272712.43999999994</v>
      </c>
      <c r="AA47" s="5">
        <f t="shared" si="45"/>
        <v>272712.43999999994</v>
      </c>
      <c r="AB47" s="5">
        <f t="shared" si="45"/>
        <v>272712.43999999994</v>
      </c>
      <c r="AC47" s="5">
        <f t="shared" si="45"/>
        <v>272712.43999999994</v>
      </c>
      <c r="AD47" s="5">
        <f t="shared" si="45"/>
        <v>272712.43999999994</v>
      </c>
      <c r="AE47" s="5">
        <f t="shared" si="45"/>
        <v>272712.43999999994</v>
      </c>
      <c r="AF47" s="5">
        <f t="shared" si="45"/>
        <v>272712.43999999994</v>
      </c>
      <c r="AG47" s="5">
        <f t="shared" si="45"/>
        <v>272712.43999999994</v>
      </c>
      <c r="AH47" s="5">
        <f t="shared" si="45"/>
        <v>272712.43999999994</v>
      </c>
    </row>
    <row r="48" spans="1:34" x14ac:dyDescent="0.35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ref="W48:AH48" si="46">IF(OR((SLOPE($E48:$V48,$E$1:$V$1)*W$1+INTERCEPT($E48:$V48,$E$1:$V$1))&gt;(AVERAGE($E48:$V48)+_xlfn.STDEV.P($E48:$V48)),(SLOPE($E48:$V48,$E$1:$V$1)*W$1+INTERCEPT($E48:$V48,$E$1:$V$1))&lt;(AVERAGE($E48:$V48)-_xlfn.STDEV.P($E48:$V48))),V48,(SLOPE($E48:$V48,$E$1:$V$1)*W$1+INTERCEPT($E48:$V48,$E$1:$V$1)))</f>
        <v>205190.21884653746</v>
      </c>
      <c r="X48" s="5">
        <f t="shared" si="46"/>
        <v>203519.76567949945</v>
      </c>
      <c r="Y48" s="5">
        <f t="shared" si="46"/>
        <v>201849.31251246145</v>
      </c>
      <c r="Z48" s="5">
        <f t="shared" si="46"/>
        <v>200178.85934542347</v>
      </c>
      <c r="AA48" s="5">
        <f t="shared" si="46"/>
        <v>198508.40617838548</v>
      </c>
      <c r="AB48" s="5">
        <f t="shared" si="46"/>
        <v>196837.95301134748</v>
      </c>
      <c r="AC48" s="5">
        <f t="shared" si="46"/>
        <v>195167.49984430947</v>
      </c>
      <c r="AD48" s="5">
        <f t="shared" si="46"/>
        <v>193497.04667727149</v>
      </c>
      <c r="AE48" s="5">
        <f t="shared" si="46"/>
        <v>191826.59351023348</v>
      </c>
      <c r="AF48" s="5">
        <f t="shared" si="46"/>
        <v>190156.1403431955</v>
      </c>
      <c r="AG48" s="5">
        <f t="shared" si="46"/>
        <v>188485.68717615749</v>
      </c>
      <c r="AH48" s="5">
        <f t="shared" si="46"/>
        <v>186815.23400911951</v>
      </c>
    </row>
    <row r="49" spans="1:34" x14ac:dyDescent="0.35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ref="W49:AH49" si="47">IF(OR((SLOPE($E49:$V49,$E$1:$V$1)*W$1+INTERCEPT($E49:$V49,$E$1:$V$1))&gt;(AVERAGE($E49:$V49)+_xlfn.STDEV.P($E49:$V49)),(SLOPE($E49:$V49,$E$1:$V$1)*W$1+INTERCEPT($E49:$V49,$E$1:$V$1))&lt;(AVERAGE($E49:$V49)-_xlfn.STDEV.P($E49:$V49))),V49,(SLOPE($E49:$V49,$E$1:$V$1)*W$1+INTERCEPT($E49:$V49,$E$1:$V$1)))</f>
        <v>236459.0181699346</v>
      </c>
      <c r="X49" s="5">
        <f t="shared" si="47"/>
        <v>238551.69540419674</v>
      </c>
      <c r="Y49" s="5">
        <f t="shared" si="47"/>
        <v>240644.37263845885</v>
      </c>
      <c r="Z49" s="5">
        <f t="shared" si="47"/>
        <v>242737.04987272099</v>
      </c>
      <c r="AA49" s="5">
        <f t="shared" si="47"/>
        <v>244829.7271069831</v>
      </c>
      <c r="AB49" s="5">
        <f t="shared" si="47"/>
        <v>246922.40434124524</v>
      </c>
      <c r="AC49" s="5">
        <f t="shared" si="47"/>
        <v>249015.08157550736</v>
      </c>
      <c r="AD49" s="5">
        <f t="shared" si="47"/>
        <v>251107.7588097695</v>
      </c>
      <c r="AE49" s="5">
        <f t="shared" si="47"/>
        <v>253200.43604403161</v>
      </c>
      <c r="AF49" s="5">
        <f t="shared" si="47"/>
        <v>255293.11327829375</v>
      </c>
      <c r="AG49" s="5">
        <f t="shared" si="47"/>
        <v>257385.79051255586</v>
      </c>
      <c r="AH49" s="5">
        <f t="shared" si="47"/>
        <v>259478.467746818</v>
      </c>
    </row>
    <row r="50" spans="1:34" x14ac:dyDescent="0.35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ref="W50:AH50" si="48">IF(OR((SLOPE($E50:$V50,$E$1:$V$1)*W$1+INTERCEPT($E50:$V50,$E$1:$V$1))&gt;(AVERAGE($E50:$V50)+_xlfn.STDEV.P($E50:$V50)),(SLOPE($E50:$V50,$E$1:$V$1)*W$1+INTERCEPT($E50:$V50,$E$1:$V$1))&lt;(AVERAGE($E50:$V50)-_xlfn.STDEV.P($E50:$V50))),V50,(SLOPE($E50:$V50,$E$1:$V$1)*W$1+INTERCEPT($E50:$V50,$E$1:$V$1)))</f>
        <v>242505.22552941175</v>
      </c>
      <c r="X50" s="5">
        <f t="shared" si="48"/>
        <v>245385.83616408668</v>
      </c>
      <c r="Y50" s="5">
        <f t="shared" si="48"/>
        <v>248266.44679876161</v>
      </c>
      <c r="Z50" s="5">
        <f t="shared" si="48"/>
        <v>251147.05743343651</v>
      </c>
      <c r="AA50" s="5">
        <f t="shared" si="48"/>
        <v>254027.66806811144</v>
      </c>
      <c r="AB50" s="5">
        <f t="shared" si="48"/>
        <v>256908.27870278637</v>
      </c>
      <c r="AC50" s="5">
        <f t="shared" si="48"/>
        <v>259788.88933746127</v>
      </c>
      <c r="AD50" s="5">
        <f t="shared" si="48"/>
        <v>262669.49997213623</v>
      </c>
      <c r="AE50" s="5">
        <f t="shared" si="48"/>
        <v>265550.11060681113</v>
      </c>
      <c r="AF50" s="5">
        <f t="shared" si="48"/>
        <v>268430.72124148603</v>
      </c>
      <c r="AG50" s="5">
        <f t="shared" si="48"/>
        <v>271311.33187616098</v>
      </c>
      <c r="AH50" s="5">
        <f t="shared" si="48"/>
        <v>274191.94251083588</v>
      </c>
    </row>
    <row r="51" spans="1:34" x14ac:dyDescent="0.35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ref="W51:AH51" si="49">IF(OR((SLOPE($E51:$V51,$E$1:$V$1)*W$1+INTERCEPT($E51:$V51,$E$1:$V$1))&gt;(AVERAGE($E51:$V51)+_xlfn.STDEV.P($E51:$V51)),(SLOPE($E51:$V51,$E$1:$V$1)*W$1+INTERCEPT($E51:$V51,$E$1:$V$1))&lt;(AVERAGE($E51:$V51)-_xlfn.STDEV.P($E51:$V51))),V51,(SLOPE($E51:$V51,$E$1:$V$1)*W$1+INTERCEPT($E51:$V51,$E$1:$V$1)))</f>
        <v>226855.09750565185</v>
      </c>
      <c r="X51" s="5">
        <f t="shared" si="49"/>
        <v>228040.55004437457</v>
      </c>
      <c r="Y51" s="5">
        <f t="shared" si="49"/>
        <v>229226.00258309732</v>
      </c>
      <c r="Z51" s="5">
        <f t="shared" si="49"/>
        <v>230411.45512182004</v>
      </c>
      <c r="AA51" s="5">
        <f t="shared" si="49"/>
        <v>231596.90766054275</v>
      </c>
      <c r="AB51" s="5">
        <f t="shared" si="49"/>
        <v>232782.36019926547</v>
      </c>
      <c r="AC51" s="5">
        <f t="shared" si="49"/>
        <v>233967.81273798819</v>
      </c>
      <c r="AD51" s="5">
        <f t="shared" si="49"/>
        <v>235153.26527671091</v>
      </c>
      <c r="AE51" s="5">
        <f t="shared" si="49"/>
        <v>236338.71781543363</v>
      </c>
      <c r="AF51" s="5">
        <f t="shared" si="49"/>
        <v>237524.17035415635</v>
      </c>
      <c r="AG51" s="5">
        <f t="shared" si="49"/>
        <v>238709.62289287907</v>
      </c>
      <c r="AH51" s="5">
        <f t="shared" si="49"/>
        <v>239895.07543160178</v>
      </c>
    </row>
    <row r="52" spans="1:34" x14ac:dyDescent="0.35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ref="W52:AH52" si="50">IF(OR((SLOPE($E52:$V52,$E$1:$V$1)*W$1+INTERCEPT($E52:$V52,$E$1:$V$1))&gt;(AVERAGE($E52:$V52)+_xlfn.STDEV.P($E52:$V52)),(SLOPE($E52:$V52,$E$1:$V$1)*W$1+INTERCEPT($E52:$V52,$E$1:$V$1))&lt;(AVERAGE($E52:$V52)-_xlfn.STDEV.P($E52:$V52))),V52,(SLOPE($E52:$V52,$E$1:$V$1)*W$1+INTERCEPT($E52:$V52,$E$1:$V$1)))</f>
        <v>221321.77496470584</v>
      </c>
      <c r="X52" s="5">
        <f t="shared" si="50"/>
        <v>223231.99363467487</v>
      </c>
      <c r="Y52" s="5">
        <f t="shared" si="50"/>
        <v>225142.21230464391</v>
      </c>
      <c r="Z52" s="5">
        <f t="shared" si="50"/>
        <v>227052.43097461294</v>
      </c>
      <c r="AA52" s="5">
        <f t="shared" si="50"/>
        <v>228962.64964458201</v>
      </c>
      <c r="AB52" s="5">
        <f t="shared" si="50"/>
        <v>230872.86831455104</v>
      </c>
      <c r="AC52" s="5">
        <f t="shared" si="50"/>
        <v>232783.08698452008</v>
      </c>
      <c r="AD52" s="5">
        <f t="shared" si="50"/>
        <v>234693.30565448912</v>
      </c>
      <c r="AE52" s="5">
        <f t="shared" si="50"/>
        <v>236603.52432445815</v>
      </c>
      <c r="AF52" s="5">
        <f t="shared" si="50"/>
        <v>238513.74299442722</v>
      </c>
      <c r="AG52" s="5">
        <f t="shared" si="50"/>
        <v>240423.96166439622</v>
      </c>
      <c r="AH52" s="5">
        <f t="shared" si="50"/>
        <v>242334.18033436529</v>
      </c>
    </row>
    <row r="53" spans="1:34" x14ac:dyDescent="0.35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H53" si="51">IF(OR((SLOPE($E53:$V53,$E$1:$V$1)*W$1+INTERCEPT($E53:$V53,$E$1:$V$1))&gt;(AVERAGE($E53:$V53)+_xlfn.STDEV.P($E53:$V53)),(SLOPE($E53:$V53,$E$1:$V$1)*W$1+INTERCEPT($E53:$V53,$E$1:$V$1))&lt;(AVERAGE($E53:$V53)-_xlfn.STDEV.P($E53:$V53))),V53,(SLOPE($E53:$V53,$E$1:$V$1)*W$1+INTERCEPT($E53:$V53,$E$1:$V$1)))</f>
        <v>201087.01085955955</v>
      </c>
      <c r="X53" s="5">
        <f t="shared" si="51"/>
        <v>200861.14088291189</v>
      </c>
      <c r="Y53" s="5">
        <f t="shared" si="51"/>
        <v>200635.27090626425</v>
      </c>
      <c r="Z53" s="5">
        <f t="shared" si="51"/>
        <v>200409.40092961659</v>
      </c>
      <c r="AA53" s="5">
        <f t="shared" si="51"/>
        <v>200183.53095296895</v>
      </c>
      <c r="AB53" s="5">
        <f t="shared" si="51"/>
        <v>199957.66097632129</v>
      </c>
      <c r="AC53" s="5">
        <f t="shared" si="51"/>
        <v>199731.79099967366</v>
      </c>
      <c r="AD53" s="5">
        <f t="shared" si="51"/>
        <v>199505.92102302599</v>
      </c>
      <c r="AE53" s="5">
        <f t="shared" si="51"/>
        <v>199280.05104637833</v>
      </c>
      <c r="AF53" s="5">
        <f t="shared" si="51"/>
        <v>199054.18106973069</v>
      </c>
      <c r="AG53" s="5">
        <f t="shared" si="51"/>
        <v>198828.31109308303</v>
      </c>
      <c r="AH53" s="5">
        <f t="shared" si="51"/>
        <v>198602.4411164354</v>
      </c>
    </row>
    <row r="54" spans="1:34" x14ac:dyDescent="0.35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ref="W54:AH54" si="52">IF(OR((SLOPE($E54:$V54,$E$1:$V$1)*W$1+INTERCEPT($E54:$V54,$E$1:$V$1))&gt;(AVERAGE($E54:$V54)+_xlfn.STDEV.P($E54:$V54)),(SLOPE($E54:$V54,$E$1:$V$1)*W$1+INTERCEPT($E54:$V54,$E$1:$V$1))&lt;(AVERAGE($E54:$V54)-_xlfn.STDEV.P($E54:$V54))),V54,(SLOPE($E54:$V54,$E$1:$V$1)*W$1+INTERCEPT($E54:$V54,$E$1:$V$1)))</f>
        <v>207284.94848499642</v>
      </c>
      <c r="X54" s="5">
        <f t="shared" si="52"/>
        <v>207991.60266205735</v>
      </c>
      <c r="Y54" s="5">
        <f t="shared" si="52"/>
        <v>208698.25683911829</v>
      </c>
      <c r="Z54" s="5">
        <f t="shared" si="52"/>
        <v>209404.91101617922</v>
      </c>
      <c r="AA54" s="5">
        <f t="shared" si="52"/>
        <v>210111.56519324015</v>
      </c>
      <c r="AB54" s="5">
        <f t="shared" si="52"/>
        <v>210818.21937030109</v>
      </c>
      <c r="AC54" s="5">
        <f t="shared" si="52"/>
        <v>211524.87354736202</v>
      </c>
      <c r="AD54" s="5">
        <f t="shared" si="52"/>
        <v>212231.52772442298</v>
      </c>
      <c r="AE54" s="5">
        <f t="shared" si="52"/>
        <v>212938.18190148391</v>
      </c>
      <c r="AF54" s="5">
        <f t="shared" si="52"/>
        <v>213644.83607854485</v>
      </c>
      <c r="AG54" s="5">
        <f t="shared" si="52"/>
        <v>214351.49025560578</v>
      </c>
      <c r="AH54" s="5">
        <f t="shared" si="52"/>
        <v>215058.14443266671</v>
      </c>
    </row>
    <row r="55" spans="1:34" x14ac:dyDescent="0.35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ref="W55:AH55" si="53">IF(OR((SLOPE($E55:$V55,$E$1:$V$1)*W$1+INTERCEPT($E55:$V55,$E$1:$V$1))&gt;(AVERAGE($E55:$V55)+_xlfn.STDEV.P($E55:$V55)),(SLOPE($E55:$V55,$E$1:$V$1)*W$1+INTERCEPT($E55:$V55,$E$1:$V$1))&lt;(AVERAGE($E55:$V55)-_xlfn.STDEV.P($E55:$V55))),V55,(SLOPE($E55:$V55,$E$1:$V$1)*W$1+INTERCEPT($E55:$V55,$E$1:$V$1)))</f>
        <v>185967.53924902383</v>
      </c>
      <c r="X55" s="5">
        <f t="shared" si="53"/>
        <v>186093.74536100379</v>
      </c>
      <c r="Y55" s="5">
        <f t="shared" si="53"/>
        <v>186219.95147298378</v>
      </c>
      <c r="Z55" s="5">
        <f t="shared" si="53"/>
        <v>186346.15758496377</v>
      </c>
      <c r="AA55" s="5">
        <f t="shared" si="53"/>
        <v>186472.36369694376</v>
      </c>
      <c r="AB55" s="5">
        <f t="shared" si="53"/>
        <v>186598.56980892373</v>
      </c>
      <c r="AC55" s="5">
        <f t="shared" si="53"/>
        <v>186724.77592090372</v>
      </c>
      <c r="AD55" s="5">
        <f t="shared" si="53"/>
        <v>186850.98203288371</v>
      </c>
      <c r="AE55" s="5">
        <f t="shared" si="53"/>
        <v>186977.1881448637</v>
      </c>
      <c r="AF55" s="5">
        <f t="shared" si="53"/>
        <v>187103.39425684366</v>
      </c>
      <c r="AG55" s="5">
        <f t="shared" si="53"/>
        <v>187229.60036882365</v>
      </c>
      <c r="AH55" s="5">
        <f t="shared" si="53"/>
        <v>187355.80648080364</v>
      </c>
    </row>
    <row r="56" spans="1:34" x14ac:dyDescent="0.35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ref="W56:AH56" si="54">IF(OR((SLOPE($E56:$V56,$E$1:$V$1)*W$1+INTERCEPT($E56:$V56,$E$1:$V$1))&gt;(AVERAGE($E56:$V56)+_xlfn.STDEV.P($E56:$V56)),(SLOPE($E56:$V56,$E$1:$V$1)*W$1+INTERCEPT($E56:$V56,$E$1:$V$1))&lt;(AVERAGE($E56:$V56)-_xlfn.STDEV.P($E56:$V56))),V56,(SLOPE($E56:$V56,$E$1:$V$1)*W$1+INTERCEPT($E56:$V56,$E$1:$V$1)))</f>
        <v>157045.98940748861</v>
      </c>
      <c r="X56" s="5">
        <f t="shared" si="54"/>
        <v>154322.539067837</v>
      </c>
      <c r="Y56" s="5">
        <f t="shared" si="54"/>
        <v>154322.539067837</v>
      </c>
      <c r="Z56" s="5">
        <f t="shared" si="54"/>
        <v>154322.539067837</v>
      </c>
      <c r="AA56" s="5">
        <f t="shared" si="54"/>
        <v>154322.539067837</v>
      </c>
      <c r="AB56" s="5">
        <f t="shared" si="54"/>
        <v>154322.539067837</v>
      </c>
      <c r="AC56" s="5">
        <f t="shared" si="54"/>
        <v>154322.539067837</v>
      </c>
      <c r="AD56" s="5">
        <f t="shared" si="54"/>
        <v>154322.539067837</v>
      </c>
      <c r="AE56" s="5">
        <f t="shared" si="54"/>
        <v>154322.539067837</v>
      </c>
      <c r="AF56" s="5">
        <f t="shared" si="54"/>
        <v>154322.539067837</v>
      </c>
      <c r="AG56" s="5">
        <f t="shared" si="54"/>
        <v>154322.539067837</v>
      </c>
      <c r="AH56" s="5">
        <f t="shared" si="54"/>
        <v>154322.539067837</v>
      </c>
    </row>
    <row r="57" spans="1:34" x14ac:dyDescent="0.35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ref="W57:AH57" si="55">IF(OR((SLOPE($E57:$V57,$E$1:$V$1)*W$1+INTERCEPT($E57:$V57,$E$1:$V$1))&gt;(AVERAGE($E57:$V57)+_xlfn.STDEV.P($E57:$V57)),(SLOPE($E57:$V57,$E$1:$V$1)*W$1+INTERCEPT($E57:$V57,$E$1:$V$1))&lt;(AVERAGE($E57:$V57)-_xlfn.STDEV.P($E57:$V57))),V57,(SLOPE($E57:$V57,$E$1:$V$1)*W$1+INTERCEPT($E57:$V57,$E$1:$V$1)))</f>
        <v>101336.11440425922</v>
      </c>
      <c r="X57" s="5">
        <f t="shared" si="55"/>
        <v>93714.039653034357</v>
      </c>
      <c r="Y57" s="5">
        <f t="shared" si="55"/>
        <v>86091.964901809522</v>
      </c>
      <c r="Z57" s="5">
        <f t="shared" si="55"/>
        <v>78469.890150584659</v>
      </c>
      <c r="AA57" s="5">
        <f t="shared" si="55"/>
        <v>70847.815399359795</v>
      </c>
      <c r="AB57" s="5">
        <f t="shared" si="55"/>
        <v>63225.740648134961</v>
      </c>
      <c r="AC57" s="5">
        <f t="shared" si="55"/>
        <v>55603.665896910097</v>
      </c>
      <c r="AD57" s="5">
        <f t="shared" si="55"/>
        <v>55603.665896910097</v>
      </c>
      <c r="AE57" s="5">
        <f t="shared" si="55"/>
        <v>55603.665896910097</v>
      </c>
      <c r="AF57" s="5">
        <f t="shared" si="55"/>
        <v>55603.665896910097</v>
      </c>
      <c r="AG57" s="5">
        <f t="shared" si="55"/>
        <v>55603.665896910097</v>
      </c>
      <c r="AH57" s="5">
        <f t="shared" si="55"/>
        <v>55603.665896910097</v>
      </c>
    </row>
    <row r="58" spans="1:34" x14ac:dyDescent="0.35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ref="W58:AH58" si="56">IF(OR((SLOPE($E58:$V58,$E$1:$V$1)*W$1+INTERCEPT($E58:$V58,$E$1:$V$1))&gt;(AVERAGE($E58:$V58)+_xlfn.STDEV.P($E58:$V58)),(SLOPE($E58:$V58,$E$1:$V$1)*W$1+INTERCEPT($E58:$V58,$E$1:$V$1))&lt;(AVERAGE($E58:$V58)-_xlfn.STDEV.P($E58:$V58))),V58,(SLOPE($E58:$V58,$E$1:$V$1)*W$1+INTERCEPT($E58:$V58,$E$1:$V$1)))</f>
        <v>168440.06817647055</v>
      </c>
      <c r="X58" s="5">
        <f t="shared" si="56"/>
        <v>167554.23024767797</v>
      </c>
      <c r="Y58" s="5">
        <f t="shared" si="56"/>
        <v>166668.3923188854</v>
      </c>
      <c r="Z58" s="5">
        <f t="shared" si="56"/>
        <v>165782.55439009285</v>
      </c>
      <c r="AA58" s="5">
        <f t="shared" si="56"/>
        <v>164896.71646130027</v>
      </c>
      <c r="AB58" s="5">
        <f t="shared" si="56"/>
        <v>164010.87853250769</v>
      </c>
      <c r="AC58" s="5">
        <f t="shared" si="56"/>
        <v>163125.04060371511</v>
      </c>
      <c r="AD58" s="5">
        <f t="shared" si="56"/>
        <v>162239.20267492256</v>
      </c>
      <c r="AE58" s="5">
        <f t="shared" si="56"/>
        <v>161353.36474612998</v>
      </c>
      <c r="AF58" s="5">
        <f t="shared" si="56"/>
        <v>160467.52681733741</v>
      </c>
      <c r="AG58" s="5">
        <f t="shared" si="56"/>
        <v>159581.68888854486</v>
      </c>
      <c r="AH58" s="5">
        <f t="shared" si="56"/>
        <v>158695.85095975228</v>
      </c>
    </row>
    <row r="59" spans="1:34" x14ac:dyDescent="0.35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ref="W59:AH59" si="57">IF(OR((SLOPE($E59:$V59,$E$1:$V$1)*W$1+INTERCEPT($E59:$V59,$E$1:$V$1))&gt;(AVERAGE($E59:$V59)+_xlfn.STDEV.P($E59:$V59)),(SLOPE($E59:$V59,$E$1:$V$1)*W$1+INTERCEPT($E59:$V59,$E$1:$V$1))&lt;(AVERAGE($E59:$V59)-_xlfn.STDEV.P($E59:$V59))),V59,(SLOPE($E59:$V59,$E$1:$V$1)*W$1+INTERCEPT($E59:$V59,$E$1:$V$1)))</f>
        <v>186573.3236228016</v>
      </c>
      <c r="X59" s="5">
        <f t="shared" si="57"/>
        <v>187825.47445401011</v>
      </c>
      <c r="Y59" s="5">
        <f t="shared" si="57"/>
        <v>189077.62528521864</v>
      </c>
      <c r="Z59" s="5">
        <f t="shared" si="57"/>
        <v>190329.77611642715</v>
      </c>
      <c r="AA59" s="5">
        <f t="shared" si="57"/>
        <v>191581.92694763569</v>
      </c>
      <c r="AB59" s="5">
        <f t="shared" si="57"/>
        <v>192834.07777884419</v>
      </c>
      <c r="AC59" s="5">
        <f t="shared" si="57"/>
        <v>194086.22861005273</v>
      </c>
      <c r="AD59" s="5">
        <f t="shared" si="57"/>
        <v>195338.37944126123</v>
      </c>
      <c r="AE59" s="5">
        <f t="shared" si="57"/>
        <v>196590.53027246974</v>
      </c>
      <c r="AF59" s="5">
        <f t="shared" si="57"/>
        <v>197842.68110367827</v>
      </c>
      <c r="AG59" s="5">
        <f t="shared" si="57"/>
        <v>199094.83193488678</v>
      </c>
      <c r="AH59" s="5">
        <f t="shared" si="57"/>
        <v>200346.98276609532</v>
      </c>
    </row>
    <row r="60" spans="1:34" x14ac:dyDescent="0.35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ref="W60:AH60" si="58">IF(OR((SLOPE($E60:$V60,$E$1:$V$1)*W$1+INTERCEPT($E60:$V60,$E$1:$V$1))&gt;(AVERAGE($E60:$V60)+_xlfn.STDEV.P($E60:$V60)),(SLOPE($E60:$V60,$E$1:$V$1)*W$1+INTERCEPT($E60:$V60,$E$1:$V$1))&lt;(AVERAGE($E60:$V60)-_xlfn.STDEV.P($E60:$V60))),V60,(SLOPE($E60:$V60,$E$1:$V$1)*W$1+INTERCEPT($E60:$V60,$E$1:$V$1)))</f>
        <v>170423.70635294117</v>
      </c>
      <c r="X60" s="5">
        <f t="shared" si="58"/>
        <v>170138.1540743034</v>
      </c>
      <c r="Y60" s="5">
        <f t="shared" si="58"/>
        <v>169852.60179566563</v>
      </c>
      <c r="Z60" s="5">
        <f t="shared" si="58"/>
        <v>169567.04951702786</v>
      </c>
      <c r="AA60" s="5">
        <f t="shared" si="58"/>
        <v>169281.49723839009</v>
      </c>
      <c r="AB60" s="5">
        <f t="shared" si="58"/>
        <v>168995.94495975232</v>
      </c>
      <c r="AC60" s="5">
        <f t="shared" si="58"/>
        <v>168710.39268111455</v>
      </c>
      <c r="AD60" s="5">
        <f t="shared" si="58"/>
        <v>168424.84040247678</v>
      </c>
      <c r="AE60" s="5">
        <f t="shared" si="58"/>
        <v>168139.28812383901</v>
      </c>
      <c r="AF60" s="5">
        <f t="shared" si="58"/>
        <v>167853.73584520124</v>
      </c>
      <c r="AG60" s="5">
        <f t="shared" si="58"/>
        <v>167568.18356656347</v>
      </c>
      <c r="AH60" s="5">
        <f t="shared" si="58"/>
        <v>167282.6312879257</v>
      </c>
    </row>
    <row r="61" spans="1:34" x14ac:dyDescent="0.35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ref="W61:AH61" si="59">IF(OR((SLOPE($E61:$V61,$E$1:$V$1)*W$1+INTERCEPT($E61:$V61,$E$1:$V$1))&gt;(AVERAGE($E61:$V61)+_xlfn.STDEV.P($E61:$V61)),(SLOPE($E61:$V61,$E$1:$V$1)*W$1+INTERCEPT($E61:$V61,$E$1:$V$1))&lt;(AVERAGE($E61:$V61)-_xlfn.STDEV.P($E61:$V61))),V61,(SLOPE($E61:$V61,$E$1:$V$1)*W$1+INTERCEPT($E61:$V61,$E$1:$V$1)))</f>
        <v>187386.90268356283</v>
      </c>
      <c r="X61" s="5">
        <f t="shared" si="59"/>
        <v>188840.56928019988</v>
      </c>
      <c r="Y61" s="5">
        <f t="shared" si="59"/>
        <v>190294.2358768369</v>
      </c>
      <c r="Z61" s="5">
        <f t="shared" si="59"/>
        <v>191747.90247347395</v>
      </c>
      <c r="AA61" s="5">
        <f t="shared" si="59"/>
        <v>193201.56907011097</v>
      </c>
      <c r="AB61" s="5">
        <f t="shared" si="59"/>
        <v>194655.23566674802</v>
      </c>
      <c r="AC61" s="5">
        <f t="shared" si="59"/>
        <v>196108.90226338504</v>
      </c>
      <c r="AD61" s="5">
        <f t="shared" si="59"/>
        <v>197562.56886002206</v>
      </c>
      <c r="AE61" s="5">
        <f t="shared" si="59"/>
        <v>199016.23545665911</v>
      </c>
      <c r="AF61" s="5">
        <f t="shared" si="59"/>
        <v>200469.90205329613</v>
      </c>
      <c r="AG61" s="5">
        <f t="shared" si="59"/>
        <v>201923.56864993315</v>
      </c>
      <c r="AH61" s="5">
        <f t="shared" si="59"/>
        <v>203377.2352465702</v>
      </c>
    </row>
    <row r="62" spans="1:34" x14ac:dyDescent="0.35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ref="W62:AH62" si="60">IF(OR((SLOPE($E62:$V62,$E$1:$V$1)*W$1+INTERCEPT($E62:$V62,$E$1:$V$1))&gt;(AVERAGE($E62:$V62)+_xlfn.STDEV.P($E62:$V62)),(SLOPE($E62:$V62,$E$1:$V$1)*W$1+INTERCEPT($E62:$V62,$E$1:$V$1))&lt;(AVERAGE($E62:$V62)-_xlfn.STDEV.P($E62:$V62))),V62,(SLOPE($E62:$V62,$E$1:$V$1)*W$1+INTERCEPT($E62:$V62,$E$1:$V$1)))</f>
        <v>110205.9</v>
      </c>
      <c r="X62" s="5">
        <f t="shared" si="60"/>
        <v>110205.9</v>
      </c>
      <c r="Y62" s="5">
        <f t="shared" si="60"/>
        <v>110205.9</v>
      </c>
      <c r="Z62" s="5">
        <f t="shared" si="60"/>
        <v>110205.9</v>
      </c>
      <c r="AA62" s="5">
        <f t="shared" si="60"/>
        <v>110205.9</v>
      </c>
      <c r="AB62" s="5">
        <f t="shared" si="60"/>
        <v>110205.9</v>
      </c>
      <c r="AC62" s="5">
        <f t="shared" si="60"/>
        <v>110205.9</v>
      </c>
      <c r="AD62" s="5">
        <f t="shared" si="60"/>
        <v>110205.9</v>
      </c>
      <c r="AE62" s="5">
        <f t="shared" si="60"/>
        <v>110205.9</v>
      </c>
      <c r="AF62" s="5">
        <f t="shared" si="60"/>
        <v>110205.9</v>
      </c>
      <c r="AG62" s="5">
        <f t="shared" si="60"/>
        <v>110205.9</v>
      </c>
      <c r="AH62" s="5">
        <f t="shared" si="60"/>
        <v>110205.9</v>
      </c>
    </row>
    <row r="63" spans="1:34" x14ac:dyDescent="0.35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ref="W63:AH63" si="61">IF(OR((SLOPE($E63:$V63,$E$1:$V$1)*W$1+INTERCEPT($E63:$V63,$E$1:$V$1))&gt;(AVERAGE($E63:$V63)+_xlfn.STDEV.P($E63:$V63)),(SLOPE($E63:$V63,$E$1:$V$1)*W$1+INTERCEPT($E63:$V63,$E$1:$V$1))&lt;(AVERAGE($E63:$V63)-_xlfn.STDEV.P($E63:$V63))),V63,(SLOPE($E63:$V63,$E$1:$V$1)*W$1+INTERCEPT($E63:$V63,$E$1:$V$1)))</f>
        <v>175743.13006542172</v>
      </c>
      <c r="X63" s="5">
        <f t="shared" si="61"/>
        <v>176526.41348550146</v>
      </c>
      <c r="Y63" s="5">
        <f t="shared" si="61"/>
        <v>177309.69690558119</v>
      </c>
      <c r="Z63" s="5">
        <f t="shared" si="61"/>
        <v>178092.9803256609</v>
      </c>
      <c r="AA63" s="5">
        <f t="shared" si="61"/>
        <v>178876.26374574064</v>
      </c>
      <c r="AB63" s="5">
        <f t="shared" si="61"/>
        <v>179659.54716582038</v>
      </c>
      <c r="AC63" s="5">
        <f t="shared" si="61"/>
        <v>180442.83058590011</v>
      </c>
      <c r="AD63" s="5">
        <f t="shared" si="61"/>
        <v>181226.11400597985</v>
      </c>
      <c r="AE63" s="5">
        <f t="shared" si="61"/>
        <v>182009.39742605959</v>
      </c>
      <c r="AF63" s="5">
        <f t="shared" si="61"/>
        <v>182792.68084613932</v>
      </c>
      <c r="AG63" s="5">
        <f t="shared" si="61"/>
        <v>183575.96426621903</v>
      </c>
      <c r="AH63" s="5">
        <f t="shared" si="61"/>
        <v>184359.24768629877</v>
      </c>
    </row>
    <row r="64" spans="1:34" x14ac:dyDescent="0.35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ref="W64:AH64" si="62">IF(OR((SLOPE($E64:$V64,$E$1:$V$1)*W$1+INTERCEPT($E64:$V64,$E$1:$V$1))&gt;(AVERAGE($E64:$V64)+_xlfn.STDEV.P($E64:$V64)),(SLOPE($E64:$V64,$E$1:$V$1)*W$1+INTERCEPT($E64:$V64,$E$1:$V$1))&lt;(AVERAGE($E64:$V64)-_xlfn.STDEV.P($E64:$V64))),V64,(SLOPE($E64:$V64,$E$1:$V$1)*W$1+INTERCEPT($E64:$V64,$E$1:$V$1)))</f>
        <v>182062.6336941176</v>
      </c>
      <c r="X64" s="5">
        <f t="shared" si="62"/>
        <v>183654.37008297211</v>
      </c>
      <c r="Y64" s="5">
        <f t="shared" si="62"/>
        <v>185246.10647182658</v>
      </c>
      <c r="Z64" s="5">
        <f t="shared" si="62"/>
        <v>186837.84286068106</v>
      </c>
      <c r="AA64" s="5">
        <f t="shared" si="62"/>
        <v>188429.57924953557</v>
      </c>
      <c r="AB64" s="5">
        <f t="shared" si="62"/>
        <v>190021.31563839005</v>
      </c>
      <c r="AC64" s="5">
        <f t="shared" si="62"/>
        <v>190021.31563839005</v>
      </c>
      <c r="AD64" s="5">
        <f t="shared" si="62"/>
        <v>190021.31563839005</v>
      </c>
      <c r="AE64" s="5">
        <f t="shared" si="62"/>
        <v>190021.31563839005</v>
      </c>
      <c r="AF64" s="5">
        <f t="shared" si="62"/>
        <v>190021.31563839005</v>
      </c>
      <c r="AG64" s="5">
        <f t="shared" si="62"/>
        <v>190021.31563839005</v>
      </c>
      <c r="AH64" s="5">
        <f t="shared" si="62"/>
        <v>190021.31563839005</v>
      </c>
    </row>
    <row r="65" spans="1:34" x14ac:dyDescent="0.35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ref="W65:AH65" si="63">IF(OR((SLOPE($E65:$V65,$E$1:$V$1)*W$1+INTERCEPT($E65:$V65,$E$1:$V$1))&gt;(AVERAGE($E65:$V65)+_xlfn.STDEV.P($E65:$V65)),(SLOPE($E65:$V65,$E$1:$V$1)*W$1+INTERCEPT($E65:$V65,$E$1:$V$1))&lt;(AVERAGE($E65:$V65)-_xlfn.STDEV.P($E65:$V65))),V65,(SLOPE($E65:$V65,$E$1:$V$1)*W$1+INTERCEPT($E65:$V65,$E$1:$V$1)))</f>
        <v>194775.69176470587</v>
      </c>
      <c r="X65" s="5">
        <f t="shared" si="63"/>
        <v>198142.15742414861</v>
      </c>
      <c r="Y65" s="5">
        <f t="shared" si="63"/>
        <v>201508.62308359134</v>
      </c>
      <c r="Z65" s="5">
        <f t="shared" si="63"/>
        <v>204875.08874303405</v>
      </c>
      <c r="AA65" s="5">
        <f t="shared" si="63"/>
        <v>208241.55440247676</v>
      </c>
      <c r="AB65" s="5">
        <f t="shared" si="63"/>
        <v>208241.55440247676</v>
      </c>
      <c r="AC65" s="5">
        <f t="shared" si="63"/>
        <v>208241.55440247676</v>
      </c>
      <c r="AD65" s="5">
        <f t="shared" si="63"/>
        <v>208241.55440247676</v>
      </c>
      <c r="AE65" s="5">
        <f t="shared" si="63"/>
        <v>208241.55440247676</v>
      </c>
      <c r="AF65" s="5">
        <f t="shared" si="63"/>
        <v>208241.55440247676</v>
      </c>
      <c r="AG65" s="5">
        <f t="shared" si="63"/>
        <v>208241.55440247676</v>
      </c>
      <c r="AH65" s="5">
        <f t="shared" si="63"/>
        <v>208241.55440247676</v>
      </c>
    </row>
    <row r="66" spans="1:34" x14ac:dyDescent="0.35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ref="W66:AH66" si="64">IF(OR((SLOPE($E66:$V66,$E$1:$V$1)*W$1+INTERCEPT($E66:$V66,$E$1:$V$1))&gt;(AVERAGE($E66:$V66)+_xlfn.STDEV.P($E66:$V66)),(SLOPE($E66:$V66,$E$1:$V$1)*W$1+INTERCEPT($E66:$V66,$E$1:$V$1))&lt;(AVERAGE($E66:$V66)-_xlfn.STDEV.P($E66:$V66))),V66,(SLOPE($E66:$V66,$E$1:$V$1)*W$1+INTERCEPT($E66:$V66,$E$1:$V$1)))</f>
        <v>180972.97400000002</v>
      </c>
      <c r="X66" s="5">
        <f t="shared" si="64"/>
        <v>182947.33873684212</v>
      </c>
      <c r="Y66" s="5">
        <f t="shared" si="64"/>
        <v>184921.70347368423</v>
      </c>
      <c r="Z66" s="5">
        <f t="shared" si="64"/>
        <v>186896.06821052631</v>
      </c>
      <c r="AA66" s="5">
        <f t="shared" si="64"/>
        <v>186896.06821052631</v>
      </c>
      <c r="AB66" s="5">
        <f t="shared" si="64"/>
        <v>186896.06821052631</v>
      </c>
      <c r="AC66" s="5">
        <f t="shared" si="64"/>
        <v>186896.06821052631</v>
      </c>
      <c r="AD66" s="5">
        <f t="shared" si="64"/>
        <v>186896.06821052631</v>
      </c>
      <c r="AE66" s="5">
        <f t="shared" si="64"/>
        <v>186896.06821052631</v>
      </c>
      <c r="AF66" s="5">
        <f t="shared" si="64"/>
        <v>186896.06821052631</v>
      </c>
      <c r="AG66" s="5">
        <f t="shared" si="64"/>
        <v>186896.06821052631</v>
      </c>
      <c r="AH66" s="5">
        <f t="shared" si="64"/>
        <v>186896.06821052631</v>
      </c>
    </row>
    <row r="67" spans="1:34" x14ac:dyDescent="0.35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ref="W67:AH67" si="65">IF(OR((SLOPE($E67:$V67,$E$1:$V$1)*W$1+INTERCEPT($E67:$V67,$E$1:$V$1))&gt;(AVERAGE($E67:$V67)+_xlfn.STDEV.P($E67:$V67)),(SLOPE($E67:$V67,$E$1:$V$1)*W$1+INTERCEPT($E67:$V67,$E$1:$V$1))&lt;(AVERAGE($E67:$V67)-_xlfn.STDEV.P($E67:$V67))),V67,(SLOPE($E67:$V67,$E$1:$V$1)*W$1+INTERCEPT($E67:$V67,$E$1:$V$1)))</f>
        <v>202286.94079802369</v>
      </c>
      <c r="X67" s="5">
        <f t="shared" si="65"/>
        <v>202286.94079802369</v>
      </c>
      <c r="Y67" s="5">
        <f t="shared" si="65"/>
        <v>202286.94079802369</v>
      </c>
      <c r="Z67" s="5">
        <f t="shared" si="65"/>
        <v>202286.94079802369</v>
      </c>
      <c r="AA67" s="5">
        <f t="shared" si="65"/>
        <v>202286.94079802369</v>
      </c>
      <c r="AB67" s="5">
        <f t="shared" si="65"/>
        <v>202286.94079802369</v>
      </c>
      <c r="AC67" s="5">
        <f t="shared" si="65"/>
        <v>202286.94079802369</v>
      </c>
      <c r="AD67" s="5">
        <f t="shared" si="65"/>
        <v>202286.94079802369</v>
      </c>
      <c r="AE67" s="5">
        <f t="shared" si="65"/>
        <v>202286.94079802369</v>
      </c>
      <c r="AF67" s="5">
        <f t="shared" si="65"/>
        <v>202286.94079802369</v>
      </c>
      <c r="AG67" s="5">
        <f t="shared" si="65"/>
        <v>202286.94079802369</v>
      </c>
      <c r="AH67" s="5">
        <f t="shared" si="65"/>
        <v>202286.94079802369</v>
      </c>
    </row>
    <row r="68" spans="1:34" x14ac:dyDescent="0.35">
      <c r="A68" t="s">
        <v>88</v>
      </c>
      <c r="B68" s="3" t="s">
        <v>1262</v>
      </c>
      <c r="C68" s="4" t="s">
        <v>1263</v>
      </c>
      <c r="D68" s="2">
        <f t="shared" ref="D68:D131" si="66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ref="W68:AH68" si="67">IF(OR((SLOPE($E68:$V68,$E$1:$V$1)*W$1+INTERCEPT($E68:$V68,$E$1:$V$1))&gt;(AVERAGE($E68:$V68)+_xlfn.STDEV.P($E68:$V68)),(SLOPE($E68:$V68,$E$1:$V$1)*W$1+INTERCEPT($E68:$V68,$E$1:$V$1))&lt;(AVERAGE($E68:$V68)-_xlfn.STDEV.P($E68:$V68))),V68,(SLOPE($E68:$V68,$E$1:$V$1)*W$1+INTERCEPT($E68:$V68,$E$1:$V$1)))</f>
        <v>172643.06392941176</v>
      </c>
      <c r="X68" s="5">
        <f t="shared" si="67"/>
        <v>173863.65307987615</v>
      </c>
      <c r="Y68" s="5">
        <f t="shared" si="67"/>
        <v>175084.24223034055</v>
      </c>
      <c r="Z68" s="5">
        <f t="shared" si="67"/>
        <v>176304.83138080494</v>
      </c>
      <c r="AA68" s="5">
        <f t="shared" si="67"/>
        <v>177525.42053126934</v>
      </c>
      <c r="AB68" s="5">
        <f t="shared" si="67"/>
        <v>178746.00968173373</v>
      </c>
      <c r="AC68" s="5">
        <f t="shared" si="67"/>
        <v>179966.59883219813</v>
      </c>
      <c r="AD68" s="5">
        <f t="shared" si="67"/>
        <v>181187.18798266252</v>
      </c>
      <c r="AE68" s="5">
        <f t="shared" si="67"/>
        <v>182407.77713312692</v>
      </c>
      <c r="AF68" s="5">
        <f t="shared" si="67"/>
        <v>183628.36628359131</v>
      </c>
      <c r="AG68" s="5">
        <f t="shared" si="67"/>
        <v>184848.95543405571</v>
      </c>
      <c r="AH68" s="5">
        <f t="shared" si="67"/>
        <v>186069.5445845201</v>
      </c>
    </row>
    <row r="69" spans="1:34" x14ac:dyDescent="0.35">
      <c r="A69" t="s">
        <v>89</v>
      </c>
      <c r="B69" s="3" t="s">
        <v>1262</v>
      </c>
      <c r="C69" s="4" t="s">
        <v>1263</v>
      </c>
      <c r="D69" s="2">
        <f t="shared" si="66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H69" si="68">IF(OR((SLOPE($E69:$V69,$E$1:$V$1)*W$1+INTERCEPT($E69:$V69,$E$1:$V$1))&gt;(AVERAGE($E69:$V69)+_xlfn.STDEV.P($E69:$V69)),(SLOPE($E69:$V69,$E$1:$V$1)*W$1+INTERCEPT($E69:$V69,$E$1:$V$1))&lt;(AVERAGE($E69:$V69)-_xlfn.STDEV.P($E69:$V69))),V69,(SLOPE($E69:$V69,$E$1:$V$1)*W$1+INTERCEPT($E69:$V69,$E$1:$V$1)))</f>
        <v>238555.49059942132</v>
      </c>
      <c r="X69" s="5">
        <f t="shared" si="68"/>
        <v>246635.41967578643</v>
      </c>
      <c r="Y69" s="5">
        <f t="shared" si="68"/>
        <v>254715.34875215153</v>
      </c>
      <c r="Z69" s="5">
        <f t="shared" si="68"/>
        <v>254715.34875215153</v>
      </c>
      <c r="AA69" s="5">
        <f t="shared" si="68"/>
        <v>254715.34875215153</v>
      </c>
      <c r="AB69" s="5">
        <f t="shared" si="68"/>
        <v>254715.34875215153</v>
      </c>
      <c r="AC69" s="5">
        <f t="shared" si="68"/>
        <v>254715.34875215153</v>
      </c>
      <c r="AD69" s="5">
        <f t="shared" si="68"/>
        <v>254715.34875215153</v>
      </c>
      <c r="AE69" s="5">
        <f t="shared" si="68"/>
        <v>254715.34875215153</v>
      </c>
      <c r="AF69" s="5">
        <f t="shared" si="68"/>
        <v>254715.34875215153</v>
      </c>
      <c r="AG69" s="5">
        <f t="shared" si="68"/>
        <v>254715.34875215153</v>
      </c>
      <c r="AH69" s="5">
        <f t="shared" si="68"/>
        <v>254715.34875215153</v>
      </c>
    </row>
    <row r="70" spans="1:34" x14ac:dyDescent="0.35">
      <c r="A70" t="s">
        <v>90</v>
      </c>
      <c r="B70" s="3" t="s">
        <v>1264</v>
      </c>
      <c r="C70" s="4" t="s">
        <v>1263</v>
      </c>
      <c r="D70" s="2">
        <f t="shared" si="66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ref="W70:AH70" si="69">IF(OR((SLOPE($E70:$V70,$E$1:$V$1)*W$1+INTERCEPT($E70:$V70,$E$1:$V$1))&gt;(AVERAGE($E70:$V70)+_xlfn.STDEV.P($E70:$V70)),(SLOPE($E70:$V70,$E$1:$V$1)*W$1+INTERCEPT($E70:$V70,$E$1:$V$1))&lt;(AVERAGE($E70:$V70)-_xlfn.STDEV.P($E70:$V70))),V70,(SLOPE($E70:$V70,$E$1:$V$1)*W$1+INTERCEPT($E70:$V70,$E$1:$V$1)))</f>
        <v>122.10799999999999</v>
      </c>
      <c r="X70" s="5">
        <f t="shared" si="69"/>
        <v>122.10799999999999</v>
      </c>
      <c r="Y70" s="5">
        <f t="shared" si="69"/>
        <v>122.10799999999999</v>
      </c>
      <c r="Z70" s="5">
        <f t="shared" si="69"/>
        <v>122.10799999999999</v>
      </c>
      <c r="AA70" s="5">
        <f t="shared" si="69"/>
        <v>122.10799999999999</v>
      </c>
      <c r="AB70" s="5">
        <f t="shared" si="69"/>
        <v>122.10799999999999</v>
      </c>
      <c r="AC70" s="5">
        <f t="shared" si="69"/>
        <v>122.10799999999999</v>
      </c>
      <c r="AD70" s="5">
        <f t="shared" si="69"/>
        <v>122.10799999999999</v>
      </c>
      <c r="AE70" s="5">
        <f t="shared" si="69"/>
        <v>122.10799999999999</v>
      </c>
      <c r="AF70" s="5">
        <f t="shared" si="69"/>
        <v>122.10799999999999</v>
      </c>
      <c r="AG70" s="5">
        <f t="shared" si="69"/>
        <v>122.10799999999999</v>
      </c>
      <c r="AH70" s="5">
        <f t="shared" si="69"/>
        <v>122.10799999999999</v>
      </c>
    </row>
    <row r="71" spans="1:34" x14ac:dyDescent="0.35">
      <c r="A71" t="s">
        <v>91</v>
      </c>
      <c r="B71" s="3" t="s">
        <v>1262</v>
      </c>
      <c r="C71" s="4" t="s">
        <v>1263</v>
      </c>
      <c r="D71" s="2">
        <f t="shared" si="66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ref="W71:AH71" si="70">IF(OR((SLOPE($E71:$V71,$E$1:$V$1)*W$1+INTERCEPT($E71:$V71,$E$1:$V$1))&gt;(AVERAGE($E71:$V71)+_xlfn.STDEV.P($E71:$V71)),(SLOPE($E71:$V71,$E$1:$V$1)*W$1+INTERCEPT($E71:$V71,$E$1:$V$1))&lt;(AVERAGE($E71:$V71)-_xlfn.STDEV.P($E71:$V71))),V71,(SLOPE($E71:$V71,$E$1:$V$1)*W$1+INTERCEPT($E71:$V71,$E$1:$V$1)))</f>
        <v>302818.82400000002</v>
      </c>
      <c r="X71" s="5">
        <f t="shared" si="70"/>
        <v>302818.82400000002</v>
      </c>
      <c r="Y71" s="5">
        <f t="shared" si="70"/>
        <v>302818.82400000002</v>
      </c>
      <c r="Z71" s="5">
        <f t="shared" si="70"/>
        <v>302818.82400000002</v>
      </c>
      <c r="AA71" s="5">
        <f t="shared" si="70"/>
        <v>302818.82400000002</v>
      </c>
      <c r="AB71" s="5">
        <f t="shared" si="70"/>
        <v>302818.82400000002</v>
      </c>
      <c r="AC71" s="5">
        <f t="shared" si="70"/>
        <v>302818.82400000002</v>
      </c>
      <c r="AD71" s="5">
        <f t="shared" si="70"/>
        <v>302818.82400000002</v>
      </c>
      <c r="AE71" s="5">
        <f t="shared" si="70"/>
        <v>302818.82400000002</v>
      </c>
      <c r="AF71" s="5">
        <f t="shared" si="70"/>
        <v>302818.82400000002</v>
      </c>
      <c r="AG71" s="5">
        <f t="shared" si="70"/>
        <v>302818.82400000002</v>
      </c>
      <c r="AH71" s="5">
        <f t="shared" si="70"/>
        <v>302818.82400000002</v>
      </c>
    </row>
    <row r="72" spans="1:34" x14ac:dyDescent="0.35">
      <c r="A72" t="s">
        <v>92</v>
      </c>
      <c r="B72" s="3" t="s">
        <v>1262</v>
      </c>
      <c r="C72" s="4" t="s">
        <v>1263</v>
      </c>
      <c r="D72" s="2">
        <f t="shared" si="66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ref="W72:AH72" si="71">IF(OR((SLOPE($E72:$V72,$E$1:$V$1)*W$1+INTERCEPT($E72:$V72,$E$1:$V$1))&gt;(AVERAGE($E72:$V72)+_xlfn.STDEV.P($E72:$V72)),(SLOPE($E72:$V72,$E$1:$V$1)*W$1+INTERCEPT($E72:$V72,$E$1:$V$1))&lt;(AVERAGE($E72:$V72)-_xlfn.STDEV.P($E72:$V72))),V72,(SLOPE($E72:$V72,$E$1:$V$1)*W$1+INTERCEPT($E72:$V72,$E$1:$V$1)))</f>
        <v>194256.57833782991</v>
      </c>
      <c r="X72" s="5">
        <f t="shared" si="71"/>
        <v>198471.6641977324</v>
      </c>
      <c r="Y72" s="5">
        <f t="shared" si="71"/>
        <v>202686.7500576349</v>
      </c>
      <c r="Z72" s="5">
        <f t="shared" si="71"/>
        <v>206901.83591753739</v>
      </c>
      <c r="AA72" s="5">
        <f t="shared" si="71"/>
        <v>211116.92177743986</v>
      </c>
      <c r="AB72" s="5">
        <f t="shared" si="71"/>
        <v>215332.00763734232</v>
      </c>
      <c r="AC72" s="5">
        <f t="shared" si="71"/>
        <v>219547.09349724482</v>
      </c>
      <c r="AD72" s="5">
        <f t="shared" si="71"/>
        <v>223762.17935714731</v>
      </c>
      <c r="AE72" s="5">
        <f t="shared" si="71"/>
        <v>227977.2652170498</v>
      </c>
      <c r="AF72" s="5">
        <f t="shared" si="71"/>
        <v>232192.35107695227</v>
      </c>
      <c r="AG72" s="5">
        <f t="shared" si="71"/>
        <v>236407.43693685473</v>
      </c>
      <c r="AH72" s="5">
        <f t="shared" si="71"/>
        <v>240622.52279675723</v>
      </c>
    </row>
    <row r="73" spans="1:34" x14ac:dyDescent="0.35">
      <c r="A73" t="s">
        <v>93</v>
      </c>
      <c r="B73" s="3" t="s">
        <v>1262</v>
      </c>
      <c r="C73" s="4" t="s">
        <v>1263</v>
      </c>
      <c r="D73" s="2">
        <f t="shared" si="66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ref="W73:AH73" si="72">IF(OR((SLOPE($E73:$V73,$E$1:$V$1)*W$1+INTERCEPT($E73:$V73,$E$1:$V$1))&gt;(AVERAGE($E73:$V73)+_xlfn.STDEV.P($E73:$V73)),(SLOPE($E73:$V73,$E$1:$V$1)*W$1+INTERCEPT($E73:$V73,$E$1:$V$1))&lt;(AVERAGE($E73:$V73)-_xlfn.STDEV.P($E73:$V73))),V73,(SLOPE($E73:$V73,$E$1:$V$1)*W$1+INTERCEPT($E73:$V73,$E$1:$V$1)))</f>
        <v>185034.78</v>
      </c>
      <c r="X73" s="5">
        <f t="shared" si="72"/>
        <v>185034.78</v>
      </c>
      <c r="Y73" s="5">
        <f t="shared" si="72"/>
        <v>185034.78</v>
      </c>
      <c r="Z73" s="5">
        <f t="shared" si="72"/>
        <v>185034.78</v>
      </c>
      <c r="AA73" s="5">
        <f t="shared" si="72"/>
        <v>185034.78</v>
      </c>
      <c r="AB73" s="5">
        <f t="shared" si="72"/>
        <v>185034.78</v>
      </c>
      <c r="AC73" s="5">
        <f t="shared" si="72"/>
        <v>185034.78</v>
      </c>
      <c r="AD73" s="5">
        <f t="shared" si="72"/>
        <v>185034.78</v>
      </c>
      <c r="AE73" s="5">
        <f t="shared" si="72"/>
        <v>185034.78</v>
      </c>
      <c r="AF73" s="5">
        <f t="shared" si="72"/>
        <v>185034.78</v>
      </c>
      <c r="AG73" s="5">
        <f t="shared" si="72"/>
        <v>185034.78</v>
      </c>
      <c r="AH73" s="5">
        <f t="shared" si="72"/>
        <v>185034.78</v>
      </c>
    </row>
    <row r="74" spans="1:34" x14ac:dyDescent="0.35">
      <c r="A74" t="s">
        <v>94</v>
      </c>
      <c r="B74" s="3" t="s">
        <v>1262</v>
      </c>
      <c r="C74" s="4" t="s">
        <v>1263</v>
      </c>
      <c r="D74" s="2">
        <f t="shared" si="66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ref="W74:AH74" si="73">IF(OR((SLOPE($E74:$V74,$E$1:$V$1)*W$1+INTERCEPT($E74:$V74,$E$1:$V$1))&gt;(AVERAGE($E74:$V74)+_xlfn.STDEV.P($E74:$V74)),(SLOPE($E74:$V74,$E$1:$V$1)*W$1+INTERCEPT($E74:$V74,$E$1:$V$1))&lt;(AVERAGE($E74:$V74)-_xlfn.STDEV.P($E74:$V74))),V74,(SLOPE($E74:$V74,$E$1:$V$1)*W$1+INTERCEPT($E74:$V74,$E$1:$V$1)))</f>
        <v>121198.25197270687</v>
      </c>
      <c r="X74" s="5">
        <f t="shared" si="73"/>
        <v>118233.78173704943</v>
      </c>
      <c r="Y74" s="5">
        <f t="shared" si="73"/>
        <v>115269.31150139197</v>
      </c>
      <c r="Z74" s="5">
        <f t="shared" si="73"/>
        <v>112304.84126573452</v>
      </c>
      <c r="AA74" s="5">
        <f t="shared" si="73"/>
        <v>109340.37103007708</v>
      </c>
      <c r="AB74" s="5">
        <f t="shared" si="73"/>
        <v>106375.90079441962</v>
      </c>
      <c r="AC74" s="5">
        <f t="shared" si="73"/>
        <v>103411.43055876218</v>
      </c>
      <c r="AD74" s="5">
        <f t="shared" si="73"/>
        <v>100446.96032310472</v>
      </c>
      <c r="AE74" s="5">
        <f t="shared" si="73"/>
        <v>97482.490087447281</v>
      </c>
      <c r="AF74" s="5">
        <f t="shared" si="73"/>
        <v>94518.019851789824</v>
      </c>
      <c r="AG74" s="5">
        <f t="shared" si="73"/>
        <v>91553.549616132383</v>
      </c>
      <c r="AH74" s="5">
        <f t="shared" si="73"/>
        <v>88589.079380474926</v>
      </c>
    </row>
    <row r="75" spans="1:34" x14ac:dyDescent="0.35">
      <c r="A75" t="s">
        <v>95</v>
      </c>
      <c r="B75" s="3" t="s">
        <v>1265</v>
      </c>
      <c r="C75" s="4" t="s">
        <v>1263</v>
      </c>
      <c r="D75" s="2">
        <f t="shared" si="66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ref="W75:AH75" si="74">IF(OR((SLOPE($E75:$V75,$E$1:$V$1)*W$1+INTERCEPT($E75:$V75,$E$1:$V$1))&gt;(AVERAGE($E75:$V75)+_xlfn.STDEV.P($E75:$V75)),(SLOPE($E75:$V75,$E$1:$V$1)*W$1+INTERCEPT($E75:$V75,$E$1:$V$1))&lt;(AVERAGE($E75:$V75)-_xlfn.STDEV.P($E75:$V75))),V75,(SLOPE($E75:$V75,$E$1:$V$1)*W$1+INTERCEPT($E75:$V75,$E$1:$V$1)))</f>
        <v>75450.227597483259</v>
      </c>
      <c r="X75" s="5">
        <f t="shared" si="74"/>
        <v>68367.01106866778</v>
      </c>
      <c r="Y75" s="5">
        <f t="shared" si="74"/>
        <v>61283.794539852272</v>
      </c>
      <c r="Z75" s="5">
        <f t="shared" si="74"/>
        <v>54200.578011036792</v>
      </c>
      <c r="AA75" s="5">
        <f t="shared" si="74"/>
        <v>47117.361482221284</v>
      </c>
      <c r="AB75" s="5">
        <f t="shared" si="74"/>
        <v>40034.144953405776</v>
      </c>
      <c r="AC75" s="5">
        <f t="shared" si="74"/>
        <v>32950.928424590296</v>
      </c>
      <c r="AD75" s="5">
        <f t="shared" si="74"/>
        <v>25867.711895774788</v>
      </c>
      <c r="AE75" s="5">
        <f t="shared" si="74"/>
        <v>18784.495366959309</v>
      </c>
      <c r="AF75" s="5">
        <f t="shared" si="74"/>
        <v>11701.2788381438</v>
      </c>
      <c r="AG75" s="5">
        <f t="shared" si="74"/>
        <v>4618.0623093283211</v>
      </c>
      <c r="AH75" s="5">
        <f t="shared" si="74"/>
        <v>-2465.1542194871872</v>
      </c>
    </row>
    <row r="76" spans="1:34" x14ac:dyDescent="0.35">
      <c r="A76" t="s">
        <v>96</v>
      </c>
      <c r="B76" s="3" t="s">
        <v>1262</v>
      </c>
      <c r="C76" s="4" t="s">
        <v>1263</v>
      </c>
      <c r="D76" s="2">
        <f t="shared" si="66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ref="W76:AH76" si="75">IF(OR((SLOPE($E76:$V76,$E$1:$V$1)*W$1+INTERCEPT($E76:$V76,$E$1:$V$1))&gt;(AVERAGE($E76:$V76)+_xlfn.STDEV.P($E76:$V76)),(SLOPE($E76:$V76,$E$1:$V$1)*W$1+INTERCEPT($E76:$V76,$E$1:$V$1))&lt;(AVERAGE($E76:$V76)-_xlfn.STDEV.P($E76:$V76))),V76,(SLOPE($E76:$V76,$E$1:$V$1)*W$1+INTERCEPT($E76:$V76,$E$1:$V$1)))</f>
        <v>166112.14447058822</v>
      </c>
      <c r="X76" s="5">
        <f t="shared" si="75"/>
        <v>168421.29146749224</v>
      </c>
      <c r="Y76" s="5">
        <f t="shared" si="75"/>
        <v>170730.43846439628</v>
      </c>
      <c r="Z76" s="5">
        <f t="shared" si="75"/>
        <v>173039.5854613003</v>
      </c>
      <c r="AA76" s="5">
        <f t="shared" si="75"/>
        <v>175348.73245820432</v>
      </c>
      <c r="AB76" s="5">
        <f t="shared" si="75"/>
        <v>177657.87945510834</v>
      </c>
      <c r="AC76" s="5">
        <f t="shared" si="75"/>
        <v>179967.02645201236</v>
      </c>
      <c r="AD76" s="5">
        <f t="shared" si="75"/>
        <v>182276.17344891641</v>
      </c>
      <c r="AE76" s="5">
        <f t="shared" si="75"/>
        <v>184585.32044582043</v>
      </c>
      <c r="AF76" s="5">
        <f t="shared" si="75"/>
        <v>186894.46744272445</v>
      </c>
      <c r="AG76" s="5">
        <f t="shared" si="75"/>
        <v>189203.61443962847</v>
      </c>
      <c r="AH76" s="5">
        <f t="shared" si="75"/>
        <v>191512.76143653248</v>
      </c>
    </row>
    <row r="77" spans="1:34" x14ac:dyDescent="0.35">
      <c r="A77" t="s">
        <v>97</v>
      </c>
      <c r="B77" s="3" t="s">
        <v>1262</v>
      </c>
      <c r="C77" s="4" t="s">
        <v>1263</v>
      </c>
      <c r="D77" s="2">
        <f t="shared" si="66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ref="W77:AH77" si="76">IF(OR((SLOPE($E77:$V77,$E$1:$V$1)*W$1+INTERCEPT($E77:$V77,$E$1:$V$1))&gt;(AVERAGE($E77:$V77)+_xlfn.STDEV.P($E77:$V77)),(SLOPE($E77:$V77,$E$1:$V$1)*W$1+INTERCEPT($E77:$V77,$E$1:$V$1))&lt;(AVERAGE($E77:$V77)-_xlfn.STDEV.P($E77:$V77))),V77,(SLOPE($E77:$V77,$E$1:$V$1)*W$1+INTERCEPT($E77:$V77,$E$1:$V$1)))</f>
        <v>116384.73335999998</v>
      </c>
      <c r="X77" s="5">
        <f t="shared" si="76"/>
        <v>116384.73335999998</v>
      </c>
      <c r="Y77" s="5">
        <f t="shared" si="76"/>
        <v>116384.73335999998</v>
      </c>
      <c r="Z77" s="5">
        <f t="shared" si="76"/>
        <v>116384.73335999998</v>
      </c>
      <c r="AA77" s="5">
        <f t="shared" si="76"/>
        <v>116384.73335999998</v>
      </c>
      <c r="AB77" s="5">
        <f t="shared" si="76"/>
        <v>116384.73335999998</v>
      </c>
      <c r="AC77" s="5">
        <f t="shared" si="76"/>
        <v>116384.73335999998</v>
      </c>
      <c r="AD77" s="5">
        <f t="shared" si="76"/>
        <v>116384.73335999998</v>
      </c>
      <c r="AE77" s="5">
        <f t="shared" si="76"/>
        <v>116384.73335999998</v>
      </c>
      <c r="AF77" s="5">
        <f t="shared" si="76"/>
        <v>116384.73335999998</v>
      </c>
      <c r="AG77" s="5">
        <f t="shared" si="76"/>
        <v>116384.73335999998</v>
      </c>
      <c r="AH77" s="5">
        <f t="shared" si="76"/>
        <v>116384.73335999998</v>
      </c>
    </row>
    <row r="78" spans="1:34" x14ac:dyDescent="0.35">
      <c r="A78" t="s">
        <v>98</v>
      </c>
      <c r="B78" s="3" t="s">
        <v>1262</v>
      </c>
      <c r="C78" s="4" t="s">
        <v>1263</v>
      </c>
      <c r="D78" s="2">
        <f t="shared" si="66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ref="W78:AH78" si="77">IF(OR((SLOPE($E78:$V78,$E$1:$V$1)*W$1+INTERCEPT($E78:$V78,$E$1:$V$1))&gt;(AVERAGE($E78:$V78)+_xlfn.STDEV.P($E78:$V78)),(SLOPE($E78:$V78,$E$1:$V$1)*W$1+INTERCEPT($E78:$V78,$E$1:$V$1))&lt;(AVERAGE($E78:$V78)-_xlfn.STDEV.P($E78:$V78))),V78,(SLOPE($E78:$V78,$E$1:$V$1)*W$1+INTERCEPT($E78:$V78,$E$1:$V$1)))</f>
        <v>122826.28235294114</v>
      </c>
      <c r="X78" s="5">
        <f t="shared" si="77"/>
        <v>120913.81144272441</v>
      </c>
      <c r="Y78" s="5">
        <f t="shared" si="77"/>
        <v>119001.34053250769</v>
      </c>
      <c r="Z78" s="5">
        <f t="shared" si="77"/>
        <v>117088.86962229098</v>
      </c>
      <c r="AA78" s="5">
        <f t="shared" si="77"/>
        <v>115176.39871207427</v>
      </c>
      <c r="AB78" s="5">
        <f t="shared" si="77"/>
        <v>115176.39871207427</v>
      </c>
      <c r="AC78" s="5">
        <f t="shared" si="77"/>
        <v>115176.39871207427</v>
      </c>
      <c r="AD78" s="5">
        <f t="shared" si="77"/>
        <v>115176.39871207427</v>
      </c>
      <c r="AE78" s="5">
        <f t="shared" si="77"/>
        <v>115176.39871207427</v>
      </c>
      <c r="AF78" s="5">
        <f t="shared" si="77"/>
        <v>115176.39871207427</v>
      </c>
      <c r="AG78" s="5">
        <f t="shared" si="77"/>
        <v>115176.39871207427</v>
      </c>
      <c r="AH78" s="5">
        <f t="shared" si="77"/>
        <v>115176.39871207427</v>
      </c>
    </row>
    <row r="79" spans="1:34" x14ac:dyDescent="0.35">
      <c r="A79" t="s">
        <v>99</v>
      </c>
      <c r="B79" s="3" t="s">
        <v>1262</v>
      </c>
      <c r="C79" s="4" t="s">
        <v>1263</v>
      </c>
      <c r="D79" s="2">
        <f t="shared" si="66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ref="W79:AH79" si="78">IF(OR((SLOPE($E79:$V79,$E$1:$V$1)*W$1+INTERCEPT($E79:$V79,$E$1:$V$1))&gt;(AVERAGE($E79:$V79)+_xlfn.STDEV.P($E79:$V79)),(SLOPE($E79:$V79,$E$1:$V$1)*W$1+INTERCEPT($E79:$V79,$E$1:$V$1))&lt;(AVERAGE($E79:$V79)-_xlfn.STDEV.P($E79:$V79))),V79,(SLOPE($E79:$V79,$E$1:$V$1)*W$1+INTERCEPT($E79:$V79,$E$1:$V$1)))</f>
        <v>247475.08799999999</v>
      </c>
      <c r="X79" s="5">
        <f t="shared" si="78"/>
        <v>247475.08799999999</v>
      </c>
      <c r="Y79" s="5">
        <f t="shared" si="78"/>
        <v>247475.08799999999</v>
      </c>
      <c r="Z79" s="5">
        <f t="shared" si="78"/>
        <v>247475.08799999999</v>
      </c>
      <c r="AA79" s="5">
        <f t="shared" si="78"/>
        <v>247475.08799999999</v>
      </c>
      <c r="AB79" s="5">
        <f t="shared" si="78"/>
        <v>247475.08799999999</v>
      </c>
      <c r="AC79" s="5">
        <f t="shared" si="78"/>
        <v>247475.08799999999</v>
      </c>
      <c r="AD79" s="5">
        <f t="shared" si="78"/>
        <v>247475.08799999999</v>
      </c>
      <c r="AE79" s="5">
        <f t="shared" si="78"/>
        <v>247475.08799999999</v>
      </c>
      <c r="AF79" s="5">
        <f t="shared" si="78"/>
        <v>247475.08799999999</v>
      </c>
      <c r="AG79" s="5">
        <f t="shared" si="78"/>
        <v>247475.08799999999</v>
      </c>
      <c r="AH79" s="5">
        <f t="shared" si="78"/>
        <v>247475.08799999999</v>
      </c>
    </row>
    <row r="80" spans="1:34" x14ac:dyDescent="0.35">
      <c r="A80" t="s">
        <v>100</v>
      </c>
      <c r="B80" s="3" t="s">
        <v>1264</v>
      </c>
      <c r="C80" s="4" t="s">
        <v>1263</v>
      </c>
      <c r="D80" s="2">
        <f t="shared" si="66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ref="W80:AH80" si="79">IF(OR((SLOPE($E80:$V80,$E$1:$V$1)*W$1+INTERCEPT($E80:$V80,$E$1:$V$1))&gt;(AVERAGE($E80:$V80)+_xlfn.STDEV.P($E80:$V80)),(SLOPE($E80:$V80,$E$1:$V$1)*W$1+INTERCEPT($E80:$V80,$E$1:$V$1))&lt;(AVERAGE($E80:$V80)-_xlfn.STDEV.P($E80:$V80))),V80,(SLOPE($E80:$V80,$E$1:$V$1)*W$1+INTERCEPT($E80:$V80,$E$1:$V$1)))</f>
        <v>0</v>
      </c>
      <c r="X80" s="5">
        <f t="shared" si="79"/>
        <v>0</v>
      </c>
      <c r="Y80" s="5">
        <f t="shared" si="79"/>
        <v>0</v>
      </c>
      <c r="Z80" s="5">
        <f t="shared" si="79"/>
        <v>0</v>
      </c>
      <c r="AA80" s="5">
        <f t="shared" si="79"/>
        <v>0</v>
      </c>
      <c r="AB80" s="5">
        <f t="shared" si="79"/>
        <v>0</v>
      </c>
      <c r="AC80" s="5">
        <f t="shared" si="79"/>
        <v>0</v>
      </c>
      <c r="AD80" s="5">
        <f t="shared" si="79"/>
        <v>0</v>
      </c>
      <c r="AE80" s="5">
        <f t="shared" si="79"/>
        <v>0</v>
      </c>
      <c r="AF80" s="5">
        <f t="shared" si="79"/>
        <v>0</v>
      </c>
      <c r="AG80" s="5">
        <f t="shared" si="79"/>
        <v>0</v>
      </c>
      <c r="AH80" s="5">
        <f t="shared" si="79"/>
        <v>0</v>
      </c>
    </row>
    <row r="81" spans="1:34" x14ac:dyDescent="0.35">
      <c r="A81" t="s">
        <v>101</v>
      </c>
      <c r="B81" s="3" t="s">
        <v>1264</v>
      </c>
      <c r="C81" s="4" t="s">
        <v>1263</v>
      </c>
      <c r="D81" s="2">
        <f t="shared" si="66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ref="W81:AH81" si="80">IF(OR((SLOPE($E81:$V81,$E$1:$V$1)*W$1+INTERCEPT($E81:$V81,$E$1:$V$1))&gt;(AVERAGE($E81:$V81)+_xlfn.STDEV.P($E81:$V81)),(SLOPE($E81:$V81,$E$1:$V$1)*W$1+INTERCEPT($E81:$V81,$E$1:$V$1))&lt;(AVERAGE($E81:$V81)-_xlfn.STDEV.P($E81:$V81))),V81,(SLOPE($E81:$V81,$E$1:$V$1)*W$1+INTERCEPT($E81:$V81,$E$1:$V$1)))</f>
        <v>83386.092423529364</v>
      </c>
      <c r="X81" s="5">
        <f t="shared" si="80"/>
        <v>77912.139373374564</v>
      </c>
      <c r="Y81" s="5">
        <f t="shared" si="80"/>
        <v>72438.186323219765</v>
      </c>
      <c r="Z81" s="5">
        <f t="shared" si="80"/>
        <v>66964.233273064965</v>
      </c>
      <c r="AA81" s="5">
        <f t="shared" si="80"/>
        <v>61490.280222910165</v>
      </c>
      <c r="AB81" s="5">
        <f t="shared" si="80"/>
        <v>56016.327172755351</v>
      </c>
      <c r="AC81" s="5">
        <f t="shared" si="80"/>
        <v>50542.374122600566</v>
      </c>
      <c r="AD81" s="5">
        <f t="shared" si="80"/>
        <v>45068.421072445752</v>
      </c>
      <c r="AE81" s="5">
        <f t="shared" si="80"/>
        <v>39594.468022290966</v>
      </c>
      <c r="AF81" s="5">
        <f t="shared" si="80"/>
        <v>34120.514972136152</v>
      </c>
      <c r="AG81" s="5">
        <f t="shared" si="80"/>
        <v>28646.561921981367</v>
      </c>
      <c r="AH81" s="5">
        <f t="shared" si="80"/>
        <v>23172.608871826553</v>
      </c>
    </row>
    <row r="82" spans="1:34" x14ac:dyDescent="0.35">
      <c r="A82" t="s">
        <v>102</v>
      </c>
      <c r="B82" s="3" t="s">
        <v>1264</v>
      </c>
      <c r="C82" s="4" t="s">
        <v>1263</v>
      </c>
      <c r="D82" s="2">
        <f t="shared" si="66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ref="W82:AH82" si="81">IF(OR((SLOPE($E82:$V82,$E$1:$V$1)*W$1+INTERCEPT($E82:$V82,$E$1:$V$1))&gt;(AVERAGE($E82:$V82)+_xlfn.STDEV.P($E82:$V82)),(SLOPE($E82:$V82,$E$1:$V$1)*W$1+INTERCEPT($E82:$V82,$E$1:$V$1))&lt;(AVERAGE($E82:$V82)-_xlfn.STDEV.P($E82:$V82))),V82,(SLOPE($E82:$V82,$E$1:$V$1)*W$1+INTERCEPT($E82:$V82,$E$1:$V$1)))</f>
        <v>0</v>
      </c>
      <c r="X82" s="5">
        <f t="shared" si="81"/>
        <v>0</v>
      </c>
      <c r="Y82" s="5">
        <f t="shared" si="81"/>
        <v>0</v>
      </c>
      <c r="Z82" s="5">
        <f t="shared" si="81"/>
        <v>0</v>
      </c>
      <c r="AA82" s="5">
        <f t="shared" si="81"/>
        <v>0</v>
      </c>
      <c r="AB82" s="5">
        <f t="shared" si="81"/>
        <v>0</v>
      </c>
      <c r="AC82" s="5">
        <f t="shared" si="81"/>
        <v>0</v>
      </c>
      <c r="AD82" s="5">
        <f t="shared" si="81"/>
        <v>0</v>
      </c>
      <c r="AE82" s="5">
        <f t="shared" si="81"/>
        <v>0</v>
      </c>
      <c r="AF82" s="5">
        <f t="shared" si="81"/>
        <v>0</v>
      </c>
      <c r="AG82" s="5">
        <f t="shared" si="81"/>
        <v>0</v>
      </c>
      <c r="AH82" s="5">
        <f t="shared" si="81"/>
        <v>0</v>
      </c>
    </row>
    <row r="83" spans="1:34" x14ac:dyDescent="0.35">
      <c r="A83" t="s">
        <v>103</v>
      </c>
      <c r="B83" s="3" t="s">
        <v>1262</v>
      </c>
      <c r="C83" s="4" t="s">
        <v>1263</v>
      </c>
      <c r="D83" s="2">
        <f t="shared" si="66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ref="W83:AH83" si="82">IF(OR((SLOPE($E83:$V83,$E$1:$V$1)*W$1+INTERCEPT($E83:$V83,$E$1:$V$1))&gt;(AVERAGE($E83:$V83)+_xlfn.STDEV.P($E83:$V83)),(SLOPE($E83:$V83,$E$1:$V$1)*W$1+INTERCEPT($E83:$V83,$E$1:$V$1))&lt;(AVERAGE($E83:$V83)-_xlfn.STDEV.P($E83:$V83))),V83,(SLOPE($E83:$V83,$E$1:$V$1)*W$1+INTERCEPT($E83:$V83,$E$1:$V$1)))</f>
        <v>188650.19433041441</v>
      </c>
      <c r="X83" s="5">
        <f t="shared" si="82"/>
        <v>188650.19433041441</v>
      </c>
      <c r="Y83" s="5">
        <f t="shared" si="82"/>
        <v>188650.19433041441</v>
      </c>
      <c r="Z83" s="5">
        <f t="shared" si="82"/>
        <v>188650.19433041441</v>
      </c>
      <c r="AA83" s="5">
        <f t="shared" si="82"/>
        <v>188650.19433041441</v>
      </c>
      <c r="AB83" s="5">
        <f t="shared" si="82"/>
        <v>188650.19433041441</v>
      </c>
      <c r="AC83" s="5">
        <f t="shared" si="82"/>
        <v>188650.19433041441</v>
      </c>
      <c r="AD83" s="5">
        <f t="shared" si="82"/>
        <v>188650.19433041441</v>
      </c>
      <c r="AE83" s="5">
        <f t="shared" si="82"/>
        <v>188650.19433041441</v>
      </c>
      <c r="AF83" s="5">
        <f t="shared" si="82"/>
        <v>188650.19433041441</v>
      </c>
      <c r="AG83" s="5">
        <f t="shared" si="82"/>
        <v>188650.19433041441</v>
      </c>
      <c r="AH83" s="5">
        <f t="shared" si="82"/>
        <v>188650.19433041441</v>
      </c>
    </row>
    <row r="84" spans="1:34" x14ac:dyDescent="0.35">
      <c r="A84" t="s">
        <v>104</v>
      </c>
      <c r="B84" s="3" t="s">
        <v>1262</v>
      </c>
      <c r="C84" s="4" t="s">
        <v>1263</v>
      </c>
      <c r="D84" s="2">
        <f t="shared" si="66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ref="W84:AH84" si="83">IF(OR((SLOPE($E84:$V84,$E$1:$V$1)*W$1+INTERCEPT($E84:$V84,$E$1:$V$1))&gt;(AVERAGE($E84:$V84)+_xlfn.STDEV.P($E84:$V84)),(SLOPE($E84:$V84,$E$1:$V$1)*W$1+INTERCEPT($E84:$V84,$E$1:$V$1))&lt;(AVERAGE($E84:$V84)-_xlfn.STDEV.P($E84:$V84))),V84,(SLOPE($E84:$V84,$E$1:$V$1)*W$1+INTERCEPT($E84:$V84,$E$1:$V$1)))</f>
        <v>169270.43082352937</v>
      </c>
      <c r="X84" s="5">
        <f t="shared" si="83"/>
        <v>169270.43082352937</v>
      </c>
      <c r="Y84" s="5">
        <f t="shared" si="83"/>
        <v>169270.43082352937</v>
      </c>
      <c r="Z84" s="5">
        <f t="shared" si="83"/>
        <v>169270.43082352937</v>
      </c>
      <c r="AA84" s="5">
        <f t="shared" si="83"/>
        <v>169270.43082352937</v>
      </c>
      <c r="AB84" s="5">
        <f t="shared" si="83"/>
        <v>169270.43082352937</v>
      </c>
      <c r="AC84" s="5">
        <f t="shared" si="83"/>
        <v>169270.43082352937</v>
      </c>
      <c r="AD84" s="5">
        <f t="shared" si="83"/>
        <v>169270.43082352937</v>
      </c>
      <c r="AE84" s="5">
        <f t="shared" si="83"/>
        <v>169270.43082352937</v>
      </c>
      <c r="AF84" s="5">
        <f t="shared" si="83"/>
        <v>169270.43082352937</v>
      </c>
      <c r="AG84" s="5">
        <f t="shared" si="83"/>
        <v>169270.43082352937</v>
      </c>
      <c r="AH84" s="5">
        <f t="shared" si="83"/>
        <v>169270.43082352937</v>
      </c>
    </row>
    <row r="85" spans="1:34" x14ac:dyDescent="0.35">
      <c r="A85" t="s">
        <v>105</v>
      </c>
      <c r="B85" s="3" t="s">
        <v>1262</v>
      </c>
      <c r="C85" s="4" t="s">
        <v>1263</v>
      </c>
      <c r="D85" s="2">
        <f t="shared" si="66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H85" si="84">IF(OR((SLOPE($E85:$V85,$E$1:$V$1)*W$1+INTERCEPT($E85:$V85,$E$1:$V$1))&gt;(AVERAGE($E85:$V85)+_xlfn.STDEV.P($E85:$V85)),(SLOPE($E85:$V85,$E$1:$V$1)*W$1+INTERCEPT($E85:$V85,$E$1:$V$1))&lt;(AVERAGE($E85:$V85)-_xlfn.STDEV.P($E85:$V85))),V85,(SLOPE($E85:$V85,$E$1:$V$1)*W$1+INTERCEPT($E85:$V85,$E$1:$V$1)))</f>
        <v>157735.01917166548</v>
      </c>
      <c r="X85" s="5">
        <f t="shared" si="84"/>
        <v>160502.60401669017</v>
      </c>
      <c r="Y85" s="5">
        <f t="shared" si="84"/>
        <v>163270.18886171482</v>
      </c>
      <c r="Z85" s="5">
        <f t="shared" si="84"/>
        <v>166037.77370673948</v>
      </c>
      <c r="AA85" s="5">
        <f t="shared" si="84"/>
        <v>168805.35855176416</v>
      </c>
      <c r="AB85" s="5">
        <f t="shared" si="84"/>
        <v>168805.35855176416</v>
      </c>
      <c r="AC85" s="5">
        <f t="shared" si="84"/>
        <v>168805.35855176416</v>
      </c>
      <c r="AD85" s="5">
        <f t="shared" si="84"/>
        <v>168805.35855176416</v>
      </c>
      <c r="AE85" s="5">
        <f t="shared" si="84"/>
        <v>168805.35855176416</v>
      </c>
      <c r="AF85" s="5">
        <f t="shared" si="84"/>
        <v>168805.35855176416</v>
      </c>
      <c r="AG85" s="5">
        <f t="shared" si="84"/>
        <v>168805.35855176416</v>
      </c>
      <c r="AH85" s="5">
        <f t="shared" si="84"/>
        <v>168805.35855176416</v>
      </c>
    </row>
    <row r="86" spans="1:34" x14ac:dyDescent="0.35">
      <c r="A86" t="s">
        <v>106</v>
      </c>
      <c r="B86" s="3" t="s">
        <v>1265</v>
      </c>
      <c r="C86" s="4" t="s">
        <v>1263</v>
      </c>
      <c r="D86" s="2">
        <f t="shared" si="66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ref="W86:AH86" si="85">IF(OR((SLOPE($E86:$V86,$E$1:$V$1)*W$1+INTERCEPT($E86:$V86,$E$1:$V$1))&gt;(AVERAGE($E86:$V86)+_xlfn.STDEV.P($E86:$V86)),(SLOPE($E86:$V86,$E$1:$V$1)*W$1+INTERCEPT($E86:$V86,$E$1:$V$1))&lt;(AVERAGE($E86:$V86)-_xlfn.STDEV.P($E86:$V86))),V86,(SLOPE($E86:$V86,$E$1:$V$1)*W$1+INTERCEPT($E86:$V86,$E$1:$V$1)))</f>
        <v>138164.71200000003</v>
      </c>
      <c r="X86" s="5">
        <f t="shared" si="85"/>
        <v>139226.39242105267</v>
      </c>
      <c r="Y86" s="5">
        <f t="shared" si="85"/>
        <v>140288.07284210529</v>
      </c>
      <c r="Z86" s="5">
        <f t="shared" si="85"/>
        <v>141349.75326315791</v>
      </c>
      <c r="AA86" s="5">
        <f t="shared" si="85"/>
        <v>142411.43368421055</v>
      </c>
      <c r="AB86" s="5">
        <f t="shared" si="85"/>
        <v>143473.1141052632</v>
      </c>
      <c r="AC86" s="5">
        <f t="shared" si="85"/>
        <v>144534.79452631582</v>
      </c>
      <c r="AD86" s="5">
        <f t="shared" si="85"/>
        <v>145596.47494736846</v>
      </c>
      <c r="AE86" s="5">
        <f t="shared" si="85"/>
        <v>146658.15536842108</v>
      </c>
      <c r="AF86" s="5">
        <f t="shared" si="85"/>
        <v>147719.83578947373</v>
      </c>
      <c r="AG86" s="5">
        <f t="shared" si="85"/>
        <v>148781.51621052634</v>
      </c>
      <c r="AH86" s="5">
        <f t="shared" si="85"/>
        <v>149843.19663157899</v>
      </c>
    </row>
    <row r="87" spans="1:34" x14ac:dyDescent="0.35">
      <c r="A87" t="s">
        <v>107</v>
      </c>
      <c r="B87" s="3" t="s">
        <v>1262</v>
      </c>
      <c r="C87" s="4" t="s">
        <v>1263</v>
      </c>
      <c r="D87" s="2">
        <f t="shared" si="66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ref="W87:AH87" si="86">IF(OR((SLOPE($E87:$V87,$E$1:$V$1)*W$1+INTERCEPT($E87:$V87,$E$1:$V$1))&gt;(AVERAGE($E87:$V87)+_xlfn.STDEV.P($E87:$V87)),(SLOPE($E87:$V87,$E$1:$V$1)*W$1+INTERCEPT($E87:$V87,$E$1:$V$1))&lt;(AVERAGE($E87:$V87)-_xlfn.STDEV.P($E87:$V87))),V87,(SLOPE($E87:$V87,$E$1:$V$1)*W$1+INTERCEPT($E87:$V87,$E$1:$V$1)))</f>
        <v>176164.65299999999</v>
      </c>
      <c r="X87" s="5">
        <f t="shared" si="86"/>
        <v>181322.47294736843</v>
      </c>
      <c r="Y87" s="5">
        <f t="shared" si="86"/>
        <v>186480.29289473683</v>
      </c>
      <c r="Z87" s="5">
        <f t="shared" si="86"/>
        <v>186480.29289473683</v>
      </c>
      <c r="AA87" s="5">
        <f t="shared" si="86"/>
        <v>186480.29289473683</v>
      </c>
      <c r="AB87" s="5">
        <f t="shared" si="86"/>
        <v>186480.29289473683</v>
      </c>
      <c r="AC87" s="5">
        <f t="shared" si="86"/>
        <v>186480.29289473683</v>
      </c>
      <c r="AD87" s="5">
        <f t="shared" si="86"/>
        <v>186480.29289473683</v>
      </c>
      <c r="AE87" s="5">
        <f t="shared" si="86"/>
        <v>186480.29289473683</v>
      </c>
      <c r="AF87" s="5">
        <f t="shared" si="86"/>
        <v>186480.29289473683</v>
      </c>
      <c r="AG87" s="5">
        <f t="shared" si="86"/>
        <v>186480.29289473683</v>
      </c>
      <c r="AH87" s="5">
        <f t="shared" si="86"/>
        <v>186480.29289473683</v>
      </c>
    </row>
    <row r="88" spans="1:34" x14ac:dyDescent="0.35">
      <c r="A88" t="s">
        <v>108</v>
      </c>
      <c r="B88" s="3" t="s">
        <v>1262</v>
      </c>
      <c r="C88" s="4" t="s">
        <v>1263</v>
      </c>
      <c r="D88" s="2">
        <f t="shared" si="66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ref="W88:AH88" si="87">IF(OR((SLOPE($E88:$V88,$E$1:$V$1)*W$1+INTERCEPT($E88:$V88,$E$1:$V$1))&gt;(AVERAGE($E88:$V88)+_xlfn.STDEV.P($E88:$V88)),(SLOPE($E88:$V88,$E$1:$V$1)*W$1+INTERCEPT($E88:$V88,$E$1:$V$1))&lt;(AVERAGE($E88:$V88)-_xlfn.STDEV.P($E88:$V88))),V88,(SLOPE($E88:$V88,$E$1:$V$1)*W$1+INTERCEPT($E88:$V88,$E$1:$V$1)))</f>
        <v>164202.76228099019</v>
      </c>
      <c r="X88" s="5">
        <f t="shared" si="87"/>
        <v>164202.76228099019</v>
      </c>
      <c r="Y88" s="5">
        <f t="shared" si="87"/>
        <v>164202.76228099019</v>
      </c>
      <c r="Z88" s="5">
        <f t="shared" si="87"/>
        <v>164202.76228099019</v>
      </c>
      <c r="AA88" s="5">
        <f t="shared" si="87"/>
        <v>164202.76228099019</v>
      </c>
      <c r="AB88" s="5">
        <f t="shared" si="87"/>
        <v>164202.76228099019</v>
      </c>
      <c r="AC88" s="5">
        <f t="shared" si="87"/>
        <v>164202.76228099019</v>
      </c>
      <c r="AD88" s="5">
        <f t="shared" si="87"/>
        <v>164202.76228099019</v>
      </c>
      <c r="AE88" s="5">
        <f t="shared" si="87"/>
        <v>164202.76228099019</v>
      </c>
      <c r="AF88" s="5">
        <f t="shared" si="87"/>
        <v>164202.76228099019</v>
      </c>
      <c r="AG88" s="5">
        <f t="shared" si="87"/>
        <v>164202.76228099019</v>
      </c>
      <c r="AH88" s="5">
        <f t="shared" si="87"/>
        <v>164202.76228099019</v>
      </c>
    </row>
    <row r="89" spans="1:34" x14ac:dyDescent="0.35">
      <c r="A89" t="s">
        <v>109</v>
      </c>
      <c r="B89" s="3" t="s">
        <v>1262</v>
      </c>
      <c r="C89" s="4" t="s">
        <v>1263</v>
      </c>
      <c r="D89" s="2">
        <f t="shared" si="66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ref="W89:AH89" si="88">IF(OR((SLOPE($E89:$V89,$E$1:$V$1)*W$1+INTERCEPT($E89:$V89,$E$1:$V$1))&gt;(AVERAGE($E89:$V89)+_xlfn.STDEV.P($E89:$V89)),(SLOPE($E89:$V89,$E$1:$V$1)*W$1+INTERCEPT($E89:$V89,$E$1:$V$1))&lt;(AVERAGE($E89:$V89)-_xlfn.STDEV.P($E89:$V89))),V89,(SLOPE($E89:$V89,$E$1:$V$1)*W$1+INTERCEPT($E89:$V89,$E$1:$V$1)))</f>
        <v>132352.31470588234</v>
      </c>
      <c r="X89" s="5">
        <f t="shared" si="88"/>
        <v>133061.87414860679</v>
      </c>
      <c r="Y89" s="5">
        <f t="shared" si="88"/>
        <v>133771.43359133124</v>
      </c>
      <c r="Z89" s="5">
        <f t="shared" si="88"/>
        <v>134480.99303405572</v>
      </c>
      <c r="AA89" s="5">
        <f t="shared" si="88"/>
        <v>135190.55247678017</v>
      </c>
      <c r="AB89" s="5">
        <f t="shared" si="88"/>
        <v>135900.11191950462</v>
      </c>
      <c r="AC89" s="5">
        <f t="shared" si="88"/>
        <v>136609.67136222907</v>
      </c>
      <c r="AD89" s="5">
        <f t="shared" si="88"/>
        <v>137319.23080495355</v>
      </c>
      <c r="AE89" s="5">
        <f t="shared" si="88"/>
        <v>138028.790247678</v>
      </c>
      <c r="AF89" s="5">
        <f t="shared" si="88"/>
        <v>138738.34969040245</v>
      </c>
      <c r="AG89" s="5">
        <f t="shared" si="88"/>
        <v>139447.9091331269</v>
      </c>
      <c r="AH89" s="5">
        <f t="shared" si="88"/>
        <v>140157.46857585138</v>
      </c>
    </row>
    <row r="90" spans="1:34" x14ac:dyDescent="0.35">
      <c r="A90" t="s">
        <v>110</v>
      </c>
      <c r="B90" s="3" t="s">
        <v>1262</v>
      </c>
      <c r="C90" s="4" t="s">
        <v>1263</v>
      </c>
      <c r="D90" s="2">
        <f t="shared" si="66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ref="W90:AH90" si="89">IF(OR((SLOPE($E90:$V90,$E$1:$V$1)*W$1+INTERCEPT($E90:$V90,$E$1:$V$1))&gt;(AVERAGE($E90:$V90)+_xlfn.STDEV.P($E90:$V90)),(SLOPE($E90:$V90,$E$1:$V$1)*W$1+INTERCEPT($E90:$V90,$E$1:$V$1))&lt;(AVERAGE($E90:$V90)-_xlfn.STDEV.P($E90:$V90))),V90,(SLOPE($E90:$V90,$E$1:$V$1)*W$1+INTERCEPT($E90:$V90,$E$1:$V$1)))</f>
        <v>103103.12056470587</v>
      </c>
      <c r="X90" s="5">
        <f t="shared" si="89"/>
        <v>100802.64028730649</v>
      </c>
      <c r="Y90" s="5">
        <f t="shared" si="89"/>
        <v>98502.160009907107</v>
      </c>
      <c r="Z90" s="5">
        <f t="shared" si="89"/>
        <v>96201.679732507735</v>
      </c>
      <c r="AA90" s="5">
        <f t="shared" si="89"/>
        <v>93901.199455108348</v>
      </c>
      <c r="AB90" s="5">
        <f t="shared" si="89"/>
        <v>91600.719177708961</v>
      </c>
      <c r="AC90" s="5">
        <f t="shared" si="89"/>
        <v>89300.238900309574</v>
      </c>
      <c r="AD90" s="5">
        <f t="shared" si="89"/>
        <v>86999.758622910202</v>
      </c>
      <c r="AE90" s="5">
        <f t="shared" si="89"/>
        <v>84699.278345510829</v>
      </c>
      <c r="AF90" s="5">
        <f t="shared" si="89"/>
        <v>82398.798068111442</v>
      </c>
      <c r="AG90" s="5">
        <f t="shared" si="89"/>
        <v>82398.798068111442</v>
      </c>
      <c r="AH90" s="5">
        <f t="shared" si="89"/>
        <v>82398.798068111442</v>
      </c>
    </row>
    <row r="91" spans="1:34" x14ac:dyDescent="0.35">
      <c r="A91" t="s">
        <v>111</v>
      </c>
      <c r="B91" s="3" t="s">
        <v>1262</v>
      </c>
      <c r="C91" s="4" t="s">
        <v>1263</v>
      </c>
      <c r="D91" s="2">
        <f t="shared" si="66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ref="W91:AH91" si="90">IF(OR((SLOPE($E91:$V91,$E$1:$V$1)*W$1+INTERCEPT($E91:$V91,$E$1:$V$1))&gt;(AVERAGE($E91:$V91)+_xlfn.STDEV.P($E91:$V91)),(SLOPE($E91:$V91,$E$1:$V$1)*W$1+INTERCEPT($E91:$V91,$E$1:$V$1))&lt;(AVERAGE($E91:$V91)-_xlfn.STDEV.P($E91:$V91))),V91,(SLOPE($E91:$V91,$E$1:$V$1)*W$1+INTERCEPT($E91:$V91,$E$1:$V$1)))</f>
        <v>162415.86571350761</v>
      </c>
      <c r="X91" s="5">
        <f t="shared" si="90"/>
        <v>167019.96536220043</v>
      </c>
      <c r="Y91" s="5">
        <f t="shared" si="90"/>
        <v>171624.06501089322</v>
      </c>
      <c r="Z91" s="5">
        <f t="shared" si="90"/>
        <v>176228.16465958604</v>
      </c>
      <c r="AA91" s="5">
        <f t="shared" si="90"/>
        <v>180832.26430827886</v>
      </c>
      <c r="AB91" s="5">
        <f t="shared" si="90"/>
        <v>185436.36395697168</v>
      </c>
      <c r="AC91" s="5">
        <f t="shared" si="90"/>
        <v>190040.46360566447</v>
      </c>
      <c r="AD91" s="5">
        <f t="shared" si="90"/>
        <v>194644.56325435729</v>
      </c>
      <c r="AE91" s="5">
        <f t="shared" si="90"/>
        <v>199248.66290305008</v>
      </c>
      <c r="AF91" s="5">
        <f t="shared" si="90"/>
        <v>203852.7625517429</v>
      </c>
      <c r="AG91" s="5">
        <f t="shared" si="90"/>
        <v>208456.86220043572</v>
      </c>
      <c r="AH91" s="5">
        <f t="shared" si="90"/>
        <v>213060.96184912854</v>
      </c>
    </row>
    <row r="92" spans="1:34" x14ac:dyDescent="0.35">
      <c r="A92" t="s">
        <v>112</v>
      </c>
      <c r="B92" s="3" t="s">
        <v>1264</v>
      </c>
      <c r="C92" s="4" t="s">
        <v>1263</v>
      </c>
      <c r="D92" s="2">
        <f t="shared" si="66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ref="W92:AH92" si="91">IF(OR((SLOPE($E92:$V92,$E$1:$V$1)*W$1+INTERCEPT($E92:$V92,$E$1:$V$1))&gt;(AVERAGE($E92:$V92)+_xlfn.STDEV.P($E92:$V92)),(SLOPE($E92:$V92,$E$1:$V$1)*W$1+INTERCEPT($E92:$V92,$E$1:$V$1))&lt;(AVERAGE($E92:$V92)-_xlfn.STDEV.P($E92:$V92))),V92,(SLOPE($E92:$V92,$E$1:$V$1)*W$1+INTERCEPT($E92:$V92,$E$1:$V$1)))</f>
        <v>130248.34521176474</v>
      </c>
      <c r="X92" s="5">
        <f t="shared" si="91"/>
        <v>131370.2347393189</v>
      </c>
      <c r="Y92" s="5">
        <f t="shared" si="91"/>
        <v>132492.12426687308</v>
      </c>
      <c r="Z92" s="5">
        <f t="shared" si="91"/>
        <v>133614.01379442727</v>
      </c>
      <c r="AA92" s="5">
        <f t="shared" si="91"/>
        <v>134735.90332198146</v>
      </c>
      <c r="AB92" s="5">
        <f t="shared" si="91"/>
        <v>135857.79284953565</v>
      </c>
      <c r="AC92" s="5">
        <f t="shared" si="91"/>
        <v>136979.6823770898</v>
      </c>
      <c r="AD92" s="5">
        <f t="shared" si="91"/>
        <v>138101.57190464399</v>
      </c>
      <c r="AE92" s="5">
        <f t="shared" si="91"/>
        <v>139223.46143219818</v>
      </c>
      <c r="AF92" s="5">
        <f t="shared" si="91"/>
        <v>139223.46143219818</v>
      </c>
      <c r="AG92" s="5">
        <f t="shared" si="91"/>
        <v>139223.46143219818</v>
      </c>
      <c r="AH92" s="5">
        <f t="shared" si="91"/>
        <v>139223.46143219818</v>
      </c>
    </row>
    <row r="93" spans="1:34" x14ac:dyDescent="0.35">
      <c r="A93" t="s">
        <v>113</v>
      </c>
      <c r="B93" s="3" t="s">
        <v>1262</v>
      </c>
      <c r="C93" s="4" t="s">
        <v>1263</v>
      </c>
      <c r="D93" s="2">
        <f t="shared" si="66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ref="W93:AH93" si="92">IF(OR((SLOPE($E93:$V93,$E$1:$V$1)*W$1+INTERCEPT($E93:$V93,$E$1:$V$1))&gt;(AVERAGE($E93:$V93)+_xlfn.STDEV.P($E93:$V93)),(SLOPE($E93:$V93,$E$1:$V$1)*W$1+INTERCEPT($E93:$V93,$E$1:$V$1))&lt;(AVERAGE($E93:$V93)-_xlfn.STDEV.P($E93:$V93))),V93,(SLOPE($E93:$V93,$E$1:$V$1)*W$1+INTERCEPT($E93:$V93,$E$1:$V$1)))</f>
        <v>113909.54337492456</v>
      </c>
      <c r="X93" s="5">
        <f t="shared" si="92"/>
        <v>113869.69178872048</v>
      </c>
      <c r="Y93" s="5">
        <f t="shared" si="92"/>
        <v>113829.8402025164</v>
      </c>
      <c r="Z93" s="5">
        <f t="shared" si="92"/>
        <v>113789.98861631232</v>
      </c>
      <c r="AA93" s="5">
        <f t="shared" si="92"/>
        <v>113750.13703010824</v>
      </c>
      <c r="AB93" s="5">
        <f t="shared" si="92"/>
        <v>113710.28544390415</v>
      </c>
      <c r="AC93" s="5">
        <f t="shared" si="92"/>
        <v>113670.43385770007</v>
      </c>
      <c r="AD93" s="5">
        <f t="shared" si="92"/>
        <v>113630.58227149599</v>
      </c>
      <c r="AE93" s="5">
        <f t="shared" si="92"/>
        <v>113590.73068529191</v>
      </c>
      <c r="AF93" s="5">
        <f t="shared" si="92"/>
        <v>113550.87909908783</v>
      </c>
      <c r="AG93" s="5">
        <f t="shared" si="92"/>
        <v>113511.02751288375</v>
      </c>
      <c r="AH93" s="5">
        <f t="shared" si="92"/>
        <v>113471.17592667967</v>
      </c>
    </row>
    <row r="94" spans="1:34" x14ac:dyDescent="0.35">
      <c r="A94" t="s">
        <v>114</v>
      </c>
      <c r="B94" s="3" t="s">
        <v>1265</v>
      </c>
      <c r="C94" s="4" t="s">
        <v>1263</v>
      </c>
      <c r="D94" s="2">
        <f t="shared" si="66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ref="W94:AH94" si="93">IF(OR((SLOPE($E94:$V94,$E$1:$V$1)*W$1+INTERCEPT($E94:$V94,$E$1:$V$1))&gt;(AVERAGE($E94:$V94)+_xlfn.STDEV.P($E94:$V94)),(SLOPE($E94:$V94,$E$1:$V$1)*W$1+INTERCEPT($E94:$V94,$E$1:$V$1))&lt;(AVERAGE($E94:$V94)-_xlfn.STDEV.P($E94:$V94))),V94,(SLOPE($E94:$V94,$E$1:$V$1)*W$1+INTERCEPT($E94:$V94,$E$1:$V$1)))</f>
        <v>115595.50476867161</v>
      </c>
      <c r="X94" s="5">
        <f t="shared" si="93"/>
        <v>115781.52343187488</v>
      </c>
      <c r="Y94" s="5">
        <f t="shared" si="93"/>
        <v>115967.54209507817</v>
      </c>
      <c r="Z94" s="5">
        <f t="shared" si="93"/>
        <v>116153.56075828144</v>
      </c>
      <c r="AA94" s="5">
        <f t="shared" si="93"/>
        <v>116339.57942148473</v>
      </c>
      <c r="AB94" s="5">
        <f t="shared" si="93"/>
        <v>116525.598084688</v>
      </c>
      <c r="AC94" s="5">
        <f t="shared" si="93"/>
        <v>116711.61674789128</v>
      </c>
      <c r="AD94" s="5">
        <f t="shared" si="93"/>
        <v>116897.63541109455</v>
      </c>
      <c r="AE94" s="5">
        <f t="shared" si="93"/>
        <v>117083.65407429784</v>
      </c>
      <c r="AF94" s="5">
        <f t="shared" si="93"/>
        <v>117269.67273750111</v>
      </c>
      <c r="AG94" s="5">
        <f t="shared" si="93"/>
        <v>117455.6914007044</v>
      </c>
      <c r="AH94" s="5">
        <f t="shared" si="93"/>
        <v>117641.71006390767</v>
      </c>
    </row>
    <row r="95" spans="1:34" x14ac:dyDescent="0.35">
      <c r="A95" t="s">
        <v>115</v>
      </c>
      <c r="B95" s="3" t="s">
        <v>1262</v>
      </c>
      <c r="C95" s="4" t="s">
        <v>1263</v>
      </c>
      <c r="D95" s="2">
        <f t="shared" si="66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ref="W95:AH95" si="94">IF(OR((SLOPE($E95:$V95,$E$1:$V$1)*W$1+INTERCEPT($E95:$V95,$E$1:$V$1))&gt;(AVERAGE($E95:$V95)+_xlfn.STDEV.P($E95:$V95)),(SLOPE($E95:$V95,$E$1:$V$1)*W$1+INTERCEPT($E95:$V95,$E$1:$V$1))&lt;(AVERAGE($E95:$V95)-_xlfn.STDEV.P($E95:$V95))),V95,(SLOPE($E95:$V95,$E$1:$V$1)*W$1+INTERCEPT($E95:$V95,$E$1:$V$1)))</f>
        <v>117247.5458823529</v>
      </c>
      <c r="X95" s="5">
        <f t="shared" si="94"/>
        <v>117721.69597523217</v>
      </c>
      <c r="Y95" s="5">
        <f t="shared" si="94"/>
        <v>118195.84606811142</v>
      </c>
      <c r="Z95" s="5">
        <f t="shared" si="94"/>
        <v>118669.99616099067</v>
      </c>
      <c r="AA95" s="5">
        <f t="shared" si="94"/>
        <v>119144.14625386993</v>
      </c>
      <c r="AB95" s="5">
        <f t="shared" si="94"/>
        <v>119618.29634674919</v>
      </c>
      <c r="AC95" s="5">
        <f t="shared" si="94"/>
        <v>120092.44643962845</v>
      </c>
      <c r="AD95" s="5">
        <f t="shared" si="94"/>
        <v>120566.5965325077</v>
      </c>
      <c r="AE95" s="5">
        <f t="shared" si="94"/>
        <v>121040.74662538696</v>
      </c>
      <c r="AF95" s="5">
        <f t="shared" si="94"/>
        <v>121514.89671826622</v>
      </c>
      <c r="AG95" s="5">
        <f t="shared" si="94"/>
        <v>121989.04681114547</v>
      </c>
      <c r="AH95" s="5">
        <f t="shared" si="94"/>
        <v>122463.19690402472</v>
      </c>
    </row>
    <row r="96" spans="1:34" x14ac:dyDescent="0.35">
      <c r="A96" t="s">
        <v>116</v>
      </c>
      <c r="B96" s="3" t="s">
        <v>1266</v>
      </c>
      <c r="C96" s="4" t="s">
        <v>1263</v>
      </c>
      <c r="D96" s="2">
        <f t="shared" si="66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ref="W96:AH96" si="95">IF(OR((SLOPE($E96:$V96,$E$1:$V$1)*W$1+INTERCEPT($E96:$V96,$E$1:$V$1))&gt;(AVERAGE($E96:$V96)+_xlfn.STDEV.P($E96:$V96)),(SLOPE($E96:$V96,$E$1:$V$1)*W$1+INTERCEPT($E96:$V96,$E$1:$V$1))&lt;(AVERAGE($E96:$V96)-_xlfn.STDEV.P($E96:$V96))),V96,(SLOPE($E96:$V96,$E$1:$V$1)*W$1+INTERCEPT($E96:$V96,$E$1:$V$1)))</f>
        <v>208594.19256596948</v>
      </c>
      <c r="X96" s="5">
        <f t="shared" si="95"/>
        <v>208594.19256596948</v>
      </c>
      <c r="Y96" s="5">
        <f t="shared" si="95"/>
        <v>208594.19256596948</v>
      </c>
      <c r="Z96" s="5">
        <f t="shared" si="95"/>
        <v>208594.19256596948</v>
      </c>
      <c r="AA96" s="5">
        <f t="shared" si="95"/>
        <v>208594.19256596948</v>
      </c>
      <c r="AB96" s="5">
        <f t="shared" si="95"/>
        <v>208594.19256596948</v>
      </c>
      <c r="AC96" s="5">
        <f t="shared" si="95"/>
        <v>208594.19256596948</v>
      </c>
      <c r="AD96" s="5">
        <f t="shared" si="95"/>
        <v>208594.19256596948</v>
      </c>
      <c r="AE96" s="5">
        <f t="shared" si="95"/>
        <v>208594.19256596948</v>
      </c>
      <c r="AF96" s="5">
        <f t="shared" si="95"/>
        <v>208594.19256596948</v>
      </c>
      <c r="AG96" s="5">
        <f t="shared" si="95"/>
        <v>208594.19256596948</v>
      </c>
      <c r="AH96" s="5">
        <f t="shared" si="95"/>
        <v>208594.19256596948</v>
      </c>
    </row>
    <row r="97" spans="1:34" x14ac:dyDescent="0.35">
      <c r="A97" t="s">
        <v>117</v>
      </c>
      <c r="B97" s="3" t="s">
        <v>1262</v>
      </c>
      <c r="C97" s="4" t="s">
        <v>1263</v>
      </c>
      <c r="D97" s="2">
        <f t="shared" si="66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ref="W97:AH97" si="96">IF(OR((SLOPE($E97:$V97,$E$1:$V$1)*W$1+INTERCEPT($E97:$V97,$E$1:$V$1))&gt;(AVERAGE($E97:$V97)+_xlfn.STDEV.P($E97:$V97)),(SLOPE($E97:$V97,$E$1:$V$1)*W$1+INTERCEPT($E97:$V97,$E$1:$V$1))&lt;(AVERAGE($E97:$V97)-_xlfn.STDEV.P($E97:$V97))),V97,(SLOPE($E97:$V97,$E$1:$V$1)*W$1+INTERCEPT($E97:$V97,$E$1:$V$1)))</f>
        <v>102631.91004705886</v>
      </c>
      <c r="X97" s="5">
        <f t="shared" si="96"/>
        <v>101965.68219938084</v>
      </c>
      <c r="Y97" s="5">
        <f t="shared" si="96"/>
        <v>101299.45435170282</v>
      </c>
      <c r="Z97" s="5">
        <f t="shared" si="96"/>
        <v>100633.2265040248</v>
      </c>
      <c r="AA97" s="5">
        <f t="shared" si="96"/>
        <v>99966.998656346783</v>
      </c>
      <c r="AB97" s="5">
        <f t="shared" si="96"/>
        <v>99300.770808668763</v>
      </c>
      <c r="AC97" s="5">
        <f t="shared" si="96"/>
        <v>98634.542960990744</v>
      </c>
      <c r="AD97" s="5">
        <f t="shared" si="96"/>
        <v>97968.315113312739</v>
      </c>
      <c r="AE97" s="5">
        <f t="shared" si="96"/>
        <v>97302.087265634706</v>
      </c>
      <c r="AF97" s="5">
        <f t="shared" si="96"/>
        <v>96635.859417956701</v>
      </c>
      <c r="AG97" s="5">
        <f t="shared" si="96"/>
        <v>95969.631570278681</v>
      </c>
      <c r="AH97" s="5">
        <f t="shared" si="96"/>
        <v>95303.403722600662</v>
      </c>
    </row>
    <row r="98" spans="1:34" x14ac:dyDescent="0.35">
      <c r="A98" t="s">
        <v>118</v>
      </c>
      <c r="B98" s="3" t="s">
        <v>1265</v>
      </c>
      <c r="C98" s="4" t="s">
        <v>1263</v>
      </c>
      <c r="D98" s="2">
        <f t="shared" si="66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ref="W98:AH98" si="97">IF(OR((SLOPE($E98:$V98,$E$1:$V$1)*W$1+INTERCEPT($E98:$V98,$E$1:$V$1))&gt;(AVERAGE($E98:$V98)+_xlfn.STDEV.P($E98:$V98)),(SLOPE($E98:$V98,$E$1:$V$1)*W$1+INTERCEPT($E98:$V98,$E$1:$V$1))&lt;(AVERAGE($E98:$V98)-_xlfn.STDEV.P($E98:$V98))),V98,(SLOPE($E98:$V98,$E$1:$V$1)*W$1+INTERCEPT($E98:$V98,$E$1:$V$1)))</f>
        <v>132679.0294117647</v>
      </c>
      <c r="X98" s="5">
        <f t="shared" si="97"/>
        <v>132679.0294117647</v>
      </c>
      <c r="Y98" s="5">
        <f t="shared" si="97"/>
        <v>132679.0294117647</v>
      </c>
      <c r="Z98" s="5">
        <f t="shared" si="97"/>
        <v>132679.0294117647</v>
      </c>
      <c r="AA98" s="5">
        <f t="shared" si="97"/>
        <v>132679.0294117647</v>
      </c>
      <c r="AB98" s="5">
        <f t="shared" si="97"/>
        <v>132679.0294117647</v>
      </c>
      <c r="AC98" s="5">
        <f t="shared" si="97"/>
        <v>132679.0294117647</v>
      </c>
      <c r="AD98" s="5">
        <f t="shared" si="97"/>
        <v>132679.0294117647</v>
      </c>
      <c r="AE98" s="5">
        <f t="shared" si="97"/>
        <v>132679.0294117647</v>
      </c>
      <c r="AF98" s="5">
        <f t="shared" si="97"/>
        <v>132679.0294117647</v>
      </c>
      <c r="AG98" s="5">
        <f t="shared" si="97"/>
        <v>132679.0294117647</v>
      </c>
      <c r="AH98" s="5">
        <f t="shared" si="97"/>
        <v>132679.0294117647</v>
      </c>
    </row>
    <row r="99" spans="1:34" x14ac:dyDescent="0.35">
      <c r="A99" t="s">
        <v>119</v>
      </c>
      <c r="B99" s="3" t="s">
        <v>1262</v>
      </c>
      <c r="C99" s="4" t="s">
        <v>1263</v>
      </c>
      <c r="D99" s="2">
        <f t="shared" si="66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ref="W99:AH99" si="98">IF(OR((SLOPE($E99:$V99,$E$1:$V$1)*W$1+INTERCEPT($E99:$V99,$E$1:$V$1))&gt;(AVERAGE($E99:$V99)+_xlfn.STDEV.P($E99:$V99)),(SLOPE($E99:$V99,$E$1:$V$1)*W$1+INTERCEPT($E99:$V99,$E$1:$V$1))&lt;(AVERAGE($E99:$V99)-_xlfn.STDEV.P($E99:$V99))),V99,(SLOPE($E99:$V99,$E$1:$V$1)*W$1+INTERCEPT($E99:$V99,$E$1:$V$1)))</f>
        <v>136896.06308171101</v>
      </c>
      <c r="X99" s="5">
        <f t="shared" si="98"/>
        <v>140011.59453369261</v>
      </c>
      <c r="Y99" s="5">
        <f t="shared" si="98"/>
        <v>143127.12598567421</v>
      </c>
      <c r="Z99" s="5">
        <f t="shared" si="98"/>
        <v>146242.65743765584</v>
      </c>
      <c r="AA99" s="5">
        <f t="shared" si="98"/>
        <v>146242.65743765584</v>
      </c>
      <c r="AB99" s="5">
        <f t="shared" si="98"/>
        <v>146242.65743765584</v>
      </c>
      <c r="AC99" s="5">
        <f t="shared" si="98"/>
        <v>146242.65743765584</v>
      </c>
      <c r="AD99" s="5">
        <f t="shared" si="98"/>
        <v>146242.65743765584</v>
      </c>
      <c r="AE99" s="5">
        <f t="shared" si="98"/>
        <v>146242.65743765584</v>
      </c>
      <c r="AF99" s="5">
        <f t="shared" si="98"/>
        <v>146242.65743765584</v>
      </c>
      <c r="AG99" s="5">
        <f t="shared" si="98"/>
        <v>146242.65743765584</v>
      </c>
      <c r="AH99" s="5">
        <f t="shared" si="98"/>
        <v>146242.65743765584</v>
      </c>
    </row>
    <row r="100" spans="1:34" x14ac:dyDescent="0.35">
      <c r="A100" t="s">
        <v>120</v>
      </c>
      <c r="B100" s="3" t="s">
        <v>1262</v>
      </c>
      <c r="C100" s="4" t="s">
        <v>1263</v>
      </c>
      <c r="D100" s="2">
        <f t="shared" si="66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ref="W100:AH100" si="99">IF(OR((SLOPE($E100:$V100,$E$1:$V$1)*W$1+INTERCEPT($E100:$V100,$E$1:$V$1))&gt;(AVERAGE($E100:$V100)+_xlfn.STDEV.P($E100:$V100)),(SLOPE($E100:$V100,$E$1:$V$1)*W$1+INTERCEPT($E100:$V100,$E$1:$V$1))&lt;(AVERAGE($E100:$V100)-_xlfn.STDEV.P($E100:$V100))),V100,(SLOPE($E100:$V100,$E$1:$V$1)*W$1+INTERCEPT($E100:$V100,$E$1:$V$1)))</f>
        <v>173076.64363812734</v>
      </c>
      <c r="X100" s="5">
        <f t="shared" si="99"/>
        <v>173076.64363812734</v>
      </c>
      <c r="Y100" s="5">
        <f t="shared" si="99"/>
        <v>173076.64363812734</v>
      </c>
      <c r="Z100" s="5">
        <f t="shared" si="99"/>
        <v>173076.64363812734</v>
      </c>
      <c r="AA100" s="5">
        <f t="shared" si="99"/>
        <v>173076.64363812734</v>
      </c>
      <c r="AB100" s="5">
        <f t="shared" si="99"/>
        <v>173076.64363812734</v>
      </c>
      <c r="AC100" s="5">
        <f t="shared" si="99"/>
        <v>173076.64363812734</v>
      </c>
      <c r="AD100" s="5">
        <f t="shared" si="99"/>
        <v>173076.64363812734</v>
      </c>
      <c r="AE100" s="5">
        <f t="shared" si="99"/>
        <v>173076.64363812734</v>
      </c>
      <c r="AF100" s="5">
        <f t="shared" si="99"/>
        <v>173076.64363812734</v>
      </c>
      <c r="AG100" s="5">
        <f t="shared" si="99"/>
        <v>173076.64363812734</v>
      </c>
      <c r="AH100" s="5">
        <f t="shared" si="99"/>
        <v>173076.64363812734</v>
      </c>
    </row>
    <row r="101" spans="1:34" x14ac:dyDescent="0.35">
      <c r="A101" t="s">
        <v>121</v>
      </c>
      <c r="B101" s="3" t="s">
        <v>1265</v>
      </c>
      <c r="C101" s="4" t="s">
        <v>1263</v>
      </c>
      <c r="D101" s="2">
        <f t="shared" si="66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H101" si="100">IF(OR((SLOPE($E101:$V101,$E$1:$V$1)*W$1+INTERCEPT($E101:$V101,$E$1:$V$1))&gt;(AVERAGE($E101:$V101)+_xlfn.STDEV.P($E101:$V101)),(SLOPE($E101:$V101,$E$1:$V$1)*W$1+INTERCEPT($E101:$V101,$E$1:$V$1))&lt;(AVERAGE($E101:$V101)-_xlfn.STDEV.P($E101:$V101))),V101,(SLOPE($E101:$V101,$E$1:$V$1)*W$1+INTERCEPT($E101:$V101,$E$1:$V$1)))</f>
        <v>153166.71953451098</v>
      </c>
      <c r="X101" s="5">
        <f t="shared" si="100"/>
        <v>157831.19049123314</v>
      </c>
      <c r="Y101" s="5">
        <f t="shared" si="100"/>
        <v>162495.6614479553</v>
      </c>
      <c r="Z101" s="5">
        <f t="shared" si="100"/>
        <v>167160.13240467748</v>
      </c>
      <c r="AA101" s="5">
        <f t="shared" si="100"/>
        <v>171824.60336139967</v>
      </c>
      <c r="AB101" s="5">
        <f t="shared" si="100"/>
        <v>176489.07431812183</v>
      </c>
      <c r="AC101" s="5">
        <f t="shared" si="100"/>
        <v>181153.54527484401</v>
      </c>
      <c r="AD101" s="5">
        <f t="shared" si="100"/>
        <v>185818.0162315662</v>
      </c>
      <c r="AE101" s="5">
        <f t="shared" si="100"/>
        <v>190482.48718828836</v>
      </c>
      <c r="AF101" s="5">
        <f t="shared" si="100"/>
        <v>195146.95814501052</v>
      </c>
      <c r="AG101" s="5">
        <f t="shared" si="100"/>
        <v>199811.42910173268</v>
      </c>
      <c r="AH101" s="5">
        <f t="shared" si="100"/>
        <v>204475.90005845489</v>
      </c>
    </row>
    <row r="102" spans="1:34" x14ac:dyDescent="0.35">
      <c r="A102" t="s">
        <v>122</v>
      </c>
      <c r="B102" s="3" t="s">
        <v>1262</v>
      </c>
      <c r="C102" s="4" t="s">
        <v>1263</v>
      </c>
      <c r="D102" s="2">
        <f t="shared" si="66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ref="W102:AH102" si="101">IF(OR((SLOPE($E102:$V102,$E$1:$V$1)*W$1+INTERCEPT($E102:$V102,$E$1:$V$1))&gt;(AVERAGE($E102:$V102)+_xlfn.STDEV.P($E102:$V102)),(SLOPE($E102:$V102,$E$1:$V$1)*W$1+INTERCEPT($E102:$V102,$E$1:$V$1))&lt;(AVERAGE($E102:$V102)-_xlfn.STDEV.P($E102:$V102))),V102,(SLOPE($E102:$V102,$E$1:$V$1)*W$1+INTERCEPT($E102:$V102,$E$1:$V$1)))</f>
        <v>153732.06388235293</v>
      </c>
      <c r="X102" s="5">
        <f t="shared" si="101"/>
        <v>158979.96934365324</v>
      </c>
      <c r="Y102" s="5">
        <f t="shared" si="101"/>
        <v>164227.87480495355</v>
      </c>
      <c r="Z102" s="5">
        <f t="shared" si="101"/>
        <v>169475.78026625386</v>
      </c>
      <c r="AA102" s="5">
        <f t="shared" si="101"/>
        <v>174723.68572755417</v>
      </c>
      <c r="AB102" s="5">
        <f t="shared" si="101"/>
        <v>174723.68572755417</v>
      </c>
      <c r="AC102" s="5">
        <f t="shared" si="101"/>
        <v>174723.68572755417</v>
      </c>
      <c r="AD102" s="5">
        <f t="shared" si="101"/>
        <v>174723.68572755417</v>
      </c>
      <c r="AE102" s="5">
        <f t="shared" si="101"/>
        <v>174723.68572755417</v>
      </c>
      <c r="AF102" s="5">
        <f t="shared" si="101"/>
        <v>174723.68572755417</v>
      </c>
      <c r="AG102" s="5">
        <f t="shared" si="101"/>
        <v>174723.68572755417</v>
      </c>
      <c r="AH102" s="5">
        <f t="shared" si="101"/>
        <v>174723.68572755417</v>
      </c>
    </row>
    <row r="103" spans="1:34" x14ac:dyDescent="0.35">
      <c r="A103" t="s">
        <v>123</v>
      </c>
      <c r="B103" s="3" t="s">
        <v>1266</v>
      </c>
      <c r="C103" s="4" t="s">
        <v>1263</v>
      </c>
      <c r="D103" s="2">
        <f t="shared" si="66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ref="W103:AH103" si="102">IF(OR((SLOPE($E103:$V103,$E$1:$V$1)*W$1+INTERCEPT($E103:$V103,$E$1:$V$1))&gt;(AVERAGE($E103:$V103)+_xlfn.STDEV.P($E103:$V103)),(SLOPE($E103:$V103,$E$1:$V$1)*W$1+INTERCEPT($E103:$V103,$E$1:$V$1))&lt;(AVERAGE($E103:$V103)-_xlfn.STDEV.P($E103:$V103))),V103,(SLOPE($E103:$V103,$E$1:$V$1)*W$1+INTERCEPT($E103:$V103,$E$1:$V$1)))</f>
        <v>186704.51702774264</v>
      </c>
      <c r="X103" s="5">
        <f t="shared" si="102"/>
        <v>195274.1905484731</v>
      </c>
      <c r="Y103" s="5">
        <f t="shared" si="102"/>
        <v>203843.8640692035</v>
      </c>
      <c r="Z103" s="5">
        <f t="shared" si="102"/>
        <v>203843.8640692035</v>
      </c>
      <c r="AA103" s="5">
        <f t="shared" si="102"/>
        <v>203843.8640692035</v>
      </c>
      <c r="AB103" s="5">
        <f t="shared" si="102"/>
        <v>203843.8640692035</v>
      </c>
      <c r="AC103" s="5">
        <f t="shared" si="102"/>
        <v>203843.8640692035</v>
      </c>
      <c r="AD103" s="5">
        <f t="shared" si="102"/>
        <v>203843.8640692035</v>
      </c>
      <c r="AE103" s="5">
        <f t="shared" si="102"/>
        <v>203843.8640692035</v>
      </c>
      <c r="AF103" s="5">
        <f t="shared" si="102"/>
        <v>203843.8640692035</v>
      </c>
      <c r="AG103" s="5">
        <f t="shared" si="102"/>
        <v>203843.8640692035</v>
      </c>
      <c r="AH103" s="5">
        <f t="shared" si="102"/>
        <v>203843.8640692035</v>
      </c>
    </row>
    <row r="104" spans="1:34" x14ac:dyDescent="0.35">
      <c r="A104" t="s">
        <v>124</v>
      </c>
      <c r="B104" s="3" t="s">
        <v>1264</v>
      </c>
      <c r="C104" s="4" t="s">
        <v>1263</v>
      </c>
      <c r="D104" s="2">
        <f t="shared" si="66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ref="W104:AH104" si="103">IF(OR((SLOPE($E104:$V104,$E$1:$V$1)*W$1+INTERCEPT($E104:$V104,$E$1:$V$1))&gt;(AVERAGE($E104:$V104)+_xlfn.STDEV.P($E104:$V104)),(SLOPE($E104:$V104,$E$1:$V$1)*W$1+INTERCEPT($E104:$V104,$E$1:$V$1))&lt;(AVERAGE($E104:$V104)-_xlfn.STDEV.P($E104:$V104))),V104,(SLOPE($E104:$V104,$E$1:$V$1)*W$1+INTERCEPT($E104:$V104,$E$1:$V$1)))</f>
        <v>151599.924</v>
      </c>
      <c r="X104" s="5">
        <f t="shared" si="103"/>
        <v>151599.924</v>
      </c>
      <c r="Y104" s="5">
        <f t="shared" si="103"/>
        <v>151599.924</v>
      </c>
      <c r="Z104" s="5">
        <f t="shared" si="103"/>
        <v>151599.924</v>
      </c>
      <c r="AA104" s="5">
        <f t="shared" si="103"/>
        <v>151599.924</v>
      </c>
      <c r="AB104" s="5">
        <f t="shared" si="103"/>
        <v>151599.924</v>
      </c>
      <c r="AC104" s="5">
        <f t="shared" si="103"/>
        <v>151599.924</v>
      </c>
      <c r="AD104" s="5">
        <f t="shared" si="103"/>
        <v>151599.924</v>
      </c>
      <c r="AE104" s="5">
        <f t="shared" si="103"/>
        <v>151599.924</v>
      </c>
      <c r="AF104" s="5">
        <f t="shared" si="103"/>
        <v>151599.924</v>
      </c>
      <c r="AG104" s="5">
        <f t="shared" si="103"/>
        <v>151599.924</v>
      </c>
      <c r="AH104" s="5">
        <f t="shared" si="103"/>
        <v>151599.924</v>
      </c>
    </row>
    <row r="105" spans="1:34" x14ac:dyDescent="0.35">
      <c r="A105" t="s">
        <v>125</v>
      </c>
      <c r="B105" s="3" t="s">
        <v>1265</v>
      </c>
      <c r="C105" s="4" t="s">
        <v>1263</v>
      </c>
      <c r="D105" s="2">
        <f t="shared" si="66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ref="W105:AH105" si="104">IF(OR((SLOPE($E105:$V105,$E$1:$V$1)*W$1+INTERCEPT($E105:$V105,$E$1:$V$1))&gt;(AVERAGE($E105:$V105)+_xlfn.STDEV.P($E105:$V105)),(SLOPE($E105:$V105,$E$1:$V$1)*W$1+INTERCEPT($E105:$V105,$E$1:$V$1))&lt;(AVERAGE($E105:$V105)-_xlfn.STDEV.P($E105:$V105))),V105,(SLOPE($E105:$V105,$E$1:$V$1)*W$1+INTERCEPT($E105:$V105,$E$1:$V$1)))</f>
        <v>116559.44925882354</v>
      </c>
      <c r="X105" s="5">
        <f t="shared" si="104"/>
        <v>118042.91327554181</v>
      </c>
      <c r="Y105" s="5">
        <f t="shared" si="104"/>
        <v>119526.37729226008</v>
      </c>
      <c r="Z105" s="5">
        <f t="shared" si="104"/>
        <v>119526.37729226008</v>
      </c>
      <c r="AA105" s="5">
        <f t="shared" si="104"/>
        <v>119526.37729226008</v>
      </c>
      <c r="AB105" s="5">
        <f t="shared" si="104"/>
        <v>119526.37729226008</v>
      </c>
      <c r="AC105" s="5">
        <f t="shared" si="104"/>
        <v>119526.37729226008</v>
      </c>
      <c r="AD105" s="5">
        <f t="shared" si="104"/>
        <v>119526.37729226008</v>
      </c>
      <c r="AE105" s="5">
        <f t="shared" si="104"/>
        <v>119526.37729226008</v>
      </c>
      <c r="AF105" s="5">
        <f t="shared" si="104"/>
        <v>119526.37729226008</v>
      </c>
      <c r="AG105" s="5">
        <f t="shared" si="104"/>
        <v>119526.37729226008</v>
      </c>
      <c r="AH105" s="5">
        <f t="shared" si="104"/>
        <v>119526.37729226008</v>
      </c>
    </row>
    <row r="106" spans="1:34" x14ac:dyDescent="0.35">
      <c r="A106" t="s">
        <v>126</v>
      </c>
      <c r="B106" s="3" t="s">
        <v>1265</v>
      </c>
      <c r="C106" s="4" t="s">
        <v>1263</v>
      </c>
      <c r="D106" s="2">
        <f t="shared" si="66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ref="W106:AH106" si="105">IF(OR((SLOPE($E106:$V106,$E$1:$V$1)*W$1+INTERCEPT($E106:$V106,$E$1:$V$1))&gt;(AVERAGE($E106:$V106)+_xlfn.STDEV.P($E106:$V106)),(SLOPE($E106:$V106,$E$1:$V$1)*W$1+INTERCEPT($E106:$V106,$E$1:$V$1))&lt;(AVERAGE($E106:$V106)-_xlfn.STDEV.P($E106:$V106))),V106,(SLOPE($E106:$V106,$E$1:$V$1)*W$1+INTERCEPT($E106:$V106,$E$1:$V$1)))</f>
        <v>85486.657443785865</v>
      </c>
      <c r="X106" s="5">
        <f t="shared" si="105"/>
        <v>83749.618178235833</v>
      </c>
      <c r="Y106" s="5">
        <f t="shared" si="105"/>
        <v>82012.5789126858</v>
      </c>
      <c r="Z106" s="5">
        <f t="shared" si="105"/>
        <v>80275.539647135782</v>
      </c>
      <c r="AA106" s="5">
        <f t="shared" si="105"/>
        <v>80275.539647135782</v>
      </c>
      <c r="AB106" s="5">
        <f t="shared" si="105"/>
        <v>80275.539647135782</v>
      </c>
      <c r="AC106" s="5">
        <f t="shared" si="105"/>
        <v>80275.539647135782</v>
      </c>
      <c r="AD106" s="5">
        <f t="shared" si="105"/>
        <v>80275.539647135782</v>
      </c>
      <c r="AE106" s="5">
        <f t="shared" si="105"/>
        <v>80275.539647135782</v>
      </c>
      <c r="AF106" s="5">
        <f t="shared" si="105"/>
        <v>80275.539647135782</v>
      </c>
      <c r="AG106" s="5">
        <f t="shared" si="105"/>
        <v>80275.539647135782</v>
      </c>
      <c r="AH106" s="5">
        <f t="shared" si="105"/>
        <v>80275.539647135782</v>
      </c>
    </row>
    <row r="107" spans="1:34" x14ac:dyDescent="0.35">
      <c r="A107" t="s">
        <v>127</v>
      </c>
      <c r="B107" s="3" t="s">
        <v>1262</v>
      </c>
      <c r="C107" s="4" t="s">
        <v>1263</v>
      </c>
      <c r="D107" s="2">
        <f t="shared" si="66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ref="W107:AH107" si="106">IF(OR((SLOPE($E107:$V107,$E$1:$V$1)*W$1+INTERCEPT($E107:$V107,$E$1:$V$1))&gt;(AVERAGE($E107:$V107)+_xlfn.STDEV.P($E107:$V107)),(SLOPE($E107:$V107,$E$1:$V$1)*W$1+INTERCEPT($E107:$V107,$E$1:$V$1))&lt;(AVERAGE($E107:$V107)-_xlfn.STDEV.P($E107:$V107))),V107,(SLOPE($E107:$V107,$E$1:$V$1)*W$1+INTERCEPT($E107:$V107,$E$1:$V$1)))</f>
        <v>125012.58734043376</v>
      </c>
      <c r="X107" s="5">
        <f t="shared" si="106"/>
        <v>127491.66150819475</v>
      </c>
      <c r="Y107" s="5">
        <f t="shared" si="106"/>
        <v>129970.73567595574</v>
      </c>
      <c r="Z107" s="5">
        <f t="shared" si="106"/>
        <v>132449.80984371674</v>
      </c>
      <c r="AA107" s="5">
        <f t="shared" si="106"/>
        <v>132449.80984371674</v>
      </c>
      <c r="AB107" s="5">
        <f t="shared" si="106"/>
        <v>132449.80984371674</v>
      </c>
      <c r="AC107" s="5">
        <f t="shared" si="106"/>
        <v>132449.80984371674</v>
      </c>
      <c r="AD107" s="5">
        <f t="shared" si="106"/>
        <v>132449.80984371674</v>
      </c>
      <c r="AE107" s="5">
        <f t="shared" si="106"/>
        <v>132449.80984371674</v>
      </c>
      <c r="AF107" s="5">
        <f t="shared" si="106"/>
        <v>132449.80984371674</v>
      </c>
      <c r="AG107" s="5">
        <f t="shared" si="106"/>
        <v>132449.80984371674</v>
      </c>
      <c r="AH107" s="5">
        <f t="shared" si="106"/>
        <v>132449.80984371674</v>
      </c>
    </row>
    <row r="108" spans="1:34" x14ac:dyDescent="0.35">
      <c r="A108" t="s">
        <v>128</v>
      </c>
      <c r="B108" s="3" t="s">
        <v>1265</v>
      </c>
      <c r="C108" s="4" t="s">
        <v>1263</v>
      </c>
      <c r="D108" s="2">
        <f t="shared" si="66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ref="W108:AH108" si="107">IF(OR((SLOPE($E108:$V108,$E$1:$V$1)*W$1+INTERCEPT($E108:$V108,$E$1:$V$1))&gt;(AVERAGE($E108:$V108)+_xlfn.STDEV.P($E108:$V108)),(SLOPE($E108:$V108,$E$1:$V$1)*W$1+INTERCEPT($E108:$V108,$E$1:$V$1))&lt;(AVERAGE($E108:$V108)-_xlfn.STDEV.P($E108:$V108))),V108,(SLOPE($E108:$V108,$E$1:$V$1)*W$1+INTERCEPT($E108:$V108,$E$1:$V$1)))</f>
        <v>12263.160240193276</v>
      </c>
      <c r="X108" s="5">
        <f t="shared" si="107"/>
        <v>2868.9312157508684</v>
      </c>
      <c r="Y108" s="5">
        <f t="shared" si="107"/>
        <v>-6525.29780869151</v>
      </c>
      <c r="Z108" s="5">
        <f t="shared" si="107"/>
        <v>-15919.526833133918</v>
      </c>
      <c r="AA108" s="5">
        <f t="shared" si="107"/>
        <v>-25313.755857576325</v>
      </c>
      <c r="AB108" s="5">
        <f t="shared" si="107"/>
        <v>-34707.984882018704</v>
      </c>
      <c r="AC108" s="5">
        <f t="shared" si="107"/>
        <v>-44102.213906461111</v>
      </c>
      <c r="AD108" s="5">
        <f t="shared" si="107"/>
        <v>-53496.442930903519</v>
      </c>
      <c r="AE108" s="5">
        <f t="shared" si="107"/>
        <v>-62890.671955345926</v>
      </c>
      <c r="AF108" s="5">
        <f t="shared" si="107"/>
        <v>-72284.900979788334</v>
      </c>
      <c r="AG108" s="5">
        <f t="shared" si="107"/>
        <v>-81679.130004230712</v>
      </c>
      <c r="AH108" s="5">
        <f t="shared" si="107"/>
        <v>-91073.359028673091</v>
      </c>
    </row>
    <row r="109" spans="1:34" x14ac:dyDescent="0.35">
      <c r="A109" t="s">
        <v>129</v>
      </c>
      <c r="B109" s="3" t="s">
        <v>1262</v>
      </c>
      <c r="C109" s="4" t="s">
        <v>1263</v>
      </c>
      <c r="D109" s="2">
        <f t="shared" si="66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ref="W109:AH109" si="108">IF(OR((SLOPE($E109:$V109,$E$1:$V$1)*W$1+INTERCEPT($E109:$V109,$E$1:$V$1))&gt;(AVERAGE($E109:$V109)+_xlfn.STDEV.P($E109:$V109)),(SLOPE($E109:$V109,$E$1:$V$1)*W$1+INTERCEPT($E109:$V109,$E$1:$V$1))&lt;(AVERAGE($E109:$V109)-_xlfn.STDEV.P($E109:$V109))),V109,(SLOPE($E109:$V109,$E$1:$V$1)*W$1+INTERCEPT($E109:$V109,$E$1:$V$1)))</f>
        <v>110856.44705882354</v>
      </c>
      <c r="X109" s="5">
        <f t="shared" si="108"/>
        <v>112249.36990712075</v>
      </c>
      <c r="Y109" s="5">
        <f t="shared" si="108"/>
        <v>113642.29275541796</v>
      </c>
      <c r="Z109" s="5">
        <f t="shared" si="108"/>
        <v>115035.21560371519</v>
      </c>
      <c r="AA109" s="5">
        <f t="shared" si="108"/>
        <v>116428.1384520124</v>
      </c>
      <c r="AB109" s="5">
        <f t="shared" si="108"/>
        <v>117821.06130030961</v>
      </c>
      <c r="AC109" s="5">
        <f t="shared" si="108"/>
        <v>119213.98414860682</v>
      </c>
      <c r="AD109" s="5">
        <f t="shared" si="108"/>
        <v>120606.90699690403</v>
      </c>
      <c r="AE109" s="5">
        <f t="shared" si="108"/>
        <v>121999.82984520125</v>
      </c>
      <c r="AF109" s="5">
        <f t="shared" si="108"/>
        <v>123392.75269349846</v>
      </c>
      <c r="AG109" s="5">
        <f t="shared" si="108"/>
        <v>124785.67554179567</v>
      </c>
      <c r="AH109" s="5">
        <f t="shared" si="108"/>
        <v>126178.5983900929</v>
      </c>
    </row>
    <row r="110" spans="1:34" x14ac:dyDescent="0.35">
      <c r="A110" t="s">
        <v>130</v>
      </c>
      <c r="B110" s="3" t="s">
        <v>1262</v>
      </c>
      <c r="C110" s="4" t="s">
        <v>1263</v>
      </c>
      <c r="D110" s="2">
        <f t="shared" si="66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ref="W110:AH110" si="109">IF(OR((SLOPE($E110:$V110,$E$1:$V$1)*W$1+INTERCEPT($E110:$V110,$E$1:$V$1))&gt;(AVERAGE($E110:$V110)+_xlfn.STDEV.P($E110:$V110)),(SLOPE($E110:$V110,$E$1:$V$1)*W$1+INTERCEPT($E110:$V110,$E$1:$V$1))&lt;(AVERAGE($E110:$V110)-_xlfn.STDEV.P($E110:$V110))),V110,(SLOPE($E110:$V110,$E$1:$V$1)*W$1+INTERCEPT($E110:$V110,$E$1:$V$1)))</f>
        <v>67907.583882352948</v>
      </c>
      <c r="X110" s="5">
        <f t="shared" si="109"/>
        <v>64669.674501547983</v>
      </c>
      <c r="Y110" s="5">
        <f t="shared" si="109"/>
        <v>61431.765120743032</v>
      </c>
      <c r="Z110" s="5">
        <f t="shared" si="109"/>
        <v>58193.855739938081</v>
      </c>
      <c r="AA110" s="5">
        <f t="shared" si="109"/>
        <v>54955.94635913313</v>
      </c>
      <c r="AB110" s="5">
        <f t="shared" si="109"/>
        <v>51718.036978328179</v>
      </c>
      <c r="AC110" s="5">
        <f t="shared" si="109"/>
        <v>48480.127597523213</v>
      </c>
      <c r="AD110" s="5">
        <f t="shared" si="109"/>
        <v>45242.218216718262</v>
      </c>
      <c r="AE110" s="5">
        <f t="shared" si="109"/>
        <v>42004.308835913311</v>
      </c>
      <c r="AF110" s="5">
        <f t="shared" si="109"/>
        <v>38766.39945510836</v>
      </c>
      <c r="AG110" s="5">
        <f t="shared" si="109"/>
        <v>35528.490074303409</v>
      </c>
      <c r="AH110" s="5">
        <f t="shared" si="109"/>
        <v>32290.580693498443</v>
      </c>
    </row>
    <row r="111" spans="1:34" x14ac:dyDescent="0.35">
      <c r="A111" t="s">
        <v>131</v>
      </c>
      <c r="B111" s="3" t="s">
        <v>1266</v>
      </c>
      <c r="C111" s="4" t="s">
        <v>1263</v>
      </c>
      <c r="D111" s="2">
        <f t="shared" si="66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ref="W111:AH111" si="110">IF(OR((SLOPE($E111:$V111,$E$1:$V$1)*W$1+INTERCEPT($E111:$V111,$E$1:$V$1))&gt;(AVERAGE($E111:$V111)+_xlfn.STDEV.P($E111:$V111)),(SLOPE($E111:$V111,$E$1:$V$1)*W$1+INTERCEPT($E111:$V111,$E$1:$V$1))&lt;(AVERAGE($E111:$V111)-_xlfn.STDEV.P($E111:$V111))),V111,(SLOPE($E111:$V111,$E$1:$V$1)*W$1+INTERCEPT($E111:$V111,$E$1:$V$1)))</f>
        <v>31065.990209741081</v>
      </c>
      <c r="X111" s="5">
        <f t="shared" si="110"/>
        <v>23926.609579719428</v>
      </c>
      <c r="Y111" s="5">
        <f t="shared" si="110"/>
        <v>16787.228949697746</v>
      </c>
      <c r="Z111" s="5">
        <f t="shared" si="110"/>
        <v>9647.8483196760644</v>
      </c>
      <c r="AA111" s="5">
        <f t="shared" si="110"/>
        <v>2508.4676896544115</v>
      </c>
      <c r="AB111" s="5">
        <f t="shared" si="110"/>
        <v>-4630.9129403672705</v>
      </c>
      <c r="AC111" s="5">
        <f t="shared" si="110"/>
        <v>-11770.293570388953</v>
      </c>
      <c r="AD111" s="5">
        <f t="shared" si="110"/>
        <v>-18909.674200410605</v>
      </c>
      <c r="AE111" s="5">
        <f t="shared" si="110"/>
        <v>-26049.054830432287</v>
      </c>
      <c r="AF111" s="5">
        <f t="shared" si="110"/>
        <v>-33188.435460453969</v>
      </c>
      <c r="AG111" s="5">
        <f t="shared" si="110"/>
        <v>-40327.816090475622</v>
      </c>
      <c r="AH111" s="5">
        <f t="shared" si="110"/>
        <v>-47467.196720497304</v>
      </c>
    </row>
    <row r="112" spans="1:34" x14ac:dyDescent="0.35">
      <c r="A112" t="s">
        <v>132</v>
      </c>
      <c r="B112" s="3" t="s">
        <v>1262</v>
      </c>
      <c r="C112" s="4" t="s">
        <v>1263</v>
      </c>
      <c r="D112" s="2">
        <f t="shared" si="66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ref="W112:AH112" si="111">IF(OR((SLOPE($E112:$V112,$E$1:$V$1)*W$1+INTERCEPT($E112:$V112,$E$1:$V$1))&gt;(AVERAGE($E112:$V112)+_xlfn.STDEV.P($E112:$V112)),(SLOPE($E112:$V112,$E$1:$V$1)*W$1+INTERCEPT($E112:$V112,$E$1:$V$1))&lt;(AVERAGE($E112:$V112)-_xlfn.STDEV.P($E112:$V112))),V112,(SLOPE($E112:$V112,$E$1:$V$1)*W$1+INTERCEPT($E112:$V112,$E$1:$V$1)))</f>
        <v>103975.154957526</v>
      </c>
      <c r="X112" s="5">
        <f t="shared" si="111"/>
        <v>104719.60118723582</v>
      </c>
      <c r="Y112" s="5">
        <f t="shared" si="111"/>
        <v>105464.04741694566</v>
      </c>
      <c r="Z112" s="5">
        <f t="shared" si="111"/>
        <v>106208.49364665548</v>
      </c>
      <c r="AA112" s="5">
        <f t="shared" si="111"/>
        <v>106952.9398763653</v>
      </c>
      <c r="AB112" s="5">
        <f t="shared" si="111"/>
        <v>107697.38610607514</v>
      </c>
      <c r="AC112" s="5">
        <f t="shared" si="111"/>
        <v>108441.83233578496</v>
      </c>
      <c r="AD112" s="5">
        <f t="shared" si="111"/>
        <v>109186.27856549478</v>
      </c>
      <c r="AE112" s="5">
        <f t="shared" si="111"/>
        <v>109930.72479520462</v>
      </c>
      <c r="AF112" s="5">
        <f t="shared" si="111"/>
        <v>110675.17102491444</v>
      </c>
      <c r="AG112" s="5">
        <f t="shared" si="111"/>
        <v>111419.61725462426</v>
      </c>
      <c r="AH112" s="5">
        <f t="shared" si="111"/>
        <v>112164.0634843341</v>
      </c>
    </row>
    <row r="113" spans="1:34" x14ac:dyDescent="0.35">
      <c r="A113" t="s">
        <v>133</v>
      </c>
      <c r="B113" s="3" t="s">
        <v>1262</v>
      </c>
      <c r="C113" s="4" t="s">
        <v>1263</v>
      </c>
      <c r="D113" s="2">
        <f t="shared" si="66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ref="W113:AH113" si="112">IF(OR((SLOPE($E113:$V113,$E$1:$V$1)*W$1+INTERCEPT($E113:$V113,$E$1:$V$1))&gt;(AVERAGE($E113:$V113)+_xlfn.STDEV.P($E113:$V113)),(SLOPE($E113:$V113,$E$1:$V$1)*W$1+INTERCEPT($E113:$V113,$E$1:$V$1))&lt;(AVERAGE($E113:$V113)-_xlfn.STDEV.P($E113:$V113))),V113,(SLOPE($E113:$V113,$E$1:$V$1)*W$1+INTERCEPT($E113:$V113,$E$1:$V$1)))</f>
        <v>92431.511531966913</v>
      </c>
      <c r="X113" s="5">
        <f t="shared" si="112"/>
        <v>92572.76418459382</v>
      </c>
      <c r="Y113" s="5">
        <f t="shared" si="112"/>
        <v>92714.016837220741</v>
      </c>
      <c r="Z113" s="5">
        <f t="shared" si="112"/>
        <v>92855.269489847662</v>
      </c>
      <c r="AA113" s="5">
        <f t="shared" si="112"/>
        <v>92996.522142474583</v>
      </c>
      <c r="AB113" s="5">
        <f t="shared" si="112"/>
        <v>93137.77479510149</v>
      </c>
      <c r="AC113" s="5">
        <f t="shared" si="112"/>
        <v>93279.027447728411</v>
      </c>
      <c r="AD113" s="5">
        <f t="shared" si="112"/>
        <v>93420.280100355332</v>
      </c>
      <c r="AE113" s="5">
        <f t="shared" si="112"/>
        <v>93561.532752982253</v>
      </c>
      <c r="AF113" s="5">
        <f t="shared" si="112"/>
        <v>93702.785405609175</v>
      </c>
      <c r="AG113" s="5">
        <f t="shared" si="112"/>
        <v>93844.038058236081</v>
      </c>
      <c r="AH113" s="5">
        <f t="shared" si="112"/>
        <v>93985.290710863002</v>
      </c>
    </row>
    <row r="114" spans="1:34" x14ac:dyDescent="0.35">
      <c r="A114" t="s">
        <v>134</v>
      </c>
      <c r="B114" s="3" t="s">
        <v>1262</v>
      </c>
      <c r="C114" s="4" t="s">
        <v>1263</v>
      </c>
      <c r="D114" s="2">
        <f t="shared" si="66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ref="W114:AH114" si="113">IF(OR((SLOPE($E114:$V114,$E$1:$V$1)*W$1+INTERCEPT($E114:$V114,$E$1:$V$1))&gt;(AVERAGE($E114:$V114)+_xlfn.STDEV.P($E114:$V114)),(SLOPE($E114:$V114,$E$1:$V$1)*W$1+INTERCEPT($E114:$V114,$E$1:$V$1))&lt;(AVERAGE($E114:$V114)-_xlfn.STDEV.P($E114:$V114))),V114,(SLOPE($E114:$V114,$E$1:$V$1)*W$1+INTERCEPT($E114:$V114,$E$1:$V$1)))</f>
        <v>104205.37729411767</v>
      </c>
      <c r="X114" s="5">
        <f t="shared" si="113"/>
        <v>105630.76848297217</v>
      </c>
      <c r="Y114" s="5">
        <f t="shared" si="113"/>
        <v>107056.15967182665</v>
      </c>
      <c r="Z114" s="5">
        <f t="shared" si="113"/>
        <v>108481.55086068113</v>
      </c>
      <c r="AA114" s="5">
        <f t="shared" si="113"/>
        <v>109906.94204953563</v>
      </c>
      <c r="AB114" s="5">
        <f t="shared" si="113"/>
        <v>111332.33323839011</v>
      </c>
      <c r="AC114" s="5">
        <f t="shared" si="113"/>
        <v>112757.7244272446</v>
      </c>
      <c r="AD114" s="5">
        <f t="shared" si="113"/>
        <v>114183.11561609909</v>
      </c>
      <c r="AE114" s="5">
        <f t="shared" si="113"/>
        <v>115608.50680495359</v>
      </c>
      <c r="AF114" s="5">
        <f t="shared" si="113"/>
        <v>115608.50680495359</v>
      </c>
      <c r="AG114" s="5">
        <f t="shared" si="113"/>
        <v>115608.50680495359</v>
      </c>
      <c r="AH114" s="5">
        <f t="shared" si="113"/>
        <v>115608.50680495359</v>
      </c>
    </row>
    <row r="115" spans="1:34" x14ac:dyDescent="0.35">
      <c r="A115" t="s">
        <v>135</v>
      </c>
      <c r="B115" s="3" t="s">
        <v>1262</v>
      </c>
      <c r="C115" s="4" t="s">
        <v>1263</v>
      </c>
      <c r="D115" s="2">
        <f t="shared" si="66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ref="W115:AH115" si="114">IF(OR((SLOPE($E115:$V115,$E$1:$V$1)*W$1+INTERCEPT($E115:$V115,$E$1:$V$1))&gt;(AVERAGE($E115:$V115)+_xlfn.STDEV.P($E115:$V115)),(SLOPE($E115:$V115,$E$1:$V$1)*W$1+INTERCEPT($E115:$V115,$E$1:$V$1))&lt;(AVERAGE($E115:$V115)-_xlfn.STDEV.P($E115:$V115))),V115,(SLOPE($E115:$V115,$E$1:$V$1)*W$1+INTERCEPT($E115:$V115,$E$1:$V$1)))</f>
        <v>140407.34400000001</v>
      </c>
      <c r="X115" s="5">
        <f t="shared" si="114"/>
        <v>140407.34400000001</v>
      </c>
      <c r="Y115" s="5">
        <f t="shared" si="114"/>
        <v>140407.34400000001</v>
      </c>
      <c r="Z115" s="5">
        <f t="shared" si="114"/>
        <v>140407.34400000001</v>
      </c>
      <c r="AA115" s="5">
        <f t="shared" si="114"/>
        <v>140407.34400000001</v>
      </c>
      <c r="AB115" s="5">
        <f t="shared" si="114"/>
        <v>140407.34400000001</v>
      </c>
      <c r="AC115" s="5">
        <f t="shared" si="114"/>
        <v>140407.34400000001</v>
      </c>
      <c r="AD115" s="5">
        <f t="shared" si="114"/>
        <v>140407.34400000001</v>
      </c>
      <c r="AE115" s="5">
        <f t="shared" si="114"/>
        <v>140407.34400000001</v>
      </c>
      <c r="AF115" s="5">
        <f t="shared" si="114"/>
        <v>140407.34400000001</v>
      </c>
      <c r="AG115" s="5">
        <f t="shared" si="114"/>
        <v>140407.34400000001</v>
      </c>
      <c r="AH115" s="5">
        <f t="shared" si="114"/>
        <v>140407.34400000001</v>
      </c>
    </row>
    <row r="116" spans="1:34" x14ac:dyDescent="0.35">
      <c r="A116" t="s">
        <v>136</v>
      </c>
      <c r="B116" s="3" t="s">
        <v>1264</v>
      </c>
      <c r="C116" s="4" t="s">
        <v>1263</v>
      </c>
      <c r="D116" s="2">
        <f t="shared" si="66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ref="W116:AH116" si="115">IF(OR((SLOPE($E116:$V116,$E$1:$V$1)*W$1+INTERCEPT($E116:$V116,$E$1:$V$1))&gt;(AVERAGE($E116:$V116)+_xlfn.STDEV.P($E116:$V116)),(SLOPE($E116:$V116,$E$1:$V$1)*W$1+INTERCEPT($E116:$V116,$E$1:$V$1))&lt;(AVERAGE($E116:$V116)-_xlfn.STDEV.P($E116:$V116))),V116,(SLOPE($E116:$V116,$E$1:$V$1)*W$1+INTERCEPT($E116:$V116,$E$1:$V$1)))</f>
        <v>26514.507599999997</v>
      </c>
      <c r="X116" s="5">
        <f t="shared" si="115"/>
        <v>26514.507599999997</v>
      </c>
      <c r="Y116" s="5">
        <f t="shared" si="115"/>
        <v>26514.507599999997</v>
      </c>
      <c r="Z116" s="5">
        <f t="shared" si="115"/>
        <v>26514.507599999997</v>
      </c>
      <c r="AA116" s="5">
        <f t="shared" si="115"/>
        <v>26514.507599999997</v>
      </c>
      <c r="AB116" s="5">
        <f t="shared" si="115"/>
        <v>26514.507599999997</v>
      </c>
      <c r="AC116" s="5">
        <f t="shared" si="115"/>
        <v>26514.507599999997</v>
      </c>
      <c r="AD116" s="5">
        <f t="shared" si="115"/>
        <v>26514.507599999997</v>
      </c>
      <c r="AE116" s="5">
        <f t="shared" si="115"/>
        <v>26514.507599999997</v>
      </c>
      <c r="AF116" s="5">
        <f t="shared" si="115"/>
        <v>26514.507599999997</v>
      </c>
      <c r="AG116" s="5">
        <f t="shared" si="115"/>
        <v>26514.507599999997</v>
      </c>
      <c r="AH116" s="5">
        <f t="shared" si="115"/>
        <v>26514.507599999997</v>
      </c>
    </row>
    <row r="117" spans="1:34" x14ac:dyDescent="0.35">
      <c r="A117" t="s">
        <v>137</v>
      </c>
      <c r="B117" s="3" t="s">
        <v>1262</v>
      </c>
      <c r="C117" s="4" t="s">
        <v>1263</v>
      </c>
      <c r="D117" s="2">
        <f t="shared" si="66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H117" si="116">IF(OR((SLOPE($E117:$V117,$E$1:$V$1)*W$1+INTERCEPT($E117:$V117,$E$1:$V$1))&gt;(AVERAGE($E117:$V117)+_xlfn.STDEV.P($E117:$V117)),(SLOPE($E117:$V117,$E$1:$V$1)*W$1+INTERCEPT($E117:$V117,$E$1:$V$1))&lt;(AVERAGE($E117:$V117)-_xlfn.STDEV.P($E117:$V117))),V117,(SLOPE($E117:$V117,$E$1:$V$1)*W$1+INTERCEPT($E117:$V117,$E$1:$V$1)))</f>
        <v>87699.063776470561</v>
      </c>
      <c r="X117" s="5">
        <f t="shared" si="116"/>
        <v>87503.243847677993</v>
      </c>
      <c r="Y117" s="5">
        <f t="shared" si="116"/>
        <v>87307.423918885426</v>
      </c>
      <c r="Z117" s="5">
        <f t="shared" si="116"/>
        <v>87111.603990092859</v>
      </c>
      <c r="AA117" s="5">
        <f t="shared" si="116"/>
        <v>86915.784061300292</v>
      </c>
      <c r="AB117" s="5">
        <f t="shared" si="116"/>
        <v>86719.964132507725</v>
      </c>
      <c r="AC117" s="5">
        <f t="shared" si="116"/>
        <v>86524.144203715143</v>
      </c>
      <c r="AD117" s="5">
        <f t="shared" si="116"/>
        <v>86328.324274922576</v>
      </c>
      <c r="AE117" s="5">
        <f t="shared" si="116"/>
        <v>86132.504346130008</v>
      </c>
      <c r="AF117" s="5">
        <f t="shared" si="116"/>
        <v>85936.684417337441</v>
      </c>
      <c r="AG117" s="5">
        <f t="shared" si="116"/>
        <v>85740.864488544874</v>
      </c>
      <c r="AH117" s="5">
        <f t="shared" si="116"/>
        <v>85545.044559752307</v>
      </c>
    </row>
    <row r="118" spans="1:34" x14ac:dyDescent="0.35">
      <c r="A118" t="s">
        <v>138</v>
      </c>
      <c r="B118" s="3" t="s">
        <v>1265</v>
      </c>
      <c r="C118" s="4" t="s">
        <v>1263</v>
      </c>
      <c r="D118" s="2">
        <f t="shared" si="66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ref="W118:AH118" si="117">IF(OR((SLOPE($E118:$V118,$E$1:$V$1)*W$1+INTERCEPT($E118:$V118,$E$1:$V$1))&gt;(AVERAGE($E118:$V118)+_xlfn.STDEV.P($E118:$V118)),(SLOPE($E118:$V118,$E$1:$V$1)*W$1+INTERCEPT($E118:$V118,$E$1:$V$1))&lt;(AVERAGE($E118:$V118)-_xlfn.STDEV.P($E118:$V118))),V118,(SLOPE($E118:$V118,$E$1:$V$1)*W$1+INTERCEPT($E118:$V118,$E$1:$V$1)))</f>
        <v>108646.07089411764</v>
      </c>
      <c r="X118" s="5">
        <f t="shared" si="117"/>
        <v>110793.06496718264</v>
      </c>
      <c r="Y118" s="5">
        <f t="shared" si="117"/>
        <v>112940.05904024767</v>
      </c>
      <c r="Z118" s="5">
        <f t="shared" si="117"/>
        <v>115087.05311331268</v>
      </c>
      <c r="AA118" s="5">
        <f t="shared" si="117"/>
        <v>117234.04718637769</v>
      </c>
      <c r="AB118" s="5">
        <f t="shared" si="117"/>
        <v>119381.0412594427</v>
      </c>
      <c r="AC118" s="5">
        <f t="shared" si="117"/>
        <v>121528.03533250772</v>
      </c>
      <c r="AD118" s="5">
        <f t="shared" si="117"/>
        <v>123675.02940557273</v>
      </c>
      <c r="AE118" s="5">
        <f t="shared" si="117"/>
        <v>125822.02347863774</v>
      </c>
      <c r="AF118" s="5">
        <f t="shared" si="117"/>
        <v>127969.01755170277</v>
      </c>
      <c r="AG118" s="5">
        <f t="shared" si="117"/>
        <v>127969.01755170277</v>
      </c>
      <c r="AH118" s="5">
        <f t="shared" si="117"/>
        <v>127969.01755170277</v>
      </c>
    </row>
    <row r="119" spans="1:34" x14ac:dyDescent="0.35">
      <c r="A119" t="s">
        <v>139</v>
      </c>
      <c r="B119" s="3" t="s">
        <v>1262</v>
      </c>
      <c r="C119" s="4" t="s">
        <v>1263</v>
      </c>
      <c r="D119" s="2">
        <f t="shared" si="66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ref="W119:AH119" si="118">IF(OR((SLOPE($E119:$V119,$E$1:$V$1)*W$1+INTERCEPT($E119:$V119,$E$1:$V$1))&gt;(AVERAGE($E119:$V119)+_xlfn.STDEV.P($E119:$V119)),(SLOPE($E119:$V119,$E$1:$V$1)*W$1+INTERCEPT($E119:$V119,$E$1:$V$1))&lt;(AVERAGE($E119:$V119)-_xlfn.STDEV.P($E119:$V119))),V119,(SLOPE($E119:$V119,$E$1:$V$1)*W$1+INTERCEPT($E119:$V119,$E$1:$V$1)))</f>
        <v>78146.655540910724</v>
      </c>
      <c r="X119" s="5">
        <f t="shared" si="118"/>
        <v>78146.655540910724</v>
      </c>
      <c r="Y119" s="5">
        <f t="shared" si="118"/>
        <v>78146.655540910724</v>
      </c>
      <c r="Z119" s="5">
        <f t="shared" si="118"/>
        <v>78146.655540910724</v>
      </c>
      <c r="AA119" s="5">
        <f t="shared" si="118"/>
        <v>78146.655540910724</v>
      </c>
      <c r="AB119" s="5">
        <f t="shared" si="118"/>
        <v>78146.655540910724</v>
      </c>
      <c r="AC119" s="5">
        <f t="shared" si="118"/>
        <v>78146.655540910724</v>
      </c>
      <c r="AD119" s="5">
        <f t="shared" si="118"/>
        <v>78146.655540910724</v>
      </c>
      <c r="AE119" s="5">
        <f t="shared" si="118"/>
        <v>78146.655540910724</v>
      </c>
      <c r="AF119" s="5">
        <f t="shared" si="118"/>
        <v>78146.655540910724</v>
      </c>
      <c r="AG119" s="5">
        <f t="shared" si="118"/>
        <v>78146.655540910724</v>
      </c>
      <c r="AH119" s="5">
        <f t="shared" si="118"/>
        <v>78146.655540910724</v>
      </c>
    </row>
    <row r="120" spans="1:34" x14ac:dyDescent="0.35">
      <c r="A120" t="s">
        <v>140</v>
      </c>
      <c r="B120" s="3" t="s">
        <v>1265</v>
      </c>
      <c r="C120" s="4" t="s">
        <v>1263</v>
      </c>
      <c r="D120" s="2">
        <f t="shared" si="66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ref="W120:AH120" si="119">IF(OR((SLOPE($E120:$V120,$E$1:$V$1)*W$1+INTERCEPT($E120:$V120,$E$1:$V$1))&gt;(AVERAGE($E120:$V120)+_xlfn.STDEV.P($E120:$V120)),(SLOPE($E120:$V120,$E$1:$V$1)*W$1+INTERCEPT($E120:$V120,$E$1:$V$1))&lt;(AVERAGE($E120:$V120)-_xlfn.STDEV.P($E120:$V120))),V120,(SLOPE($E120:$V120,$E$1:$V$1)*W$1+INTERCEPT($E120:$V120,$E$1:$V$1)))</f>
        <v>89420.877327785842</v>
      </c>
      <c r="X120" s="5">
        <f t="shared" si="119"/>
        <v>89607.365614286187</v>
      </c>
      <c r="Y120" s="5">
        <f t="shared" si="119"/>
        <v>89793.853900786533</v>
      </c>
      <c r="Z120" s="5">
        <f t="shared" si="119"/>
        <v>89980.342187286878</v>
      </c>
      <c r="AA120" s="5">
        <f t="shared" si="119"/>
        <v>90166.830473787209</v>
      </c>
      <c r="AB120" s="5">
        <f t="shared" si="119"/>
        <v>90353.318760287555</v>
      </c>
      <c r="AC120" s="5">
        <f t="shared" si="119"/>
        <v>90539.807046787901</v>
      </c>
      <c r="AD120" s="5">
        <f t="shared" si="119"/>
        <v>90726.295333288246</v>
      </c>
      <c r="AE120" s="5">
        <f t="shared" si="119"/>
        <v>90912.783619788592</v>
      </c>
      <c r="AF120" s="5">
        <f t="shared" si="119"/>
        <v>91099.271906288937</v>
      </c>
      <c r="AG120" s="5">
        <f t="shared" si="119"/>
        <v>91285.760192789268</v>
      </c>
      <c r="AH120" s="5">
        <f t="shared" si="119"/>
        <v>91472.248479289614</v>
      </c>
    </row>
    <row r="121" spans="1:34" x14ac:dyDescent="0.35">
      <c r="A121" t="s">
        <v>141</v>
      </c>
      <c r="B121" s="3" t="s">
        <v>1262</v>
      </c>
      <c r="C121" s="4" t="s">
        <v>1263</v>
      </c>
      <c r="D121" s="2">
        <f t="shared" si="66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ref="W121:AH121" si="120">IF(OR((SLOPE($E121:$V121,$E$1:$V$1)*W$1+INTERCEPT($E121:$V121,$E$1:$V$1))&gt;(AVERAGE($E121:$V121)+_xlfn.STDEV.P($E121:$V121)),(SLOPE($E121:$V121,$E$1:$V$1)*W$1+INTERCEPT($E121:$V121,$E$1:$V$1))&lt;(AVERAGE($E121:$V121)-_xlfn.STDEV.P($E121:$V121))),V121,(SLOPE($E121:$V121,$E$1:$V$1)*W$1+INTERCEPT($E121:$V121,$E$1:$V$1)))</f>
        <v>98965.778790393393</v>
      </c>
      <c r="X121" s="5">
        <f t="shared" si="120"/>
        <v>100210.71271633377</v>
      </c>
      <c r="Y121" s="5">
        <f t="shared" si="120"/>
        <v>101455.64664227414</v>
      </c>
      <c r="Z121" s="5">
        <f t="shared" si="120"/>
        <v>102700.58056821451</v>
      </c>
      <c r="AA121" s="5">
        <f t="shared" si="120"/>
        <v>103945.51449415488</v>
      </c>
      <c r="AB121" s="5">
        <f t="shared" si="120"/>
        <v>105190.44842009526</v>
      </c>
      <c r="AC121" s="5">
        <f t="shared" si="120"/>
        <v>106435.38234603562</v>
      </c>
      <c r="AD121" s="5">
        <f t="shared" si="120"/>
        <v>107680.316271976</v>
      </c>
      <c r="AE121" s="5">
        <f t="shared" si="120"/>
        <v>108925.25019791638</v>
      </c>
      <c r="AF121" s="5">
        <f t="shared" si="120"/>
        <v>110170.18412385674</v>
      </c>
      <c r="AG121" s="5">
        <f t="shared" si="120"/>
        <v>110170.18412385674</v>
      </c>
      <c r="AH121" s="5">
        <f t="shared" si="120"/>
        <v>110170.18412385674</v>
      </c>
    </row>
    <row r="122" spans="1:34" x14ac:dyDescent="0.35">
      <c r="A122" t="s">
        <v>142</v>
      </c>
      <c r="B122" s="3" t="s">
        <v>1262</v>
      </c>
      <c r="C122" s="4" t="s">
        <v>1263</v>
      </c>
      <c r="D122" s="2">
        <f t="shared" si="66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ref="W122:AH122" si="121">IF(OR((SLOPE($E122:$V122,$E$1:$V$1)*W$1+INTERCEPT($E122:$V122,$E$1:$V$1))&gt;(AVERAGE($E122:$V122)+_xlfn.STDEV.P($E122:$V122)),(SLOPE($E122:$V122,$E$1:$V$1)*W$1+INTERCEPT($E122:$V122,$E$1:$V$1))&lt;(AVERAGE($E122:$V122)-_xlfn.STDEV.P($E122:$V122))),V122,(SLOPE($E122:$V122,$E$1:$V$1)*W$1+INTERCEPT($E122:$V122,$E$1:$V$1)))</f>
        <v>139627.29282352934</v>
      </c>
      <c r="X122" s="5">
        <f t="shared" si="121"/>
        <v>145180.31885758508</v>
      </c>
      <c r="Y122" s="5">
        <f t="shared" si="121"/>
        <v>150733.34489164079</v>
      </c>
      <c r="Z122" s="5">
        <f t="shared" si="121"/>
        <v>156286.37092569651</v>
      </c>
      <c r="AA122" s="5">
        <f t="shared" si="121"/>
        <v>161839.39695975225</v>
      </c>
      <c r="AB122" s="5">
        <f t="shared" si="121"/>
        <v>167392.42299380797</v>
      </c>
      <c r="AC122" s="5">
        <f t="shared" si="121"/>
        <v>172945.44902786371</v>
      </c>
      <c r="AD122" s="5">
        <f t="shared" si="121"/>
        <v>178498.47506191942</v>
      </c>
      <c r="AE122" s="5">
        <f t="shared" si="121"/>
        <v>178498.47506191942</v>
      </c>
      <c r="AF122" s="5">
        <f t="shared" si="121"/>
        <v>178498.47506191942</v>
      </c>
      <c r="AG122" s="5">
        <f t="shared" si="121"/>
        <v>178498.47506191942</v>
      </c>
      <c r="AH122" s="5">
        <f t="shared" si="121"/>
        <v>178498.47506191942</v>
      </c>
    </row>
    <row r="123" spans="1:34" x14ac:dyDescent="0.35">
      <c r="A123" t="s">
        <v>143</v>
      </c>
      <c r="B123" s="3" t="s">
        <v>1264</v>
      </c>
      <c r="C123" s="4" t="s">
        <v>1263</v>
      </c>
      <c r="D123" s="2">
        <f t="shared" si="66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ref="W123:AH123" si="122">IF(OR((SLOPE($E123:$V123,$E$1:$V$1)*W$1+INTERCEPT($E123:$V123,$E$1:$V$1))&gt;(AVERAGE($E123:$V123)+_xlfn.STDEV.P($E123:$V123)),(SLOPE($E123:$V123,$E$1:$V$1)*W$1+INTERCEPT($E123:$V123,$E$1:$V$1))&lt;(AVERAGE($E123:$V123)-_xlfn.STDEV.P($E123:$V123))),V123,(SLOPE($E123:$V123,$E$1:$V$1)*W$1+INTERCEPT($E123:$V123,$E$1:$V$1)))</f>
        <v>33.648631920905416</v>
      </c>
      <c r="X123" s="5">
        <f t="shared" si="122"/>
        <v>33.648631920905416</v>
      </c>
      <c r="Y123" s="5">
        <f t="shared" si="122"/>
        <v>33.648631920905416</v>
      </c>
      <c r="Z123" s="5">
        <f t="shared" si="122"/>
        <v>33.648631920905416</v>
      </c>
      <c r="AA123" s="5">
        <f t="shared" si="122"/>
        <v>33.648631920905416</v>
      </c>
      <c r="AB123" s="5">
        <f t="shared" si="122"/>
        <v>33.648631920905416</v>
      </c>
      <c r="AC123" s="5">
        <f t="shared" si="122"/>
        <v>33.648631920905416</v>
      </c>
      <c r="AD123" s="5">
        <f t="shared" si="122"/>
        <v>33.648631920905416</v>
      </c>
      <c r="AE123" s="5">
        <f t="shared" si="122"/>
        <v>33.648631920905416</v>
      </c>
      <c r="AF123" s="5">
        <f t="shared" si="122"/>
        <v>33.648631920905416</v>
      </c>
      <c r="AG123" s="5">
        <f t="shared" si="122"/>
        <v>33.648631920905416</v>
      </c>
      <c r="AH123" s="5">
        <f t="shared" si="122"/>
        <v>33.648631920905416</v>
      </c>
    </row>
    <row r="124" spans="1:34" x14ac:dyDescent="0.35">
      <c r="A124" t="s">
        <v>144</v>
      </c>
      <c r="B124" s="3" t="s">
        <v>1265</v>
      </c>
      <c r="C124" s="4" t="s">
        <v>1263</v>
      </c>
      <c r="D124" s="2">
        <f t="shared" si="66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ref="W124:AH124" si="123">IF(OR((SLOPE($E124:$V124,$E$1:$V$1)*W$1+INTERCEPT($E124:$V124,$E$1:$V$1))&gt;(AVERAGE($E124:$V124)+_xlfn.STDEV.P($E124:$V124)),(SLOPE($E124:$V124,$E$1:$V$1)*W$1+INTERCEPT($E124:$V124,$E$1:$V$1))&lt;(AVERAGE($E124:$V124)-_xlfn.STDEV.P($E124:$V124))),V124,(SLOPE($E124:$V124,$E$1:$V$1)*W$1+INTERCEPT($E124:$V124,$E$1:$V$1)))</f>
        <v>124675.12178873116</v>
      </c>
      <c r="X124" s="5">
        <f t="shared" si="123"/>
        <v>128624.80877653428</v>
      </c>
      <c r="Y124" s="5">
        <f t="shared" si="123"/>
        <v>132574.49576433739</v>
      </c>
      <c r="Z124" s="5">
        <f t="shared" si="123"/>
        <v>136524.18275214051</v>
      </c>
      <c r="AA124" s="5">
        <f t="shared" si="123"/>
        <v>140473.86973994362</v>
      </c>
      <c r="AB124" s="5">
        <f t="shared" si="123"/>
        <v>144423.55672774673</v>
      </c>
      <c r="AC124" s="5">
        <f t="shared" si="123"/>
        <v>148373.24371554985</v>
      </c>
      <c r="AD124" s="5">
        <f t="shared" si="123"/>
        <v>152322.93070335296</v>
      </c>
      <c r="AE124" s="5">
        <f t="shared" si="123"/>
        <v>156272.61769115608</v>
      </c>
      <c r="AF124" s="5">
        <f t="shared" si="123"/>
        <v>160222.30467895919</v>
      </c>
      <c r="AG124" s="5">
        <f t="shared" si="123"/>
        <v>164171.9916667623</v>
      </c>
      <c r="AH124" s="5">
        <f t="shared" si="123"/>
        <v>168121.67865456542</v>
      </c>
    </row>
    <row r="125" spans="1:34" x14ac:dyDescent="0.35">
      <c r="A125" t="s">
        <v>145</v>
      </c>
      <c r="B125" s="3" t="s">
        <v>1265</v>
      </c>
      <c r="C125" s="4" t="s">
        <v>1263</v>
      </c>
      <c r="D125" s="2">
        <f t="shared" si="66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ref="W125:AH125" si="124">IF(OR((SLOPE($E125:$V125,$E$1:$V$1)*W$1+INTERCEPT($E125:$V125,$E$1:$V$1))&gt;(AVERAGE($E125:$V125)+_xlfn.STDEV.P($E125:$V125)),(SLOPE($E125:$V125,$E$1:$V$1)*W$1+INTERCEPT($E125:$V125,$E$1:$V$1))&lt;(AVERAGE($E125:$V125)-_xlfn.STDEV.P($E125:$V125))),V125,(SLOPE($E125:$V125,$E$1:$V$1)*W$1+INTERCEPT($E125:$V125,$E$1:$V$1)))</f>
        <v>94173.193306900488</v>
      </c>
      <c r="X125" s="5">
        <f t="shared" si="124"/>
        <v>95124.627309090327</v>
      </c>
      <c r="Y125" s="5">
        <f t="shared" si="124"/>
        <v>96076.06131128018</v>
      </c>
      <c r="Z125" s="5">
        <f t="shared" si="124"/>
        <v>97027.495313470019</v>
      </c>
      <c r="AA125" s="5">
        <f t="shared" si="124"/>
        <v>97978.929315659872</v>
      </c>
      <c r="AB125" s="5">
        <f t="shared" si="124"/>
        <v>98930.363317849726</v>
      </c>
      <c r="AC125" s="5">
        <f t="shared" si="124"/>
        <v>99881.797320039565</v>
      </c>
      <c r="AD125" s="5">
        <f t="shared" si="124"/>
        <v>100833.23132222942</v>
      </c>
      <c r="AE125" s="5">
        <f t="shared" si="124"/>
        <v>101784.66532441927</v>
      </c>
      <c r="AF125" s="5">
        <f t="shared" si="124"/>
        <v>102736.09932660911</v>
      </c>
      <c r="AG125" s="5">
        <f t="shared" si="124"/>
        <v>103687.53332879896</v>
      </c>
      <c r="AH125" s="5">
        <f t="shared" si="124"/>
        <v>104638.96733098882</v>
      </c>
    </row>
    <row r="126" spans="1:34" x14ac:dyDescent="0.35">
      <c r="A126" t="s">
        <v>146</v>
      </c>
      <c r="B126" s="3" t="s">
        <v>1262</v>
      </c>
      <c r="C126" s="4" t="s">
        <v>1263</v>
      </c>
      <c r="D126" s="2">
        <f t="shared" si="66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ref="W126:AH126" si="125">IF(OR((SLOPE($E126:$V126,$E$1:$V$1)*W$1+INTERCEPT($E126:$V126,$E$1:$V$1))&gt;(AVERAGE($E126:$V126)+_xlfn.STDEV.P($E126:$V126)),(SLOPE($E126:$V126,$E$1:$V$1)*W$1+INTERCEPT($E126:$V126,$E$1:$V$1))&lt;(AVERAGE($E126:$V126)-_xlfn.STDEV.P($E126:$V126))),V126,(SLOPE($E126:$V126,$E$1:$V$1)*W$1+INTERCEPT($E126:$V126,$E$1:$V$1)))</f>
        <v>81096.418662684227</v>
      </c>
      <c r="X126" s="5">
        <f t="shared" si="125"/>
        <v>80641.907658369673</v>
      </c>
      <c r="Y126" s="5">
        <f t="shared" si="125"/>
        <v>80187.396654055119</v>
      </c>
      <c r="Z126" s="5">
        <f t="shared" si="125"/>
        <v>79732.885649740565</v>
      </c>
      <c r="AA126" s="5">
        <f t="shared" si="125"/>
        <v>79278.374645426011</v>
      </c>
      <c r="AB126" s="5">
        <f t="shared" si="125"/>
        <v>78823.863641111457</v>
      </c>
      <c r="AC126" s="5">
        <f t="shared" si="125"/>
        <v>78369.352636796903</v>
      </c>
      <c r="AD126" s="5">
        <f t="shared" si="125"/>
        <v>77914.841632482348</v>
      </c>
      <c r="AE126" s="5">
        <f t="shared" si="125"/>
        <v>77460.330628167794</v>
      </c>
      <c r="AF126" s="5">
        <f t="shared" si="125"/>
        <v>77005.81962385324</v>
      </c>
      <c r="AG126" s="5">
        <f t="shared" si="125"/>
        <v>76551.308619538686</v>
      </c>
      <c r="AH126" s="5">
        <f t="shared" si="125"/>
        <v>76096.797615224132</v>
      </c>
    </row>
    <row r="127" spans="1:34" x14ac:dyDescent="0.35">
      <c r="A127" t="s">
        <v>147</v>
      </c>
      <c r="B127" s="3" t="s">
        <v>1264</v>
      </c>
      <c r="C127" s="4" t="s">
        <v>1263</v>
      </c>
      <c r="D127" s="2">
        <f t="shared" si="66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ref="W127:AH127" si="126">IF(OR((SLOPE($E127:$V127,$E$1:$V$1)*W$1+INTERCEPT($E127:$V127,$E$1:$V$1))&gt;(AVERAGE($E127:$V127)+_xlfn.STDEV.P($E127:$V127)),(SLOPE($E127:$V127,$E$1:$V$1)*W$1+INTERCEPT($E127:$V127,$E$1:$V$1))&lt;(AVERAGE($E127:$V127)-_xlfn.STDEV.P($E127:$V127))),V127,(SLOPE($E127:$V127,$E$1:$V$1)*W$1+INTERCEPT($E127:$V127,$E$1:$V$1)))</f>
        <v>91953.009272812196</v>
      </c>
      <c r="X127" s="5">
        <f t="shared" si="126"/>
        <v>92585.100508401083</v>
      </c>
      <c r="Y127" s="5">
        <f t="shared" si="126"/>
        <v>93217.191743989955</v>
      </c>
      <c r="Z127" s="5">
        <f t="shared" si="126"/>
        <v>93849.282979578828</v>
      </c>
      <c r="AA127" s="5">
        <f t="shared" si="126"/>
        <v>94481.374215167714</v>
      </c>
      <c r="AB127" s="5">
        <f t="shared" si="126"/>
        <v>95113.465450756587</v>
      </c>
      <c r="AC127" s="5">
        <f t="shared" si="126"/>
        <v>95745.556686345473</v>
      </c>
      <c r="AD127" s="5">
        <f t="shared" si="126"/>
        <v>96377.647921934346</v>
      </c>
      <c r="AE127" s="5">
        <f t="shared" si="126"/>
        <v>97009.739157523232</v>
      </c>
      <c r="AF127" s="5">
        <f t="shared" si="126"/>
        <v>97641.830393112105</v>
      </c>
      <c r="AG127" s="5">
        <f t="shared" si="126"/>
        <v>98273.921628700977</v>
      </c>
      <c r="AH127" s="5">
        <f t="shared" si="126"/>
        <v>98906.012864289864</v>
      </c>
    </row>
    <row r="128" spans="1:34" x14ac:dyDescent="0.35">
      <c r="A128" t="s">
        <v>148</v>
      </c>
      <c r="B128" s="3" t="s">
        <v>1264</v>
      </c>
      <c r="C128" s="4" t="s">
        <v>1263</v>
      </c>
      <c r="D128" s="2">
        <f t="shared" si="66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ref="W128:AH128" si="127">IF(OR((SLOPE($E128:$V128,$E$1:$V$1)*W$1+INTERCEPT($E128:$V128,$E$1:$V$1))&gt;(AVERAGE($E128:$V128)+_xlfn.STDEV.P($E128:$V128)),(SLOPE($E128:$V128,$E$1:$V$1)*W$1+INTERCEPT($E128:$V128,$E$1:$V$1))&lt;(AVERAGE($E128:$V128)-_xlfn.STDEV.P($E128:$V128))),V128,(SLOPE($E128:$V128,$E$1:$V$1)*W$1+INTERCEPT($E128:$V128,$E$1:$V$1)))</f>
        <v>229852.42396263379</v>
      </c>
      <c r="X128" s="5">
        <f t="shared" si="127"/>
        <v>229852.42396263379</v>
      </c>
      <c r="Y128" s="5">
        <f t="shared" si="127"/>
        <v>229852.42396263379</v>
      </c>
      <c r="Z128" s="5">
        <f t="shared" si="127"/>
        <v>229852.42396263379</v>
      </c>
      <c r="AA128" s="5">
        <f t="shared" si="127"/>
        <v>229852.42396263379</v>
      </c>
      <c r="AB128" s="5">
        <f t="shared" si="127"/>
        <v>229852.42396263379</v>
      </c>
      <c r="AC128" s="5">
        <f t="shared" si="127"/>
        <v>229852.42396263379</v>
      </c>
      <c r="AD128" s="5">
        <f t="shared" si="127"/>
        <v>229852.42396263379</v>
      </c>
      <c r="AE128" s="5">
        <f t="shared" si="127"/>
        <v>229852.42396263379</v>
      </c>
      <c r="AF128" s="5">
        <f t="shared" si="127"/>
        <v>229852.42396263379</v>
      </c>
      <c r="AG128" s="5">
        <f t="shared" si="127"/>
        <v>229852.42396263379</v>
      </c>
      <c r="AH128" s="5">
        <f t="shared" si="127"/>
        <v>229852.42396263379</v>
      </c>
    </row>
    <row r="129" spans="1:34" x14ac:dyDescent="0.35">
      <c r="A129" t="s">
        <v>149</v>
      </c>
      <c r="B129" s="3" t="s">
        <v>1266</v>
      </c>
      <c r="C129" s="4" t="s">
        <v>1267</v>
      </c>
      <c r="D129" s="2">
        <f t="shared" si="66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ref="W129:AH129" si="128">IF(OR((SLOPE($E129:$V129,$E$1:$V$1)*W$1+INTERCEPT($E129:$V129,$E$1:$V$1))&gt;(AVERAGE($E129:$V129)+_xlfn.STDEV.P($E129:$V129)),(SLOPE($E129:$V129,$E$1:$V$1)*W$1+INTERCEPT($E129:$V129,$E$1:$V$1))&lt;(AVERAGE($E129:$V129)-_xlfn.STDEV.P($E129:$V129))),V129,(SLOPE($E129:$V129,$E$1:$V$1)*W$1+INTERCEPT($E129:$V129,$E$1:$V$1)))</f>
        <v>154295.12726831948</v>
      </c>
      <c r="X129" s="5">
        <f t="shared" si="128"/>
        <v>161507.72464887123</v>
      </c>
      <c r="Y129" s="5">
        <f t="shared" si="128"/>
        <v>168720.32202942303</v>
      </c>
      <c r="Z129" s="5">
        <f t="shared" si="128"/>
        <v>175932.91940997483</v>
      </c>
      <c r="AA129" s="5">
        <f t="shared" si="128"/>
        <v>183145.51679052657</v>
      </c>
      <c r="AB129" s="5">
        <f t="shared" si="128"/>
        <v>190358.11417107837</v>
      </c>
      <c r="AC129" s="5">
        <f t="shared" si="128"/>
        <v>197570.71155163011</v>
      </c>
      <c r="AD129" s="5">
        <f t="shared" si="128"/>
        <v>204783.30893218191</v>
      </c>
      <c r="AE129" s="5">
        <f t="shared" si="128"/>
        <v>211995.90631273371</v>
      </c>
      <c r="AF129" s="5">
        <f t="shared" si="128"/>
        <v>219208.50369328546</v>
      </c>
      <c r="AG129" s="5">
        <f t="shared" si="128"/>
        <v>226421.10107383726</v>
      </c>
      <c r="AH129" s="5">
        <f t="shared" si="128"/>
        <v>233633.69845438906</v>
      </c>
    </row>
    <row r="130" spans="1:34" x14ac:dyDescent="0.35">
      <c r="A130" t="s">
        <v>150</v>
      </c>
      <c r="B130" s="3" t="s">
        <v>1265</v>
      </c>
      <c r="C130" s="4" t="s">
        <v>1263</v>
      </c>
      <c r="D130" s="2">
        <f t="shared" si="66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ref="W130:AH130" si="129">IF(OR((SLOPE($E130:$V130,$E$1:$V$1)*W$1+INTERCEPT($E130:$V130,$E$1:$V$1))&gt;(AVERAGE($E130:$V130)+_xlfn.STDEV.P($E130:$V130)),(SLOPE($E130:$V130,$E$1:$V$1)*W$1+INTERCEPT($E130:$V130,$E$1:$V$1))&lt;(AVERAGE($E130:$V130)-_xlfn.STDEV.P($E130:$V130))),V130,(SLOPE($E130:$V130,$E$1:$V$1)*W$1+INTERCEPT($E130:$V130,$E$1:$V$1)))</f>
        <v>79208.298934465303</v>
      </c>
      <c r="X130" s="5">
        <f t="shared" si="129"/>
        <v>78617.340841998535</v>
      </c>
      <c r="Y130" s="5">
        <f t="shared" si="129"/>
        <v>78026.382749531782</v>
      </c>
      <c r="Z130" s="5">
        <f t="shared" si="129"/>
        <v>77435.424657065028</v>
      </c>
      <c r="AA130" s="5">
        <f t="shared" si="129"/>
        <v>76844.466564598275</v>
      </c>
      <c r="AB130" s="5">
        <f t="shared" si="129"/>
        <v>76253.508472131522</v>
      </c>
      <c r="AC130" s="5">
        <f t="shared" si="129"/>
        <v>75662.550379664754</v>
      </c>
      <c r="AD130" s="5">
        <f t="shared" si="129"/>
        <v>75071.592287198</v>
      </c>
      <c r="AE130" s="5">
        <f t="shared" si="129"/>
        <v>74480.634194731247</v>
      </c>
      <c r="AF130" s="5">
        <f t="shared" si="129"/>
        <v>73889.676102264493</v>
      </c>
      <c r="AG130" s="5">
        <f t="shared" si="129"/>
        <v>73298.71800979774</v>
      </c>
      <c r="AH130" s="5">
        <f t="shared" si="129"/>
        <v>72707.759917330986</v>
      </c>
    </row>
    <row r="131" spans="1:34" x14ac:dyDescent="0.35">
      <c r="A131" t="s">
        <v>151</v>
      </c>
      <c r="B131" s="3" t="s">
        <v>1262</v>
      </c>
      <c r="C131" s="4" t="s">
        <v>1263</v>
      </c>
      <c r="D131" s="2">
        <f t="shared" si="66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ref="W131:AH131" si="130">IF(OR((SLOPE($E131:$V131,$E$1:$V$1)*W$1+INTERCEPT($E131:$V131,$E$1:$V$1))&gt;(AVERAGE($E131:$V131)+_xlfn.STDEV.P($E131:$V131)),(SLOPE($E131:$V131,$E$1:$V$1)*W$1+INTERCEPT($E131:$V131,$E$1:$V$1))&lt;(AVERAGE($E131:$V131)-_xlfn.STDEV.P($E131:$V131))),V131,(SLOPE($E131:$V131,$E$1:$V$1)*W$1+INTERCEPT($E131:$V131,$E$1:$V$1)))</f>
        <v>81365.629629923045</v>
      </c>
      <c r="X131" s="5">
        <f t="shared" si="130"/>
        <v>81012.539051293308</v>
      </c>
      <c r="Y131" s="5">
        <f t="shared" si="130"/>
        <v>80659.448472663586</v>
      </c>
      <c r="Z131" s="5">
        <f t="shared" si="130"/>
        <v>80306.357894033863</v>
      </c>
      <c r="AA131" s="5">
        <f t="shared" si="130"/>
        <v>79953.26731540414</v>
      </c>
      <c r="AB131" s="5">
        <f t="shared" si="130"/>
        <v>79600.176736774403</v>
      </c>
      <c r="AC131" s="5">
        <f t="shared" si="130"/>
        <v>79247.086158144681</v>
      </c>
      <c r="AD131" s="5">
        <f t="shared" si="130"/>
        <v>78893.995579514958</v>
      </c>
      <c r="AE131" s="5">
        <f t="shared" si="130"/>
        <v>78540.905000885221</v>
      </c>
      <c r="AF131" s="5">
        <f t="shared" si="130"/>
        <v>78187.814422255498</v>
      </c>
      <c r="AG131" s="5">
        <f t="shared" si="130"/>
        <v>77834.723843625776</v>
      </c>
      <c r="AH131" s="5">
        <f t="shared" si="130"/>
        <v>77481.633264996053</v>
      </c>
    </row>
    <row r="132" spans="1:34" x14ac:dyDescent="0.35">
      <c r="A132" t="s">
        <v>152</v>
      </c>
      <c r="B132" s="3" t="s">
        <v>1262</v>
      </c>
      <c r="C132" s="4" t="s">
        <v>1263</v>
      </c>
      <c r="D132" s="2">
        <f t="shared" ref="D132:D195" si="131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ref="W132:AH132" si="132">IF(OR((SLOPE($E132:$V132,$E$1:$V$1)*W$1+INTERCEPT($E132:$V132,$E$1:$V$1))&gt;(AVERAGE($E132:$V132)+_xlfn.STDEV.P($E132:$V132)),(SLOPE($E132:$V132,$E$1:$V$1)*W$1+INTERCEPT($E132:$V132,$E$1:$V$1))&lt;(AVERAGE($E132:$V132)-_xlfn.STDEV.P($E132:$V132))),V132,(SLOPE($E132:$V132,$E$1:$V$1)*W$1+INTERCEPT($E132:$V132,$E$1:$V$1)))</f>
        <v>91468.502094243944</v>
      </c>
      <c r="X132" s="5">
        <f t="shared" si="132"/>
        <v>92347.670337007527</v>
      </c>
      <c r="Y132" s="5">
        <f t="shared" si="132"/>
        <v>93226.838579771109</v>
      </c>
      <c r="Z132" s="5">
        <f t="shared" si="132"/>
        <v>94106.006822534706</v>
      </c>
      <c r="AA132" s="5">
        <f t="shared" si="132"/>
        <v>94985.175065298288</v>
      </c>
      <c r="AB132" s="5">
        <f t="shared" si="132"/>
        <v>95864.343308061871</v>
      </c>
      <c r="AC132" s="5">
        <f t="shared" si="132"/>
        <v>96743.511550825468</v>
      </c>
      <c r="AD132" s="5">
        <f t="shared" si="132"/>
        <v>97622.67979358905</v>
      </c>
      <c r="AE132" s="5">
        <f t="shared" si="132"/>
        <v>98501.848036352632</v>
      </c>
      <c r="AF132" s="5">
        <f t="shared" si="132"/>
        <v>99381.016279116215</v>
      </c>
      <c r="AG132" s="5">
        <f t="shared" si="132"/>
        <v>100260.18452187981</v>
      </c>
      <c r="AH132" s="5">
        <f t="shared" si="132"/>
        <v>101139.35276464339</v>
      </c>
    </row>
    <row r="133" spans="1:34" x14ac:dyDescent="0.35">
      <c r="A133" t="s">
        <v>153</v>
      </c>
      <c r="B133" s="3" t="s">
        <v>1266</v>
      </c>
      <c r="C133" s="4" t="s">
        <v>1263</v>
      </c>
      <c r="D133" s="2">
        <f t="shared" si="131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H133" si="133">IF(OR((SLOPE($E133:$V133,$E$1:$V$1)*W$1+INTERCEPT($E133:$V133,$E$1:$V$1))&gt;(AVERAGE($E133:$V133)+_xlfn.STDEV.P($E133:$V133)),(SLOPE($E133:$V133,$E$1:$V$1)*W$1+INTERCEPT($E133:$V133,$E$1:$V$1))&lt;(AVERAGE($E133:$V133)-_xlfn.STDEV.P($E133:$V133))),V133,(SLOPE($E133:$V133,$E$1:$V$1)*W$1+INTERCEPT($E133:$V133,$E$1:$V$1)))</f>
        <v>8940.5372385155351</v>
      </c>
      <c r="X133" s="5">
        <f t="shared" si="133"/>
        <v>1142.5292124128318</v>
      </c>
      <c r="Y133" s="5">
        <f t="shared" si="133"/>
        <v>-6655.4788136899006</v>
      </c>
      <c r="Z133" s="5">
        <f t="shared" si="133"/>
        <v>-14453.486839792604</v>
      </c>
      <c r="AA133" s="5">
        <f t="shared" si="133"/>
        <v>-22251.494865895307</v>
      </c>
      <c r="AB133" s="5">
        <f t="shared" si="133"/>
        <v>-30049.50289199801</v>
      </c>
      <c r="AC133" s="5">
        <f t="shared" si="133"/>
        <v>-37847.510918100714</v>
      </c>
      <c r="AD133" s="5">
        <f t="shared" si="133"/>
        <v>-45645.518944203446</v>
      </c>
      <c r="AE133" s="5">
        <f t="shared" si="133"/>
        <v>-53443.526970306149</v>
      </c>
      <c r="AF133" s="5">
        <f t="shared" si="133"/>
        <v>-61241.534996408853</v>
      </c>
      <c r="AG133" s="5">
        <f t="shared" si="133"/>
        <v>-61241.534996408853</v>
      </c>
      <c r="AH133" s="5">
        <f t="shared" si="133"/>
        <v>-61241.534996408853</v>
      </c>
    </row>
    <row r="134" spans="1:34" x14ac:dyDescent="0.35">
      <c r="A134" t="s">
        <v>154</v>
      </c>
      <c r="B134" s="3" t="s">
        <v>1262</v>
      </c>
      <c r="C134" s="4" t="s">
        <v>1263</v>
      </c>
      <c r="D134" s="2">
        <f t="shared" si="131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ref="W134:AH134" si="134">IF(OR((SLOPE($E134:$V134,$E$1:$V$1)*W$1+INTERCEPT($E134:$V134,$E$1:$V$1))&gt;(AVERAGE($E134:$V134)+_xlfn.STDEV.P($E134:$V134)),(SLOPE($E134:$V134,$E$1:$V$1)*W$1+INTERCEPT($E134:$V134,$E$1:$V$1))&lt;(AVERAGE($E134:$V134)-_xlfn.STDEV.P($E134:$V134))),V134,(SLOPE($E134:$V134,$E$1:$V$1)*W$1+INTERCEPT($E134:$V134,$E$1:$V$1)))</f>
        <v>122379.83874117649</v>
      </c>
      <c r="X134" s="5">
        <f t="shared" si="134"/>
        <v>126718.64859814243</v>
      </c>
      <c r="Y134" s="5">
        <f t="shared" si="134"/>
        <v>131057.45845510838</v>
      </c>
      <c r="Z134" s="5">
        <f t="shared" si="134"/>
        <v>135396.2683120743</v>
      </c>
      <c r="AA134" s="5">
        <f t="shared" si="134"/>
        <v>139735.07816904027</v>
      </c>
      <c r="AB134" s="5">
        <f t="shared" si="134"/>
        <v>139735.07816904027</v>
      </c>
      <c r="AC134" s="5">
        <f t="shared" si="134"/>
        <v>139735.07816904027</v>
      </c>
      <c r="AD134" s="5">
        <f t="shared" si="134"/>
        <v>139735.07816904027</v>
      </c>
      <c r="AE134" s="5">
        <f t="shared" si="134"/>
        <v>139735.07816904027</v>
      </c>
      <c r="AF134" s="5">
        <f t="shared" si="134"/>
        <v>139735.07816904027</v>
      </c>
      <c r="AG134" s="5">
        <f t="shared" si="134"/>
        <v>139735.07816904027</v>
      </c>
      <c r="AH134" s="5">
        <f t="shared" si="134"/>
        <v>139735.07816904027</v>
      </c>
    </row>
    <row r="135" spans="1:34" x14ac:dyDescent="0.35">
      <c r="A135" t="s">
        <v>155</v>
      </c>
      <c r="B135" s="3" t="s">
        <v>1265</v>
      </c>
      <c r="C135" s="4" t="s">
        <v>1263</v>
      </c>
      <c r="D135" s="2">
        <f t="shared" si="131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ref="W135:AH135" si="135">IF(OR((SLOPE($E135:$V135,$E$1:$V$1)*W$1+INTERCEPT($E135:$V135,$E$1:$V$1))&gt;(AVERAGE($E135:$V135)+_xlfn.STDEV.P($E135:$V135)),(SLOPE($E135:$V135,$E$1:$V$1)*W$1+INTERCEPT($E135:$V135,$E$1:$V$1))&lt;(AVERAGE($E135:$V135)-_xlfn.STDEV.P($E135:$V135))),V135,(SLOPE($E135:$V135,$E$1:$V$1)*W$1+INTERCEPT($E135:$V135,$E$1:$V$1)))</f>
        <v>77709.637367959614</v>
      </c>
      <c r="X135" s="5">
        <f t="shared" si="135"/>
        <v>77375.105745437249</v>
      </c>
      <c r="Y135" s="5">
        <f t="shared" si="135"/>
        <v>77040.57412291487</v>
      </c>
      <c r="Z135" s="5">
        <f t="shared" si="135"/>
        <v>76706.042500392505</v>
      </c>
      <c r="AA135" s="5">
        <f t="shared" si="135"/>
        <v>76371.51087787014</v>
      </c>
      <c r="AB135" s="5">
        <f t="shared" si="135"/>
        <v>76036.97925534776</v>
      </c>
      <c r="AC135" s="5">
        <f t="shared" si="135"/>
        <v>75702.447632825395</v>
      </c>
      <c r="AD135" s="5">
        <f t="shared" si="135"/>
        <v>75367.916010303015</v>
      </c>
      <c r="AE135" s="5">
        <f t="shared" si="135"/>
        <v>75033.38438778065</v>
      </c>
      <c r="AF135" s="5">
        <f t="shared" si="135"/>
        <v>74698.852765258285</v>
      </c>
      <c r="AG135" s="5">
        <f t="shared" si="135"/>
        <v>74364.321142735906</v>
      </c>
      <c r="AH135" s="5">
        <f t="shared" si="135"/>
        <v>74029.789520213541</v>
      </c>
    </row>
    <row r="136" spans="1:34" x14ac:dyDescent="0.35">
      <c r="A136" t="s">
        <v>156</v>
      </c>
      <c r="B136" s="3" t="s">
        <v>1264</v>
      </c>
      <c r="C136" s="4" t="s">
        <v>1263</v>
      </c>
      <c r="D136" s="2">
        <f t="shared" si="131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ref="W136:AH136" si="136">IF(OR((SLOPE($E136:$V136,$E$1:$V$1)*W$1+INTERCEPT($E136:$V136,$E$1:$V$1))&gt;(AVERAGE($E136:$V136)+_xlfn.STDEV.P($E136:$V136)),(SLOPE($E136:$V136,$E$1:$V$1)*W$1+INTERCEPT($E136:$V136,$E$1:$V$1))&lt;(AVERAGE($E136:$V136)-_xlfn.STDEV.P($E136:$V136))),V136,(SLOPE($E136:$V136,$E$1:$V$1)*W$1+INTERCEPT($E136:$V136,$E$1:$V$1)))</f>
        <v>91346.666319999989</v>
      </c>
      <c r="X136" s="5">
        <f t="shared" si="136"/>
        <v>92393.478146666646</v>
      </c>
      <c r="Y136" s="5">
        <f t="shared" si="136"/>
        <v>93440.289973333318</v>
      </c>
      <c r="Z136" s="5">
        <f t="shared" si="136"/>
        <v>94487.101799999975</v>
      </c>
      <c r="AA136" s="5">
        <f t="shared" si="136"/>
        <v>95533.913626666646</v>
      </c>
      <c r="AB136" s="5">
        <f t="shared" si="136"/>
        <v>96580.725453333318</v>
      </c>
      <c r="AC136" s="5">
        <f t="shared" si="136"/>
        <v>97627.537279999975</v>
      </c>
      <c r="AD136" s="5">
        <f t="shared" si="136"/>
        <v>98674.349106666647</v>
      </c>
      <c r="AE136" s="5">
        <f t="shared" si="136"/>
        <v>99721.160933333304</v>
      </c>
      <c r="AF136" s="5">
        <f t="shared" si="136"/>
        <v>100767.97275999998</v>
      </c>
      <c r="AG136" s="5">
        <f t="shared" si="136"/>
        <v>101814.78458666665</v>
      </c>
      <c r="AH136" s="5">
        <f t="shared" si="136"/>
        <v>102861.5964133333</v>
      </c>
    </row>
    <row r="137" spans="1:34" x14ac:dyDescent="0.35">
      <c r="A137" t="s">
        <v>157</v>
      </c>
      <c r="B137" s="3" t="s">
        <v>1266</v>
      </c>
      <c r="C137" s="4" t="s">
        <v>1263</v>
      </c>
      <c r="D137" s="2">
        <f t="shared" si="131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ref="W137:AH137" si="137">IF(OR((SLOPE($E137:$V137,$E$1:$V$1)*W$1+INTERCEPT($E137:$V137,$E$1:$V$1))&gt;(AVERAGE($E137:$V137)+_xlfn.STDEV.P($E137:$V137)),(SLOPE($E137:$V137,$E$1:$V$1)*W$1+INTERCEPT($E137:$V137,$E$1:$V$1))&lt;(AVERAGE($E137:$V137)-_xlfn.STDEV.P($E137:$V137))),V137,(SLOPE($E137:$V137,$E$1:$V$1)*W$1+INTERCEPT($E137:$V137,$E$1:$V$1)))</f>
        <v>86328.428792548075</v>
      </c>
      <c r="X137" s="5">
        <f t="shared" si="137"/>
        <v>87050.298142605243</v>
      </c>
      <c r="Y137" s="5">
        <f t="shared" si="137"/>
        <v>87772.167492662426</v>
      </c>
      <c r="Z137" s="5">
        <f t="shared" si="137"/>
        <v>88494.036842719594</v>
      </c>
      <c r="AA137" s="5">
        <f t="shared" si="137"/>
        <v>89215.906192776762</v>
      </c>
      <c r="AB137" s="5">
        <f t="shared" si="137"/>
        <v>89937.77554283393</v>
      </c>
      <c r="AC137" s="5">
        <f t="shared" si="137"/>
        <v>90659.644892891112</v>
      </c>
      <c r="AD137" s="5">
        <f t="shared" si="137"/>
        <v>91381.51424294828</v>
      </c>
      <c r="AE137" s="5">
        <f t="shared" si="137"/>
        <v>92103.383593005448</v>
      </c>
      <c r="AF137" s="5">
        <f t="shared" si="137"/>
        <v>92825.252943062616</v>
      </c>
      <c r="AG137" s="5">
        <f t="shared" si="137"/>
        <v>93547.122293119784</v>
      </c>
      <c r="AH137" s="5">
        <f t="shared" si="137"/>
        <v>94268.991643176967</v>
      </c>
    </row>
    <row r="138" spans="1:34" x14ac:dyDescent="0.35">
      <c r="A138" t="s">
        <v>158</v>
      </c>
      <c r="B138" s="3" t="s">
        <v>1262</v>
      </c>
      <c r="C138" s="4" t="s">
        <v>1263</v>
      </c>
      <c r="D138" s="2">
        <f t="shared" si="131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ref="W138:AH138" si="138">IF(OR((SLOPE($E138:$V138,$E$1:$V$1)*W$1+INTERCEPT($E138:$V138,$E$1:$V$1))&gt;(AVERAGE($E138:$V138)+_xlfn.STDEV.P($E138:$V138)),(SLOPE($E138:$V138,$E$1:$V$1)*W$1+INTERCEPT($E138:$V138,$E$1:$V$1))&lt;(AVERAGE($E138:$V138)-_xlfn.STDEV.P($E138:$V138))),V138,(SLOPE($E138:$V138,$E$1:$V$1)*W$1+INTERCEPT($E138:$V138,$E$1:$V$1)))</f>
        <v>54566.83235294115</v>
      </c>
      <c r="X138" s="5">
        <f t="shared" si="138"/>
        <v>52029.116284829695</v>
      </c>
      <c r="Y138" s="5">
        <f t="shared" si="138"/>
        <v>49491.400216718241</v>
      </c>
      <c r="Z138" s="5">
        <f t="shared" si="138"/>
        <v>46953.684148606786</v>
      </c>
      <c r="AA138" s="5">
        <f t="shared" si="138"/>
        <v>44415.968080495331</v>
      </c>
      <c r="AB138" s="5">
        <f t="shared" si="138"/>
        <v>41878.252012383877</v>
      </c>
      <c r="AC138" s="5">
        <f t="shared" si="138"/>
        <v>39340.535944272415</v>
      </c>
      <c r="AD138" s="5">
        <f t="shared" si="138"/>
        <v>36802.819876160967</v>
      </c>
      <c r="AE138" s="5">
        <f t="shared" si="138"/>
        <v>36802.819876160967</v>
      </c>
      <c r="AF138" s="5">
        <f t="shared" si="138"/>
        <v>36802.819876160967</v>
      </c>
      <c r="AG138" s="5">
        <f t="shared" si="138"/>
        <v>36802.819876160967</v>
      </c>
      <c r="AH138" s="5">
        <f t="shared" si="138"/>
        <v>36802.819876160967</v>
      </c>
    </row>
    <row r="139" spans="1:34" x14ac:dyDescent="0.35">
      <c r="A139" t="s">
        <v>159</v>
      </c>
      <c r="B139" s="3" t="s">
        <v>1266</v>
      </c>
      <c r="C139" s="4" t="s">
        <v>1263</v>
      </c>
      <c r="D139" s="2">
        <f t="shared" si="131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ref="W139:AH139" si="139">IF(OR((SLOPE($E139:$V139,$E$1:$V$1)*W$1+INTERCEPT($E139:$V139,$E$1:$V$1))&gt;(AVERAGE($E139:$V139)+_xlfn.STDEV.P($E139:$V139)),(SLOPE($E139:$V139,$E$1:$V$1)*W$1+INTERCEPT($E139:$V139,$E$1:$V$1))&lt;(AVERAGE($E139:$V139)-_xlfn.STDEV.P($E139:$V139))),V139,(SLOPE($E139:$V139,$E$1:$V$1)*W$1+INTERCEPT($E139:$V139,$E$1:$V$1)))</f>
        <v>145792.24497250721</v>
      </c>
      <c r="X139" s="5">
        <f t="shared" si="139"/>
        <v>145792.24497250721</v>
      </c>
      <c r="Y139" s="5">
        <f t="shared" si="139"/>
        <v>145792.24497250721</v>
      </c>
      <c r="Z139" s="5">
        <f t="shared" si="139"/>
        <v>145792.24497250721</v>
      </c>
      <c r="AA139" s="5">
        <f t="shared" si="139"/>
        <v>145792.24497250721</v>
      </c>
      <c r="AB139" s="5">
        <f t="shared" si="139"/>
        <v>145792.24497250721</v>
      </c>
      <c r="AC139" s="5">
        <f t="shared" si="139"/>
        <v>145792.24497250721</v>
      </c>
      <c r="AD139" s="5">
        <f t="shared" si="139"/>
        <v>145792.24497250721</v>
      </c>
      <c r="AE139" s="5">
        <f t="shared" si="139"/>
        <v>145792.24497250721</v>
      </c>
      <c r="AF139" s="5">
        <f t="shared" si="139"/>
        <v>145792.24497250721</v>
      </c>
      <c r="AG139" s="5">
        <f t="shared" si="139"/>
        <v>145792.24497250721</v>
      </c>
      <c r="AH139" s="5">
        <f t="shared" si="139"/>
        <v>145792.24497250721</v>
      </c>
    </row>
    <row r="140" spans="1:34" x14ac:dyDescent="0.35">
      <c r="A140" t="s">
        <v>160</v>
      </c>
      <c r="B140" s="3" t="s">
        <v>1265</v>
      </c>
      <c r="C140" s="4" t="s">
        <v>1263</v>
      </c>
      <c r="D140" s="2">
        <f t="shared" si="131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ref="W140:AH140" si="140">IF(OR((SLOPE($E140:$V140,$E$1:$V$1)*W$1+INTERCEPT($E140:$V140,$E$1:$V$1))&gt;(AVERAGE($E140:$V140)+_xlfn.STDEV.P($E140:$V140)),(SLOPE($E140:$V140,$E$1:$V$1)*W$1+INTERCEPT($E140:$V140,$E$1:$V$1))&lt;(AVERAGE($E140:$V140)-_xlfn.STDEV.P($E140:$V140))),V140,(SLOPE($E140:$V140,$E$1:$V$1)*W$1+INTERCEPT($E140:$V140,$E$1:$V$1)))</f>
        <v>74337.426007738657</v>
      </c>
      <c r="X140" s="5">
        <f t="shared" si="140"/>
        <v>74074.399749648102</v>
      </c>
      <c r="Y140" s="5">
        <f t="shared" si="140"/>
        <v>73811.373491557548</v>
      </c>
      <c r="Z140" s="5">
        <f t="shared" si="140"/>
        <v>73548.347233466993</v>
      </c>
      <c r="AA140" s="5">
        <f t="shared" si="140"/>
        <v>73285.320975376439</v>
      </c>
      <c r="AB140" s="5">
        <f t="shared" si="140"/>
        <v>73022.294717285884</v>
      </c>
      <c r="AC140" s="5">
        <f t="shared" si="140"/>
        <v>72759.268459195329</v>
      </c>
      <c r="AD140" s="5">
        <f t="shared" si="140"/>
        <v>72496.242201104775</v>
      </c>
      <c r="AE140" s="5">
        <f t="shared" si="140"/>
        <v>72233.21594301422</v>
      </c>
      <c r="AF140" s="5">
        <f t="shared" si="140"/>
        <v>71970.189684923665</v>
      </c>
      <c r="AG140" s="5">
        <f t="shared" si="140"/>
        <v>71707.163426833111</v>
      </c>
      <c r="AH140" s="5">
        <f t="shared" si="140"/>
        <v>71444.137168742556</v>
      </c>
    </row>
    <row r="141" spans="1:34" x14ac:dyDescent="0.35">
      <c r="A141" t="s">
        <v>161</v>
      </c>
      <c r="B141" s="3" t="s">
        <v>1262</v>
      </c>
      <c r="C141" s="4" t="s">
        <v>1263</v>
      </c>
      <c r="D141" s="2">
        <f t="shared" si="131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ref="W141:AH141" si="141">IF(OR((SLOPE($E141:$V141,$E$1:$V$1)*W$1+INTERCEPT($E141:$V141,$E$1:$V$1))&gt;(AVERAGE($E141:$V141)+_xlfn.STDEV.P($E141:$V141)),(SLOPE($E141:$V141,$E$1:$V$1)*W$1+INTERCEPT($E141:$V141,$E$1:$V$1))&lt;(AVERAGE($E141:$V141)-_xlfn.STDEV.P($E141:$V141))),V141,(SLOPE($E141:$V141,$E$1:$V$1)*W$1+INTERCEPT($E141:$V141,$E$1:$V$1)))</f>
        <v>77517.303139593889</v>
      </c>
      <c r="X141" s="5">
        <f t="shared" si="141"/>
        <v>78068.32041507971</v>
      </c>
      <c r="Y141" s="5">
        <f t="shared" si="141"/>
        <v>78619.337690565531</v>
      </c>
      <c r="Z141" s="5">
        <f t="shared" si="141"/>
        <v>79170.354966051338</v>
      </c>
      <c r="AA141" s="5">
        <f t="shared" si="141"/>
        <v>79721.372241537159</v>
      </c>
      <c r="AB141" s="5">
        <f t="shared" si="141"/>
        <v>80272.389517022966</v>
      </c>
      <c r="AC141" s="5">
        <f t="shared" si="141"/>
        <v>80823.406792508787</v>
      </c>
      <c r="AD141" s="5">
        <f t="shared" si="141"/>
        <v>81374.424067994609</v>
      </c>
      <c r="AE141" s="5">
        <f t="shared" si="141"/>
        <v>81925.441343480416</v>
      </c>
      <c r="AF141" s="5">
        <f t="shared" si="141"/>
        <v>82476.458618966237</v>
      </c>
      <c r="AG141" s="5">
        <f t="shared" si="141"/>
        <v>83027.475894452058</v>
      </c>
      <c r="AH141" s="5">
        <f t="shared" si="141"/>
        <v>83578.493169937865</v>
      </c>
    </row>
    <row r="142" spans="1:34" x14ac:dyDescent="0.35">
      <c r="A142" t="s">
        <v>162</v>
      </c>
      <c r="B142" s="3" t="s">
        <v>1266</v>
      </c>
      <c r="C142" s="4" t="s">
        <v>1263</v>
      </c>
      <c r="D142" s="2">
        <f t="shared" si="131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ref="W142:AH142" si="142">IF(OR((SLOPE($E142:$V142,$E$1:$V$1)*W$1+INTERCEPT($E142:$V142,$E$1:$V$1))&gt;(AVERAGE($E142:$V142)+_xlfn.STDEV.P($E142:$V142)),(SLOPE($E142:$V142,$E$1:$V$1)*W$1+INTERCEPT($E142:$V142,$E$1:$V$1))&lt;(AVERAGE($E142:$V142)-_xlfn.STDEV.P($E142:$V142))),V142,(SLOPE($E142:$V142,$E$1:$V$1)*W$1+INTERCEPT($E142:$V142,$E$1:$V$1)))</f>
        <v>114624.53780739941</v>
      </c>
      <c r="X142" s="5">
        <f t="shared" si="142"/>
        <v>118873.08446371314</v>
      </c>
      <c r="Y142" s="5">
        <f t="shared" si="142"/>
        <v>123121.63112002685</v>
      </c>
      <c r="Z142" s="5">
        <f t="shared" si="142"/>
        <v>127370.17777634057</v>
      </c>
      <c r="AA142" s="5">
        <f t="shared" si="142"/>
        <v>131618.7244326543</v>
      </c>
      <c r="AB142" s="5">
        <f t="shared" si="142"/>
        <v>135867.27108896803</v>
      </c>
      <c r="AC142" s="5">
        <f t="shared" si="142"/>
        <v>140115.81774528173</v>
      </c>
      <c r="AD142" s="5">
        <f t="shared" si="142"/>
        <v>144364.36440159546</v>
      </c>
      <c r="AE142" s="5">
        <f t="shared" si="142"/>
        <v>148612.91105790919</v>
      </c>
      <c r="AF142" s="5">
        <f t="shared" si="142"/>
        <v>152861.4577142229</v>
      </c>
      <c r="AG142" s="5">
        <f t="shared" si="142"/>
        <v>157110.00437053663</v>
      </c>
      <c r="AH142" s="5">
        <f t="shared" si="142"/>
        <v>157110.00437053663</v>
      </c>
    </row>
    <row r="143" spans="1:34" x14ac:dyDescent="0.35">
      <c r="A143" t="s">
        <v>163</v>
      </c>
      <c r="B143" s="3" t="s">
        <v>1265</v>
      </c>
      <c r="C143" s="4" t="s">
        <v>1263</v>
      </c>
      <c r="D143" s="2">
        <f t="shared" si="131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ref="W143:AH143" si="143">IF(OR((SLOPE($E143:$V143,$E$1:$V$1)*W$1+INTERCEPT($E143:$V143,$E$1:$V$1))&gt;(AVERAGE($E143:$V143)+_xlfn.STDEV.P($E143:$V143)),(SLOPE($E143:$V143,$E$1:$V$1)*W$1+INTERCEPT($E143:$V143,$E$1:$V$1))&lt;(AVERAGE($E143:$V143)-_xlfn.STDEV.P($E143:$V143))),V143,(SLOPE($E143:$V143,$E$1:$V$1)*W$1+INTERCEPT($E143:$V143,$E$1:$V$1)))</f>
        <v>101785.91796069307</v>
      </c>
      <c r="X143" s="5">
        <f t="shared" si="143"/>
        <v>101785.91796069307</v>
      </c>
      <c r="Y143" s="5">
        <f t="shared" si="143"/>
        <v>101785.91796069307</v>
      </c>
      <c r="Z143" s="5">
        <f t="shared" si="143"/>
        <v>101785.91796069307</v>
      </c>
      <c r="AA143" s="5">
        <f t="shared" si="143"/>
        <v>101785.91796069307</v>
      </c>
      <c r="AB143" s="5">
        <f t="shared" si="143"/>
        <v>101785.91796069307</v>
      </c>
      <c r="AC143" s="5">
        <f t="shared" si="143"/>
        <v>101785.91796069307</v>
      </c>
      <c r="AD143" s="5">
        <f t="shared" si="143"/>
        <v>101785.91796069307</v>
      </c>
      <c r="AE143" s="5">
        <f t="shared" si="143"/>
        <v>101785.91796069307</v>
      </c>
      <c r="AF143" s="5">
        <f t="shared" si="143"/>
        <v>101785.91796069307</v>
      </c>
      <c r="AG143" s="5">
        <f t="shared" si="143"/>
        <v>101785.91796069307</v>
      </c>
      <c r="AH143" s="5">
        <f t="shared" si="143"/>
        <v>101785.91796069307</v>
      </c>
    </row>
    <row r="144" spans="1:34" x14ac:dyDescent="0.35">
      <c r="A144" t="s">
        <v>164</v>
      </c>
      <c r="B144" s="3" t="s">
        <v>1262</v>
      </c>
      <c r="C144" s="4" t="s">
        <v>1263</v>
      </c>
      <c r="D144" s="2">
        <f t="shared" si="131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ref="W144:AH144" si="144">IF(OR((SLOPE($E144:$V144,$E$1:$V$1)*W$1+INTERCEPT($E144:$V144,$E$1:$V$1))&gt;(AVERAGE($E144:$V144)+_xlfn.STDEV.P($E144:$V144)),(SLOPE($E144:$V144,$E$1:$V$1)*W$1+INTERCEPT($E144:$V144,$E$1:$V$1))&lt;(AVERAGE($E144:$V144)-_xlfn.STDEV.P($E144:$V144))),V144,(SLOPE($E144:$V144,$E$1:$V$1)*W$1+INTERCEPT($E144:$V144,$E$1:$V$1)))</f>
        <v>88990.159873740908</v>
      </c>
      <c r="X144" s="5">
        <f t="shared" si="144"/>
        <v>90683.292384561515</v>
      </c>
      <c r="Y144" s="5">
        <f t="shared" si="144"/>
        <v>92376.424895382122</v>
      </c>
      <c r="Z144" s="5">
        <f t="shared" si="144"/>
        <v>94069.557406202744</v>
      </c>
      <c r="AA144" s="5">
        <f t="shared" si="144"/>
        <v>95762.689917023352</v>
      </c>
      <c r="AB144" s="5">
        <f t="shared" si="144"/>
        <v>97455.822427843959</v>
      </c>
      <c r="AC144" s="5">
        <f t="shared" si="144"/>
        <v>99148.954938664567</v>
      </c>
      <c r="AD144" s="5">
        <f t="shared" si="144"/>
        <v>100842.08744948517</v>
      </c>
      <c r="AE144" s="5">
        <f t="shared" si="144"/>
        <v>102535.2199603058</v>
      </c>
      <c r="AF144" s="5">
        <f t="shared" si="144"/>
        <v>104228.35247112642</v>
      </c>
      <c r="AG144" s="5">
        <f t="shared" si="144"/>
        <v>105921.48498194703</v>
      </c>
      <c r="AH144" s="5">
        <f t="shared" si="144"/>
        <v>107614.61749276763</v>
      </c>
    </row>
    <row r="145" spans="1:34" x14ac:dyDescent="0.35">
      <c r="A145" t="s">
        <v>165</v>
      </c>
      <c r="B145" s="3" t="s">
        <v>1265</v>
      </c>
      <c r="C145" s="4" t="s">
        <v>1263</v>
      </c>
      <c r="D145" s="2">
        <f t="shared" si="131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ref="W145:AH145" si="145">IF(OR((SLOPE($E145:$V145,$E$1:$V$1)*W$1+INTERCEPT($E145:$V145,$E$1:$V$1))&gt;(AVERAGE($E145:$V145)+_xlfn.STDEV.P($E145:$V145)),(SLOPE($E145:$V145,$E$1:$V$1)*W$1+INTERCEPT($E145:$V145,$E$1:$V$1))&lt;(AVERAGE($E145:$V145)-_xlfn.STDEV.P($E145:$V145))),V145,(SLOPE($E145:$V145,$E$1:$V$1)*W$1+INTERCEPT($E145:$V145,$E$1:$V$1)))</f>
        <v>75919.680529411751</v>
      </c>
      <c r="X145" s="5">
        <f t="shared" si="145"/>
        <v>76224.920795665617</v>
      </c>
      <c r="Y145" s="5">
        <f t="shared" si="145"/>
        <v>76530.161061919483</v>
      </c>
      <c r="Z145" s="5">
        <f t="shared" si="145"/>
        <v>76835.40132817335</v>
      </c>
      <c r="AA145" s="5">
        <f t="shared" si="145"/>
        <v>77140.64159442723</v>
      </c>
      <c r="AB145" s="5">
        <f t="shared" si="145"/>
        <v>77445.881860681096</v>
      </c>
      <c r="AC145" s="5">
        <f t="shared" si="145"/>
        <v>77751.122126934963</v>
      </c>
      <c r="AD145" s="5">
        <f t="shared" si="145"/>
        <v>78056.362393188829</v>
      </c>
      <c r="AE145" s="5">
        <f t="shared" si="145"/>
        <v>78361.602659442695</v>
      </c>
      <c r="AF145" s="5">
        <f t="shared" si="145"/>
        <v>78666.842925696576</v>
      </c>
      <c r="AG145" s="5">
        <f t="shared" si="145"/>
        <v>78972.083191950442</v>
      </c>
      <c r="AH145" s="5">
        <f t="shared" si="145"/>
        <v>79277.323458204308</v>
      </c>
    </row>
    <row r="146" spans="1:34" x14ac:dyDescent="0.35">
      <c r="A146" t="s">
        <v>166</v>
      </c>
      <c r="B146" s="3" t="s">
        <v>1265</v>
      </c>
      <c r="C146" s="4" t="s">
        <v>1263</v>
      </c>
      <c r="D146" s="2">
        <f t="shared" si="131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ref="W146:AH146" si="146">IF(OR((SLOPE($E146:$V146,$E$1:$V$1)*W$1+INTERCEPT($E146:$V146,$E$1:$V$1))&gt;(AVERAGE($E146:$V146)+_xlfn.STDEV.P($E146:$V146)),(SLOPE($E146:$V146,$E$1:$V$1)*W$1+INTERCEPT($E146:$V146,$E$1:$V$1))&lt;(AVERAGE($E146:$V146)-_xlfn.STDEV.P($E146:$V146))),V146,(SLOPE($E146:$V146,$E$1:$V$1)*W$1+INTERCEPT($E146:$V146,$E$1:$V$1)))</f>
        <v>107817.60177112871</v>
      </c>
      <c r="X146" s="5">
        <f t="shared" si="146"/>
        <v>107817.60177112871</v>
      </c>
      <c r="Y146" s="5">
        <f t="shared" si="146"/>
        <v>107817.60177112871</v>
      </c>
      <c r="Z146" s="5">
        <f t="shared" si="146"/>
        <v>107817.60177112871</v>
      </c>
      <c r="AA146" s="5">
        <f t="shared" si="146"/>
        <v>107817.60177112871</v>
      </c>
      <c r="AB146" s="5">
        <f t="shared" si="146"/>
        <v>107817.60177112871</v>
      </c>
      <c r="AC146" s="5">
        <f t="shared" si="146"/>
        <v>107817.60177112871</v>
      </c>
      <c r="AD146" s="5">
        <f t="shared" si="146"/>
        <v>107817.60177112871</v>
      </c>
      <c r="AE146" s="5">
        <f t="shared" si="146"/>
        <v>107817.60177112871</v>
      </c>
      <c r="AF146" s="5">
        <f t="shared" si="146"/>
        <v>107817.60177112871</v>
      </c>
      <c r="AG146" s="5">
        <f t="shared" si="146"/>
        <v>107817.60177112871</v>
      </c>
      <c r="AH146" s="5">
        <f t="shared" si="146"/>
        <v>107817.60177112871</v>
      </c>
    </row>
    <row r="147" spans="1:34" x14ac:dyDescent="0.35">
      <c r="A147" t="s">
        <v>167</v>
      </c>
      <c r="B147" s="3" t="s">
        <v>1262</v>
      </c>
      <c r="C147" s="4" t="s">
        <v>1263</v>
      </c>
      <c r="D147" s="2">
        <f t="shared" si="131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ref="W147:AH147" si="147">IF(OR((SLOPE($E147:$V147,$E$1:$V$1)*W$1+INTERCEPT($E147:$V147,$E$1:$V$1))&gt;(AVERAGE($E147:$V147)+_xlfn.STDEV.P($E147:$V147)),(SLOPE($E147:$V147,$E$1:$V$1)*W$1+INTERCEPT($E147:$V147,$E$1:$V$1))&lt;(AVERAGE($E147:$V147)-_xlfn.STDEV.P($E147:$V147))),V147,(SLOPE($E147:$V147,$E$1:$V$1)*W$1+INTERCEPT($E147:$V147,$E$1:$V$1)))</f>
        <v>62294.788376470606</v>
      </c>
      <c r="X147" s="5">
        <f t="shared" si="147"/>
        <v>61194.608973993825</v>
      </c>
      <c r="Y147" s="5">
        <f t="shared" si="147"/>
        <v>60094.429571517045</v>
      </c>
      <c r="Z147" s="5">
        <f t="shared" si="147"/>
        <v>58994.250169040271</v>
      </c>
      <c r="AA147" s="5">
        <f t="shared" si="147"/>
        <v>57894.070766563484</v>
      </c>
      <c r="AB147" s="5">
        <f t="shared" si="147"/>
        <v>56793.89136408671</v>
      </c>
      <c r="AC147" s="5">
        <f t="shared" si="147"/>
        <v>55693.71196160993</v>
      </c>
      <c r="AD147" s="5">
        <f t="shared" si="147"/>
        <v>54593.532559133149</v>
      </c>
      <c r="AE147" s="5">
        <f t="shared" si="147"/>
        <v>53493.353156656369</v>
      </c>
      <c r="AF147" s="5">
        <f t="shared" si="147"/>
        <v>52393.173754179588</v>
      </c>
      <c r="AG147" s="5">
        <f t="shared" si="147"/>
        <v>51292.994351702815</v>
      </c>
      <c r="AH147" s="5">
        <f t="shared" si="147"/>
        <v>50192.814949226035</v>
      </c>
    </row>
    <row r="148" spans="1:34" x14ac:dyDescent="0.35">
      <c r="A148" t="s">
        <v>168</v>
      </c>
      <c r="B148" s="3" t="s">
        <v>1262</v>
      </c>
      <c r="C148" s="4" t="s">
        <v>1263</v>
      </c>
      <c r="D148" s="2">
        <f t="shared" si="131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ref="W148:AH148" si="148">IF(OR((SLOPE($E148:$V148,$E$1:$V$1)*W$1+INTERCEPT($E148:$V148,$E$1:$V$1))&gt;(AVERAGE($E148:$V148)+_xlfn.STDEV.P($E148:$V148)),(SLOPE($E148:$V148,$E$1:$V$1)*W$1+INTERCEPT($E148:$V148,$E$1:$V$1))&lt;(AVERAGE($E148:$V148)-_xlfn.STDEV.P($E148:$V148))),V148,(SLOPE($E148:$V148,$E$1:$V$1)*W$1+INTERCEPT($E148:$V148,$E$1:$V$1)))</f>
        <v>100242.69829411761</v>
      </c>
      <c r="X148" s="5">
        <f t="shared" si="148"/>
        <v>100242.69829411761</v>
      </c>
      <c r="Y148" s="5">
        <f t="shared" si="148"/>
        <v>100242.69829411761</v>
      </c>
      <c r="Z148" s="5">
        <f t="shared" si="148"/>
        <v>100242.69829411761</v>
      </c>
      <c r="AA148" s="5">
        <f t="shared" si="148"/>
        <v>100242.69829411761</v>
      </c>
      <c r="AB148" s="5">
        <f t="shared" si="148"/>
        <v>100242.69829411761</v>
      </c>
      <c r="AC148" s="5">
        <f t="shared" si="148"/>
        <v>100242.69829411761</v>
      </c>
      <c r="AD148" s="5">
        <f t="shared" si="148"/>
        <v>100242.69829411761</v>
      </c>
      <c r="AE148" s="5">
        <f t="shared" si="148"/>
        <v>100242.69829411761</v>
      </c>
      <c r="AF148" s="5">
        <f t="shared" si="148"/>
        <v>100242.69829411761</v>
      </c>
      <c r="AG148" s="5">
        <f t="shared" si="148"/>
        <v>100242.69829411761</v>
      </c>
      <c r="AH148" s="5">
        <f t="shared" si="148"/>
        <v>100242.69829411761</v>
      </c>
    </row>
    <row r="149" spans="1:34" x14ac:dyDescent="0.35">
      <c r="A149" t="s">
        <v>169</v>
      </c>
      <c r="B149" s="3" t="s">
        <v>1265</v>
      </c>
      <c r="C149" s="4" t="s">
        <v>1263</v>
      </c>
      <c r="D149" s="2">
        <f t="shared" si="131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H149" si="149">IF(OR((SLOPE($E149:$V149,$E$1:$V$1)*W$1+INTERCEPT($E149:$V149,$E$1:$V$1))&gt;(AVERAGE($E149:$V149)+_xlfn.STDEV.P($E149:$V149)),(SLOPE($E149:$V149,$E$1:$V$1)*W$1+INTERCEPT($E149:$V149,$E$1:$V$1))&lt;(AVERAGE($E149:$V149)-_xlfn.STDEV.P($E149:$V149))),V149,(SLOPE($E149:$V149,$E$1:$V$1)*W$1+INTERCEPT($E149:$V149,$E$1:$V$1)))</f>
        <v>76422.929515302501</v>
      </c>
      <c r="X149" s="5">
        <f t="shared" si="149"/>
        <v>76903.664018134761</v>
      </c>
      <c r="Y149" s="5">
        <f t="shared" si="149"/>
        <v>77384.398520967021</v>
      </c>
      <c r="Z149" s="5">
        <f t="shared" si="149"/>
        <v>77865.133023799281</v>
      </c>
      <c r="AA149" s="5">
        <f t="shared" si="149"/>
        <v>78345.86752663154</v>
      </c>
      <c r="AB149" s="5">
        <f t="shared" si="149"/>
        <v>78826.6020294638</v>
      </c>
      <c r="AC149" s="5">
        <f t="shared" si="149"/>
        <v>79307.33653229606</v>
      </c>
      <c r="AD149" s="5">
        <f t="shared" si="149"/>
        <v>79788.07103512832</v>
      </c>
      <c r="AE149" s="5">
        <f t="shared" si="149"/>
        <v>80268.805537960579</v>
      </c>
      <c r="AF149" s="5">
        <f t="shared" si="149"/>
        <v>80749.540040792839</v>
      </c>
      <c r="AG149" s="5">
        <f t="shared" si="149"/>
        <v>81230.274543625099</v>
      </c>
      <c r="AH149" s="5">
        <f t="shared" si="149"/>
        <v>81711.009046457359</v>
      </c>
    </row>
    <row r="150" spans="1:34" x14ac:dyDescent="0.35">
      <c r="A150" t="s">
        <v>170</v>
      </c>
      <c r="B150" s="3" t="s">
        <v>1264</v>
      </c>
      <c r="C150" s="4" t="s">
        <v>1263</v>
      </c>
      <c r="D150" s="2">
        <f t="shared" si="131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ref="W150:AH150" si="150">IF(OR((SLOPE($E150:$V150,$E$1:$V$1)*W$1+INTERCEPT($E150:$V150,$E$1:$V$1))&gt;(AVERAGE($E150:$V150)+_xlfn.STDEV.P($E150:$V150)),(SLOPE($E150:$V150,$E$1:$V$1)*W$1+INTERCEPT($E150:$V150,$E$1:$V$1))&lt;(AVERAGE($E150:$V150)-_xlfn.STDEV.P($E150:$V150))),V150,(SLOPE($E150:$V150,$E$1:$V$1)*W$1+INTERCEPT($E150:$V150,$E$1:$V$1)))</f>
        <v>355696.9584</v>
      </c>
      <c r="X150" s="5">
        <f t="shared" si="150"/>
        <v>355696.9584</v>
      </c>
      <c r="Y150" s="5">
        <f t="shared" si="150"/>
        <v>355696.9584</v>
      </c>
      <c r="Z150" s="5">
        <f t="shared" si="150"/>
        <v>355696.9584</v>
      </c>
      <c r="AA150" s="5">
        <f t="shared" si="150"/>
        <v>355696.9584</v>
      </c>
      <c r="AB150" s="5">
        <f t="shared" si="150"/>
        <v>355696.9584</v>
      </c>
      <c r="AC150" s="5">
        <f t="shared" si="150"/>
        <v>355696.9584</v>
      </c>
      <c r="AD150" s="5">
        <f t="shared" si="150"/>
        <v>355696.9584</v>
      </c>
      <c r="AE150" s="5">
        <f t="shared" si="150"/>
        <v>355696.9584</v>
      </c>
      <c r="AF150" s="5">
        <f t="shared" si="150"/>
        <v>355696.9584</v>
      </c>
      <c r="AG150" s="5">
        <f t="shared" si="150"/>
        <v>355696.9584</v>
      </c>
      <c r="AH150" s="5">
        <f t="shared" si="150"/>
        <v>355696.9584</v>
      </c>
    </row>
    <row r="151" spans="1:34" x14ac:dyDescent="0.35">
      <c r="A151" t="s">
        <v>171</v>
      </c>
      <c r="B151" s="3" t="s">
        <v>1262</v>
      </c>
      <c r="C151" s="4" t="s">
        <v>1263</v>
      </c>
      <c r="D151" s="2">
        <f t="shared" si="131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ref="W151:AH151" si="151">IF(OR((SLOPE($E151:$V151,$E$1:$V$1)*W$1+INTERCEPT($E151:$V151,$E$1:$V$1))&gt;(AVERAGE($E151:$V151)+_xlfn.STDEV.P($E151:$V151)),(SLOPE($E151:$V151,$E$1:$V$1)*W$1+INTERCEPT($E151:$V151,$E$1:$V$1))&lt;(AVERAGE($E151:$V151)-_xlfn.STDEV.P($E151:$V151))),V151,(SLOPE($E151:$V151,$E$1:$V$1)*W$1+INTERCEPT($E151:$V151,$E$1:$V$1)))</f>
        <v>59412.692156862737</v>
      </c>
      <c r="X151" s="5">
        <f t="shared" si="151"/>
        <v>58269.808875128991</v>
      </c>
      <c r="Y151" s="5">
        <f t="shared" si="151"/>
        <v>57126.925593395245</v>
      </c>
      <c r="Z151" s="5">
        <f t="shared" si="151"/>
        <v>55984.042311661498</v>
      </c>
      <c r="AA151" s="5">
        <f t="shared" si="151"/>
        <v>54841.159029927752</v>
      </c>
      <c r="AB151" s="5">
        <f t="shared" si="151"/>
        <v>53698.275748194006</v>
      </c>
      <c r="AC151" s="5">
        <f t="shared" si="151"/>
        <v>52555.39246646026</v>
      </c>
      <c r="AD151" s="5">
        <f t="shared" si="151"/>
        <v>51412.509184726514</v>
      </c>
      <c r="AE151" s="5">
        <f t="shared" si="151"/>
        <v>50269.625902992768</v>
      </c>
      <c r="AF151" s="5">
        <f t="shared" si="151"/>
        <v>49126.742621259022</v>
      </c>
      <c r="AG151" s="5">
        <f t="shared" si="151"/>
        <v>47983.859339525276</v>
      </c>
      <c r="AH151" s="5">
        <f t="shared" si="151"/>
        <v>46840.976057791529</v>
      </c>
    </row>
    <row r="152" spans="1:34" x14ac:dyDescent="0.35">
      <c r="A152" t="s">
        <v>172</v>
      </c>
      <c r="B152" s="3" t="s">
        <v>1262</v>
      </c>
      <c r="C152" s="4" t="s">
        <v>1263</v>
      </c>
      <c r="D152" s="2">
        <f t="shared" si="131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ref="W152:AH152" si="152">IF(OR((SLOPE($E152:$V152,$E$1:$V$1)*W$1+INTERCEPT($E152:$V152,$E$1:$V$1))&gt;(AVERAGE($E152:$V152)+_xlfn.STDEV.P($E152:$V152)),(SLOPE($E152:$V152,$E$1:$V$1)*W$1+INTERCEPT($E152:$V152,$E$1:$V$1))&lt;(AVERAGE($E152:$V152)-_xlfn.STDEV.P($E152:$V152))),V152,(SLOPE($E152:$V152,$E$1:$V$1)*W$1+INTERCEPT($E152:$V152,$E$1:$V$1)))</f>
        <v>45088.927923768744</v>
      </c>
      <c r="X152" s="5">
        <f t="shared" si="152"/>
        <v>42519.163215693523</v>
      </c>
      <c r="Y152" s="5">
        <f t="shared" si="152"/>
        <v>39949.398507618294</v>
      </c>
      <c r="Z152" s="5">
        <f t="shared" si="152"/>
        <v>37379.633799543066</v>
      </c>
      <c r="AA152" s="5">
        <f t="shared" si="152"/>
        <v>37379.633799543066</v>
      </c>
      <c r="AB152" s="5">
        <f t="shared" si="152"/>
        <v>37379.633799543066</v>
      </c>
      <c r="AC152" s="5">
        <f t="shared" si="152"/>
        <v>37379.633799543066</v>
      </c>
      <c r="AD152" s="5">
        <f t="shared" si="152"/>
        <v>37379.633799543066</v>
      </c>
      <c r="AE152" s="5">
        <f t="shared" si="152"/>
        <v>37379.633799543066</v>
      </c>
      <c r="AF152" s="5">
        <f t="shared" si="152"/>
        <v>37379.633799543066</v>
      </c>
      <c r="AG152" s="5">
        <f t="shared" si="152"/>
        <v>37379.633799543066</v>
      </c>
      <c r="AH152" s="5">
        <f t="shared" si="152"/>
        <v>37379.633799543066</v>
      </c>
    </row>
    <row r="153" spans="1:34" x14ac:dyDescent="0.35">
      <c r="A153" t="s">
        <v>173</v>
      </c>
      <c r="B153" s="3" t="s">
        <v>1262</v>
      </c>
      <c r="C153" s="4" t="s">
        <v>1263</v>
      </c>
      <c r="D153" s="2">
        <f t="shared" si="131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ref="W153:AH153" si="153">IF(OR((SLOPE($E153:$V153,$E$1:$V$1)*W$1+INTERCEPT($E153:$V153,$E$1:$V$1))&gt;(AVERAGE($E153:$V153)+_xlfn.STDEV.P($E153:$V153)),(SLOPE($E153:$V153,$E$1:$V$1)*W$1+INTERCEPT($E153:$V153,$E$1:$V$1))&lt;(AVERAGE($E153:$V153)-_xlfn.STDEV.P($E153:$V153))),V153,(SLOPE($E153:$V153,$E$1:$V$1)*W$1+INTERCEPT($E153:$V153,$E$1:$V$1)))</f>
        <v>65967.480467452609</v>
      </c>
      <c r="X153" s="5">
        <f t="shared" si="153"/>
        <v>65613.661255736544</v>
      </c>
      <c r="Y153" s="5">
        <f t="shared" si="153"/>
        <v>65259.842044020479</v>
      </c>
      <c r="Z153" s="5">
        <f t="shared" si="153"/>
        <v>64906.022832304421</v>
      </c>
      <c r="AA153" s="5">
        <f t="shared" si="153"/>
        <v>64552.203620588356</v>
      </c>
      <c r="AB153" s="5">
        <f t="shared" si="153"/>
        <v>64198.384408872291</v>
      </c>
      <c r="AC153" s="5">
        <f t="shared" si="153"/>
        <v>63844.565197156226</v>
      </c>
      <c r="AD153" s="5">
        <f t="shared" si="153"/>
        <v>63490.745985440168</v>
      </c>
      <c r="AE153" s="5">
        <f t="shared" si="153"/>
        <v>63136.926773724103</v>
      </c>
      <c r="AF153" s="5">
        <f t="shared" si="153"/>
        <v>62783.107562008037</v>
      </c>
      <c r="AG153" s="5">
        <f t="shared" si="153"/>
        <v>62429.288350291972</v>
      </c>
      <c r="AH153" s="5">
        <f t="shared" si="153"/>
        <v>62075.469138575907</v>
      </c>
    </row>
    <row r="154" spans="1:34" x14ac:dyDescent="0.35">
      <c r="A154" t="s">
        <v>174</v>
      </c>
      <c r="B154" s="3" t="s">
        <v>1266</v>
      </c>
      <c r="C154" s="4" t="s">
        <v>1263</v>
      </c>
      <c r="D154" s="2">
        <f t="shared" si="131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ref="W154:AH154" si="154">IF(OR((SLOPE($E154:$V154,$E$1:$V$1)*W$1+INTERCEPT($E154:$V154,$E$1:$V$1))&gt;(AVERAGE($E154:$V154)+_xlfn.STDEV.P($E154:$V154)),(SLOPE($E154:$V154,$E$1:$V$1)*W$1+INTERCEPT($E154:$V154,$E$1:$V$1))&lt;(AVERAGE($E154:$V154)-_xlfn.STDEV.P($E154:$V154))),V154,(SLOPE($E154:$V154,$E$1:$V$1)*W$1+INTERCEPT($E154:$V154,$E$1:$V$1)))</f>
        <v>65356.950331065127</v>
      </c>
      <c r="X154" s="5">
        <f t="shared" si="154"/>
        <v>64921.522648824597</v>
      </c>
      <c r="Y154" s="5">
        <f t="shared" si="154"/>
        <v>64486.094966584074</v>
      </c>
      <c r="Z154" s="5">
        <f t="shared" si="154"/>
        <v>64050.667284343552</v>
      </c>
      <c r="AA154" s="5">
        <f t="shared" si="154"/>
        <v>63615.239602103022</v>
      </c>
      <c r="AB154" s="5">
        <f t="shared" si="154"/>
        <v>63179.811919862492</v>
      </c>
      <c r="AC154" s="5">
        <f t="shared" si="154"/>
        <v>62744.384237621969</v>
      </c>
      <c r="AD154" s="5">
        <f t="shared" si="154"/>
        <v>62308.956555381439</v>
      </c>
      <c r="AE154" s="5">
        <f t="shared" si="154"/>
        <v>61873.528873140909</v>
      </c>
      <c r="AF154" s="5">
        <f t="shared" si="154"/>
        <v>61438.101190900386</v>
      </c>
      <c r="AG154" s="5">
        <f t="shared" si="154"/>
        <v>61002.673508659864</v>
      </c>
      <c r="AH154" s="5">
        <f t="shared" si="154"/>
        <v>60567.245826419334</v>
      </c>
    </row>
    <row r="155" spans="1:34" x14ac:dyDescent="0.35">
      <c r="A155" t="s">
        <v>175</v>
      </c>
      <c r="B155" s="3" t="s">
        <v>1262</v>
      </c>
      <c r="C155" s="4" t="s">
        <v>1263</v>
      </c>
      <c r="D155" s="2">
        <f t="shared" si="131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ref="W155:AH155" si="155">IF(OR((SLOPE($E155:$V155,$E$1:$V$1)*W$1+INTERCEPT($E155:$V155,$E$1:$V$1))&gt;(AVERAGE($E155:$V155)+_xlfn.STDEV.P($E155:$V155)),(SLOPE($E155:$V155,$E$1:$V$1)*W$1+INTERCEPT($E155:$V155,$E$1:$V$1))&lt;(AVERAGE($E155:$V155)-_xlfn.STDEV.P($E155:$V155))),V155,(SLOPE($E155:$V155,$E$1:$V$1)*W$1+INTERCEPT($E155:$V155,$E$1:$V$1)))</f>
        <v>59176.36323529412</v>
      </c>
      <c r="X155" s="5">
        <f t="shared" si="155"/>
        <v>58230.554312693508</v>
      </c>
      <c r="Y155" s="5">
        <f t="shared" si="155"/>
        <v>57284.745390092889</v>
      </c>
      <c r="Z155" s="5">
        <f t="shared" si="155"/>
        <v>56338.936467492269</v>
      </c>
      <c r="AA155" s="5">
        <f t="shared" si="155"/>
        <v>55393.127544891657</v>
      </c>
      <c r="AB155" s="5">
        <f t="shared" si="155"/>
        <v>54447.31862229103</v>
      </c>
      <c r="AC155" s="5">
        <f t="shared" si="155"/>
        <v>53501.509699690418</v>
      </c>
      <c r="AD155" s="5">
        <f t="shared" si="155"/>
        <v>52555.700777089798</v>
      </c>
      <c r="AE155" s="5">
        <f t="shared" si="155"/>
        <v>51609.891854489179</v>
      </c>
      <c r="AF155" s="5">
        <f t="shared" si="155"/>
        <v>50664.082931888559</v>
      </c>
      <c r="AG155" s="5">
        <f t="shared" si="155"/>
        <v>49718.274009287939</v>
      </c>
      <c r="AH155" s="5">
        <f t="shared" si="155"/>
        <v>48772.465086687327</v>
      </c>
    </row>
    <row r="156" spans="1:34" x14ac:dyDescent="0.35">
      <c r="A156" t="s">
        <v>176</v>
      </c>
      <c r="B156" s="3" t="s">
        <v>1265</v>
      </c>
      <c r="C156" s="4" t="s">
        <v>1263</v>
      </c>
      <c r="D156" s="2">
        <f t="shared" si="131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ref="W156:AH156" si="156">IF(OR((SLOPE($E156:$V156,$E$1:$V$1)*W$1+INTERCEPT($E156:$V156,$E$1:$V$1))&gt;(AVERAGE($E156:$V156)+_xlfn.STDEV.P($E156:$V156)),(SLOPE($E156:$V156,$E$1:$V$1)*W$1+INTERCEPT($E156:$V156,$E$1:$V$1))&lt;(AVERAGE($E156:$V156)-_xlfn.STDEV.P($E156:$V156))),V156,(SLOPE($E156:$V156,$E$1:$V$1)*W$1+INTERCEPT($E156:$V156,$E$1:$V$1)))</f>
        <v>79723.98</v>
      </c>
      <c r="X156" s="5">
        <f t="shared" si="156"/>
        <v>79723.98</v>
      </c>
      <c r="Y156" s="5">
        <f t="shared" si="156"/>
        <v>79723.98</v>
      </c>
      <c r="Z156" s="5">
        <f t="shared" si="156"/>
        <v>79723.98</v>
      </c>
      <c r="AA156" s="5">
        <f t="shared" si="156"/>
        <v>79723.98</v>
      </c>
      <c r="AB156" s="5">
        <f t="shared" si="156"/>
        <v>79723.98</v>
      </c>
      <c r="AC156" s="5">
        <f t="shared" si="156"/>
        <v>79723.98</v>
      </c>
      <c r="AD156" s="5">
        <f t="shared" si="156"/>
        <v>79723.98</v>
      </c>
      <c r="AE156" s="5">
        <f t="shared" si="156"/>
        <v>79723.98</v>
      </c>
      <c r="AF156" s="5">
        <f t="shared" si="156"/>
        <v>79723.98</v>
      </c>
      <c r="AG156" s="5">
        <f t="shared" si="156"/>
        <v>79723.98</v>
      </c>
      <c r="AH156" s="5">
        <f t="shared" si="156"/>
        <v>79723.98</v>
      </c>
    </row>
    <row r="157" spans="1:34" x14ac:dyDescent="0.35">
      <c r="A157" t="s">
        <v>177</v>
      </c>
      <c r="B157" s="3" t="s">
        <v>1262</v>
      </c>
      <c r="C157" s="4" t="s">
        <v>1263</v>
      </c>
      <c r="D157" s="2">
        <f t="shared" si="131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ref="W157:AH157" si="157">IF(OR((SLOPE($E157:$V157,$E$1:$V$1)*W$1+INTERCEPT($E157:$V157,$E$1:$V$1))&gt;(AVERAGE($E157:$V157)+_xlfn.STDEV.P($E157:$V157)),(SLOPE($E157:$V157,$E$1:$V$1)*W$1+INTERCEPT($E157:$V157,$E$1:$V$1))&lt;(AVERAGE($E157:$V157)-_xlfn.STDEV.P($E157:$V157))),V157,(SLOPE($E157:$V157,$E$1:$V$1)*W$1+INTERCEPT($E157:$V157,$E$1:$V$1)))</f>
        <v>75813.286396462019</v>
      </c>
      <c r="X157" s="5">
        <f t="shared" si="157"/>
        <v>76895.821699054999</v>
      </c>
      <c r="Y157" s="5">
        <f t="shared" si="157"/>
        <v>77978.357001647979</v>
      </c>
      <c r="Z157" s="5">
        <f t="shared" si="157"/>
        <v>79060.892304240959</v>
      </c>
      <c r="AA157" s="5">
        <f t="shared" si="157"/>
        <v>80143.427606833939</v>
      </c>
      <c r="AB157" s="5">
        <f t="shared" si="157"/>
        <v>81225.962909426918</v>
      </c>
      <c r="AC157" s="5">
        <f t="shared" si="157"/>
        <v>82308.498212019898</v>
      </c>
      <c r="AD157" s="5">
        <f t="shared" si="157"/>
        <v>83391.033514612878</v>
      </c>
      <c r="AE157" s="5">
        <f t="shared" si="157"/>
        <v>84473.568817205858</v>
      </c>
      <c r="AF157" s="5">
        <f t="shared" si="157"/>
        <v>85556.104119798838</v>
      </c>
      <c r="AG157" s="5">
        <f t="shared" si="157"/>
        <v>86638.639422391818</v>
      </c>
      <c r="AH157" s="5">
        <f t="shared" si="157"/>
        <v>87721.174724984798</v>
      </c>
    </row>
    <row r="158" spans="1:34" x14ac:dyDescent="0.35">
      <c r="A158" t="s">
        <v>178</v>
      </c>
      <c r="B158" s="3" t="s">
        <v>1262</v>
      </c>
      <c r="C158" s="4" t="s">
        <v>1263</v>
      </c>
      <c r="D158" s="2">
        <f t="shared" si="131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ref="W158:AH158" si="158">IF(OR((SLOPE($E158:$V158,$E$1:$V$1)*W$1+INTERCEPT($E158:$V158,$E$1:$V$1))&gt;(AVERAGE($E158:$V158)+_xlfn.STDEV.P($E158:$V158)),(SLOPE($E158:$V158,$E$1:$V$1)*W$1+INTERCEPT($E158:$V158,$E$1:$V$1))&lt;(AVERAGE($E158:$V158)-_xlfn.STDEV.P($E158:$V158))),V158,(SLOPE($E158:$V158,$E$1:$V$1)*W$1+INTERCEPT($E158:$V158,$E$1:$V$1)))</f>
        <v>70991.920588235284</v>
      </c>
      <c r="X158" s="5">
        <f t="shared" si="158"/>
        <v>71441.6668606811</v>
      </c>
      <c r="Y158" s="5">
        <f t="shared" si="158"/>
        <v>71891.413133126916</v>
      </c>
      <c r="Z158" s="5">
        <f t="shared" si="158"/>
        <v>72341.159405572747</v>
      </c>
      <c r="AA158" s="5">
        <f t="shared" si="158"/>
        <v>72790.905678018564</v>
      </c>
      <c r="AB158" s="5">
        <f t="shared" si="158"/>
        <v>73240.65195046438</v>
      </c>
      <c r="AC158" s="5">
        <f t="shared" si="158"/>
        <v>73690.398222910197</v>
      </c>
      <c r="AD158" s="5">
        <f t="shared" si="158"/>
        <v>74140.144495356013</v>
      </c>
      <c r="AE158" s="5">
        <f t="shared" si="158"/>
        <v>74589.890767801844</v>
      </c>
      <c r="AF158" s="5">
        <f t="shared" si="158"/>
        <v>75039.63704024766</v>
      </c>
      <c r="AG158" s="5">
        <f t="shared" si="158"/>
        <v>75489.383312693477</v>
      </c>
      <c r="AH158" s="5">
        <f t="shared" si="158"/>
        <v>75939.129585139293</v>
      </c>
    </row>
    <row r="159" spans="1:34" x14ac:dyDescent="0.35">
      <c r="A159" t="s">
        <v>179</v>
      </c>
      <c r="B159" s="3" t="s">
        <v>1265</v>
      </c>
      <c r="C159" s="4" t="s">
        <v>1263</v>
      </c>
      <c r="D159" s="2">
        <f t="shared" si="131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ref="W159:AH159" si="159">IF(OR((SLOPE($E159:$V159,$E$1:$V$1)*W$1+INTERCEPT($E159:$V159,$E$1:$V$1))&gt;(AVERAGE($E159:$V159)+_xlfn.STDEV.P($E159:$V159)),(SLOPE($E159:$V159,$E$1:$V$1)*W$1+INTERCEPT($E159:$V159,$E$1:$V$1))&lt;(AVERAGE($E159:$V159)-_xlfn.STDEV.P($E159:$V159))),V159,(SLOPE($E159:$V159,$E$1:$V$1)*W$1+INTERCEPT($E159:$V159,$E$1:$V$1)))</f>
        <v>129263.38302739865</v>
      </c>
      <c r="X159" s="5">
        <f t="shared" si="159"/>
        <v>135756.67330418958</v>
      </c>
      <c r="Y159" s="5">
        <f t="shared" si="159"/>
        <v>142249.96358098055</v>
      </c>
      <c r="Z159" s="5">
        <f t="shared" si="159"/>
        <v>148743.25385777146</v>
      </c>
      <c r="AA159" s="5">
        <f t="shared" si="159"/>
        <v>155236.54413456243</v>
      </c>
      <c r="AB159" s="5">
        <f t="shared" si="159"/>
        <v>155236.54413456243</v>
      </c>
      <c r="AC159" s="5">
        <f t="shared" si="159"/>
        <v>155236.54413456243</v>
      </c>
      <c r="AD159" s="5">
        <f t="shared" si="159"/>
        <v>155236.54413456243</v>
      </c>
      <c r="AE159" s="5">
        <f t="shared" si="159"/>
        <v>155236.54413456243</v>
      </c>
      <c r="AF159" s="5">
        <f t="shared" si="159"/>
        <v>155236.54413456243</v>
      </c>
      <c r="AG159" s="5">
        <f t="shared" si="159"/>
        <v>155236.54413456243</v>
      </c>
      <c r="AH159" s="5">
        <f t="shared" si="159"/>
        <v>155236.54413456243</v>
      </c>
    </row>
    <row r="160" spans="1:34" x14ac:dyDescent="0.35">
      <c r="A160" t="s">
        <v>180</v>
      </c>
      <c r="B160" s="3" t="s">
        <v>1262</v>
      </c>
      <c r="C160" s="4" t="s">
        <v>1263</v>
      </c>
      <c r="D160" s="2">
        <f t="shared" si="131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ref="W160:AH160" si="160">IF(OR((SLOPE($E160:$V160,$E$1:$V$1)*W$1+INTERCEPT($E160:$V160,$E$1:$V$1))&gt;(AVERAGE($E160:$V160)+_xlfn.STDEV.P($E160:$V160)),(SLOPE($E160:$V160,$E$1:$V$1)*W$1+INTERCEPT($E160:$V160,$E$1:$V$1))&lt;(AVERAGE($E160:$V160)-_xlfn.STDEV.P($E160:$V160))),V160,(SLOPE($E160:$V160,$E$1:$V$1)*W$1+INTERCEPT($E160:$V160,$E$1:$V$1)))</f>
        <v>91760.76197647056</v>
      </c>
      <c r="X160" s="5">
        <f t="shared" si="160"/>
        <v>94772.393847678002</v>
      </c>
      <c r="Y160" s="5">
        <f t="shared" si="160"/>
        <v>97784.025718885416</v>
      </c>
      <c r="Z160" s="5">
        <f t="shared" si="160"/>
        <v>100795.65759009286</v>
      </c>
      <c r="AA160" s="5">
        <f t="shared" si="160"/>
        <v>103807.28946130029</v>
      </c>
      <c r="AB160" s="5">
        <f t="shared" si="160"/>
        <v>106818.92133250771</v>
      </c>
      <c r="AC160" s="5">
        <f t="shared" si="160"/>
        <v>109830.55320371514</v>
      </c>
      <c r="AD160" s="5">
        <f t="shared" si="160"/>
        <v>112842.18507492257</v>
      </c>
      <c r="AE160" s="5">
        <f t="shared" si="160"/>
        <v>115853.81694613</v>
      </c>
      <c r="AF160" s="5">
        <f t="shared" si="160"/>
        <v>118865.44881733744</v>
      </c>
      <c r="AG160" s="5">
        <f t="shared" si="160"/>
        <v>121877.08068854487</v>
      </c>
      <c r="AH160" s="5">
        <f t="shared" si="160"/>
        <v>121877.08068854487</v>
      </c>
    </row>
    <row r="161" spans="1:34" x14ac:dyDescent="0.35">
      <c r="A161" t="s">
        <v>181</v>
      </c>
      <c r="B161" s="3" t="s">
        <v>1262</v>
      </c>
      <c r="C161" s="4" t="s">
        <v>1263</v>
      </c>
      <c r="D161" s="2">
        <f t="shared" si="131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ref="W161:AH161" si="161">IF(OR((SLOPE($E161:$V161,$E$1:$V$1)*W$1+INTERCEPT($E161:$V161,$E$1:$V$1))&gt;(AVERAGE($E161:$V161)+_xlfn.STDEV.P($E161:$V161)),(SLOPE($E161:$V161,$E$1:$V$1)*W$1+INTERCEPT($E161:$V161,$E$1:$V$1))&lt;(AVERAGE($E161:$V161)-_xlfn.STDEV.P($E161:$V161))),V161,(SLOPE($E161:$V161,$E$1:$V$1)*W$1+INTERCEPT($E161:$V161,$E$1:$V$1)))</f>
        <v>62492.905176470587</v>
      </c>
      <c r="X161" s="5">
        <f t="shared" si="161"/>
        <v>62596.060037151699</v>
      </c>
      <c r="Y161" s="5">
        <f t="shared" si="161"/>
        <v>62699.214897832819</v>
      </c>
      <c r="Z161" s="5">
        <f t="shared" si="161"/>
        <v>62802.369758513931</v>
      </c>
      <c r="AA161" s="5">
        <f t="shared" si="161"/>
        <v>62905.524619195043</v>
      </c>
      <c r="AB161" s="5">
        <f t="shared" si="161"/>
        <v>63008.679479876162</v>
      </c>
      <c r="AC161" s="5">
        <f t="shared" si="161"/>
        <v>63111.834340557274</v>
      </c>
      <c r="AD161" s="5">
        <f t="shared" si="161"/>
        <v>63214.989201238393</v>
      </c>
      <c r="AE161" s="5">
        <f t="shared" si="161"/>
        <v>63318.144061919505</v>
      </c>
      <c r="AF161" s="5">
        <f t="shared" si="161"/>
        <v>63421.298922600618</v>
      </c>
      <c r="AG161" s="5">
        <f t="shared" si="161"/>
        <v>63524.453783281737</v>
      </c>
      <c r="AH161" s="5">
        <f t="shared" si="161"/>
        <v>63627.608643962849</v>
      </c>
    </row>
    <row r="162" spans="1:34" x14ac:dyDescent="0.35">
      <c r="A162" t="s">
        <v>182</v>
      </c>
      <c r="B162" s="3" t="s">
        <v>1266</v>
      </c>
      <c r="C162" s="4" t="s">
        <v>1263</v>
      </c>
      <c r="D162" s="2">
        <f t="shared" si="131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ref="W162:AH162" si="162">IF(OR((SLOPE($E162:$V162,$E$1:$V$1)*W$1+INTERCEPT($E162:$V162,$E$1:$V$1))&gt;(AVERAGE($E162:$V162)+_xlfn.STDEV.P($E162:$V162)),(SLOPE($E162:$V162,$E$1:$V$1)*W$1+INTERCEPT($E162:$V162,$E$1:$V$1))&lt;(AVERAGE($E162:$V162)-_xlfn.STDEV.P($E162:$V162))),V162,(SLOPE($E162:$V162,$E$1:$V$1)*W$1+INTERCEPT($E162:$V162,$E$1:$V$1)))</f>
        <v>85244.690828070976</v>
      </c>
      <c r="X162" s="5">
        <f t="shared" si="162"/>
        <v>87579.53466922653</v>
      </c>
      <c r="Y162" s="5">
        <f t="shared" si="162"/>
        <v>89914.37851038207</v>
      </c>
      <c r="Z162" s="5">
        <f t="shared" si="162"/>
        <v>92249.22235153761</v>
      </c>
      <c r="AA162" s="5">
        <f t="shared" si="162"/>
        <v>94584.06619269315</v>
      </c>
      <c r="AB162" s="5">
        <f t="shared" si="162"/>
        <v>96918.91003384869</v>
      </c>
      <c r="AC162" s="5">
        <f t="shared" si="162"/>
        <v>99253.753875004244</v>
      </c>
      <c r="AD162" s="5">
        <f t="shared" si="162"/>
        <v>101588.59771615977</v>
      </c>
      <c r="AE162" s="5">
        <f t="shared" si="162"/>
        <v>103923.44155731532</v>
      </c>
      <c r="AF162" s="5">
        <f t="shared" si="162"/>
        <v>106258.28539847086</v>
      </c>
      <c r="AG162" s="5">
        <f t="shared" si="162"/>
        <v>108593.1292396264</v>
      </c>
      <c r="AH162" s="5">
        <f t="shared" si="162"/>
        <v>110927.97308078196</v>
      </c>
    </row>
    <row r="163" spans="1:34" x14ac:dyDescent="0.35">
      <c r="A163" t="s">
        <v>183</v>
      </c>
      <c r="B163" s="3" t="s">
        <v>1265</v>
      </c>
      <c r="C163" s="4" t="s">
        <v>1263</v>
      </c>
      <c r="D163" s="2">
        <f t="shared" si="131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ref="W163:AH163" si="163">IF(OR((SLOPE($E163:$V163,$E$1:$V$1)*W$1+INTERCEPT($E163:$V163,$E$1:$V$1))&gt;(AVERAGE($E163:$V163)+_xlfn.STDEV.P($E163:$V163)),(SLOPE($E163:$V163,$E$1:$V$1)*W$1+INTERCEPT($E163:$V163,$E$1:$V$1))&lt;(AVERAGE($E163:$V163)-_xlfn.STDEV.P($E163:$V163))),V163,(SLOPE($E163:$V163,$E$1:$V$1)*W$1+INTERCEPT($E163:$V163,$E$1:$V$1)))</f>
        <v>63882.102447058816</v>
      </c>
      <c r="X163" s="5">
        <f t="shared" si="163"/>
        <v>64185.387567801852</v>
      </c>
      <c r="Y163" s="5">
        <f t="shared" si="163"/>
        <v>64488.672688544888</v>
      </c>
      <c r="Z163" s="5">
        <f t="shared" si="163"/>
        <v>64791.957809287916</v>
      </c>
      <c r="AA163" s="5">
        <f t="shared" si="163"/>
        <v>65095.242930030952</v>
      </c>
      <c r="AB163" s="5">
        <f t="shared" si="163"/>
        <v>65398.528050773988</v>
      </c>
      <c r="AC163" s="5">
        <f t="shared" si="163"/>
        <v>65701.813171517017</v>
      </c>
      <c r="AD163" s="5">
        <f t="shared" si="163"/>
        <v>66005.098292260052</v>
      </c>
      <c r="AE163" s="5">
        <f t="shared" si="163"/>
        <v>66308.383413003088</v>
      </c>
      <c r="AF163" s="5">
        <f t="shared" si="163"/>
        <v>66611.668533746124</v>
      </c>
      <c r="AG163" s="5">
        <f t="shared" si="163"/>
        <v>66914.95365448916</v>
      </c>
      <c r="AH163" s="5">
        <f t="shared" si="163"/>
        <v>67218.238775232196</v>
      </c>
    </row>
    <row r="164" spans="1:34" x14ac:dyDescent="0.35">
      <c r="A164" t="s">
        <v>184</v>
      </c>
      <c r="B164" s="3" t="s">
        <v>1262</v>
      </c>
      <c r="C164" s="4" t="s">
        <v>1263</v>
      </c>
      <c r="D164" s="2">
        <f t="shared" si="131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ref="W164:AH164" si="164">IF(OR((SLOPE($E164:$V164,$E$1:$V$1)*W$1+INTERCEPT($E164:$V164,$E$1:$V$1))&gt;(AVERAGE($E164:$V164)+_xlfn.STDEV.P($E164:$V164)),(SLOPE($E164:$V164,$E$1:$V$1)*W$1+INTERCEPT($E164:$V164,$E$1:$V$1))&lt;(AVERAGE($E164:$V164)-_xlfn.STDEV.P($E164:$V164))),V164,(SLOPE($E164:$V164,$E$1:$V$1)*W$1+INTERCEPT($E164:$V164,$E$1:$V$1)))</f>
        <v>59627.811764705868</v>
      </c>
      <c r="X164" s="5">
        <f t="shared" si="164"/>
        <v>59417.999529411747</v>
      </c>
      <c r="Y164" s="5">
        <f t="shared" si="164"/>
        <v>59208.187294117626</v>
      </c>
      <c r="Z164" s="5">
        <f t="shared" si="164"/>
        <v>58998.375058823513</v>
      </c>
      <c r="AA164" s="5">
        <f t="shared" si="164"/>
        <v>58788.562823529392</v>
      </c>
      <c r="AB164" s="5">
        <f t="shared" si="164"/>
        <v>58578.750588235278</v>
      </c>
      <c r="AC164" s="5">
        <f t="shared" si="164"/>
        <v>58368.938352941157</v>
      </c>
      <c r="AD164" s="5">
        <f t="shared" si="164"/>
        <v>58159.126117647043</v>
      </c>
      <c r="AE164" s="5">
        <f t="shared" si="164"/>
        <v>57949.313882352923</v>
      </c>
      <c r="AF164" s="5">
        <f t="shared" si="164"/>
        <v>57739.501647058802</v>
      </c>
      <c r="AG164" s="5">
        <f t="shared" si="164"/>
        <v>57529.689411764688</v>
      </c>
      <c r="AH164" s="5">
        <f t="shared" si="164"/>
        <v>57319.877176470567</v>
      </c>
    </row>
    <row r="165" spans="1:34" x14ac:dyDescent="0.35">
      <c r="A165" t="s">
        <v>185</v>
      </c>
      <c r="B165" s="3" t="s">
        <v>1262</v>
      </c>
      <c r="C165" s="4" t="s">
        <v>1263</v>
      </c>
      <c r="D165" s="2">
        <f t="shared" si="131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H165" si="165">IF(OR((SLOPE($E165:$V165,$E$1:$V$1)*W$1+INTERCEPT($E165:$V165,$E$1:$V$1))&gt;(AVERAGE($E165:$V165)+_xlfn.STDEV.P($E165:$V165)),(SLOPE($E165:$V165,$E$1:$V$1)*W$1+INTERCEPT($E165:$V165,$E$1:$V$1))&lt;(AVERAGE($E165:$V165)-_xlfn.STDEV.P($E165:$V165))),V165,(SLOPE($E165:$V165,$E$1:$V$1)*W$1+INTERCEPT($E165:$V165,$E$1:$V$1)))</f>
        <v>80055.103338893998</v>
      </c>
      <c r="X165" s="5">
        <f t="shared" si="165"/>
        <v>82072.504157240328</v>
      </c>
      <c r="Y165" s="5">
        <f t="shared" si="165"/>
        <v>84089.904975586644</v>
      </c>
      <c r="Z165" s="5">
        <f t="shared" si="165"/>
        <v>86107.305793932959</v>
      </c>
      <c r="AA165" s="5">
        <f t="shared" si="165"/>
        <v>88124.706612279289</v>
      </c>
      <c r="AB165" s="5">
        <f t="shared" si="165"/>
        <v>88124.706612279289</v>
      </c>
      <c r="AC165" s="5">
        <f t="shared" si="165"/>
        <v>88124.706612279289</v>
      </c>
      <c r="AD165" s="5">
        <f t="shared" si="165"/>
        <v>88124.706612279289</v>
      </c>
      <c r="AE165" s="5">
        <f t="shared" si="165"/>
        <v>88124.706612279289</v>
      </c>
      <c r="AF165" s="5">
        <f t="shared" si="165"/>
        <v>88124.706612279289</v>
      </c>
      <c r="AG165" s="5">
        <f t="shared" si="165"/>
        <v>88124.706612279289</v>
      </c>
      <c r="AH165" s="5">
        <f t="shared" si="165"/>
        <v>88124.706612279289</v>
      </c>
    </row>
    <row r="166" spans="1:34" x14ac:dyDescent="0.35">
      <c r="A166" t="s">
        <v>186</v>
      </c>
      <c r="B166" s="3" t="s">
        <v>1265</v>
      </c>
      <c r="C166" s="4" t="s">
        <v>1263</v>
      </c>
      <c r="D166" s="2">
        <f t="shared" si="131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ref="W166:AH166" si="166">IF(OR((SLOPE($E166:$V166,$E$1:$V$1)*W$1+INTERCEPT($E166:$V166,$E$1:$V$1))&gt;(AVERAGE($E166:$V166)+_xlfn.STDEV.P($E166:$V166)),(SLOPE($E166:$V166,$E$1:$V$1)*W$1+INTERCEPT($E166:$V166,$E$1:$V$1))&lt;(AVERAGE($E166:$V166)-_xlfn.STDEV.P($E166:$V166))),V166,(SLOPE($E166:$V166,$E$1:$V$1)*W$1+INTERCEPT($E166:$V166,$E$1:$V$1)))</f>
        <v>50155.271607644812</v>
      </c>
      <c r="X166" s="5">
        <f t="shared" si="166"/>
        <v>49083.164707838587</v>
      </c>
      <c r="Y166" s="5">
        <f t="shared" si="166"/>
        <v>49083.164707838587</v>
      </c>
      <c r="Z166" s="5">
        <f t="shared" si="166"/>
        <v>49083.164707838587</v>
      </c>
      <c r="AA166" s="5">
        <f t="shared" si="166"/>
        <v>49083.164707838587</v>
      </c>
      <c r="AB166" s="5">
        <f t="shared" si="166"/>
        <v>49083.164707838587</v>
      </c>
      <c r="AC166" s="5">
        <f t="shared" si="166"/>
        <v>49083.164707838587</v>
      </c>
      <c r="AD166" s="5">
        <f t="shared" si="166"/>
        <v>49083.164707838587</v>
      </c>
      <c r="AE166" s="5">
        <f t="shared" si="166"/>
        <v>49083.164707838587</v>
      </c>
      <c r="AF166" s="5">
        <f t="shared" si="166"/>
        <v>49083.164707838587</v>
      </c>
      <c r="AG166" s="5">
        <f t="shared" si="166"/>
        <v>49083.164707838587</v>
      </c>
      <c r="AH166" s="5">
        <f t="shared" si="166"/>
        <v>49083.164707838587</v>
      </c>
    </row>
    <row r="167" spans="1:34" x14ac:dyDescent="0.35">
      <c r="A167" t="s">
        <v>187</v>
      </c>
      <c r="B167" s="3" t="s">
        <v>1265</v>
      </c>
      <c r="C167" s="4" t="s">
        <v>1263</v>
      </c>
      <c r="D167" s="2">
        <f t="shared" si="131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ref="W167:AH167" si="167">IF(OR((SLOPE($E167:$V167,$E$1:$V$1)*W$1+INTERCEPT($E167:$V167,$E$1:$V$1))&gt;(AVERAGE($E167:$V167)+_xlfn.STDEV.P($E167:$V167)),(SLOPE($E167:$V167,$E$1:$V$1)*W$1+INTERCEPT($E167:$V167,$E$1:$V$1))&lt;(AVERAGE($E167:$V167)-_xlfn.STDEV.P($E167:$V167))),V167,(SLOPE($E167:$V167,$E$1:$V$1)*W$1+INTERCEPT($E167:$V167,$E$1:$V$1)))</f>
        <v>81585.843506380217</v>
      </c>
      <c r="X167" s="5">
        <f t="shared" si="167"/>
        <v>83867.047320676938</v>
      </c>
      <c r="Y167" s="5">
        <f t="shared" si="167"/>
        <v>86148.251134973689</v>
      </c>
      <c r="Z167" s="5">
        <f t="shared" si="167"/>
        <v>88429.45494927041</v>
      </c>
      <c r="AA167" s="5">
        <f t="shared" si="167"/>
        <v>90710.658763567146</v>
      </c>
      <c r="AB167" s="5">
        <f t="shared" si="167"/>
        <v>92991.862577863882</v>
      </c>
      <c r="AC167" s="5">
        <f t="shared" si="167"/>
        <v>95273.066392160617</v>
      </c>
      <c r="AD167" s="5">
        <f t="shared" si="167"/>
        <v>97554.270206457353</v>
      </c>
      <c r="AE167" s="5">
        <f t="shared" si="167"/>
        <v>99835.474020754074</v>
      </c>
      <c r="AF167" s="5">
        <f t="shared" si="167"/>
        <v>102116.67783505082</v>
      </c>
      <c r="AG167" s="5">
        <f t="shared" si="167"/>
        <v>104397.88164934755</v>
      </c>
      <c r="AH167" s="5">
        <f t="shared" si="167"/>
        <v>106679.08546364428</v>
      </c>
    </row>
    <row r="168" spans="1:34" x14ac:dyDescent="0.35">
      <c r="A168" t="s">
        <v>188</v>
      </c>
      <c r="B168" s="3" t="s">
        <v>1265</v>
      </c>
      <c r="C168" s="4" t="s">
        <v>1263</v>
      </c>
      <c r="D168" s="2">
        <f t="shared" si="131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ref="W168:AH168" si="168">IF(OR((SLOPE($E168:$V168,$E$1:$V$1)*W$1+INTERCEPT($E168:$V168,$E$1:$V$1))&gt;(AVERAGE($E168:$V168)+_xlfn.STDEV.P($E168:$V168)),(SLOPE($E168:$V168,$E$1:$V$1)*W$1+INTERCEPT($E168:$V168,$E$1:$V$1))&lt;(AVERAGE($E168:$V168)-_xlfn.STDEV.P($E168:$V168))),V168,(SLOPE($E168:$V168,$E$1:$V$1)*W$1+INTERCEPT($E168:$V168,$E$1:$V$1)))</f>
        <v>62243.556434334096</v>
      </c>
      <c r="X168" s="5">
        <f t="shared" si="168"/>
        <v>62517.504906829628</v>
      </c>
      <c r="Y168" s="5">
        <f t="shared" si="168"/>
        <v>62791.453379325161</v>
      </c>
      <c r="Z168" s="5">
        <f t="shared" si="168"/>
        <v>63065.401851820687</v>
      </c>
      <c r="AA168" s="5">
        <f t="shared" si="168"/>
        <v>63339.350324316219</v>
      </c>
      <c r="AB168" s="5">
        <f t="shared" si="168"/>
        <v>63613.298796811752</v>
      </c>
      <c r="AC168" s="5">
        <f t="shared" si="168"/>
        <v>63887.247269307278</v>
      </c>
      <c r="AD168" s="5">
        <f t="shared" si="168"/>
        <v>64161.195741802811</v>
      </c>
      <c r="AE168" s="5">
        <f t="shared" si="168"/>
        <v>64435.144214298343</v>
      </c>
      <c r="AF168" s="5">
        <f t="shared" si="168"/>
        <v>64709.092686793876</v>
      </c>
      <c r="AG168" s="5">
        <f t="shared" si="168"/>
        <v>64983.041159289409</v>
      </c>
      <c r="AH168" s="5">
        <f t="shared" si="168"/>
        <v>65256.989631784934</v>
      </c>
    </row>
    <row r="169" spans="1:34" x14ac:dyDescent="0.35">
      <c r="A169" t="s">
        <v>189</v>
      </c>
      <c r="B169" s="3" t="s">
        <v>1266</v>
      </c>
      <c r="C169" s="4" t="s">
        <v>1263</v>
      </c>
      <c r="D169" s="2">
        <f t="shared" si="131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ref="W169:AH169" si="169">IF(OR((SLOPE($E169:$V169,$E$1:$V$1)*W$1+INTERCEPT($E169:$V169,$E$1:$V$1))&gt;(AVERAGE($E169:$V169)+_xlfn.STDEV.P($E169:$V169)),(SLOPE($E169:$V169,$E$1:$V$1)*W$1+INTERCEPT($E169:$V169,$E$1:$V$1))&lt;(AVERAGE($E169:$V169)-_xlfn.STDEV.P($E169:$V169))),V169,(SLOPE($E169:$V169,$E$1:$V$1)*W$1+INTERCEPT($E169:$V169,$E$1:$V$1)))</f>
        <v>120876.82408417825</v>
      </c>
      <c r="X169" s="5">
        <f t="shared" si="169"/>
        <v>127327.07337449887</v>
      </c>
      <c r="Y169" s="5">
        <f t="shared" si="169"/>
        <v>133777.32266481951</v>
      </c>
      <c r="Z169" s="5">
        <f t="shared" si="169"/>
        <v>140227.57195514016</v>
      </c>
      <c r="AA169" s="5">
        <f t="shared" si="169"/>
        <v>146677.82124546077</v>
      </c>
      <c r="AB169" s="5">
        <f t="shared" si="169"/>
        <v>153128.07053578141</v>
      </c>
      <c r="AC169" s="5">
        <f t="shared" si="169"/>
        <v>159578.31982610203</v>
      </c>
      <c r="AD169" s="5">
        <f t="shared" si="169"/>
        <v>159578.31982610203</v>
      </c>
      <c r="AE169" s="5">
        <f t="shared" si="169"/>
        <v>159578.31982610203</v>
      </c>
      <c r="AF169" s="5">
        <f t="shared" si="169"/>
        <v>159578.31982610203</v>
      </c>
      <c r="AG169" s="5">
        <f t="shared" si="169"/>
        <v>159578.31982610203</v>
      </c>
      <c r="AH169" s="5">
        <f t="shared" si="169"/>
        <v>159578.31982610203</v>
      </c>
    </row>
    <row r="170" spans="1:34" x14ac:dyDescent="0.35">
      <c r="A170" t="s">
        <v>190</v>
      </c>
      <c r="B170" s="3" t="s">
        <v>1262</v>
      </c>
      <c r="C170" s="4" t="s">
        <v>1263</v>
      </c>
      <c r="D170" s="2">
        <f t="shared" si="131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ref="W170:AH170" si="170">IF(OR((SLOPE($E170:$V170,$E$1:$V$1)*W$1+INTERCEPT($E170:$V170,$E$1:$V$1))&gt;(AVERAGE($E170:$V170)+_xlfn.STDEV.P($E170:$V170)),(SLOPE($E170:$V170,$E$1:$V$1)*W$1+INTERCEPT($E170:$V170,$E$1:$V$1))&lt;(AVERAGE($E170:$V170)-_xlfn.STDEV.P($E170:$V170))),V170,(SLOPE($E170:$V170,$E$1:$V$1)*W$1+INTERCEPT($E170:$V170,$E$1:$V$1)))</f>
        <v>49616.158794771225</v>
      </c>
      <c r="X170" s="5">
        <f t="shared" si="170"/>
        <v>48634.910483109721</v>
      </c>
      <c r="Y170" s="5">
        <f t="shared" si="170"/>
        <v>47653.662171448217</v>
      </c>
      <c r="Z170" s="5">
        <f t="shared" si="170"/>
        <v>46672.413859786706</v>
      </c>
      <c r="AA170" s="5">
        <f t="shared" si="170"/>
        <v>45691.165548125202</v>
      </c>
      <c r="AB170" s="5">
        <f t="shared" si="170"/>
        <v>44709.917236463691</v>
      </c>
      <c r="AC170" s="5">
        <f t="shared" si="170"/>
        <v>43728.668924802187</v>
      </c>
      <c r="AD170" s="5">
        <f t="shared" si="170"/>
        <v>42747.420613140683</v>
      </c>
      <c r="AE170" s="5">
        <f t="shared" si="170"/>
        <v>41766.172301479179</v>
      </c>
      <c r="AF170" s="5">
        <f t="shared" si="170"/>
        <v>40784.923989817667</v>
      </c>
      <c r="AG170" s="5">
        <f t="shared" si="170"/>
        <v>39803.675678156163</v>
      </c>
      <c r="AH170" s="5">
        <f t="shared" si="170"/>
        <v>38822.427366494652</v>
      </c>
    </row>
    <row r="171" spans="1:34" x14ac:dyDescent="0.35">
      <c r="A171" t="s">
        <v>191</v>
      </c>
      <c r="B171" s="3" t="s">
        <v>1262</v>
      </c>
      <c r="C171" s="4" t="s">
        <v>1263</v>
      </c>
      <c r="D171" s="2">
        <f t="shared" si="131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ref="W171:AH171" si="171">IF(OR((SLOPE($E171:$V171,$E$1:$V$1)*W$1+INTERCEPT($E171:$V171,$E$1:$V$1))&gt;(AVERAGE($E171:$V171)+_xlfn.STDEV.P($E171:$V171)),(SLOPE($E171:$V171,$E$1:$V$1)*W$1+INTERCEPT($E171:$V171,$E$1:$V$1))&lt;(AVERAGE($E171:$V171)-_xlfn.STDEV.P($E171:$V171))),V171,(SLOPE($E171:$V171,$E$1:$V$1)*W$1+INTERCEPT($E171:$V171,$E$1:$V$1)))</f>
        <v>180378.38451382812</v>
      </c>
      <c r="X171" s="5">
        <f t="shared" si="171"/>
        <v>180378.38451382812</v>
      </c>
      <c r="Y171" s="5">
        <f t="shared" si="171"/>
        <v>180378.38451382812</v>
      </c>
      <c r="Z171" s="5">
        <f t="shared" si="171"/>
        <v>180378.38451382812</v>
      </c>
      <c r="AA171" s="5">
        <f t="shared" si="171"/>
        <v>180378.38451382812</v>
      </c>
      <c r="AB171" s="5">
        <f t="shared" si="171"/>
        <v>180378.38451382812</v>
      </c>
      <c r="AC171" s="5">
        <f t="shared" si="171"/>
        <v>180378.38451382812</v>
      </c>
      <c r="AD171" s="5">
        <f t="shared" si="171"/>
        <v>180378.38451382812</v>
      </c>
      <c r="AE171" s="5">
        <f t="shared" si="171"/>
        <v>180378.38451382812</v>
      </c>
      <c r="AF171" s="5">
        <f t="shared" si="171"/>
        <v>180378.38451382812</v>
      </c>
      <c r="AG171" s="5">
        <f t="shared" si="171"/>
        <v>180378.38451382812</v>
      </c>
      <c r="AH171" s="5">
        <f t="shared" si="171"/>
        <v>180378.38451382812</v>
      </c>
    </row>
    <row r="172" spans="1:34" x14ac:dyDescent="0.35">
      <c r="A172" t="s">
        <v>192</v>
      </c>
      <c r="B172" s="3" t="s">
        <v>1266</v>
      </c>
      <c r="C172" s="4" t="s">
        <v>1268</v>
      </c>
      <c r="D172" s="2">
        <f t="shared" si="131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ref="W172:AH172" si="172">IF(OR((SLOPE($E172:$V172,$E$1:$V$1)*W$1+INTERCEPT($E172:$V172,$E$1:$V$1))&gt;(AVERAGE($E172:$V172)+_xlfn.STDEV.P($E172:$V172)),(SLOPE($E172:$V172,$E$1:$V$1)*W$1+INTERCEPT($E172:$V172,$E$1:$V$1))&lt;(AVERAGE($E172:$V172)-_xlfn.STDEV.P($E172:$V172))),V172,(SLOPE($E172:$V172,$E$1:$V$1)*W$1+INTERCEPT($E172:$V172,$E$1:$V$1)))</f>
        <v>88842.964572627796</v>
      </c>
      <c r="X172" s="5">
        <f t="shared" si="172"/>
        <v>92019.076973313524</v>
      </c>
      <c r="Y172" s="5">
        <f t="shared" si="172"/>
        <v>95195.189373999252</v>
      </c>
      <c r="Z172" s="5">
        <f t="shared" si="172"/>
        <v>98371.30177468498</v>
      </c>
      <c r="AA172" s="5">
        <f t="shared" si="172"/>
        <v>101547.41417537071</v>
      </c>
      <c r="AB172" s="5">
        <f t="shared" si="172"/>
        <v>104723.52657605644</v>
      </c>
      <c r="AC172" s="5">
        <f t="shared" si="172"/>
        <v>107899.63897674216</v>
      </c>
      <c r="AD172" s="5">
        <f t="shared" si="172"/>
        <v>111075.75137742789</v>
      </c>
      <c r="AE172" s="5">
        <f t="shared" si="172"/>
        <v>114251.86377811362</v>
      </c>
      <c r="AF172" s="5">
        <f t="shared" si="172"/>
        <v>117427.97617879935</v>
      </c>
      <c r="AG172" s="5">
        <f t="shared" si="172"/>
        <v>120604.08857948511</v>
      </c>
      <c r="AH172" s="5">
        <f t="shared" si="172"/>
        <v>123780.20098017083</v>
      </c>
    </row>
    <row r="173" spans="1:34" x14ac:dyDescent="0.35">
      <c r="A173" t="s">
        <v>193</v>
      </c>
      <c r="B173" s="3" t="s">
        <v>1266</v>
      </c>
      <c r="C173" s="4" t="s">
        <v>1263</v>
      </c>
      <c r="D173" s="2">
        <f t="shared" si="131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ref="W173:AH173" si="173">IF(OR((SLOPE($E173:$V173,$E$1:$V$1)*W$1+INTERCEPT($E173:$V173,$E$1:$V$1))&gt;(AVERAGE($E173:$V173)+_xlfn.STDEV.P($E173:$V173)),(SLOPE($E173:$V173,$E$1:$V$1)*W$1+INTERCEPT($E173:$V173,$E$1:$V$1))&lt;(AVERAGE($E173:$V173)-_xlfn.STDEV.P($E173:$V173))),V173,(SLOPE($E173:$V173,$E$1:$V$1)*W$1+INTERCEPT($E173:$V173,$E$1:$V$1)))</f>
        <v>83174.992352941161</v>
      </c>
      <c r="X173" s="5">
        <f t="shared" si="173"/>
        <v>85814.956705882345</v>
      </c>
      <c r="Y173" s="5">
        <f t="shared" si="173"/>
        <v>88454.921058823529</v>
      </c>
      <c r="Z173" s="5">
        <f t="shared" si="173"/>
        <v>91094.885411764699</v>
      </c>
      <c r="AA173" s="5">
        <f t="shared" si="173"/>
        <v>93734.849764705868</v>
      </c>
      <c r="AB173" s="5">
        <f t="shared" si="173"/>
        <v>96374.814117647053</v>
      </c>
      <c r="AC173" s="5">
        <f t="shared" si="173"/>
        <v>99014.778470588222</v>
      </c>
      <c r="AD173" s="5">
        <f t="shared" si="173"/>
        <v>101654.74282352941</v>
      </c>
      <c r="AE173" s="5">
        <f t="shared" si="173"/>
        <v>104294.70717647058</v>
      </c>
      <c r="AF173" s="5">
        <f t="shared" si="173"/>
        <v>106934.67152941175</v>
      </c>
      <c r="AG173" s="5">
        <f t="shared" si="173"/>
        <v>109574.63588235293</v>
      </c>
      <c r="AH173" s="5">
        <f t="shared" si="173"/>
        <v>109574.63588235293</v>
      </c>
    </row>
    <row r="174" spans="1:34" x14ac:dyDescent="0.35">
      <c r="A174" t="s">
        <v>194</v>
      </c>
      <c r="B174" s="3" t="s">
        <v>1265</v>
      </c>
      <c r="C174" s="4" t="s">
        <v>1263</v>
      </c>
      <c r="D174" s="2">
        <f t="shared" si="131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ref="W174:AH174" si="174">IF(OR((SLOPE($E174:$V174,$E$1:$V$1)*W$1+INTERCEPT($E174:$V174,$E$1:$V$1))&gt;(AVERAGE($E174:$V174)+_xlfn.STDEV.P($E174:$V174)),(SLOPE($E174:$V174,$E$1:$V$1)*W$1+INTERCEPT($E174:$V174,$E$1:$V$1))&lt;(AVERAGE($E174:$V174)-_xlfn.STDEV.P($E174:$V174))),V174,(SLOPE($E174:$V174,$E$1:$V$1)*W$1+INTERCEPT($E174:$V174,$E$1:$V$1)))</f>
        <v>50629.484619394825</v>
      </c>
      <c r="X174" s="5">
        <f t="shared" si="174"/>
        <v>49891.746454975626</v>
      </c>
      <c r="Y174" s="5">
        <f t="shared" si="174"/>
        <v>49154.008290556434</v>
      </c>
      <c r="Z174" s="5">
        <f t="shared" si="174"/>
        <v>48416.270126137242</v>
      </c>
      <c r="AA174" s="5">
        <f t="shared" si="174"/>
        <v>47678.531961718043</v>
      </c>
      <c r="AB174" s="5">
        <f t="shared" si="174"/>
        <v>46940.793797298851</v>
      </c>
      <c r="AC174" s="5">
        <f t="shared" si="174"/>
        <v>46203.055632879652</v>
      </c>
      <c r="AD174" s="5">
        <f t="shared" si="174"/>
        <v>45465.31746846046</v>
      </c>
      <c r="AE174" s="5">
        <f t="shared" si="174"/>
        <v>44727.579304041268</v>
      </c>
      <c r="AF174" s="5">
        <f t="shared" si="174"/>
        <v>43989.841139622069</v>
      </c>
      <c r="AG174" s="5">
        <f t="shared" si="174"/>
        <v>43252.10297520287</v>
      </c>
      <c r="AH174" s="5">
        <f t="shared" si="174"/>
        <v>42514.364810783678</v>
      </c>
    </row>
    <row r="175" spans="1:34" x14ac:dyDescent="0.35">
      <c r="A175" t="s">
        <v>195</v>
      </c>
      <c r="B175" s="3" t="s">
        <v>1265</v>
      </c>
      <c r="C175" s="4" t="s">
        <v>1263</v>
      </c>
      <c r="D175" s="2">
        <f t="shared" si="131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ref="W175:AH175" si="175">IF(OR((SLOPE($E175:$V175,$E$1:$V$1)*W$1+INTERCEPT($E175:$V175,$E$1:$V$1))&gt;(AVERAGE($E175:$V175)+_xlfn.STDEV.P($E175:$V175)),(SLOPE($E175:$V175,$E$1:$V$1)*W$1+INTERCEPT($E175:$V175,$E$1:$V$1))&lt;(AVERAGE($E175:$V175)-_xlfn.STDEV.P($E175:$V175))),V175,(SLOPE($E175:$V175,$E$1:$V$1)*W$1+INTERCEPT($E175:$V175,$E$1:$V$1)))</f>
        <v>32467.703998263081</v>
      </c>
      <c r="X175" s="5">
        <f t="shared" si="175"/>
        <v>29807.065149633061</v>
      </c>
      <c r="Y175" s="5">
        <f t="shared" si="175"/>
        <v>27146.426301003034</v>
      </c>
      <c r="Z175" s="5">
        <f t="shared" si="175"/>
        <v>24485.787452373013</v>
      </c>
      <c r="AA175" s="5">
        <f t="shared" si="175"/>
        <v>21825.148603742986</v>
      </c>
      <c r="AB175" s="5">
        <f t="shared" si="175"/>
        <v>19164.509755112958</v>
      </c>
      <c r="AC175" s="5">
        <f t="shared" si="175"/>
        <v>16503.870906482931</v>
      </c>
      <c r="AD175" s="5">
        <f t="shared" si="175"/>
        <v>13843.232057852918</v>
      </c>
      <c r="AE175" s="5">
        <f t="shared" si="175"/>
        <v>11182.59320922289</v>
      </c>
      <c r="AF175" s="5">
        <f t="shared" si="175"/>
        <v>8521.9543605928629</v>
      </c>
      <c r="AG175" s="5">
        <f t="shared" si="175"/>
        <v>5861.3155119628354</v>
      </c>
      <c r="AH175" s="5">
        <f t="shared" si="175"/>
        <v>3200.6766633328225</v>
      </c>
    </row>
    <row r="176" spans="1:34" x14ac:dyDescent="0.35">
      <c r="A176" t="s">
        <v>196</v>
      </c>
      <c r="B176" s="3" t="s">
        <v>1265</v>
      </c>
      <c r="C176" s="4" t="s">
        <v>1263</v>
      </c>
      <c r="D176" s="2">
        <f t="shared" si="131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ref="W176:AH176" si="176">IF(OR((SLOPE($E176:$V176,$E$1:$V$1)*W$1+INTERCEPT($E176:$V176,$E$1:$V$1))&gt;(AVERAGE($E176:$V176)+_xlfn.STDEV.P($E176:$V176)),(SLOPE($E176:$V176,$E$1:$V$1)*W$1+INTERCEPT($E176:$V176,$E$1:$V$1))&lt;(AVERAGE($E176:$V176)-_xlfn.STDEV.P($E176:$V176))),V176,(SLOPE($E176:$V176,$E$1:$V$1)*W$1+INTERCEPT($E176:$V176,$E$1:$V$1)))</f>
        <v>44894.184313725491</v>
      </c>
      <c r="X176" s="5">
        <f t="shared" si="176"/>
        <v>43573.717750258002</v>
      </c>
      <c r="Y176" s="5">
        <f t="shared" si="176"/>
        <v>42253.251186790512</v>
      </c>
      <c r="Z176" s="5">
        <f t="shared" si="176"/>
        <v>40932.784623323016</v>
      </c>
      <c r="AA176" s="5">
        <f t="shared" si="176"/>
        <v>39612.318059855519</v>
      </c>
      <c r="AB176" s="5">
        <f t="shared" si="176"/>
        <v>38291.85149638803</v>
      </c>
      <c r="AC176" s="5">
        <f t="shared" si="176"/>
        <v>36971.38493292054</v>
      </c>
      <c r="AD176" s="5">
        <f t="shared" si="176"/>
        <v>35650.918369453044</v>
      </c>
      <c r="AE176" s="5">
        <f t="shared" si="176"/>
        <v>34330.451805985555</v>
      </c>
      <c r="AF176" s="5">
        <f t="shared" si="176"/>
        <v>33009.985242518065</v>
      </c>
      <c r="AG176" s="5">
        <f t="shared" si="176"/>
        <v>31689.518679050569</v>
      </c>
      <c r="AH176" s="5">
        <f t="shared" si="176"/>
        <v>30369.052115583079</v>
      </c>
    </row>
    <row r="177" spans="1:34" x14ac:dyDescent="0.35">
      <c r="A177" t="s">
        <v>197</v>
      </c>
      <c r="B177" s="3" t="s">
        <v>1262</v>
      </c>
      <c r="C177" s="4" t="s">
        <v>1263</v>
      </c>
      <c r="D177" s="2">
        <f t="shared" si="131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ref="W177:AH177" si="177">IF(OR((SLOPE($E177:$V177,$E$1:$V$1)*W$1+INTERCEPT($E177:$V177,$E$1:$V$1))&gt;(AVERAGE($E177:$V177)+_xlfn.STDEV.P($E177:$V177)),(SLOPE($E177:$V177,$E$1:$V$1)*W$1+INTERCEPT($E177:$V177,$E$1:$V$1))&lt;(AVERAGE($E177:$V177)-_xlfn.STDEV.P($E177:$V177))),V177,(SLOPE($E177:$V177,$E$1:$V$1)*W$1+INTERCEPT($E177:$V177,$E$1:$V$1)))</f>
        <v>79764.805647058791</v>
      </c>
      <c r="X177" s="5">
        <f t="shared" si="177"/>
        <v>82194.113083591306</v>
      </c>
      <c r="Y177" s="5">
        <f t="shared" si="177"/>
        <v>84623.420520123807</v>
      </c>
      <c r="Z177" s="5">
        <f t="shared" si="177"/>
        <v>87052.727956656308</v>
      </c>
      <c r="AA177" s="5">
        <f t="shared" si="177"/>
        <v>89482.035393188824</v>
      </c>
      <c r="AB177" s="5">
        <f t="shared" si="177"/>
        <v>91911.342829721325</v>
      </c>
      <c r="AC177" s="5">
        <f t="shared" si="177"/>
        <v>94340.650266253826</v>
      </c>
      <c r="AD177" s="5">
        <f t="shared" si="177"/>
        <v>96769.957702786342</v>
      </c>
      <c r="AE177" s="5">
        <f t="shared" si="177"/>
        <v>99199.265139318843</v>
      </c>
      <c r="AF177" s="5">
        <f t="shared" si="177"/>
        <v>101628.57257585134</v>
      </c>
      <c r="AG177" s="5">
        <f t="shared" si="177"/>
        <v>104057.88001238386</v>
      </c>
      <c r="AH177" s="5">
        <f t="shared" si="177"/>
        <v>106487.18744891636</v>
      </c>
    </row>
    <row r="178" spans="1:34" x14ac:dyDescent="0.35">
      <c r="A178" t="s">
        <v>198</v>
      </c>
      <c r="B178" s="3" t="s">
        <v>1262</v>
      </c>
      <c r="C178" s="4" t="s">
        <v>1263</v>
      </c>
      <c r="D178" s="2">
        <f t="shared" si="131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ref="W178:AH178" si="178">IF(OR((SLOPE($E178:$V178,$E$1:$V$1)*W$1+INTERCEPT($E178:$V178,$E$1:$V$1))&gt;(AVERAGE($E178:$V178)+_xlfn.STDEV.P($E178:$V178)),(SLOPE($E178:$V178,$E$1:$V$1)*W$1+INTERCEPT($E178:$V178,$E$1:$V$1))&lt;(AVERAGE($E178:$V178)-_xlfn.STDEV.P($E178:$V178))),V178,(SLOPE($E178:$V178,$E$1:$V$1)*W$1+INTERCEPT($E178:$V178,$E$1:$V$1)))</f>
        <v>52559.189364705882</v>
      </c>
      <c r="X178" s="5">
        <f t="shared" si="178"/>
        <v>52103.685971517029</v>
      </c>
      <c r="Y178" s="5">
        <f t="shared" si="178"/>
        <v>51648.182578328175</v>
      </c>
      <c r="Z178" s="5">
        <f t="shared" si="178"/>
        <v>51192.679185139321</v>
      </c>
      <c r="AA178" s="5">
        <f t="shared" si="178"/>
        <v>50737.17579195046</v>
      </c>
      <c r="AB178" s="5">
        <f t="shared" si="178"/>
        <v>50281.672398761606</v>
      </c>
      <c r="AC178" s="5">
        <f t="shared" si="178"/>
        <v>49826.169005572752</v>
      </c>
      <c r="AD178" s="5">
        <f t="shared" si="178"/>
        <v>49370.665612383898</v>
      </c>
      <c r="AE178" s="5">
        <f t="shared" si="178"/>
        <v>48915.162219195045</v>
      </c>
      <c r="AF178" s="5">
        <f t="shared" si="178"/>
        <v>48459.658826006184</v>
      </c>
      <c r="AG178" s="5">
        <f t="shared" si="178"/>
        <v>48004.15543281733</v>
      </c>
      <c r="AH178" s="5">
        <f t="shared" si="178"/>
        <v>47548.652039628476</v>
      </c>
    </row>
    <row r="179" spans="1:34" x14ac:dyDescent="0.35">
      <c r="A179" t="s">
        <v>199</v>
      </c>
      <c r="B179" s="3" t="s">
        <v>1262</v>
      </c>
      <c r="C179" s="4" t="s">
        <v>1263</v>
      </c>
      <c r="D179" s="2">
        <f t="shared" si="131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ref="W179:AH179" si="179">IF(OR((SLOPE($E179:$V179,$E$1:$V$1)*W$1+INTERCEPT($E179:$V179,$E$1:$V$1))&gt;(AVERAGE($E179:$V179)+_xlfn.STDEV.P($E179:$V179)),(SLOPE($E179:$V179,$E$1:$V$1)*W$1+INTERCEPT($E179:$V179,$E$1:$V$1))&lt;(AVERAGE($E179:$V179)-_xlfn.STDEV.P($E179:$V179))),V179,(SLOPE($E179:$V179,$E$1:$V$1)*W$1+INTERCEPT($E179:$V179,$E$1:$V$1)))</f>
        <v>259778.40000000005</v>
      </c>
      <c r="X179" s="5">
        <f t="shared" si="179"/>
        <v>259778.40000000005</v>
      </c>
      <c r="Y179" s="5">
        <f t="shared" si="179"/>
        <v>259778.40000000005</v>
      </c>
      <c r="Z179" s="5">
        <f t="shared" si="179"/>
        <v>259778.40000000005</v>
      </c>
      <c r="AA179" s="5">
        <f t="shared" si="179"/>
        <v>259778.40000000005</v>
      </c>
      <c r="AB179" s="5">
        <f t="shared" si="179"/>
        <v>259778.40000000005</v>
      </c>
      <c r="AC179" s="5">
        <f t="shared" si="179"/>
        <v>259778.40000000005</v>
      </c>
      <c r="AD179" s="5">
        <f t="shared" si="179"/>
        <v>259778.40000000005</v>
      </c>
      <c r="AE179" s="5">
        <f t="shared" si="179"/>
        <v>259778.40000000005</v>
      </c>
      <c r="AF179" s="5">
        <f t="shared" si="179"/>
        <v>259778.40000000005</v>
      </c>
      <c r="AG179" s="5">
        <f t="shared" si="179"/>
        <v>259778.40000000005</v>
      </c>
      <c r="AH179" s="5">
        <f t="shared" si="179"/>
        <v>259778.40000000005</v>
      </c>
    </row>
    <row r="180" spans="1:34" x14ac:dyDescent="0.35">
      <c r="A180" t="s">
        <v>200</v>
      </c>
      <c r="B180" s="3" t="s">
        <v>1266</v>
      </c>
      <c r="C180" s="4" t="s">
        <v>1263</v>
      </c>
      <c r="D180" s="2">
        <f t="shared" si="131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ref="W180:AH180" si="180">IF(OR((SLOPE($E180:$V180,$E$1:$V$1)*W$1+INTERCEPT($E180:$V180,$E$1:$V$1))&gt;(AVERAGE($E180:$V180)+_xlfn.STDEV.P($E180:$V180)),(SLOPE($E180:$V180,$E$1:$V$1)*W$1+INTERCEPT($E180:$V180,$E$1:$V$1))&lt;(AVERAGE($E180:$V180)-_xlfn.STDEV.P($E180:$V180))),V180,(SLOPE($E180:$V180,$E$1:$V$1)*W$1+INTERCEPT($E180:$V180,$E$1:$V$1)))</f>
        <v>56784.306196004225</v>
      </c>
      <c r="X180" s="5">
        <f t="shared" si="180"/>
        <v>56777.97125425464</v>
      </c>
      <c r="Y180" s="5">
        <f t="shared" si="180"/>
        <v>56771.636312505063</v>
      </c>
      <c r="Z180" s="5">
        <f t="shared" si="180"/>
        <v>56765.301370755478</v>
      </c>
      <c r="AA180" s="5">
        <f t="shared" si="180"/>
        <v>56758.966429005894</v>
      </c>
      <c r="AB180" s="5">
        <f t="shared" si="180"/>
        <v>56752.631487256316</v>
      </c>
      <c r="AC180" s="5">
        <f t="shared" si="180"/>
        <v>56746.296545506731</v>
      </c>
      <c r="AD180" s="5">
        <f t="shared" si="180"/>
        <v>56739.961603757154</v>
      </c>
      <c r="AE180" s="5">
        <f t="shared" si="180"/>
        <v>56733.626662007569</v>
      </c>
      <c r="AF180" s="5">
        <f t="shared" si="180"/>
        <v>56727.291720257985</v>
      </c>
      <c r="AG180" s="5">
        <f t="shared" si="180"/>
        <v>56720.956778508407</v>
      </c>
      <c r="AH180" s="5">
        <f t="shared" si="180"/>
        <v>56714.621836758823</v>
      </c>
    </row>
    <row r="181" spans="1:34" x14ac:dyDescent="0.35">
      <c r="A181" t="s">
        <v>201</v>
      </c>
      <c r="B181" s="3" t="s">
        <v>1262</v>
      </c>
      <c r="C181" s="4" t="s">
        <v>1263</v>
      </c>
      <c r="D181" s="2">
        <f t="shared" si="131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H181" si="181">IF(OR((SLOPE($E181:$V181,$E$1:$V$1)*W$1+INTERCEPT($E181:$V181,$E$1:$V$1))&gt;(AVERAGE($E181:$V181)+_xlfn.STDEV.P($E181:$V181)),(SLOPE($E181:$V181,$E$1:$V$1)*W$1+INTERCEPT($E181:$V181,$E$1:$V$1))&lt;(AVERAGE($E181:$V181)-_xlfn.STDEV.P($E181:$V181))),V181,(SLOPE($E181:$V181,$E$1:$V$1)*W$1+INTERCEPT($E181:$V181,$E$1:$V$1)))</f>
        <v>67926.054000000004</v>
      </c>
      <c r="X181" s="5">
        <f t="shared" si="181"/>
        <v>69188.126368421072</v>
      </c>
      <c r="Y181" s="5">
        <f t="shared" si="181"/>
        <v>70450.198736842111</v>
      </c>
      <c r="Z181" s="5">
        <f t="shared" si="181"/>
        <v>71712.271105263164</v>
      </c>
      <c r="AA181" s="5">
        <f t="shared" si="181"/>
        <v>72974.343473684217</v>
      </c>
      <c r="AB181" s="5">
        <f t="shared" si="181"/>
        <v>74236.415842105271</v>
      </c>
      <c r="AC181" s="5">
        <f t="shared" si="181"/>
        <v>75498.488210526324</v>
      </c>
      <c r="AD181" s="5">
        <f t="shared" si="181"/>
        <v>76760.560578947378</v>
      </c>
      <c r="AE181" s="5">
        <f t="shared" si="181"/>
        <v>78022.632947368431</v>
      </c>
      <c r="AF181" s="5">
        <f t="shared" si="181"/>
        <v>79284.705315789484</v>
      </c>
      <c r="AG181" s="5">
        <f t="shared" si="181"/>
        <v>80546.777684210538</v>
      </c>
      <c r="AH181" s="5">
        <f t="shared" si="181"/>
        <v>81808.850052631591</v>
      </c>
    </row>
    <row r="182" spans="1:34" x14ac:dyDescent="0.35">
      <c r="A182" t="s">
        <v>202</v>
      </c>
      <c r="B182" s="3" t="s">
        <v>1265</v>
      </c>
      <c r="C182" s="4" t="s">
        <v>1263</v>
      </c>
      <c r="D182" s="2">
        <f t="shared" si="131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ref="W182:AH182" si="182">IF(OR((SLOPE($E182:$V182,$E$1:$V$1)*W$1+INTERCEPT($E182:$V182,$E$1:$V$1))&gt;(AVERAGE($E182:$V182)+_xlfn.STDEV.P($E182:$V182)),(SLOPE($E182:$V182,$E$1:$V$1)*W$1+INTERCEPT($E182:$V182,$E$1:$V$1))&lt;(AVERAGE($E182:$V182)-_xlfn.STDEV.P($E182:$V182))),V182,(SLOPE($E182:$V182,$E$1:$V$1)*W$1+INTERCEPT($E182:$V182,$E$1:$V$1)))</f>
        <v>118769.66189803924</v>
      </c>
      <c r="X182" s="5">
        <f t="shared" si="182"/>
        <v>126066.72187327144</v>
      </c>
      <c r="Y182" s="5">
        <f t="shared" si="182"/>
        <v>126066.72187327144</v>
      </c>
      <c r="Z182" s="5">
        <f t="shared" si="182"/>
        <v>126066.72187327144</v>
      </c>
      <c r="AA182" s="5">
        <f t="shared" si="182"/>
        <v>126066.72187327144</v>
      </c>
      <c r="AB182" s="5">
        <f t="shared" si="182"/>
        <v>126066.72187327144</v>
      </c>
      <c r="AC182" s="5">
        <f t="shared" si="182"/>
        <v>126066.72187327144</v>
      </c>
      <c r="AD182" s="5">
        <f t="shared" si="182"/>
        <v>126066.72187327144</v>
      </c>
      <c r="AE182" s="5">
        <f t="shared" si="182"/>
        <v>126066.72187327144</v>
      </c>
      <c r="AF182" s="5">
        <f t="shared" si="182"/>
        <v>126066.72187327144</v>
      </c>
      <c r="AG182" s="5">
        <f t="shared" si="182"/>
        <v>126066.72187327144</v>
      </c>
      <c r="AH182" s="5">
        <f t="shared" si="182"/>
        <v>126066.72187327144</v>
      </c>
    </row>
    <row r="183" spans="1:34" x14ac:dyDescent="0.35">
      <c r="A183" t="s">
        <v>203</v>
      </c>
      <c r="B183" s="3" t="s">
        <v>1262</v>
      </c>
      <c r="C183" s="4" t="s">
        <v>1263</v>
      </c>
      <c r="D183" s="2">
        <f t="shared" si="131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ref="W183:AH183" si="183">IF(OR((SLOPE($E183:$V183,$E$1:$V$1)*W$1+INTERCEPT($E183:$V183,$E$1:$V$1))&gt;(AVERAGE($E183:$V183)+_xlfn.STDEV.P($E183:$V183)),(SLOPE($E183:$V183,$E$1:$V$1)*W$1+INTERCEPT($E183:$V183,$E$1:$V$1))&lt;(AVERAGE($E183:$V183)-_xlfn.STDEV.P($E183:$V183))),V183,(SLOPE($E183:$V183,$E$1:$V$1)*W$1+INTERCEPT($E183:$V183,$E$1:$V$1)))</f>
        <v>108105.3386991025</v>
      </c>
      <c r="X183" s="5">
        <f t="shared" si="183"/>
        <v>108105.3386991025</v>
      </c>
      <c r="Y183" s="5">
        <f t="shared" si="183"/>
        <v>108105.3386991025</v>
      </c>
      <c r="Z183" s="5">
        <f t="shared" si="183"/>
        <v>108105.3386991025</v>
      </c>
      <c r="AA183" s="5">
        <f t="shared" si="183"/>
        <v>108105.3386991025</v>
      </c>
      <c r="AB183" s="5">
        <f t="shared" si="183"/>
        <v>108105.3386991025</v>
      </c>
      <c r="AC183" s="5">
        <f t="shared" si="183"/>
        <v>108105.3386991025</v>
      </c>
      <c r="AD183" s="5">
        <f t="shared" si="183"/>
        <v>108105.3386991025</v>
      </c>
      <c r="AE183" s="5">
        <f t="shared" si="183"/>
        <v>108105.3386991025</v>
      </c>
      <c r="AF183" s="5">
        <f t="shared" si="183"/>
        <v>108105.3386991025</v>
      </c>
      <c r="AG183" s="5">
        <f t="shared" si="183"/>
        <v>108105.3386991025</v>
      </c>
      <c r="AH183" s="5">
        <f t="shared" si="183"/>
        <v>108105.3386991025</v>
      </c>
    </row>
    <row r="184" spans="1:34" x14ac:dyDescent="0.35">
      <c r="A184" t="s">
        <v>204</v>
      </c>
      <c r="B184" s="3" t="s">
        <v>1262</v>
      </c>
      <c r="C184" s="4" t="s">
        <v>1263</v>
      </c>
      <c r="D184" s="2">
        <f t="shared" si="131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ref="W184:AH184" si="184">IF(OR((SLOPE($E184:$V184,$E$1:$V$1)*W$1+INTERCEPT($E184:$V184,$E$1:$V$1))&gt;(AVERAGE($E184:$V184)+_xlfn.STDEV.P($E184:$V184)),(SLOPE($E184:$V184,$E$1:$V$1)*W$1+INTERCEPT($E184:$V184,$E$1:$V$1))&lt;(AVERAGE($E184:$V184)-_xlfn.STDEV.P($E184:$V184))),V184,(SLOPE($E184:$V184,$E$1:$V$1)*W$1+INTERCEPT($E184:$V184,$E$1:$V$1)))</f>
        <v>70563.574117647047</v>
      </c>
      <c r="X184" s="5">
        <f t="shared" si="184"/>
        <v>72295.111744066031</v>
      </c>
      <c r="Y184" s="5">
        <f t="shared" si="184"/>
        <v>74026.649370485015</v>
      </c>
      <c r="Z184" s="5">
        <f t="shared" si="184"/>
        <v>75758.186996903998</v>
      </c>
      <c r="AA184" s="5">
        <f t="shared" si="184"/>
        <v>77489.724623322982</v>
      </c>
      <c r="AB184" s="5">
        <f t="shared" si="184"/>
        <v>79221.26224974198</v>
      </c>
      <c r="AC184" s="5">
        <f t="shared" si="184"/>
        <v>80952.799876160978</v>
      </c>
      <c r="AD184" s="5">
        <f t="shared" si="184"/>
        <v>82684.337502579961</v>
      </c>
      <c r="AE184" s="5">
        <f t="shared" si="184"/>
        <v>84415.875128998945</v>
      </c>
      <c r="AF184" s="5">
        <f t="shared" si="184"/>
        <v>86147.412755417929</v>
      </c>
      <c r="AG184" s="5">
        <f t="shared" si="184"/>
        <v>87878.950381836912</v>
      </c>
      <c r="AH184" s="5">
        <f t="shared" si="184"/>
        <v>89610.48800825591</v>
      </c>
    </row>
    <row r="185" spans="1:34" x14ac:dyDescent="0.35">
      <c r="A185" t="s">
        <v>205</v>
      </c>
      <c r="B185" s="3" t="s">
        <v>1262</v>
      </c>
      <c r="C185" s="4" t="s">
        <v>1263</v>
      </c>
      <c r="D185" s="2">
        <f t="shared" si="131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ref="W185:AH185" si="185">IF(OR((SLOPE($E185:$V185,$E$1:$V$1)*W$1+INTERCEPT($E185:$V185,$E$1:$V$1))&gt;(AVERAGE($E185:$V185)+_xlfn.STDEV.P($E185:$V185)),(SLOPE($E185:$V185,$E$1:$V$1)*W$1+INTERCEPT($E185:$V185,$E$1:$V$1))&lt;(AVERAGE($E185:$V185)-_xlfn.STDEV.P($E185:$V185))),V185,(SLOPE($E185:$V185,$E$1:$V$1)*W$1+INTERCEPT($E185:$V185,$E$1:$V$1)))</f>
        <v>59802.437313851071</v>
      </c>
      <c r="X185" s="5">
        <f t="shared" si="185"/>
        <v>60502.127425667939</v>
      </c>
      <c r="Y185" s="5">
        <f t="shared" si="185"/>
        <v>61201.817537484807</v>
      </c>
      <c r="Z185" s="5">
        <f t="shared" si="185"/>
        <v>61901.507649301675</v>
      </c>
      <c r="AA185" s="5">
        <f t="shared" si="185"/>
        <v>62601.197761118543</v>
      </c>
      <c r="AB185" s="5">
        <f t="shared" si="185"/>
        <v>63300.887872935404</v>
      </c>
      <c r="AC185" s="5">
        <f t="shared" si="185"/>
        <v>64000.577984752279</v>
      </c>
      <c r="AD185" s="5">
        <f t="shared" si="185"/>
        <v>64700.26809656914</v>
      </c>
      <c r="AE185" s="5">
        <f t="shared" si="185"/>
        <v>65399.958208386015</v>
      </c>
      <c r="AF185" s="5">
        <f t="shared" si="185"/>
        <v>66099.648320202876</v>
      </c>
      <c r="AG185" s="5">
        <f t="shared" si="185"/>
        <v>66799.338432019751</v>
      </c>
      <c r="AH185" s="5">
        <f t="shared" si="185"/>
        <v>67499.028543836612</v>
      </c>
    </row>
    <row r="186" spans="1:34" x14ac:dyDescent="0.35">
      <c r="A186" t="s">
        <v>206</v>
      </c>
      <c r="B186" s="3" t="s">
        <v>1265</v>
      </c>
      <c r="C186" s="4" t="s">
        <v>1263</v>
      </c>
      <c r="D186" s="2">
        <f t="shared" si="131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ref="W186:AH186" si="186">IF(OR((SLOPE($E186:$V186,$E$1:$V$1)*W$1+INTERCEPT($E186:$V186,$E$1:$V$1))&gt;(AVERAGE($E186:$V186)+_xlfn.STDEV.P($E186:$V186)),(SLOPE($E186:$V186,$E$1:$V$1)*W$1+INTERCEPT($E186:$V186,$E$1:$V$1))&lt;(AVERAGE($E186:$V186)-_xlfn.STDEV.P($E186:$V186))),V186,(SLOPE($E186:$V186,$E$1:$V$1)*W$1+INTERCEPT($E186:$V186,$E$1:$V$1)))</f>
        <v>53394.245817356394</v>
      </c>
      <c r="X186" s="5">
        <f t="shared" si="186"/>
        <v>53489.953509322673</v>
      </c>
      <c r="Y186" s="5">
        <f t="shared" si="186"/>
        <v>53585.661201288953</v>
      </c>
      <c r="Z186" s="5">
        <f t="shared" si="186"/>
        <v>53681.368893255232</v>
      </c>
      <c r="AA186" s="5">
        <f t="shared" si="186"/>
        <v>53777.076585221512</v>
      </c>
      <c r="AB186" s="5">
        <f t="shared" si="186"/>
        <v>53872.784277187791</v>
      </c>
      <c r="AC186" s="5">
        <f t="shared" si="186"/>
        <v>53968.491969154071</v>
      </c>
      <c r="AD186" s="5">
        <f t="shared" si="186"/>
        <v>54064.19966112035</v>
      </c>
      <c r="AE186" s="5">
        <f t="shared" si="186"/>
        <v>54159.90735308663</v>
      </c>
      <c r="AF186" s="5">
        <f t="shared" si="186"/>
        <v>54255.615045052909</v>
      </c>
      <c r="AG186" s="5">
        <f t="shared" si="186"/>
        <v>54351.322737019189</v>
      </c>
      <c r="AH186" s="5">
        <f t="shared" si="186"/>
        <v>54447.030428985468</v>
      </c>
    </row>
    <row r="187" spans="1:34" x14ac:dyDescent="0.35">
      <c r="A187" t="s">
        <v>207</v>
      </c>
      <c r="B187" s="3" t="s">
        <v>1262</v>
      </c>
      <c r="C187" s="4" t="s">
        <v>1263</v>
      </c>
      <c r="D187" s="2">
        <f t="shared" si="131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ref="W187:AH187" si="187">IF(OR((SLOPE($E187:$V187,$E$1:$V$1)*W$1+INTERCEPT($E187:$V187,$E$1:$V$1))&gt;(AVERAGE($E187:$V187)+_xlfn.STDEV.P($E187:$V187)),(SLOPE($E187:$V187,$E$1:$V$1)*W$1+INTERCEPT($E187:$V187,$E$1:$V$1))&lt;(AVERAGE($E187:$V187)-_xlfn.STDEV.P($E187:$V187))),V187,(SLOPE($E187:$V187,$E$1:$V$1)*W$1+INTERCEPT($E187:$V187,$E$1:$V$1)))</f>
        <v>53386.567538126328</v>
      </c>
      <c r="X187" s="5">
        <f t="shared" si="187"/>
        <v>53547.208113289729</v>
      </c>
      <c r="Y187" s="5">
        <f t="shared" si="187"/>
        <v>53707.848688453123</v>
      </c>
      <c r="Z187" s="5">
        <f t="shared" si="187"/>
        <v>53868.489263616524</v>
      </c>
      <c r="AA187" s="5">
        <f t="shared" si="187"/>
        <v>54029.129838779918</v>
      </c>
      <c r="AB187" s="5">
        <f t="shared" si="187"/>
        <v>54189.770413943319</v>
      </c>
      <c r="AC187" s="5">
        <f t="shared" si="187"/>
        <v>54350.41098910672</v>
      </c>
      <c r="AD187" s="5">
        <f t="shared" si="187"/>
        <v>54511.051564270114</v>
      </c>
      <c r="AE187" s="5">
        <f t="shared" si="187"/>
        <v>54671.692139433508</v>
      </c>
      <c r="AF187" s="5">
        <f t="shared" si="187"/>
        <v>54832.332714596909</v>
      </c>
      <c r="AG187" s="5">
        <f t="shared" si="187"/>
        <v>54992.97328976031</v>
      </c>
      <c r="AH187" s="5">
        <f t="shared" si="187"/>
        <v>55153.613864923704</v>
      </c>
    </row>
    <row r="188" spans="1:34" x14ac:dyDescent="0.35">
      <c r="A188" t="s">
        <v>208</v>
      </c>
      <c r="B188" s="3" t="s">
        <v>1262</v>
      </c>
      <c r="C188" s="4" t="s">
        <v>1263</v>
      </c>
      <c r="D188" s="2">
        <f t="shared" si="131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ref="W188:AH188" si="188">IF(OR((SLOPE($E188:$V188,$E$1:$V$1)*W$1+INTERCEPT($E188:$V188,$E$1:$V$1))&gt;(AVERAGE($E188:$V188)+_xlfn.STDEV.P($E188:$V188)),(SLOPE($E188:$V188,$E$1:$V$1)*W$1+INTERCEPT($E188:$V188,$E$1:$V$1))&lt;(AVERAGE($E188:$V188)-_xlfn.STDEV.P($E188:$V188))),V188,(SLOPE($E188:$V188,$E$1:$V$1)*W$1+INTERCEPT($E188:$V188,$E$1:$V$1)))</f>
        <v>145109.75038270905</v>
      </c>
      <c r="X188" s="5">
        <f t="shared" si="188"/>
        <v>145109.75038270905</v>
      </c>
      <c r="Y188" s="5">
        <f t="shared" si="188"/>
        <v>145109.75038270905</v>
      </c>
      <c r="Z188" s="5">
        <f t="shared" si="188"/>
        <v>145109.75038270905</v>
      </c>
      <c r="AA188" s="5">
        <f t="shared" si="188"/>
        <v>145109.75038270905</v>
      </c>
      <c r="AB188" s="5">
        <f t="shared" si="188"/>
        <v>145109.75038270905</v>
      </c>
      <c r="AC188" s="5">
        <f t="shared" si="188"/>
        <v>145109.75038270905</v>
      </c>
      <c r="AD188" s="5">
        <f t="shared" si="188"/>
        <v>145109.75038270905</v>
      </c>
      <c r="AE188" s="5">
        <f t="shared" si="188"/>
        <v>145109.75038270905</v>
      </c>
      <c r="AF188" s="5">
        <f t="shared" si="188"/>
        <v>145109.75038270905</v>
      </c>
      <c r="AG188" s="5">
        <f t="shared" si="188"/>
        <v>145109.75038270905</v>
      </c>
      <c r="AH188" s="5">
        <f t="shared" si="188"/>
        <v>145109.75038270905</v>
      </c>
    </row>
    <row r="189" spans="1:34" x14ac:dyDescent="0.35">
      <c r="A189" t="s">
        <v>209</v>
      </c>
      <c r="B189" s="3" t="s">
        <v>1262</v>
      </c>
      <c r="C189" s="4" t="s">
        <v>1263</v>
      </c>
      <c r="D189" s="2">
        <f t="shared" si="131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ref="W189:AH189" si="189">IF(OR((SLOPE($E189:$V189,$E$1:$V$1)*W$1+INTERCEPT($E189:$V189,$E$1:$V$1))&gt;(AVERAGE($E189:$V189)+_xlfn.STDEV.P($E189:$V189)),(SLOPE($E189:$V189,$E$1:$V$1)*W$1+INTERCEPT($E189:$V189,$E$1:$V$1))&lt;(AVERAGE($E189:$V189)-_xlfn.STDEV.P($E189:$V189))),V189,(SLOPE($E189:$V189,$E$1:$V$1)*W$1+INTERCEPT($E189:$V189,$E$1:$V$1)))</f>
        <v>58139.552058823545</v>
      </c>
      <c r="X189" s="5">
        <f t="shared" si="189"/>
        <v>58724.980696594444</v>
      </c>
      <c r="Y189" s="5">
        <f t="shared" si="189"/>
        <v>59310.409334365337</v>
      </c>
      <c r="Z189" s="5">
        <f t="shared" si="189"/>
        <v>59895.837972136236</v>
      </c>
      <c r="AA189" s="5">
        <f t="shared" si="189"/>
        <v>60481.266609907136</v>
      </c>
      <c r="AB189" s="5">
        <f t="shared" si="189"/>
        <v>61066.695247678035</v>
      </c>
      <c r="AC189" s="5">
        <f t="shared" si="189"/>
        <v>61652.123885448935</v>
      </c>
      <c r="AD189" s="5">
        <f t="shared" si="189"/>
        <v>62237.552523219827</v>
      </c>
      <c r="AE189" s="5">
        <f t="shared" si="189"/>
        <v>62822.981160990726</v>
      </c>
      <c r="AF189" s="5">
        <f t="shared" si="189"/>
        <v>63408.409798761626</v>
      </c>
      <c r="AG189" s="5">
        <f t="shared" si="189"/>
        <v>63993.838436532518</v>
      </c>
      <c r="AH189" s="5">
        <f t="shared" si="189"/>
        <v>64579.267074303425</v>
      </c>
    </row>
    <row r="190" spans="1:34" x14ac:dyDescent="0.35">
      <c r="A190" t="s">
        <v>210</v>
      </c>
      <c r="B190" s="3" t="s">
        <v>1262</v>
      </c>
      <c r="C190" s="4" t="s">
        <v>1263</v>
      </c>
      <c r="D190" s="2">
        <f t="shared" si="131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ref="W190:AH190" si="190">IF(OR((SLOPE($E190:$V190,$E$1:$V$1)*W$1+INTERCEPT($E190:$V190,$E$1:$V$1))&gt;(AVERAGE($E190:$V190)+_xlfn.STDEV.P($E190:$V190)),(SLOPE($E190:$V190,$E$1:$V$1)*W$1+INTERCEPT($E190:$V190,$E$1:$V$1))&lt;(AVERAGE($E190:$V190)-_xlfn.STDEV.P($E190:$V190))),V190,(SLOPE($E190:$V190,$E$1:$V$1)*W$1+INTERCEPT($E190:$V190,$E$1:$V$1)))</f>
        <v>176830.0716826203</v>
      </c>
      <c r="X190" s="5">
        <f t="shared" si="190"/>
        <v>176830.0716826203</v>
      </c>
      <c r="Y190" s="5">
        <f t="shared" si="190"/>
        <v>176830.0716826203</v>
      </c>
      <c r="Z190" s="5">
        <f t="shared" si="190"/>
        <v>176830.0716826203</v>
      </c>
      <c r="AA190" s="5">
        <f t="shared" si="190"/>
        <v>176830.0716826203</v>
      </c>
      <c r="AB190" s="5">
        <f t="shared" si="190"/>
        <v>176830.0716826203</v>
      </c>
      <c r="AC190" s="5">
        <f t="shared" si="190"/>
        <v>176830.0716826203</v>
      </c>
      <c r="AD190" s="5">
        <f t="shared" si="190"/>
        <v>176830.0716826203</v>
      </c>
      <c r="AE190" s="5">
        <f t="shared" si="190"/>
        <v>176830.0716826203</v>
      </c>
      <c r="AF190" s="5">
        <f t="shared" si="190"/>
        <v>176830.0716826203</v>
      </c>
      <c r="AG190" s="5">
        <f t="shared" si="190"/>
        <v>176830.0716826203</v>
      </c>
      <c r="AH190" s="5">
        <f t="shared" si="190"/>
        <v>176830.0716826203</v>
      </c>
    </row>
    <row r="191" spans="1:34" x14ac:dyDescent="0.35">
      <c r="A191" t="s">
        <v>211</v>
      </c>
      <c r="B191" s="3" t="s">
        <v>1264</v>
      </c>
      <c r="C191" s="4" t="s">
        <v>1263</v>
      </c>
      <c r="D191" s="2">
        <f t="shared" si="131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ref="W191:AH191" si="191">IF(OR((SLOPE($E191:$V191,$E$1:$V$1)*W$1+INTERCEPT($E191:$V191,$E$1:$V$1))&gt;(AVERAGE($E191:$V191)+_xlfn.STDEV.P($E191:$V191)),(SLOPE($E191:$V191,$E$1:$V$1)*W$1+INTERCEPT($E191:$V191,$E$1:$V$1))&lt;(AVERAGE($E191:$V191)-_xlfn.STDEV.P($E191:$V191))),V191,(SLOPE($E191:$V191,$E$1:$V$1)*W$1+INTERCEPT($E191:$V191,$E$1:$V$1)))</f>
        <v>76648.964861482935</v>
      </c>
      <c r="X191" s="5">
        <f t="shared" si="191"/>
        <v>79257.52541630817</v>
      </c>
      <c r="Y191" s="5">
        <f t="shared" si="191"/>
        <v>81866.085971133405</v>
      </c>
      <c r="Z191" s="5">
        <f t="shared" si="191"/>
        <v>84474.646525958655</v>
      </c>
      <c r="AA191" s="5">
        <f t="shared" si="191"/>
        <v>87083.20708078389</v>
      </c>
      <c r="AB191" s="5">
        <f t="shared" si="191"/>
        <v>89691.767635609125</v>
      </c>
      <c r="AC191" s="5">
        <f t="shared" si="191"/>
        <v>92300.328190434375</v>
      </c>
      <c r="AD191" s="5">
        <f t="shared" si="191"/>
        <v>94908.88874525961</v>
      </c>
      <c r="AE191" s="5">
        <f t="shared" si="191"/>
        <v>97517.449300084845</v>
      </c>
      <c r="AF191" s="5">
        <f t="shared" si="191"/>
        <v>100126.00985491009</v>
      </c>
      <c r="AG191" s="5">
        <f t="shared" si="191"/>
        <v>102734.57040973533</v>
      </c>
      <c r="AH191" s="5">
        <f t="shared" si="191"/>
        <v>105343.13096456057</v>
      </c>
    </row>
    <row r="192" spans="1:34" x14ac:dyDescent="0.35">
      <c r="A192" t="s">
        <v>212</v>
      </c>
      <c r="B192" s="3" t="s">
        <v>1262</v>
      </c>
      <c r="C192" s="4" t="s">
        <v>1263</v>
      </c>
      <c r="D192" s="2">
        <f t="shared" si="131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ref="W192:AH192" si="192">IF(OR((SLOPE($E192:$V192,$E$1:$V$1)*W$1+INTERCEPT($E192:$V192,$E$1:$V$1))&gt;(AVERAGE($E192:$V192)+_xlfn.STDEV.P($E192:$V192)),(SLOPE($E192:$V192,$E$1:$V$1)*W$1+INTERCEPT($E192:$V192,$E$1:$V$1))&lt;(AVERAGE($E192:$V192)-_xlfn.STDEV.P($E192:$V192))),V192,(SLOPE($E192:$V192,$E$1:$V$1)*W$1+INTERCEPT($E192:$V192,$E$1:$V$1)))</f>
        <v>15990.348705882367</v>
      </c>
      <c r="X192" s="5">
        <f t="shared" si="192"/>
        <v>15990.348705882367</v>
      </c>
      <c r="Y192" s="5">
        <f t="shared" si="192"/>
        <v>15990.348705882367</v>
      </c>
      <c r="Z192" s="5">
        <f t="shared" si="192"/>
        <v>15990.348705882367</v>
      </c>
      <c r="AA192" s="5">
        <f t="shared" si="192"/>
        <v>15990.348705882367</v>
      </c>
      <c r="AB192" s="5">
        <f t="shared" si="192"/>
        <v>15990.348705882367</v>
      </c>
      <c r="AC192" s="5">
        <f t="shared" si="192"/>
        <v>15990.348705882367</v>
      </c>
      <c r="AD192" s="5">
        <f t="shared" si="192"/>
        <v>15990.348705882367</v>
      </c>
      <c r="AE192" s="5">
        <f t="shared" si="192"/>
        <v>15990.348705882367</v>
      </c>
      <c r="AF192" s="5">
        <f t="shared" si="192"/>
        <v>15990.348705882367</v>
      </c>
      <c r="AG192" s="5">
        <f t="shared" si="192"/>
        <v>15990.348705882367</v>
      </c>
      <c r="AH192" s="5">
        <f t="shared" si="192"/>
        <v>15990.348705882367</v>
      </c>
    </row>
    <row r="193" spans="1:34" x14ac:dyDescent="0.35">
      <c r="A193" t="s">
        <v>213</v>
      </c>
      <c r="B193" s="3" t="s">
        <v>1265</v>
      </c>
      <c r="C193" s="4" t="s">
        <v>1263</v>
      </c>
      <c r="D193" s="2">
        <f t="shared" si="131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ref="W193:AH193" si="193">IF(OR((SLOPE($E193:$V193,$E$1:$V$1)*W$1+INTERCEPT($E193:$V193,$E$1:$V$1))&gt;(AVERAGE($E193:$V193)+_xlfn.STDEV.P($E193:$V193)),(SLOPE($E193:$V193,$E$1:$V$1)*W$1+INTERCEPT($E193:$V193,$E$1:$V$1))&lt;(AVERAGE($E193:$V193)-_xlfn.STDEV.P($E193:$V193))),V193,(SLOPE($E193:$V193,$E$1:$V$1)*W$1+INTERCEPT($E193:$V193,$E$1:$V$1)))</f>
        <v>2383.5913579502085</v>
      </c>
      <c r="X193" s="5">
        <f t="shared" si="193"/>
        <v>-2754.3089565920818</v>
      </c>
      <c r="Y193" s="5">
        <f t="shared" si="193"/>
        <v>-7892.2092711343721</v>
      </c>
      <c r="Z193" s="5">
        <f t="shared" si="193"/>
        <v>-13030.109585676677</v>
      </c>
      <c r="AA193" s="5">
        <f t="shared" si="193"/>
        <v>-18168.009900218982</v>
      </c>
      <c r="AB193" s="5">
        <f t="shared" si="193"/>
        <v>-23305.910214761272</v>
      </c>
      <c r="AC193" s="5">
        <f t="shared" si="193"/>
        <v>-23305.910214761272</v>
      </c>
      <c r="AD193" s="5">
        <f t="shared" si="193"/>
        <v>-23305.910214761272</v>
      </c>
      <c r="AE193" s="5">
        <f t="shared" si="193"/>
        <v>-23305.910214761272</v>
      </c>
      <c r="AF193" s="5">
        <f t="shared" si="193"/>
        <v>-23305.910214761272</v>
      </c>
      <c r="AG193" s="5">
        <f t="shared" si="193"/>
        <v>-23305.910214761272</v>
      </c>
      <c r="AH193" s="5">
        <f t="shared" si="193"/>
        <v>-23305.910214761272</v>
      </c>
    </row>
    <row r="194" spans="1:34" x14ac:dyDescent="0.35">
      <c r="A194" t="s">
        <v>214</v>
      </c>
      <c r="B194" s="3" t="s">
        <v>1265</v>
      </c>
      <c r="C194" s="4" t="s">
        <v>1263</v>
      </c>
      <c r="D194" s="2">
        <f t="shared" si="131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ref="W194:AH194" si="194">IF(OR((SLOPE($E194:$V194,$E$1:$V$1)*W$1+INTERCEPT($E194:$V194,$E$1:$V$1))&gt;(AVERAGE($E194:$V194)+_xlfn.STDEV.P($E194:$V194)),(SLOPE($E194:$V194,$E$1:$V$1)*W$1+INTERCEPT($E194:$V194,$E$1:$V$1))&lt;(AVERAGE($E194:$V194)-_xlfn.STDEV.P($E194:$V194))),V194,(SLOPE($E194:$V194,$E$1:$V$1)*W$1+INTERCEPT($E194:$V194,$E$1:$V$1)))</f>
        <v>62591.000294117664</v>
      </c>
      <c r="X194" s="5">
        <f t="shared" si="194"/>
        <v>63914.799009287948</v>
      </c>
      <c r="Y194" s="5">
        <f t="shared" si="194"/>
        <v>65238.597724458225</v>
      </c>
      <c r="Z194" s="5">
        <f t="shared" si="194"/>
        <v>66562.396439628501</v>
      </c>
      <c r="AA194" s="5">
        <f t="shared" si="194"/>
        <v>67886.195154798785</v>
      </c>
      <c r="AB194" s="5">
        <f t="shared" si="194"/>
        <v>69209.993869969068</v>
      </c>
      <c r="AC194" s="5">
        <f t="shared" si="194"/>
        <v>70533.792585139337</v>
      </c>
      <c r="AD194" s="5">
        <f t="shared" si="194"/>
        <v>71857.591300309621</v>
      </c>
      <c r="AE194" s="5">
        <f t="shared" si="194"/>
        <v>73181.390015479905</v>
      </c>
      <c r="AF194" s="5">
        <f t="shared" si="194"/>
        <v>73181.390015479905</v>
      </c>
      <c r="AG194" s="5">
        <f t="shared" si="194"/>
        <v>73181.390015479905</v>
      </c>
      <c r="AH194" s="5">
        <f t="shared" si="194"/>
        <v>73181.390015479905</v>
      </c>
    </row>
    <row r="195" spans="1:34" x14ac:dyDescent="0.35">
      <c r="A195" t="s">
        <v>215</v>
      </c>
      <c r="B195" s="3" t="s">
        <v>1265</v>
      </c>
      <c r="C195" s="4" t="s">
        <v>1263</v>
      </c>
      <c r="D195" s="2">
        <f t="shared" si="131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ref="W195:AH195" si="195">IF(OR((SLOPE($E195:$V195,$E$1:$V$1)*W$1+INTERCEPT($E195:$V195,$E$1:$V$1))&gt;(AVERAGE($E195:$V195)+_xlfn.STDEV.P($E195:$V195)),(SLOPE($E195:$V195,$E$1:$V$1)*W$1+INTERCEPT($E195:$V195,$E$1:$V$1))&lt;(AVERAGE($E195:$V195)-_xlfn.STDEV.P($E195:$V195))),V195,(SLOPE($E195:$V195,$E$1:$V$1)*W$1+INTERCEPT($E195:$V195,$E$1:$V$1)))</f>
        <v>72147.845000000016</v>
      </c>
      <c r="X195" s="5">
        <f t="shared" si="195"/>
        <v>74518.17357894739</v>
      </c>
      <c r="Y195" s="5">
        <f t="shared" si="195"/>
        <v>76888.502157894749</v>
      </c>
      <c r="Z195" s="5">
        <f t="shared" si="195"/>
        <v>79258.830736842123</v>
      </c>
      <c r="AA195" s="5">
        <f t="shared" si="195"/>
        <v>79258.830736842123</v>
      </c>
      <c r="AB195" s="5">
        <f t="shared" si="195"/>
        <v>79258.830736842123</v>
      </c>
      <c r="AC195" s="5">
        <f t="shared" si="195"/>
        <v>79258.830736842123</v>
      </c>
      <c r="AD195" s="5">
        <f t="shared" si="195"/>
        <v>79258.830736842123</v>
      </c>
      <c r="AE195" s="5">
        <f t="shared" si="195"/>
        <v>79258.830736842123</v>
      </c>
      <c r="AF195" s="5">
        <f t="shared" si="195"/>
        <v>79258.830736842123</v>
      </c>
      <c r="AG195" s="5">
        <f t="shared" si="195"/>
        <v>79258.830736842123</v>
      </c>
      <c r="AH195" s="5">
        <f t="shared" si="195"/>
        <v>79258.830736842123</v>
      </c>
    </row>
    <row r="196" spans="1:34" x14ac:dyDescent="0.35">
      <c r="A196" t="s">
        <v>216</v>
      </c>
      <c r="B196" s="3" t="s">
        <v>1262</v>
      </c>
      <c r="C196" s="4" t="s">
        <v>1263</v>
      </c>
      <c r="D196" s="2">
        <f t="shared" ref="D196:D259" si="196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ref="W196:AH196" si="197">IF(OR((SLOPE($E196:$V196,$E$1:$V$1)*W$1+INTERCEPT($E196:$V196,$E$1:$V$1))&gt;(AVERAGE($E196:$V196)+_xlfn.STDEV.P($E196:$V196)),(SLOPE($E196:$V196,$E$1:$V$1)*W$1+INTERCEPT($E196:$V196,$E$1:$V$1))&lt;(AVERAGE($E196:$V196)-_xlfn.STDEV.P($E196:$V196))),V196,(SLOPE($E196:$V196,$E$1:$V$1)*W$1+INTERCEPT($E196:$V196,$E$1:$V$1)))</f>
        <v>74977.41917647059</v>
      </c>
      <c r="X196" s="5">
        <f t="shared" si="197"/>
        <v>77650.149510835909</v>
      </c>
      <c r="Y196" s="5">
        <f t="shared" si="197"/>
        <v>80322.879845201242</v>
      </c>
      <c r="Z196" s="5">
        <f t="shared" si="197"/>
        <v>82995.610179566575</v>
      </c>
      <c r="AA196" s="5">
        <f t="shared" si="197"/>
        <v>85668.340513931893</v>
      </c>
      <c r="AB196" s="5">
        <f t="shared" si="197"/>
        <v>88341.070848297211</v>
      </c>
      <c r="AC196" s="5">
        <f t="shared" si="197"/>
        <v>91013.801182662544</v>
      </c>
      <c r="AD196" s="5">
        <f t="shared" si="197"/>
        <v>93686.531517027863</v>
      </c>
      <c r="AE196" s="5">
        <f t="shared" si="197"/>
        <v>96359.261851393196</v>
      </c>
      <c r="AF196" s="5">
        <f t="shared" si="197"/>
        <v>99031.992185758514</v>
      </c>
      <c r="AG196" s="5">
        <f t="shared" si="197"/>
        <v>99031.992185758514</v>
      </c>
      <c r="AH196" s="5">
        <f t="shared" si="197"/>
        <v>99031.992185758514</v>
      </c>
    </row>
    <row r="197" spans="1:34" x14ac:dyDescent="0.35">
      <c r="A197" t="s">
        <v>217</v>
      </c>
      <c r="B197" s="3" t="s">
        <v>1265</v>
      </c>
      <c r="C197" s="4" t="s">
        <v>1263</v>
      </c>
      <c r="D197" s="2">
        <f t="shared" si="196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H197" si="198">IF(OR((SLOPE($E197:$V197,$E$1:$V$1)*W$1+INTERCEPT($E197:$V197,$E$1:$V$1))&gt;(AVERAGE($E197:$V197)+_xlfn.STDEV.P($E197:$V197)),(SLOPE($E197:$V197,$E$1:$V$1)*W$1+INTERCEPT($E197:$V197,$E$1:$V$1))&lt;(AVERAGE($E197:$V197)-_xlfn.STDEV.P($E197:$V197))),V197,(SLOPE($E197:$V197,$E$1:$V$1)*W$1+INTERCEPT($E197:$V197,$E$1:$V$1)))</f>
        <v>67155.76823529409</v>
      </c>
      <c r="X197" s="5">
        <f t="shared" si="198"/>
        <v>69090.18447058821</v>
      </c>
      <c r="Y197" s="5">
        <f t="shared" si="198"/>
        <v>71024.600705882331</v>
      </c>
      <c r="Z197" s="5">
        <f t="shared" si="198"/>
        <v>72959.016941176436</v>
      </c>
      <c r="AA197" s="5">
        <f t="shared" si="198"/>
        <v>74893.433176470571</v>
      </c>
      <c r="AB197" s="5">
        <f t="shared" si="198"/>
        <v>76827.849411764677</v>
      </c>
      <c r="AC197" s="5">
        <f t="shared" si="198"/>
        <v>78762.265647058797</v>
      </c>
      <c r="AD197" s="5">
        <f t="shared" si="198"/>
        <v>80696.681882352917</v>
      </c>
      <c r="AE197" s="5">
        <f t="shared" si="198"/>
        <v>80696.681882352917</v>
      </c>
      <c r="AF197" s="5">
        <f t="shared" si="198"/>
        <v>80696.681882352917</v>
      </c>
      <c r="AG197" s="5">
        <f t="shared" si="198"/>
        <v>80696.681882352917</v>
      </c>
      <c r="AH197" s="5">
        <f t="shared" si="198"/>
        <v>80696.681882352917</v>
      </c>
    </row>
    <row r="198" spans="1:34" x14ac:dyDescent="0.35">
      <c r="A198" t="s">
        <v>218</v>
      </c>
      <c r="B198" s="3" t="s">
        <v>1262</v>
      </c>
      <c r="C198" s="4" t="s">
        <v>1263</v>
      </c>
      <c r="D198" s="2">
        <f t="shared" si="196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ref="W198:AH198" si="199">IF(OR((SLOPE($E198:$V198,$E$1:$V$1)*W$1+INTERCEPT($E198:$V198,$E$1:$V$1))&gt;(AVERAGE($E198:$V198)+_xlfn.STDEV.P($E198:$V198)),(SLOPE($E198:$V198,$E$1:$V$1)*W$1+INTERCEPT($E198:$V198,$E$1:$V$1))&lt;(AVERAGE($E198:$V198)-_xlfn.STDEV.P($E198:$V198))),V198,(SLOPE($E198:$V198,$E$1:$V$1)*W$1+INTERCEPT($E198:$V198,$E$1:$V$1)))</f>
        <v>93519.765705882339</v>
      </c>
      <c r="X198" s="5">
        <f t="shared" si="199"/>
        <v>98121.637569659433</v>
      </c>
      <c r="Y198" s="5">
        <f t="shared" si="199"/>
        <v>102723.50943343651</v>
      </c>
      <c r="Z198" s="5">
        <f t="shared" si="199"/>
        <v>107325.38129721361</v>
      </c>
      <c r="AA198" s="5">
        <f t="shared" si="199"/>
        <v>111927.2531609907</v>
      </c>
      <c r="AB198" s="5">
        <f t="shared" si="199"/>
        <v>116529.12502476778</v>
      </c>
      <c r="AC198" s="5">
        <f t="shared" si="199"/>
        <v>121130.99688854488</v>
      </c>
      <c r="AD198" s="5">
        <f t="shared" si="199"/>
        <v>125732.86875232197</v>
      </c>
      <c r="AE198" s="5">
        <f t="shared" si="199"/>
        <v>130334.74061609906</v>
      </c>
      <c r="AF198" s="5">
        <f t="shared" si="199"/>
        <v>134936.61247987614</v>
      </c>
      <c r="AG198" s="5">
        <f t="shared" si="199"/>
        <v>139538.48434365325</v>
      </c>
      <c r="AH198" s="5">
        <f t="shared" si="199"/>
        <v>139538.48434365325</v>
      </c>
    </row>
    <row r="199" spans="1:34" x14ac:dyDescent="0.35">
      <c r="A199" t="s">
        <v>219</v>
      </c>
      <c r="B199" s="3" t="s">
        <v>1266</v>
      </c>
      <c r="C199" s="4" t="s">
        <v>1266</v>
      </c>
      <c r="D199" s="2">
        <f t="shared" si="196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ref="W199:AH199" si="200">IF(OR((SLOPE($E199:$V199,$E$1:$V$1)*W$1+INTERCEPT($E199:$V199,$E$1:$V$1))&gt;(AVERAGE($E199:$V199)+_xlfn.STDEV.P($E199:$V199)),(SLOPE($E199:$V199,$E$1:$V$1)*W$1+INTERCEPT($E199:$V199,$E$1:$V$1))&lt;(AVERAGE($E199:$V199)-_xlfn.STDEV.P($E199:$V199))),V199,(SLOPE($E199:$V199,$E$1:$V$1)*W$1+INTERCEPT($E199:$V199,$E$1:$V$1)))</f>
        <v>93280.627450980392</v>
      </c>
      <c r="X199" s="5">
        <f t="shared" si="200"/>
        <v>97883.289989680081</v>
      </c>
      <c r="Y199" s="5">
        <f t="shared" si="200"/>
        <v>102485.95252837977</v>
      </c>
      <c r="Z199" s="5">
        <f t="shared" si="200"/>
        <v>107088.61506707946</v>
      </c>
      <c r="AA199" s="5">
        <f t="shared" si="200"/>
        <v>111691.27760577915</v>
      </c>
      <c r="AB199" s="5">
        <f t="shared" si="200"/>
        <v>116293.94014447885</v>
      </c>
      <c r="AC199" s="5">
        <f t="shared" si="200"/>
        <v>120896.60268317854</v>
      </c>
      <c r="AD199" s="5">
        <f t="shared" si="200"/>
        <v>125499.26522187823</v>
      </c>
      <c r="AE199" s="5">
        <f t="shared" si="200"/>
        <v>130101.92776057792</v>
      </c>
      <c r="AF199" s="5">
        <f t="shared" si="200"/>
        <v>134704.59029927762</v>
      </c>
      <c r="AG199" s="5">
        <f t="shared" si="200"/>
        <v>139307.25283797731</v>
      </c>
      <c r="AH199" s="5">
        <f t="shared" si="200"/>
        <v>143909.915376677</v>
      </c>
    </row>
    <row r="200" spans="1:34" x14ac:dyDescent="0.35">
      <c r="A200" t="s">
        <v>220</v>
      </c>
      <c r="B200" s="3" t="s">
        <v>1265</v>
      </c>
      <c r="C200" s="4" t="s">
        <v>1263</v>
      </c>
      <c r="D200" s="2">
        <f t="shared" si="196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ref="W200:AH200" si="201">IF(OR((SLOPE($E200:$V200,$E$1:$V$1)*W$1+INTERCEPT($E200:$V200,$E$1:$V$1))&gt;(AVERAGE($E200:$V200)+_xlfn.STDEV.P($E200:$V200)),(SLOPE($E200:$V200,$E$1:$V$1)*W$1+INTERCEPT($E200:$V200,$E$1:$V$1))&lt;(AVERAGE($E200:$V200)-_xlfn.STDEV.P($E200:$V200))),V200,(SLOPE($E200:$V200,$E$1:$V$1)*W$1+INTERCEPT($E200:$V200,$E$1:$V$1)))</f>
        <v>73608.110491338579</v>
      </c>
      <c r="X200" s="5">
        <f t="shared" si="201"/>
        <v>76183.496919549492</v>
      </c>
      <c r="Y200" s="5">
        <f t="shared" si="201"/>
        <v>78758.88334776042</v>
      </c>
      <c r="Z200" s="5">
        <f t="shared" si="201"/>
        <v>81334.269775971334</v>
      </c>
      <c r="AA200" s="5">
        <f t="shared" si="201"/>
        <v>83909.656204182262</v>
      </c>
      <c r="AB200" s="5">
        <f t="shared" si="201"/>
        <v>86485.042632393175</v>
      </c>
      <c r="AC200" s="5">
        <f t="shared" si="201"/>
        <v>89060.429060604103</v>
      </c>
      <c r="AD200" s="5">
        <f t="shared" si="201"/>
        <v>91635.815488815017</v>
      </c>
      <c r="AE200" s="5">
        <f t="shared" si="201"/>
        <v>94211.201917025945</v>
      </c>
      <c r="AF200" s="5">
        <f t="shared" si="201"/>
        <v>96786.588345236858</v>
      </c>
      <c r="AG200" s="5">
        <f t="shared" si="201"/>
        <v>99361.974773447771</v>
      </c>
      <c r="AH200" s="5">
        <f t="shared" si="201"/>
        <v>101937.3612016587</v>
      </c>
    </row>
    <row r="201" spans="1:34" x14ac:dyDescent="0.35">
      <c r="A201" t="s">
        <v>221</v>
      </c>
      <c r="B201" s="3" t="s">
        <v>1262</v>
      </c>
      <c r="C201" s="4" t="s">
        <v>1263</v>
      </c>
      <c r="D201" s="2">
        <f t="shared" si="196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ref="W201:AH201" si="202">IF(OR((SLOPE($E201:$V201,$E$1:$V$1)*W$1+INTERCEPT($E201:$V201,$E$1:$V$1))&gt;(AVERAGE($E201:$V201)+_xlfn.STDEV.P($E201:$V201)),(SLOPE($E201:$V201,$E$1:$V$1)*W$1+INTERCEPT($E201:$V201,$E$1:$V$1))&lt;(AVERAGE($E201:$V201)-_xlfn.STDEV.P($E201:$V201))),V201,(SLOPE($E201:$V201,$E$1:$V$1)*W$1+INTERCEPT($E201:$V201,$E$1:$V$1)))</f>
        <v>30506.798036601307</v>
      </c>
      <c r="X201" s="5">
        <f t="shared" si="202"/>
        <v>28618.601109459923</v>
      </c>
      <c r="Y201" s="5">
        <f t="shared" si="202"/>
        <v>26730.404182318547</v>
      </c>
      <c r="Z201" s="5">
        <f t="shared" si="202"/>
        <v>24842.207255177163</v>
      </c>
      <c r="AA201" s="5">
        <f t="shared" si="202"/>
        <v>24842.207255177163</v>
      </c>
      <c r="AB201" s="5">
        <f t="shared" si="202"/>
        <v>24842.207255177163</v>
      </c>
      <c r="AC201" s="5">
        <f t="shared" si="202"/>
        <v>24842.207255177163</v>
      </c>
      <c r="AD201" s="5">
        <f t="shared" si="202"/>
        <v>24842.207255177163</v>
      </c>
      <c r="AE201" s="5">
        <f t="shared" si="202"/>
        <v>24842.207255177163</v>
      </c>
      <c r="AF201" s="5">
        <f t="shared" si="202"/>
        <v>24842.207255177163</v>
      </c>
      <c r="AG201" s="5">
        <f t="shared" si="202"/>
        <v>24842.207255177163</v>
      </c>
      <c r="AH201" s="5">
        <f t="shared" si="202"/>
        <v>24842.207255177163</v>
      </c>
    </row>
    <row r="202" spans="1:34" x14ac:dyDescent="0.35">
      <c r="A202" t="s">
        <v>222</v>
      </c>
      <c r="B202" s="3" t="s">
        <v>1262</v>
      </c>
      <c r="C202" s="4" t="s">
        <v>1263</v>
      </c>
      <c r="D202" s="2">
        <f t="shared" si="196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ref="W202:AH202" si="203">IF(OR((SLOPE($E202:$V202,$E$1:$V$1)*W$1+INTERCEPT($E202:$V202,$E$1:$V$1))&gt;(AVERAGE($E202:$V202)+_xlfn.STDEV.P($E202:$V202)),(SLOPE($E202:$V202,$E$1:$V$1)*W$1+INTERCEPT($E202:$V202,$E$1:$V$1))&lt;(AVERAGE($E202:$V202)-_xlfn.STDEV.P($E202:$V202))),V202,(SLOPE($E202:$V202,$E$1:$V$1)*W$1+INTERCEPT($E202:$V202,$E$1:$V$1)))</f>
        <v>47725.141058823523</v>
      </c>
      <c r="X202" s="5">
        <f t="shared" si="203"/>
        <v>47713.502117647047</v>
      </c>
      <c r="Y202" s="5">
        <f t="shared" si="203"/>
        <v>47701.863176470579</v>
      </c>
      <c r="Z202" s="5">
        <f t="shared" si="203"/>
        <v>47690.22423529411</v>
      </c>
      <c r="AA202" s="5">
        <f t="shared" si="203"/>
        <v>47678.585294117634</v>
      </c>
      <c r="AB202" s="5">
        <f t="shared" si="203"/>
        <v>47666.946352941166</v>
      </c>
      <c r="AC202" s="5">
        <f t="shared" si="203"/>
        <v>47655.307411764697</v>
      </c>
      <c r="AD202" s="5">
        <f t="shared" si="203"/>
        <v>47643.668470588229</v>
      </c>
      <c r="AE202" s="5">
        <f t="shared" si="203"/>
        <v>47632.029529411753</v>
      </c>
      <c r="AF202" s="5">
        <f t="shared" si="203"/>
        <v>47620.390588235285</v>
      </c>
      <c r="AG202" s="5">
        <f t="shared" si="203"/>
        <v>47608.751647058816</v>
      </c>
      <c r="AH202" s="5">
        <f t="shared" si="203"/>
        <v>47597.11270588234</v>
      </c>
    </row>
    <row r="203" spans="1:34" x14ac:dyDescent="0.35">
      <c r="A203" t="s">
        <v>223</v>
      </c>
      <c r="B203" s="3" t="s">
        <v>1265</v>
      </c>
      <c r="C203" s="4" t="s">
        <v>1263</v>
      </c>
      <c r="D203" s="2">
        <f t="shared" si="196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ref="W203:AH203" si="204">IF(OR((SLOPE($E203:$V203,$E$1:$V$1)*W$1+INTERCEPT($E203:$V203,$E$1:$V$1))&gt;(AVERAGE($E203:$V203)+_xlfn.STDEV.P($E203:$V203)),(SLOPE($E203:$V203,$E$1:$V$1)*W$1+INTERCEPT($E203:$V203,$E$1:$V$1))&lt;(AVERAGE($E203:$V203)-_xlfn.STDEV.P($E203:$V203))),V203,(SLOPE($E203:$V203,$E$1:$V$1)*W$1+INTERCEPT($E203:$V203,$E$1:$V$1)))</f>
        <v>59276.977050108791</v>
      </c>
      <c r="X203" s="5">
        <f t="shared" si="204"/>
        <v>60601.321341379815</v>
      </c>
      <c r="Y203" s="5">
        <f t="shared" si="204"/>
        <v>61925.665632650838</v>
      </c>
      <c r="Z203" s="5">
        <f t="shared" si="204"/>
        <v>63250.009923921869</v>
      </c>
      <c r="AA203" s="5">
        <f t="shared" si="204"/>
        <v>64574.354215192885</v>
      </c>
      <c r="AB203" s="5">
        <f t="shared" si="204"/>
        <v>65898.698506463916</v>
      </c>
      <c r="AC203" s="5">
        <f t="shared" si="204"/>
        <v>67223.042797734932</v>
      </c>
      <c r="AD203" s="5">
        <f t="shared" si="204"/>
        <v>68547.387089005962</v>
      </c>
      <c r="AE203" s="5">
        <f t="shared" si="204"/>
        <v>69871.731380276993</v>
      </c>
      <c r="AF203" s="5">
        <f t="shared" si="204"/>
        <v>71196.075671548009</v>
      </c>
      <c r="AG203" s="5">
        <f t="shared" si="204"/>
        <v>72520.41996281904</v>
      </c>
      <c r="AH203" s="5">
        <f t="shared" si="204"/>
        <v>73844.764254090056</v>
      </c>
    </row>
    <row r="204" spans="1:34" x14ac:dyDescent="0.35">
      <c r="A204" t="s">
        <v>224</v>
      </c>
      <c r="B204" s="3" t="s">
        <v>1265</v>
      </c>
      <c r="C204" s="4" t="s">
        <v>1263</v>
      </c>
      <c r="D204" s="2">
        <f t="shared" si="196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ref="W204:AH204" si="205">IF(OR((SLOPE($E204:$V204,$E$1:$V$1)*W$1+INTERCEPT($E204:$V204,$E$1:$V$1))&gt;(AVERAGE($E204:$V204)+_xlfn.STDEV.P($E204:$V204)),(SLOPE($E204:$V204,$E$1:$V$1)*W$1+INTERCEPT($E204:$V204,$E$1:$V$1))&lt;(AVERAGE($E204:$V204)-_xlfn.STDEV.P($E204:$V204))),V204,(SLOPE($E204:$V204,$E$1:$V$1)*W$1+INTERCEPT($E204:$V204,$E$1:$V$1)))</f>
        <v>48050.644693217335</v>
      </c>
      <c r="X204" s="5">
        <f t="shared" si="205"/>
        <v>48156.420881862927</v>
      </c>
      <c r="Y204" s="5">
        <f t="shared" si="205"/>
        <v>48262.197070508519</v>
      </c>
      <c r="Z204" s="5">
        <f t="shared" si="205"/>
        <v>48367.973259154111</v>
      </c>
      <c r="AA204" s="5">
        <f t="shared" si="205"/>
        <v>48473.749447799702</v>
      </c>
      <c r="AB204" s="5">
        <f t="shared" si="205"/>
        <v>48579.525636445287</v>
      </c>
      <c r="AC204" s="5">
        <f t="shared" si="205"/>
        <v>48685.301825090879</v>
      </c>
      <c r="AD204" s="5">
        <f t="shared" si="205"/>
        <v>48791.078013736471</v>
      </c>
      <c r="AE204" s="5">
        <f t="shared" si="205"/>
        <v>48896.854202382063</v>
      </c>
      <c r="AF204" s="5">
        <f t="shared" si="205"/>
        <v>49002.630391027655</v>
      </c>
      <c r="AG204" s="5">
        <f t="shared" si="205"/>
        <v>49108.406579673247</v>
      </c>
      <c r="AH204" s="5">
        <f t="shared" si="205"/>
        <v>49214.182768318831</v>
      </c>
    </row>
    <row r="205" spans="1:34" x14ac:dyDescent="0.35">
      <c r="A205" t="s">
        <v>225</v>
      </c>
      <c r="B205" s="3" t="s">
        <v>1265</v>
      </c>
      <c r="C205" s="4" t="s">
        <v>1263</v>
      </c>
      <c r="D205" s="2">
        <f t="shared" si="196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ref="W205:AH205" si="206">IF(OR((SLOPE($E205:$V205,$E$1:$V$1)*W$1+INTERCEPT($E205:$V205,$E$1:$V$1))&gt;(AVERAGE($E205:$V205)+_xlfn.STDEV.P($E205:$V205)),(SLOPE($E205:$V205,$E$1:$V$1)*W$1+INTERCEPT($E205:$V205,$E$1:$V$1))&lt;(AVERAGE($E205:$V205)-_xlfn.STDEV.P($E205:$V205))),V205,(SLOPE($E205:$V205,$E$1:$V$1)*W$1+INTERCEPT($E205:$V205,$E$1:$V$1)))</f>
        <v>51175.264010853396</v>
      </c>
      <c r="X205" s="5">
        <f t="shared" si="206"/>
        <v>51688.96477769014</v>
      </c>
      <c r="Y205" s="5">
        <f t="shared" si="206"/>
        <v>52202.66554452687</v>
      </c>
      <c r="Z205" s="5">
        <f t="shared" si="206"/>
        <v>52716.366311363614</v>
      </c>
      <c r="AA205" s="5">
        <f t="shared" si="206"/>
        <v>53230.067078200351</v>
      </c>
      <c r="AB205" s="5">
        <f t="shared" si="206"/>
        <v>53743.767845037088</v>
      </c>
      <c r="AC205" s="5">
        <f t="shared" si="206"/>
        <v>54257.468611873825</v>
      </c>
      <c r="AD205" s="5">
        <f t="shared" si="206"/>
        <v>54771.169378710561</v>
      </c>
      <c r="AE205" s="5">
        <f t="shared" si="206"/>
        <v>55284.870145547306</v>
      </c>
      <c r="AF205" s="5">
        <f t="shared" si="206"/>
        <v>55798.570912384042</v>
      </c>
      <c r="AG205" s="5">
        <f t="shared" si="206"/>
        <v>56312.271679220779</v>
      </c>
      <c r="AH205" s="5">
        <f t="shared" si="206"/>
        <v>56825.972446057516</v>
      </c>
    </row>
    <row r="206" spans="1:34" x14ac:dyDescent="0.35">
      <c r="A206" t="s">
        <v>226</v>
      </c>
      <c r="B206" s="3" t="s">
        <v>1262</v>
      </c>
      <c r="C206" s="4" t="s">
        <v>1263</v>
      </c>
      <c r="D206" s="2">
        <f t="shared" si="196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ref="W206:AH206" si="207">IF(OR((SLOPE($E206:$V206,$E$1:$V$1)*W$1+INTERCEPT($E206:$V206,$E$1:$V$1))&gt;(AVERAGE($E206:$V206)+_xlfn.STDEV.P($E206:$V206)),(SLOPE($E206:$V206,$E$1:$V$1)*W$1+INTERCEPT($E206:$V206,$E$1:$V$1))&lt;(AVERAGE($E206:$V206)-_xlfn.STDEV.P($E206:$V206))),V206,(SLOPE($E206:$V206,$E$1:$V$1)*W$1+INTERCEPT($E206:$V206,$E$1:$V$1)))</f>
        <v>47620.731858823528</v>
      </c>
      <c r="X206" s="5">
        <f t="shared" si="207"/>
        <v>47837.060517647056</v>
      </c>
      <c r="Y206" s="5">
        <f t="shared" si="207"/>
        <v>48053.389176470584</v>
      </c>
      <c r="Z206" s="5">
        <f t="shared" si="207"/>
        <v>48269.717835294112</v>
      </c>
      <c r="AA206" s="5">
        <f t="shared" si="207"/>
        <v>48486.04649411764</v>
      </c>
      <c r="AB206" s="5">
        <f t="shared" si="207"/>
        <v>48702.375152941167</v>
      </c>
      <c r="AC206" s="5">
        <f t="shared" si="207"/>
        <v>48918.703811764703</v>
      </c>
      <c r="AD206" s="5">
        <f t="shared" si="207"/>
        <v>49135.03247058823</v>
      </c>
      <c r="AE206" s="5">
        <f t="shared" si="207"/>
        <v>49351.361129411758</v>
      </c>
      <c r="AF206" s="5">
        <f t="shared" si="207"/>
        <v>49567.689788235286</v>
      </c>
      <c r="AG206" s="5">
        <f t="shared" si="207"/>
        <v>49784.018447058814</v>
      </c>
      <c r="AH206" s="5">
        <f t="shared" si="207"/>
        <v>50000.347105882342</v>
      </c>
    </row>
    <row r="207" spans="1:34" x14ac:dyDescent="0.35">
      <c r="A207" t="s">
        <v>227</v>
      </c>
      <c r="B207" s="3" t="s">
        <v>1262</v>
      </c>
      <c r="C207" s="4" t="s">
        <v>1263</v>
      </c>
      <c r="D207" s="2">
        <f t="shared" si="196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ref="W207:AH207" si="208">IF(OR((SLOPE($E207:$V207,$E$1:$V$1)*W$1+INTERCEPT($E207:$V207,$E$1:$V$1))&gt;(AVERAGE($E207:$V207)+_xlfn.STDEV.P($E207:$V207)),(SLOPE($E207:$V207,$E$1:$V$1)*W$1+INTERCEPT($E207:$V207,$E$1:$V$1))&lt;(AVERAGE($E207:$V207)-_xlfn.STDEV.P($E207:$V207))),V207,(SLOPE($E207:$V207,$E$1:$V$1)*W$1+INTERCEPT($E207:$V207,$E$1:$V$1)))</f>
        <v>58829.406917647058</v>
      </c>
      <c r="X207" s="5">
        <f t="shared" si="208"/>
        <v>60169.829466873067</v>
      </c>
      <c r="Y207" s="5">
        <f t="shared" si="208"/>
        <v>61510.252016099068</v>
      </c>
      <c r="Z207" s="5">
        <f t="shared" si="208"/>
        <v>62850.674565325076</v>
      </c>
      <c r="AA207" s="5">
        <f t="shared" si="208"/>
        <v>64191.097114551085</v>
      </c>
      <c r="AB207" s="5">
        <f t="shared" si="208"/>
        <v>65531.519663777086</v>
      </c>
      <c r="AC207" s="5">
        <f t="shared" si="208"/>
        <v>66871.942213003087</v>
      </c>
      <c r="AD207" s="5">
        <f t="shared" si="208"/>
        <v>68212.364762229103</v>
      </c>
      <c r="AE207" s="5">
        <f t="shared" si="208"/>
        <v>69552.787311455118</v>
      </c>
      <c r="AF207" s="5">
        <f t="shared" si="208"/>
        <v>70893.20986068112</v>
      </c>
      <c r="AG207" s="5">
        <f t="shared" si="208"/>
        <v>72233.632409907121</v>
      </c>
      <c r="AH207" s="5">
        <f t="shared" si="208"/>
        <v>73574.054959133122</v>
      </c>
    </row>
    <row r="208" spans="1:34" x14ac:dyDescent="0.35">
      <c r="A208" t="s">
        <v>228</v>
      </c>
      <c r="B208" s="3" t="s">
        <v>1266</v>
      </c>
      <c r="C208" s="4" t="s">
        <v>1268</v>
      </c>
      <c r="D208" s="2">
        <f t="shared" si="196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ref="W208:AH208" si="209">IF(OR((SLOPE($E208:$V208,$E$1:$V$1)*W$1+INTERCEPT($E208:$V208,$E$1:$V$1))&gt;(AVERAGE($E208:$V208)+_xlfn.STDEV.P($E208:$V208)),(SLOPE($E208:$V208,$E$1:$V$1)*W$1+INTERCEPT($E208:$V208,$E$1:$V$1))&lt;(AVERAGE($E208:$V208)-_xlfn.STDEV.P($E208:$V208))),V208,(SLOPE($E208:$V208,$E$1:$V$1)*W$1+INTERCEPT($E208:$V208,$E$1:$V$1)))</f>
        <v>73537.146123567305</v>
      </c>
      <c r="X208" s="5">
        <f t="shared" si="209"/>
        <v>76381.01254266061</v>
      </c>
      <c r="Y208" s="5">
        <f t="shared" si="209"/>
        <v>79224.878961753915</v>
      </c>
      <c r="Z208" s="5">
        <f t="shared" si="209"/>
        <v>82068.745380847235</v>
      </c>
      <c r="AA208" s="5">
        <f t="shared" si="209"/>
        <v>84912.611799940554</v>
      </c>
      <c r="AB208" s="5">
        <f t="shared" si="209"/>
        <v>87756.478219033859</v>
      </c>
      <c r="AC208" s="5">
        <f t="shared" si="209"/>
        <v>90600.344638127164</v>
      </c>
      <c r="AD208" s="5">
        <f t="shared" si="209"/>
        <v>93444.211057220469</v>
      </c>
      <c r="AE208" s="5">
        <f t="shared" si="209"/>
        <v>96288.077476313774</v>
      </c>
      <c r="AF208" s="5">
        <f t="shared" si="209"/>
        <v>99131.943895407079</v>
      </c>
      <c r="AG208" s="5">
        <f t="shared" si="209"/>
        <v>101975.81031450038</v>
      </c>
      <c r="AH208" s="5">
        <f t="shared" si="209"/>
        <v>104819.67673359372</v>
      </c>
    </row>
    <row r="209" spans="1:34" x14ac:dyDescent="0.35">
      <c r="A209" t="s">
        <v>229</v>
      </c>
      <c r="B209" s="3" t="s">
        <v>1264</v>
      </c>
      <c r="C209" s="4" t="s">
        <v>1263</v>
      </c>
      <c r="D209" s="2">
        <f t="shared" si="196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ref="W209:AH209" si="210">IF(OR((SLOPE($E209:$V209,$E$1:$V$1)*W$1+INTERCEPT($E209:$V209,$E$1:$V$1))&gt;(AVERAGE($E209:$V209)+_xlfn.STDEV.P($E209:$V209)),(SLOPE($E209:$V209,$E$1:$V$1)*W$1+INTERCEPT($E209:$V209,$E$1:$V$1))&lt;(AVERAGE($E209:$V209)-_xlfn.STDEV.P($E209:$V209))),V209,(SLOPE($E209:$V209,$E$1:$V$1)*W$1+INTERCEPT($E209:$V209,$E$1:$V$1)))</f>
        <v>77335.021214618915</v>
      </c>
      <c r="X209" s="5">
        <f t="shared" si="210"/>
        <v>80705.289665609569</v>
      </c>
      <c r="Y209" s="5">
        <f t="shared" si="210"/>
        <v>84075.558116600208</v>
      </c>
      <c r="Z209" s="5">
        <f t="shared" si="210"/>
        <v>87445.826567590862</v>
      </c>
      <c r="AA209" s="5">
        <f t="shared" si="210"/>
        <v>90816.095018581516</v>
      </c>
      <c r="AB209" s="5">
        <f t="shared" si="210"/>
        <v>94186.363469572156</v>
      </c>
      <c r="AC209" s="5">
        <f t="shared" si="210"/>
        <v>97556.63192056281</v>
      </c>
      <c r="AD209" s="5">
        <f t="shared" si="210"/>
        <v>100926.90037155345</v>
      </c>
      <c r="AE209" s="5">
        <f t="shared" si="210"/>
        <v>104297.1688225441</v>
      </c>
      <c r="AF209" s="5">
        <f t="shared" si="210"/>
        <v>107667.43727353476</v>
      </c>
      <c r="AG209" s="5">
        <f t="shared" si="210"/>
        <v>111037.7057245254</v>
      </c>
      <c r="AH209" s="5">
        <f t="shared" si="210"/>
        <v>114407.97417551605</v>
      </c>
    </row>
    <row r="210" spans="1:34" x14ac:dyDescent="0.35">
      <c r="A210" t="s">
        <v>230</v>
      </c>
      <c r="B210" s="3" t="s">
        <v>1266</v>
      </c>
      <c r="C210" s="4" t="s">
        <v>1263</v>
      </c>
      <c r="D210" s="2">
        <f t="shared" si="196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ref="W210:AH210" si="211">IF(OR((SLOPE($E210:$V210,$E$1:$V$1)*W$1+INTERCEPT($E210:$V210,$E$1:$V$1))&gt;(AVERAGE($E210:$V210)+_xlfn.STDEV.P($E210:$V210)),(SLOPE($E210:$V210,$E$1:$V$1)*W$1+INTERCEPT($E210:$V210,$E$1:$V$1))&lt;(AVERAGE($E210:$V210)-_xlfn.STDEV.P($E210:$V210))),V210,(SLOPE($E210:$V210,$E$1:$V$1)*W$1+INTERCEPT($E210:$V210,$E$1:$V$1)))</f>
        <v>40462.200144429662</v>
      </c>
      <c r="X210" s="5">
        <f t="shared" si="211"/>
        <v>40002.357303644138</v>
      </c>
      <c r="Y210" s="5">
        <f t="shared" si="211"/>
        <v>39542.514462858606</v>
      </c>
      <c r="Z210" s="5">
        <f t="shared" si="211"/>
        <v>39082.671622073081</v>
      </c>
      <c r="AA210" s="5">
        <f t="shared" si="211"/>
        <v>38622.828781287557</v>
      </c>
      <c r="AB210" s="5">
        <f t="shared" si="211"/>
        <v>38162.985940502032</v>
      </c>
      <c r="AC210" s="5">
        <f t="shared" si="211"/>
        <v>37703.143099716508</v>
      </c>
      <c r="AD210" s="5">
        <f t="shared" si="211"/>
        <v>37243.300258930984</v>
      </c>
      <c r="AE210" s="5">
        <f t="shared" si="211"/>
        <v>36783.457418145459</v>
      </c>
      <c r="AF210" s="5">
        <f t="shared" si="211"/>
        <v>36323.614577359935</v>
      </c>
      <c r="AG210" s="5">
        <f t="shared" si="211"/>
        <v>35863.77173657441</v>
      </c>
      <c r="AH210" s="5">
        <f t="shared" si="211"/>
        <v>35403.928895788886</v>
      </c>
    </row>
    <row r="211" spans="1:34" x14ac:dyDescent="0.35">
      <c r="A211" t="s">
        <v>231</v>
      </c>
      <c r="B211" s="3" t="s">
        <v>1265</v>
      </c>
      <c r="C211" s="4" t="s">
        <v>1263</v>
      </c>
      <c r="D211" s="2">
        <f t="shared" si="196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ref="W211:AH211" si="212">IF(OR((SLOPE($E211:$V211,$E$1:$V$1)*W$1+INTERCEPT($E211:$V211,$E$1:$V$1))&gt;(AVERAGE($E211:$V211)+_xlfn.STDEV.P($E211:$V211)),(SLOPE($E211:$V211,$E$1:$V$1)*W$1+INTERCEPT($E211:$V211,$E$1:$V$1))&lt;(AVERAGE($E211:$V211)-_xlfn.STDEV.P($E211:$V211))),V211,(SLOPE($E211:$V211,$E$1:$V$1)*W$1+INTERCEPT($E211:$V211,$E$1:$V$1)))</f>
        <v>41178.316154861473</v>
      </c>
      <c r="X211" s="5">
        <f t="shared" si="212"/>
        <v>40845.501912455424</v>
      </c>
      <c r="Y211" s="5">
        <f t="shared" si="212"/>
        <v>40512.687670049374</v>
      </c>
      <c r="Z211" s="5">
        <f t="shared" si="212"/>
        <v>40179.873427643324</v>
      </c>
      <c r="AA211" s="5">
        <f t="shared" si="212"/>
        <v>39847.059185237275</v>
      </c>
      <c r="AB211" s="5">
        <f t="shared" si="212"/>
        <v>39514.244942831232</v>
      </c>
      <c r="AC211" s="5">
        <f t="shared" si="212"/>
        <v>39181.430700425182</v>
      </c>
      <c r="AD211" s="5">
        <f t="shared" si="212"/>
        <v>38848.616458019133</v>
      </c>
      <c r="AE211" s="5">
        <f t="shared" si="212"/>
        <v>38515.802215613083</v>
      </c>
      <c r="AF211" s="5">
        <f t="shared" si="212"/>
        <v>38182.98797320704</v>
      </c>
      <c r="AG211" s="5">
        <f t="shared" si="212"/>
        <v>37850.173730800991</v>
      </c>
      <c r="AH211" s="5">
        <f t="shared" si="212"/>
        <v>37517.359488394941</v>
      </c>
    </row>
    <row r="212" spans="1:34" x14ac:dyDescent="0.35">
      <c r="A212" t="s">
        <v>232</v>
      </c>
      <c r="B212" s="3" t="s">
        <v>1265</v>
      </c>
      <c r="C212" s="4" t="s">
        <v>1263</v>
      </c>
      <c r="D212" s="2">
        <f t="shared" si="196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ref="W212:AH212" si="213">IF(OR((SLOPE($E212:$V212,$E$1:$V$1)*W$1+INTERCEPT($E212:$V212,$E$1:$V$1))&gt;(AVERAGE($E212:$V212)+_xlfn.STDEV.P($E212:$V212)),(SLOPE($E212:$V212,$E$1:$V$1)*W$1+INTERCEPT($E212:$V212,$E$1:$V$1))&lt;(AVERAGE($E212:$V212)-_xlfn.STDEV.P($E212:$V212))),V212,(SLOPE($E212:$V212,$E$1:$V$1)*W$1+INTERCEPT($E212:$V212,$E$1:$V$1)))</f>
        <v>41386.848304792467</v>
      </c>
      <c r="X212" s="5">
        <f t="shared" si="213"/>
        <v>41079.404846105026</v>
      </c>
      <c r="Y212" s="5">
        <f t="shared" si="213"/>
        <v>40771.961387417585</v>
      </c>
      <c r="Z212" s="5">
        <f t="shared" si="213"/>
        <v>40464.517928730143</v>
      </c>
      <c r="AA212" s="5">
        <f t="shared" si="213"/>
        <v>40157.074470042702</v>
      </c>
      <c r="AB212" s="5">
        <f t="shared" si="213"/>
        <v>39849.631011355254</v>
      </c>
      <c r="AC212" s="5">
        <f t="shared" si="213"/>
        <v>39542.187552667812</v>
      </c>
      <c r="AD212" s="5">
        <f t="shared" si="213"/>
        <v>39542.187552667812</v>
      </c>
      <c r="AE212" s="5">
        <f t="shared" si="213"/>
        <v>39542.187552667812</v>
      </c>
      <c r="AF212" s="5">
        <f t="shared" si="213"/>
        <v>39542.187552667812</v>
      </c>
      <c r="AG212" s="5">
        <f t="shared" si="213"/>
        <v>39542.187552667812</v>
      </c>
      <c r="AH212" s="5">
        <f t="shared" si="213"/>
        <v>39542.187552667812</v>
      </c>
    </row>
    <row r="213" spans="1:34" x14ac:dyDescent="0.35">
      <c r="A213" t="s">
        <v>233</v>
      </c>
      <c r="B213" s="3" t="s">
        <v>1264</v>
      </c>
      <c r="C213" s="4" t="s">
        <v>1263</v>
      </c>
      <c r="D213" s="2">
        <f t="shared" si="196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H213" si="214">IF(OR((SLOPE($E213:$V213,$E$1:$V$1)*W$1+INTERCEPT($E213:$V213,$E$1:$V$1))&gt;(AVERAGE($E213:$V213)+_xlfn.STDEV.P($E213:$V213)),(SLOPE($E213:$V213,$E$1:$V$1)*W$1+INTERCEPT($E213:$V213,$E$1:$V$1))&lt;(AVERAGE($E213:$V213)-_xlfn.STDEV.P($E213:$V213))),V213,(SLOPE($E213:$V213,$E$1:$V$1)*W$1+INTERCEPT($E213:$V213,$E$1:$V$1)))</f>
        <v>29845.1267607843</v>
      </c>
      <c r="X213" s="5">
        <f t="shared" si="214"/>
        <v>28351.616833849315</v>
      </c>
      <c r="Y213" s="5">
        <f t="shared" si="214"/>
        <v>26858.10690691433</v>
      </c>
      <c r="Z213" s="5">
        <f t="shared" si="214"/>
        <v>25364.596979979346</v>
      </c>
      <c r="AA213" s="5">
        <f t="shared" si="214"/>
        <v>23871.087053044364</v>
      </c>
      <c r="AB213" s="5">
        <f t="shared" si="214"/>
        <v>22377.577126109376</v>
      </c>
      <c r="AC213" s="5">
        <f t="shared" si="214"/>
        <v>20884.067199174395</v>
      </c>
      <c r="AD213" s="5">
        <f t="shared" si="214"/>
        <v>19390.557272239406</v>
      </c>
      <c r="AE213" s="5">
        <f t="shared" si="214"/>
        <v>17897.047345304425</v>
      </c>
      <c r="AF213" s="5">
        <f t="shared" si="214"/>
        <v>16403.537418369444</v>
      </c>
      <c r="AG213" s="5">
        <f t="shared" si="214"/>
        <v>14910.027491434455</v>
      </c>
      <c r="AH213" s="5">
        <f t="shared" si="214"/>
        <v>13416.517564499474</v>
      </c>
    </row>
    <row r="214" spans="1:34" x14ac:dyDescent="0.35">
      <c r="A214" t="s">
        <v>234</v>
      </c>
      <c r="B214" s="3" t="s">
        <v>1262</v>
      </c>
      <c r="C214" s="4" t="s">
        <v>1263</v>
      </c>
      <c r="D214" s="2">
        <f t="shared" si="196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ref="W214:AH214" si="215">IF(OR((SLOPE($E214:$V214,$E$1:$V$1)*W$1+INTERCEPT($E214:$V214,$E$1:$V$1))&gt;(AVERAGE($E214:$V214)+_xlfn.STDEV.P($E214:$V214)),(SLOPE($E214:$V214,$E$1:$V$1)*W$1+INTERCEPT($E214:$V214,$E$1:$V$1))&lt;(AVERAGE($E214:$V214)-_xlfn.STDEV.P($E214:$V214))),V214,(SLOPE($E214:$V214,$E$1:$V$1)*W$1+INTERCEPT($E214:$V214,$E$1:$V$1)))</f>
        <v>126157.04639999999</v>
      </c>
      <c r="X214" s="5">
        <f t="shared" si="215"/>
        <v>126157.04639999999</v>
      </c>
      <c r="Y214" s="5">
        <f t="shared" si="215"/>
        <v>126157.04639999999</v>
      </c>
      <c r="Z214" s="5">
        <f t="shared" si="215"/>
        <v>126157.04639999999</v>
      </c>
      <c r="AA214" s="5">
        <f t="shared" si="215"/>
        <v>126157.04639999999</v>
      </c>
      <c r="AB214" s="5">
        <f t="shared" si="215"/>
        <v>126157.04639999999</v>
      </c>
      <c r="AC214" s="5">
        <f t="shared" si="215"/>
        <v>126157.04639999999</v>
      </c>
      <c r="AD214" s="5">
        <f t="shared" si="215"/>
        <v>126157.04639999999</v>
      </c>
      <c r="AE214" s="5">
        <f t="shared" si="215"/>
        <v>126157.04639999999</v>
      </c>
      <c r="AF214" s="5">
        <f t="shared" si="215"/>
        <v>126157.04639999999</v>
      </c>
      <c r="AG214" s="5">
        <f t="shared" si="215"/>
        <v>126157.04639999999</v>
      </c>
      <c r="AH214" s="5">
        <f t="shared" si="215"/>
        <v>126157.04639999999</v>
      </c>
    </row>
    <row r="215" spans="1:34" x14ac:dyDescent="0.35">
      <c r="A215" t="s">
        <v>235</v>
      </c>
      <c r="B215" s="3" t="s">
        <v>1265</v>
      </c>
      <c r="C215" s="4" t="s">
        <v>1263</v>
      </c>
      <c r="D215" s="2">
        <f t="shared" si="196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ref="W215:AH215" si="216">IF(OR((SLOPE($E215:$V215,$E$1:$V$1)*W$1+INTERCEPT($E215:$V215,$E$1:$V$1))&gt;(AVERAGE($E215:$V215)+_xlfn.STDEV.P($E215:$V215)),(SLOPE($E215:$V215,$E$1:$V$1)*W$1+INTERCEPT($E215:$V215,$E$1:$V$1))&lt;(AVERAGE($E215:$V215)-_xlfn.STDEV.P($E215:$V215))),V215,(SLOPE($E215:$V215,$E$1:$V$1)*W$1+INTERCEPT($E215:$V215,$E$1:$V$1)))</f>
        <v>40653.092568332213</v>
      </c>
      <c r="X215" s="5">
        <f t="shared" si="216"/>
        <v>40447.159042889623</v>
      </c>
      <c r="Y215" s="5">
        <f t="shared" si="216"/>
        <v>40241.225517447034</v>
      </c>
      <c r="Z215" s="5">
        <f t="shared" si="216"/>
        <v>40035.291992004437</v>
      </c>
      <c r="AA215" s="5">
        <f t="shared" si="216"/>
        <v>39829.358466561847</v>
      </c>
      <c r="AB215" s="5">
        <f t="shared" si="216"/>
        <v>39623.424941119258</v>
      </c>
      <c r="AC215" s="5">
        <f t="shared" si="216"/>
        <v>39417.491415676668</v>
      </c>
      <c r="AD215" s="5">
        <f t="shared" si="216"/>
        <v>39211.557890234079</v>
      </c>
      <c r="AE215" s="5">
        <f t="shared" si="216"/>
        <v>39005.624364791489</v>
      </c>
      <c r="AF215" s="5">
        <f t="shared" si="216"/>
        <v>38799.690839348899</v>
      </c>
      <c r="AG215" s="5">
        <f t="shared" si="216"/>
        <v>38593.757313906302</v>
      </c>
      <c r="AH215" s="5">
        <f t="shared" si="216"/>
        <v>38387.823788463713</v>
      </c>
    </row>
    <row r="216" spans="1:34" x14ac:dyDescent="0.35">
      <c r="A216" t="s">
        <v>236</v>
      </c>
      <c r="B216" s="3" t="s">
        <v>1265</v>
      </c>
      <c r="C216" s="4" t="s">
        <v>1263</v>
      </c>
      <c r="D216" s="2">
        <f t="shared" si="196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ref="W216:AH216" si="217">IF(OR((SLOPE($E216:$V216,$E$1:$V$1)*W$1+INTERCEPT($E216:$V216,$E$1:$V$1))&gt;(AVERAGE($E216:$V216)+_xlfn.STDEV.P($E216:$V216)),(SLOPE($E216:$V216,$E$1:$V$1)*W$1+INTERCEPT($E216:$V216,$E$1:$V$1))&lt;(AVERAGE($E216:$V216)-_xlfn.STDEV.P($E216:$V216))),V216,(SLOPE($E216:$V216,$E$1:$V$1)*W$1+INTERCEPT($E216:$V216,$E$1:$V$1)))</f>
        <v>32283.033752076681</v>
      </c>
      <c r="X216" s="5">
        <f t="shared" si="217"/>
        <v>32283.033752076681</v>
      </c>
      <c r="Y216" s="5">
        <f t="shared" si="217"/>
        <v>32283.033752076681</v>
      </c>
      <c r="Z216" s="5">
        <f t="shared" si="217"/>
        <v>32283.033752076681</v>
      </c>
      <c r="AA216" s="5">
        <f t="shared" si="217"/>
        <v>32283.033752076681</v>
      </c>
      <c r="AB216" s="5">
        <f t="shared" si="217"/>
        <v>32283.033752076681</v>
      </c>
      <c r="AC216" s="5">
        <f t="shared" si="217"/>
        <v>32283.033752076681</v>
      </c>
      <c r="AD216" s="5">
        <f t="shared" si="217"/>
        <v>32283.033752076681</v>
      </c>
      <c r="AE216" s="5">
        <f t="shared" si="217"/>
        <v>32283.033752076681</v>
      </c>
      <c r="AF216" s="5">
        <f t="shared" si="217"/>
        <v>32283.033752076681</v>
      </c>
      <c r="AG216" s="5">
        <f t="shared" si="217"/>
        <v>32283.033752076681</v>
      </c>
      <c r="AH216" s="5">
        <f t="shared" si="217"/>
        <v>32283.033752076681</v>
      </c>
    </row>
    <row r="217" spans="1:34" x14ac:dyDescent="0.35">
      <c r="A217" t="s">
        <v>237</v>
      </c>
      <c r="B217" s="3" t="s">
        <v>1265</v>
      </c>
      <c r="C217" s="4" t="s">
        <v>1263</v>
      </c>
      <c r="D217" s="2">
        <f t="shared" si="196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ref="W217:AH217" si="218">IF(OR((SLOPE($E217:$V217,$E$1:$V$1)*W$1+INTERCEPT($E217:$V217,$E$1:$V$1))&gt;(AVERAGE($E217:$V217)+_xlfn.STDEV.P($E217:$V217)),(SLOPE($E217:$V217,$E$1:$V$1)*W$1+INTERCEPT($E217:$V217,$E$1:$V$1))&lt;(AVERAGE($E217:$V217)-_xlfn.STDEV.P($E217:$V217))),V217,(SLOPE($E217:$V217,$E$1:$V$1)*W$1+INTERCEPT($E217:$V217,$E$1:$V$1)))</f>
        <v>45816.729046592227</v>
      </c>
      <c r="X217" s="5">
        <f t="shared" si="218"/>
        <v>46275.273379445411</v>
      </c>
      <c r="Y217" s="5">
        <f t="shared" si="218"/>
        <v>46733.817712298594</v>
      </c>
      <c r="Z217" s="5">
        <f t="shared" si="218"/>
        <v>47192.362045151778</v>
      </c>
      <c r="AA217" s="5">
        <f t="shared" si="218"/>
        <v>47650.906378004962</v>
      </c>
      <c r="AB217" s="5">
        <f t="shared" si="218"/>
        <v>48109.450710858146</v>
      </c>
      <c r="AC217" s="5">
        <f t="shared" si="218"/>
        <v>48567.995043711329</v>
      </c>
      <c r="AD217" s="5">
        <f t="shared" si="218"/>
        <v>49026.539376564513</v>
      </c>
      <c r="AE217" s="5">
        <f t="shared" si="218"/>
        <v>49485.083709417697</v>
      </c>
      <c r="AF217" s="5">
        <f t="shared" si="218"/>
        <v>49943.628042270881</v>
      </c>
      <c r="AG217" s="5">
        <f t="shared" si="218"/>
        <v>50402.172375124064</v>
      </c>
      <c r="AH217" s="5">
        <f t="shared" si="218"/>
        <v>50402.172375124064</v>
      </c>
    </row>
    <row r="218" spans="1:34" x14ac:dyDescent="0.35">
      <c r="A218" t="s">
        <v>238</v>
      </c>
      <c r="B218" s="3" t="s">
        <v>1262</v>
      </c>
      <c r="C218" s="4" t="s">
        <v>1263</v>
      </c>
      <c r="D218" s="2">
        <f t="shared" si="196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ref="W218:AH218" si="219">IF(OR((SLOPE($E218:$V218,$E$1:$V$1)*W$1+INTERCEPT($E218:$V218,$E$1:$V$1))&gt;(AVERAGE($E218:$V218)+_xlfn.STDEV.P($E218:$V218)),(SLOPE($E218:$V218,$E$1:$V$1)*W$1+INTERCEPT($E218:$V218,$E$1:$V$1))&lt;(AVERAGE($E218:$V218)-_xlfn.STDEV.P($E218:$V218))),V218,(SLOPE($E218:$V218,$E$1:$V$1)*W$1+INTERCEPT($E218:$V218,$E$1:$V$1)))</f>
        <v>7334.1711937255022</v>
      </c>
      <c r="X218" s="5">
        <f t="shared" si="219"/>
        <v>3741.8898807843216</v>
      </c>
      <c r="Y218" s="5">
        <f t="shared" si="219"/>
        <v>149.60856784315547</v>
      </c>
      <c r="Z218" s="5">
        <f t="shared" si="219"/>
        <v>-3442.6727450980252</v>
      </c>
      <c r="AA218" s="5">
        <f t="shared" si="219"/>
        <v>-7034.9540580392058</v>
      </c>
      <c r="AB218" s="5">
        <f t="shared" si="219"/>
        <v>-10627.235370980372</v>
      </c>
      <c r="AC218" s="5">
        <f t="shared" si="219"/>
        <v>-14219.516683921553</v>
      </c>
      <c r="AD218" s="5">
        <f t="shared" si="219"/>
        <v>-17811.797996862733</v>
      </c>
      <c r="AE218" s="5">
        <f t="shared" si="219"/>
        <v>-17811.797996862733</v>
      </c>
      <c r="AF218" s="5">
        <f t="shared" si="219"/>
        <v>-17811.797996862733</v>
      </c>
      <c r="AG218" s="5">
        <f t="shared" si="219"/>
        <v>-17811.797996862733</v>
      </c>
      <c r="AH218" s="5">
        <f t="shared" si="219"/>
        <v>-17811.797996862733</v>
      </c>
    </row>
    <row r="219" spans="1:34" x14ac:dyDescent="0.35">
      <c r="A219" t="s">
        <v>239</v>
      </c>
      <c r="B219" s="3" t="s">
        <v>1262</v>
      </c>
      <c r="C219" s="4" t="s">
        <v>1263</v>
      </c>
      <c r="D219" s="2">
        <f t="shared" si="196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ref="W219:AH219" si="220">IF(OR((SLOPE($E219:$V219,$E$1:$V$1)*W$1+INTERCEPT($E219:$V219,$E$1:$V$1))&gt;(AVERAGE($E219:$V219)+_xlfn.STDEV.P($E219:$V219)),(SLOPE($E219:$V219,$E$1:$V$1)*W$1+INTERCEPT($E219:$V219,$E$1:$V$1))&lt;(AVERAGE($E219:$V219)-_xlfn.STDEV.P($E219:$V219))),V219,(SLOPE($E219:$V219,$E$1:$V$1)*W$1+INTERCEPT($E219:$V219,$E$1:$V$1)))</f>
        <v>29658.869882352919</v>
      </c>
      <c r="X219" s="5">
        <f t="shared" si="220"/>
        <v>28432.090712074281</v>
      </c>
      <c r="Y219" s="5">
        <f t="shared" si="220"/>
        <v>28432.090712074281</v>
      </c>
      <c r="Z219" s="5">
        <f t="shared" si="220"/>
        <v>28432.090712074281</v>
      </c>
      <c r="AA219" s="5">
        <f t="shared" si="220"/>
        <v>28432.090712074281</v>
      </c>
      <c r="AB219" s="5">
        <f t="shared" si="220"/>
        <v>28432.090712074281</v>
      </c>
      <c r="AC219" s="5">
        <f t="shared" si="220"/>
        <v>28432.090712074281</v>
      </c>
      <c r="AD219" s="5">
        <f t="shared" si="220"/>
        <v>28432.090712074281</v>
      </c>
      <c r="AE219" s="5">
        <f t="shared" si="220"/>
        <v>28432.090712074281</v>
      </c>
      <c r="AF219" s="5">
        <f t="shared" si="220"/>
        <v>28432.090712074281</v>
      </c>
      <c r="AG219" s="5">
        <f t="shared" si="220"/>
        <v>28432.090712074281</v>
      </c>
      <c r="AH219" s="5">
        <f t="shared" si="220"/>
        <v>28432.090712074281</v>
      </c>
    </row>
    <row r="220" spans="1:34" x14ac:dyDescent="0.35">
      <c r="A220" t="s">
        <v>240</v>
      </c>
      <c r="B220" s="3" t="s">
        <v>1262</v>
      </c>
      <c r="C220" s="4" t="s">
        <v>1263</v>
      </c>
      <c r="D220" s="2">
        <f t="shared" si="196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ref="W220:AH220" si="221">IF(OR((SLOPE($E220:$V220,$E$1:$V$1)*W$1+INTERCEPT($E220:$V220,$E$1:$V$1))&gt;(AVERAGE($E220:$V220)+_xlfn.STDEV.P($E220:$V220)),(SLOPE($E220:$V220,$E$1:$V$1)*W$1+INTERCEPT($E220:$V220,$E$1:$V$1))&lt;(AVERAGE($E220:$V220)-_xlfn.STDEV.P($E220:$V220))),V220,(SLOPE($E220:$V220,$E$1:$V$1)*W$1+INTERCEPT($E220:$V220,$E$1:$V$1)))</f>
        <v>61713.062169934637</v>
      </c>
      <c r="X220" s="5">
        <f t="shared" si="221"/>
        <v>63917.715235775715</v>
      </c>
      <c r="Y220" s="5">
        <f t="shared" si="221"/>
        <v>66122.368301616778</v>
      </c>
      <c r="Z220" s="5">
        <f t="shared" si="221"/>
        <v>66122.368301616778</v>
      </c>
      <c r="AA220" s="5">
        <f t="shared" si="221"/>
        <v>66122.368301616778</v>
      </c>
      <c r="AB220" s="5">
        <f t="shared" si="221"/>
        <v>66122.368301616778</v>
      </c>
      <c r="AC220" s="5">
        <f t="shared" si="221"/>
        <v>66122.368301616778</v>
      </c>
      <c r="AD220" s="5">
        <f t="shared" si="221"/>
        <v>66122.368301616778</v>
      </c>
      <c r="AE220" s="5">
        <f t="shared" si="221"/>
        <v>66122.368301616778</v>
      </c>
      <c r="AF220" s="5">
        <f t="shared" si="221"/>
        <v>66122.368301616778</v>
      </c>
      <c r="AG220" s="5">
        <f t="shared" si="221"/>
        <v>66122.368301616778</v>
      </c>
      <c r="AH220" s="5">
        <f t="shared" si="221"/>
        <v>66122.368301616778</v>
      </c>
    </row>
    <row r="221" spans="1:34" x14ac:dyDescent="0.35">
      <c r="A221" t="s">
        <v>241</v>
      </c>
      <c r="B221" s="3" t="s">
        <v>1262</v>
      </c>
      <c r="C221" s="4" t="s">
        <v>1263</v>
      </c>
      <c r="D221" s="2">
        <f t="shared" si="196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ref="W221:AH221" si="222">IF(OR((SLOPE($E221:$V221,$E$1:$V$1)*W$1+INTERCEPT($E221:$V221,$E$1:$V$1))&gt;(AVERAGE($E221:$V221)+_xlfn.STDEV.P($E221:$V221)),(SLOPE($E221:$V221,$E$1:$V$1)*W$1+INTERCEPT($E221:$V221,$E$1:$V$1))&lt;(AVERAGE($E221:$V221)-_xlfn.STDEV.P($E221:$V221))),V221,(SLOPE($E221:$V221,$E$1:$V$1)*W$1+INTERCEPT($E221:$V221,$E$1:$V$1)))</f>
        <v>10146.878875933267</v>
      </c>
      <c r="X221" s="5">
        <f t="shared" si="222"/>
        <v>6882.2032294466771</v>
      </c>
      <c r="Y221" s="5">
        <f t="shared" si="222"/>
        <v>3617.5275829600869</v>
      </c>
      <c r="Z221" s="5">
        <f t="shared" si="222"/>
        <v>352.85193647349661</v>
      </c>
      <c r="AA221" s="5">
        <f t="shared" si="222"/>
        <v>-2911.8237100130937</v>
      </c>
      <c r="AB221" s="5">
        <f t="shared" si="222"/>
        <v>-6176.4993564996694</v>
      </c>
      <c r="AC221" s="5">
        <f t="shared" si="222"/>
        <v>-9441.1750029862596</v>
      </c>
      <c r="AD221" s="5">
        <f t="shared" si="222"/>
        <v>-12705.85064947285</v>
      </c>
      <c r="AE221" s="5">
        <f t="shared" si="222"/>
        <v>-15970.52629595944</v>
      </c>
      <c r="AF221" s="5">
        <f t="shared" si="222"/>
        <v>-19235.20194244603</v>
      </c>
      <c r="AG221" s="5">
        <f t="shared" si="222"/>
        <v>-22499.877588932621</v>
      </c>
      <c r="AH221" s="5">
        <f t="shared" si="222"/>
        <v>-25764.553235419211</v>
      </c>
    </row>
    <row r="222" spans="1:34" x14ac:dyDescent="0.35">
      <c r="A222" t="s">
        <v>242</v>
      </c>
      <c r="B222" s="3" t="s">
        <v>1262</v>
      </c>
      <c r="C222" s="4" t="s">
        <v>1263</v>
      </c>
      <c r="D222" s="2">
        <f t="shared" si="196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ref="W222:AH222" si="223">IF(OR((SLOPE($E222:$V222,$E$1:$V$1)*W$1+INTERCEPT($E222:$V222,$E$1:$V$1))&gt;(AVERAGE($E222:$V222)+_xlfn.STDEV.P($E222:$V222)),(SLOPE($E222:$V222,$E$1:$V$1)*W$1+INTERCEPT($E222:$V222,$E$1:$V$1))&lt;(AVERAGE($E222:$V222)-_xlfn.STDEV.P($E222:$V222))),V222,(SLOPE($E222:$V222,$E$1:$V$1)*W$1+INTERCEPT($E222:$V222,$E$1:$V$1)))</f>
        <v>29446.120593464053</v>
      </c>
      <c r="X222" s="5">
        <f t="shared" si="223"/>
        <v>28253.384216167869</v>
      </c>
      <c r="Y222" s="5">
        <f t="shared" si="223"/>
        <v>27060.647838871686</v>
      </c>
      <c r="Z222" s="5">
        <f t="shared" si="223"/>
        <v>25867.911461575506</v>
      </c>
      <c r="AA222" s="5">
        <f t="shared" si="223"/>
        <v>24675.175084279326</v>
      </c>
      <c r="AB222" s="5">
        <f t="shared" si="223"/>
        <v>23482.438706983143</v>
      </c>
      <c r="AC222" s="5">
        <f t="shared" si="223"/>
        <v>22289.702329686959</v>
      </c>
      <c r="AD222" s="5">
        <f t="shared" si="223"/>
        <v>21096.965952390779</v>
      </c>
      <c r="AE222" s="5">
        <f t="shared" si="223"/>
        <v>19904.2295750946</v>
      </c>
      <c r="AF222" s="5">
        <f t="shared" si="223"/>
        <v>18711.493197798416</v>
      </c>
      <c r="AG222" s="5">
        <f t="shared" si="223"/>
        <v>17518.756820502233</v>
      </c>
      <c r="AH222" s="5">
        <f t="shared" si="223"/>
        <v>16326.020443206056</v>
      </c>
    </row>
    <row r="223" spans="1:34" x14ac:dyDescent="0.35">
      <c r="A223" t="s">
        <v>243</v>
      </c>
      <c r="B223" s="3" t="s">
        <v>1262</v>
      </c>
      <c r="C223" s="4" t="s">
        <v>1263</v>
      </c>
      <c r="D223" s="2">
        <f t="shared" si="196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ref="W223:AH223" si="224">IF(OR((SLOPE($E223:$V223,$E$1:$V$1)*W$1+INTERCEPT($E223:$V223,$E$1:$V$1))&gt;(AVERAGE($E223:$V223)+_xlfn.STDEV.P($E223:$V223)),(SLOPE($E223:$V223,$E$1:$V$1)*W$1+INTERCEPT($E223:$V223,$E$1:$V$1))&lt;(AVERAGE($E223:$V223)-_xlfn.STDEV.P($E223:$V223))),V223,(SLOPE($E223:$V223,$E$1:$V$1)*W$1+INTERCEPT($E223:$V223,$E$1:$V$1)))</f>
        <v>51105.240525298141</v>
      </c>
      <c r="X223" s="5">
        <f t="shared" si="224"/>
        <v>52280.794488163287</v>
      </c>
      <c r="Y223" s="5">
        <f t="shared" si="224"/>
        <v>53456.348451028447</v>
      </c>
      <c r="Z223" s="5">
        <f t="shared" si="224"/>
        <v>54631.902413893593</v>
      </c>
      <c r="AA223" s="5">
        <f t="shared" si="224"/>
        <v>55807.456376758753</v>
      </c>
      <c r="AB223" s="5">
        <f t="shared" si="224"/>
        <v>56983.010339623899</v>
      </c>
      <c r="AC223" s="5">
        <f t="shared" si="224"/>
        <v>58158.56430248906</v>
      </c>
      <c r="AD223" s="5">
        <f t="shared" si="224"/>
        <v>59334.118265354213</v>
      </c>
      <c r="AE223" s="5">
        <f t="shared" si="224"/>
        <v>60509.672228219366</v>
      </c>
      <c r="AF223" s="5">
        <f t="shared" si="224"/>
        <v>61685.226191084526</v>
      </c>
      <c r="AG223" s="5">
        <f t="shared" si="224"/>
        <v>62860.780153949672</v>
      </c>
      <c r="AH223" s="5">
        <f t="shared" si="224"/>
        <v>64036.334116814833</v>
      </c>
    </row>
    <row r="224" spans="1:34" x14ac:dyDescent="0.35">
      <c r="A224" t="s">
        <v>244</v>
      </c>
      <c r="B224" s="3" t="s">
        <v>1262</v>
      </c>
      <c r="C224" s="4" t="s">
        <v>1263</v>
      </c>
      <c r="D224" s="2">
        <f t="shared" si="196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ref="W224:AH224" si="225">IF(OR((SLOPE($E224:$V224,$E$1:$V$1)*W$1+INTERCEPT($E224:$V224,$E$1:$V$1))&gt;(AVERAGE($E224:$V224)+_xlfn.STDEV.P($E224:$V224)),(SLOPE($E224:$V224,$E$1:$V$1)*W$1+INTERCEPT($E224:$V224,$E$1:$V$1))&lt;(AVERAGE($E224:$V224)-_xlfn.STDEV.P($E224:$V224))),V224,(SLOPE($E224:$V224,$E$1:$V$1)*W$1+INTERCEPT($E224:$V224,$E$1:$V$1)))</f>
        <v>20961.397949444392</v>
      </c>
      <c r="X224" s="5">
        <f t="shared" si="225"/>
        <v>19120.346011291265</v>
      </c>
      <c r="Y224" s="5">
        <f t="shared" si="225"/>
        <v>17279.294073138139</v>
      </c>
      <c r="Z224" s="5">
        <f t="shared" si="225"/>
        <v>15438.242134985012</v>
      </c>
      <c r="AA224" s="5">
        <f t="shared" si="225"/>
        <v>13597.190196831885</v>
      </c>
      <c r="AB224" s="5">
        <f t="shared" si="225"/>
        <v>11756.138258678751</v>
      </c>
      <c r="AC224" s="5">
        <f t="shared" si="225"/>
        <v>9915.0863205256246</v>
      </c>
      <c r="AD224" s="5">
        <f t="shared" si="225"/>
        <v>8074.0343823724979</v>
      </c>
      <c r="AE224" s="5">
        <f t="shared" si="225"/>
        <v>8074.0343823724979</v>
      </c>
      <c r="AF224" s="5">
        <f t="shared" si="225"/>
        <v>8074.0343823724979</v>
      </c>
      <c r="AG224" s="5">
        <f t="shared" si="225"/>
        <v>8074.0343823724979</v>
      </c>
      <c r="AH224" s="5">
        <f t="shared" si="225"/>
        <v>8074.0343823724979</v>
      </c>
    </row>
    <row r="225" spans="1:34" x14ac:dyDescent="0.35">
      <c r="A225" t="s">
        <v>245</v>
      </c>
      <c r="B225" s="3" t="s">
        <v>1265</v>
      </c>
      <c r="C225" s="4" t="s">
        <v>1263</v>
      </c>
      <c r="D225" s="2">
        <f t="shared" si="196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ref="W225:AH225" si="226">IF(OR((SLOPE($E225:$V225,$E$1:$V$1)*W$1+INTERCEPT($E225:$V225,$E$1:$V$1))&gt;(AVERAGE($E225:$V225)+_xlfn.STDEV.P($E225:$V225)),(SLOPE($E225:$V225,$E$1:$V$1)*W$1+INTERCEPT($E225:$V225,$E$1:$V$1))&lt;(AVERAGE($E225:$V225)-_xlfn.STDEV.P($E225:$V225))),V225,(SLOPE($E225:$V225,$E$1:$V$1)*W$1+INTERCEPT($E225:$V225,$E$1:$V$1)))</f>
        <v>43770.464427847277</v>
      </c>
      <c r="X225" s="5">
        <f t="shared" si="226"/>
        <v>44193.267199054986</v>
      </c>
      <c r="Y225" s="5">
        <f t="shared" si="226"/>
        <v>44616.069970262703</v>
      </c>
      <c r="Z225" s="5">
        <f t="shared" si="226"/>
        <v>45038.872741470412</v>
      </c>
      <c r="AA225" s="5">
        <f t="shared" si="226"/>
        <v>45461.675512678128</v>
      </c>
      <c r="AB225" s="5">
        <f t="shared" si="226"/>
        <v>45884.478283885837</v>
      </c>
      <c r="AC225" s="5">
        <f t="shared" si="226"/>
        <v>46307.281055093554</v>
      </c>
      <c r="AD225" s="5">
        <f t="shared" si="226"/>
        <v>46730.083826301263</v>
      </c>
      <c r="AE225" s="5">
        <f t="shared" si="226"/>
        <v>47152.886597508972</v>
      </c>
      <c r="AF225" s="5">
        <f t="shared" si="226"/>
        <v>47575.689368716688</v>
      </c>
      <c r="AG225" s="5">
        <f t="shared" si="226"/>
        <v>47998.492139924398</v>
      </c>
      <c r="AH225" s="5">
        <f t="shared" si="226"/>
        <v>48421.294911132114</v>
      </c>
    </row>
    <row r="226" spans="1:34" x14ac:dyDescent="0.35">
      <c r="A226" t="s">
        <v>246</v>
      </c>
      <c r="B226" s="3" t="s">
        <v>1262</v>
      </c>
      <c r="C226" s="4" t="s">
        <v>1263</v>
      </c>
      <c r="D226" s="2">
        <f t="shared" si="196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ref="W226:AH226" si="227">IF(OR((SLOPE($E226:$V226,$E$1:$V$1)*W$1+INTERCEPT($E226:$V226,$E$1:$V$1))&gt;(AVERAGE($E226:$V226)+_xlfn.STDEV.P($E226:$V226)),(SLOPE($E226:$V226,$E$1:$V$1)*W$1+INTERCEPT($E226:$V226,$E$1:$V$1))&lt;(AVERAGE($E226:$V226)-_xlfn.STDEV.P($E226:$V226))),V226,(SLOPE($E226:$V226,$E$1:$V$1)*W$1+INTERCEPT($E226:$V226,$E$1:$V$1)))</f>
        <v>62678.075946552817</v>
      </c>
      <c r="X226" s="5">
        <f t="shared" si="227"/>
        <v>65170.404354979146</v>
      </c>
      <c r="Y226" s="5">
        <f t="shared" si="227"/>
        <v>67662.732763405482</v>
      </c>
      <c r="Z226" s="5">
        <f t="shared" si="227"/>
        <v>70155.061171831796</v>
      </c>
      <c r="AA226" s="5">
        <f t="shared" si="227"/>
        <v>72647.389580258139</v>
      </c>
      <c r="AB226" s="5">
        <f t="shared" si="227"/>
        <v>75139.717988684453</v>
      </c>
      <c r="AC226" s="5">
        <f t="shared" si="227"/>
        <v>75139.717988684453</v>
      </c>
      <c r="AD226" s="5">
        <f t="shared" si="227"/>
        <v>75139.717988684453</v>
      </c>
      <c r="AE226" s="5">
        <f t="shared" si="227"/>
        <v>75139.717988684453</v>
      </c>
      <c r="AF226" s="5">
        <f t="shared" si="227"/>
        <v>75139.717988684453</v>
      </c>
      <c r="AG226" s="5">
        <f t="shared" si="227"/>
        <v>75139.717988684453</v>
      </c>
      <c r="AH226" s="5">
        <f t="shared" si="227"/>
        <v>75139.717988684453</v>
      </c>
    </row>
    <row r="227" spans="1:34" x14ac:dyDescent="0.35">
      <c r="A227" t="s">
        <v>247</v>
      </c>
      <c r="B227" s="3" t="s">
        <v>1265</v>
      </c>
      <c r="C227" s="4" t="s">
        <v>1263</v>
      </c>
      <c r="D227" s="2">
        <f t="shared" si="196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ref="W227:AH227" si="228">IF(OR((SLOPE($E227:$V227,$E$1:$V$1)*W$1+INTERCEPT($E227:$V227,$E$1:$V$1))&gt;(AVERAGE($E227:$V227)+_xlfn.STDEV.P($E227:$V227)),(SLOPE($E227:$V227,$E$1:$V$1)*W$1+INTERCEPT($E227:$V227,$E$1:$V$1))&lt;(AVERAGE($E227:$V227)-_xlfn.STDEV.P($E227:$V227))),V227,(SLOPE($E227:$V227,$E$1:$V$1)*W$1+INTERCEPT($E227:$V227,$E$1:$V$1)))</f>
        <v>61148.354400000004</v>
      </c>
      <c r="X227" s="5">
        <f t="shared" si="228"/>
        <v>61148.354400000004</v>
      </c>
      <c r="Y227" s="5">
        <f t="shared" si="228"/>
        <v>61148.354400000004</v>
      </c>
      <c r="Z227" s="5">
        <f t="shared" si="228"/>
        <v>61148.354400000004</v>
      </c>
      <c r="AA227" s="5">
        <f t="shared" si="228"/>
        <v>61148.354400000004</v>
      </c>
      <c r="AB227" s="5">
        <f t="shared" si="228"/>
        <v>61148.354400000004</v>
      </c>
      <c r="AC227" s="5">
        <f t="shared" si="228"/>
        <v>61148.354400000004</v>
      </c>
      <c r="AD227" s="5">
        <f t="shared" si="228"/>
        <v>61148.354400000004</v>
      </c>
      <c r="AE227" s="5">
        <f t="shared" si="228"/>
        <v>61148.354400000004</v>
      </c>
      <c r="AF227" s="5">
        <f t="shared" si="228"/>
        <v>61148.354400000004</v>
      </c>
      <c r="AG227" s="5">
        <f t="shared" si="228"/>
        <v>61148.354400000004</v>
      </c>
      <c r="AH227" s="5">
        <f t="shared" si="228"/>
        <v>61148.354400000004</v>
      </c>
    </row>
    <row r="228" spans="1:34" x14ac:dyDescent="0.35">
      <c r="A228" t="s">
        <v>248</v>
      </c>
      <c r="B228" s="3" t="s">
        <v>1265</v>
      </c>
      <c r="C228" s="4" t="s">
        <v>1263</v>
      </c>
      <c r="D228" s="2">
        <f t="shared" si="196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ref="W228:AH228" si="229">IF(OR((SLOPE($E228:$V228,$E$1:$V$1)*W$1+INTERCEPT($E228:$V228,$E$1:$V$1))&gt;(AVERAGE($E228:$V228)+_xlfn.STDEV.P($E228:$V228)),(SLOPE($E228:$V228,$E$1:$V$1)*W$1+INTERCEPT($E228:$V228,$E$1:$V$1))&lt;(AVERAGE($E228:$V228)-_xlfn.STDEV.P($E228:$V228))),V228,(SLOPE($E228:$V228,$E$1:$V$1)*W$1+INTERCEPT($E228:$V228,$E$1:$V$1)))</f>
        <v>42533.75823529411</v>
      </c>
      <c r="X228" s="5">
        <f t="shared" si="229"/>
        <v>42983.814891640861</v>
      </c>
      <c r="Y228" s="5">
        <f t="shared" si="229"/>
        <v>43433.871547987612</v>
      </c>
      <c r="Z228" s="5">
        <f t="shared" si="229"/>
        <v>43883.928204334363</v>
      </c>
      <c r="AA228" s="5">
        <f t="shared" si="229"/>
        <v>44333.984860681107</v>
      </c>
      <c r="AB228" s="5">
        <f t="shared" si="229"/>
        <v>44784.041517027857</v>
      </c>
      <c r="AC228" s="5">
        <f t="shared" si="229"/>
        <v>45234.098173374608</v>
      </c>
      <c r="AD228" s="5">
        <f t="shared" si="229"/>
        <v>45684.154829721359</v>
      </c>
      <c r="AE228" s="5">
        <f t="shared" si="229"/>
        <v>46134.211486068103</v>
      </c>
      <c r="AF228" s="5">
        <f t="shared" si="229"/>
        <v>46584.268142414854</v>
      </c>
      <c r="AG228" s="5">
        <f t="shared" si="229"/>
        <v>46584.268142414854</v>
      </c>
      <c r="AH228" s="5">
        <f t="shared" si="229"/>
        <v>46584.268142414854</v>
      </c>
    </row>
    <row r="229" spans="1:34" x14ac:dyDescent="0.35">
      <c r="A229" t="s">
        <v>249</v>
      </c>
      <c r="B229" s="3" t="s">
        <v>1266</v>
      </c>
      <c r="C229" s="4" t="s">
        <v>1267</v>
      </c>
      <c r="D229" s="2">
        <f t="shared" si="196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H229" si="230">IF(OR((SLOPE($E229:$V229,$E$1:$V$1)*W$1+INTERCEPT($E229:$V229,$E$1:$V$1))&gt;(AVERAGE($E229:$V229)+_xlfn.STDEV.P($E229:$V229)),(SLOPE($E229:$V229,$E$1:$V$1)*W$1+INTERCEPT($E229:$V229,$E$1:$V$1))&lt;(AVERAGE($E229:$V229)-_xlfn.STDEV.P($E229:$V229))),V229,(SLOPE($E229:$V229,$E$1:$V$1)*W$1+INTERCEPT($E229:$V229,$E$1:$V$1)))</f>
        <v>0</v>
      </c>
      <c r="X229" s="5">
        <f t="shared" si="230"/>
        <v>0</v>
      </c>
      <c r="Y229" s="5">
        <f t="shared" si="230"/>
        <v>0</v>
      </c>
      <c r="Z229" s="5">
        <f t="shared" si="230"/>
        <v>0</v>
      </c>
      <c r="AA229" s="5">
        <f t="shared" si="230"/>
        <v>0</v>
      </c>
      <c r="AB229" s="5">
        <f t="shared" si="230"/>
        <v>0</v>
      </c>
      <c r="AC229" s="5">
        <f t="shared" si="230"/>
        <v>0</v>
      </c>
      <c r="AD229" s="5">
        <f t="shared" si="230"/>
        <v>0</v>
      </c>
      <c r="AE229" s="5">
        <f t="shared" si="230"/>
        <v>0</v>
      </c>
      <c r="AF229" s="5">
        <f t="shared" si="230"/>
        <v>0</v>
      </c>
      <c r="AG229" s="5">
        <f t="shared" si="230"/>
        <v>0</v>
      </c>
      <c r="AH229" s="5">
        <f t="shared" si="230"/>
        <v>0</v>
      </c>
    </row>
    <row r="230" spans="1:34" x14ac:dyDescent="0.35">
      <c r="A230" t="s">
        <v>250</v>
      </c>
      <c r="B230" s="3" t="s">
        <v>1265</v>
      </c>
      <c r="C230" s="4" t="s">
        <v>1263</v>
      </c>
      <c r="D230" s="2">
        <f t="shared" si="196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ref="W230:AH230" si="231">IF(OR((SLOPE($E230:$V230,$E$1:$V$1)*W$1+INTERCEPT($E230:$V230,$E$1:$V$1))&gt;(AVERAGE($E230:$V230)+_xlfn.STDEV.P($E230:$V230)),(SLOPE($E230:$V230,$E$1:$V$1)*W$1+INTERCEPT($E230:$V230,$E$1:$V$1))&lt;(AVERAGE($E230:$V230)-_xlfn.STDEV.P($E230:$V230))),V230,(SLOPE($E230:$V230,$E$1:$V$1)*W$1+INTERCEPT($E230:$V230,$E$1:$V$1)))</f>
        <v>27480.959192619175</v>
      </c>
      <c r="X230" s="5">
        <f t="shared" si="231"/>
        <v>26374.562908322438</v>
      </c>
      <c r="Y230" s="5">
        <f t="shared" si="231"/>
        <v>25268.1666240257</v>
      </c>
      <c r="Z230" s="5">
        <f t="shared" si="231"/>
        <v>24161.770339728966</v>
      </c>
      <c r="AA230" s="5">
        <f t="shared" si="231"/>
        <v>23055.374055432228</v>
      </c>
      <c r="AB230" s="5">
        <f t="shared" si="231"/>
        <v>21948.977771135491</v>
      </c>
      <c r="AC230" s="5">
        <f t="shared" si="231"/>
        <v>20842.581486838753</v>
      </c>
      <c r="AD230" s="5">
        <f t="shared" si="231"/>
        <v>19736.185202542016</v>
      </c>
      <c r="AE230" s="5">
        <f t="shared" si="231"/>
        <v>18629.788918245282</v>
      </c>
      <c r="AF230" s="5">
        <f t="shared" si="231"/>
        <v>17523.392633948544</v>
      </c>
      <c r="AG230" s="5">
        <f t="shared" si="231"/>
        <v>16416.996349651807</v>
      </c>
      <c r="AH230" s="5">
        <f t="shared" si="231"/>
        <v>15310.600065355073</v>
      </c>
    </row>
    <row r="231" spans="1:34" x14ac:dyDescent="0.35">
      <c r="A231" t="s">
        <v>251</v>
      </c>
      <c r="B231" s="3" t="s">
        <v>1265</v>
      </c>
      <c r="C231" s="4" t="s">
        <v>1263</v>
      </c>
      <c r="D231" s="2">
        <f t="shared" si="196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ref="W231:AH231" si="232">IF(OR((SLOPE($E231:$V231,$E$1:$V$1)*W$1+INTERCEPT($E231:$V231,$E$1:$V$1))&gt;(AVERAGE($E231:$V231)+_xlfn.STDEV.P($E231:$V231)),(SLOPE($E231:$V231,$E$1:$V$1)*W$1+INTERCEPT($E231:$V231,$E$1:$V$1))&lt;(AVERAGE($E231:$V231)-_xlfn.STDEV.P($E231:$V231))),V231,(SLOPE($E231:$V231,$E$1:$V$1)*W$1+INTERCEPT($E231:$V231,$E$1:$V$1)))</f>
        <v>40048.929035294117</v>
      </c>
      <c r="X231" s="5">
        <f t="shared" si="232"/>
        <v>40303.964660061923</v>
      </c>
      <c r="Y231" s="5">
        <f t="shared" si="232"/>
        <v>40559.000284829723</v>
      </c>
      <c r="Z231" s="5">
        <f t="shared" si="232"/>
        <v>40814.035909597529</v>
      </c>
      <c r="AA231" s="5">
        <f t="shared" si="232"/>
        <v>41069.071534365328</v>
      </c>
      <c r="AB231" s="5">
        <f t="shared" si="232"/>
        <v>41324.107159133127</v>
      </c>
      <c r="AC231" s="5">
        <f t="shared" si="232"/>
        <v>41579.142783900934</v>
      </c>
      <c r="AD231" s="5">
        <f t="shared" si="232"/>
        <v>41834.178408668733</v>
      </c>
      <c r="AE231" s="5">
        <f t="shared" si="232"/>
        <v>42089.214033436539</v>
      </c>
      <c r="AF231" s="5">
        <f t="shared" si="232"/>
        <v>42344.249658204339</v>
      </c>
      <c r="AG231" s="5">
        <f t="shared" si="232"/>
        <v>42599.285282972145</v>
      </c>
      <c r="AH231" s="5">
        <f t="shared" si="232"/>
        <v>42854.320907739944</v>
      </c>
    </row>
    <row r="232" spans="1:34" x14ac:dyDescent="0.35">
      <c r="A232" t="s">
        <v>252</v>
      </c>
      <c r="B232" s="3" t="s">
        <v>1266</v>
      </c>
      <c r="C232" s="4" t="s">
        <v>1263</v>
      </c>
      <c r="D232" s="2">
        <f t="shared" si="196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ref="W232:AH232" si="233">IF(OR((SLOPE($E232:$V232,$E$1:$V$1)*W$1+INTERCEPT($E232:$V232,$E$1:$V$1))&gt;(AVERAGE($E232:$V232)+_xlfn.STDEV.P($E232:$V232)),(SLOPE($E232:$V232,$E$1:$V$1)*W$1+INTERCEPT($E232:$V232,$E$1:$V$1))&lt;(AVERAGE($E232:$V232)-_xlfn.STDEV.P($E232:$V232))),V232,(SLOPE($E232:$V232,$E$1:$V$1)*W$1+INTERCEPT($E232:$V232,$E$1:$V$1)))</f>
        <v>60368.633270962382</v>
      </c>
      <c r="X232" s="5">
        <f t="shared" si="233"/>
        <v>62759.303002054017</v>
      </c>
      <c r="Y232" s="5">
        <f t="shared" si="233"/>
        <v>65149.97273314566</v>
      </c>
      <c r="Z232" s="5">
        <f t="shared" si="233"/>
        <v>67540.642464237288</v>
      </c>
      <c r="AA232" s="5">
        <f t="shared" si="233"/>
        <v>69931.312195328937</v>
      </c>
      <c r="AB232" s="5">
        <f t="shared" si="233"/>
        <v>72321.981926420573</v>
      </c>
      <c r="AC232" s="5">
        <f t="shared" si="233"/>
        <v>74712.651657512208</v>
      </c>
      <c r="AD232" s="5">
        <f t="shared" si="233"/>
        <v>77103.321388603843</v>
      </c>
      <c r="AE232" s="5">
        <f t="shared" si="233"/>
        <v>79493.991119695478</v>
      </c>
      <c r="AF232" s="5">
        <f t="shared" si="233"/>
        <v>81884.660850787113</v>
      </c>
      <c r="AG232" s="5">
        <f t="shared" si="233"/>
        <v>81884.660850787113</v>
      </c>
      <c r="AH232" s="5">
        <f t="shared" si="233"/>
        <v>81884.660850787113</v>
      </c>
    </row>
    <row r="233" spans="1:34" x14ac:dyDescent="0.35">
      <c r="A233" t="s">
        <v>253</v>
      </c>
      <c r="B233" s="3" t="s">
        <v>1262</v>
      </c>
      <c r="C233" s="4" t="s">
        <v>1263</v>
      </c>
      <c r="D233" s="2">
        <f t="shared" si="196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ref="W233:AH233" si="234">IF(OR((SLOPE($E233:$V233,$E$1:$V$1)*W$1+INTERCEPT($E233:$V233,$E$1:$V$1))&gt;(AVERAGE($E233:$V233)+_xlfn.STDEV.P($E233:$V233)),(SLOPE($E233:$V233,$E$1:$V$1)*W$1+INTERCEPT($E233:$V233,$E$1:$V$1))&lt;(AVERAGE($E233:$V233)-_xlfn.STDEV.P($E233:$V233))),V233,(SLOPE($E233:$V233,$E$1:$V$1)*W$1+INTERCEPT($E233:$V233,$E$1:$V$1)))</f>
        <v>40444.311764705875</v>
      </c>
      <c r="X233" s="5">
        <f t="shared" si="234"/>
        <v>40772.968266253869</v>
      </c>
      <c r="Y233" s="5">
        <f t="shared" si="234"/>
        <v>41101.624767801855</v>
      </c>
      <c r="Z233" s="5">
        <f t="shared" si="234"/>
        <v>41430.281269349842</v>
      </c>
      <c r="AA233" s="5">
        <f t="shared" si="234"/>
        <v>41758.937770897828</v>
      </c>
      <c r="AB233" s="5">
        <f t="shared" si="234"/>
        <v>42087.594272445815</v>
      </c>
      <c r="AC233" s="5">
        <f t="shared" si="234"/>
        <v>42416.250773993801</v>
      </c>
      <c r="AD233" s="5">
        <f t="shared" si="234"/>
        <v>42744.907275541787</v>
      </c>
      <c r="AE233" s="5">
        <f t="shared" si="234"/>
        <v>43073.563777089781</v>
      </c>
      <c r="AF233" s="5">
        <f t="shared" si="234"/>
        <v>43402.220278637767</v>
      </c>
      <c r="AG233" s="5">
        <f t="shared" si="234"/>
        <v>43730.876780185754</v>
      </c>
      <c r="AH233" s="5">
        <f t="shared" si="234"/>
        <v>44059.53328173374</v>
      </c>
    </row>
    <row r="234" spans="1:34" x14ac:dyDescent="0.35">
      <c r="A234" t="s">
        <v>254</v>
      </c>
      <c r="B234" s="3" t="s">
        <v>1262</v>
      </c>
      <c r="C234" s="4" t="s">
        <v>1263</v>
      </c>
      <c r="D234" s="2">
        <f t="shared" si="196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ref="W234:AH234" si="235">IF(OR((SLOPE($E234:$V234,$E$1:$V$1)*W$1+INTERCEPT($E234:$V234,$E$1:$V$1))&gt;(AVERAGE($E234:$V234)+_xlfn.STDEV.P($E234:$V234)),(SLOPE($E234:$V234,$E$1:$V$1)*W$1+INTERCEPT($E234:$V234,$E$1:$V$1))&lt;(AVERAGE($E234:$V234)-_xlfn.STDEV.P($E234:$V234))),V234,(SLOPE($E234:$V234,$E$1:$V$1)*W$1+INTERCEPT($E234:$V234,$E$1:$V$1)))</f>
        <v>66073.73294117648</v>
      </c>
      <c r="X234" s="5">
        <f t="shared" si="235"/>
        <v>69153.169040247682</v>
      </c>
      <c r="Y234" s="5">
        <f t="shared" si="235"/>
        <v>72232.605139318883</v>
      </c>
      <c r="Z234" s="5">
        <f t="shared" si="235"/>
        <v>75312.041238390084</v>
      </c>
      <c r="AA234" s="5">
        <f t="shared" si="235"/>
        <v>75312.041238390084</v>
      </c>
      <c r="AB234" s="5">
        <f t="shared" si="235"/>
        <v>75312.041238390084</v>
      </c>
      <c r="AC234" s="5">
        <f t="shared" si="235"/>
        <v>75312.041238390084</v>
      </c>
      <c r="AD234" s="5">
        <f t="shared" si="235"/>
        <v>75312.041238390084</v>
      </c>
      <c r="AE234" s="5">
        <f t="shared" si="235"/>
        <v>75312.041238390084</v>
      </c>
      <c r="AF234" s="5">
        <f t="shared" si="235"/>
        <v>75312.041238390084</v>
      </c>
      <c r="AG234" s="5">
        <f t="shared" si="235"/>
        <v>75312.041238390084</v>
      </c>
      <c r="AH234" s="5">
        <f t="shared" si="235"/>
        <v>75312.041238390084</v>
      </c>
    </row>
    <row r="235" spans="1:34" x14ac:dyDescent="0.35">
      <c r="A235" t="s">
        <v>255</v>
      </c>
      <c r="B235" s="3" t="s">
        <v>1266</v>
      </c>
      <c r="C235" s="4" t="s">
        <v>1267</v>
      </c>
      <c r="D235" s="2">
        <f t="shared" si="196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ref="W235:AH235" si="236">IF(OR((SLOPE($E235:$V235,$E$1:$V$1)*W$1+INTERCEPT($E235:$V235,$E$1:$V$1))&gt;(AVERAGE($E235:$V235)+_xlfn.STDEV.P($E235:$V235)),(SLOPE($E235:$V235,$E$1:$V$1)*W$1+INTERCEPT($E235:$V235,$E$1:$V$1))&lt;(AVERAGE($E235:$V235)-_xlfn.STDEV.P($E235:$V235))),V235,(SLOPE($E235:$V235,$E$1:$V$1)*W$1+INTERCEPT($E235:$V235,$E$1:$V$1)))</f>
        <v>42008.66261371877</v>
      </c>
      <c r="X235" s="5">
        <f t="shared" si="236"/>
        <v>42532.651656891365</v>
      </c>
      <c r="Y235" s="5">
        <f t="shared" si="236"/>
        <v>43056.640700063959</v>
      </c>
      <c r="Z235" s="5">
        <f t="shared" si="236"/>
        <v>43580.629743236554</v>
      </c>
      <c r="AA235" s="5">
        <f t="shared" si="236"/>
        <v>44104.618786409155</v>
      </c>
      <c r="AB235" s="5">
        <f t="shared" si="236"/>
        <v>44628.60782958175</v>
      </c>
      <c r="AC235" s="5">
        <f t="shared" si="236"/>
        <v>45152.596872754351</v>
      </c>
      <c r="AD235" s="5">
        <f t="shared" si="236"/>
        <v>45676.585915926946</v>
      </c>
      <c r="AE235" s="5">
        <f t="shared" si="236"/>
        <v>46200.57495909954</v>
      </c>
      <c r="AF235" s="5">
        <f t="shared" si="236"/>
        <v>46724.564002272135</v>
      </c>
      <c r="AG235" s="5">
        <f t="shared" si="236"/>
        <v>47248.553045444729</v>
      </c>
      <c r="AH235" s="5">
        <f t="shared" si="236"/>
        <v>47772.542088617331</v>
      </c>
    </row>
    <row r="236" spans="1:34" x14ac:dyDescent="0.35">
      <c r="A236" t="s">
        <v>256</v>
      </c>
      <c r="B236" s="3" t="s">
        <v>1265</v>
      </c>
      <c r="C236" s="4" t="s">
        <v>1263</v>
      </c>
      <c r="D236" s="2">
        <f t="shared" si="196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ref="W236:AH236" si="237">IF(OR((SLOPE($E236:$V236,$E$1:$V$1)*W$1+INTERCEPT($E236:$V236,$E$1:$V$1))&gt;(AVERAGE($E236:$V236)+_xlfn.STDEV.P($E236:$V236)),(SLOPE($E236:$V236,$E$1:$V$1)*W$1+INTERCEPT($E236:$V236,$E$1:$V$1))&lt;(AVERAGE($E236:$V236)-_xlfn.STDEV.P($E236:$V236))),V236,(SLOPE($E236:$V236,$E$1:$V$1)*W$1+INTERCEPT($E236:$V236,$E$1:$V$1)))</f>
        <v>33579.35277708467</v>
      </c>
      <c r="X236" s="5">
        <f t="shared" si="237"/>
        <v>33217.785637812354</v>
      </c>
      <c r="Y236" s="5">
        <f t="shared" si="237"/>
        <v>32856.218498540038</v>
      </c>
      <c r="Z236" s="5">
        <f t="shared" si="237"/>
        <v>32494.651359267729</v>
      </c>
      <c r="AA236" s="5">
        <f t="shared" si="237"/>
        <v>32133.084219995413</v>
      </c>
      <c r="AB236" s="5">
        <f t="shared" si="237"/>
        <v>31771.517080723104</v>
      </c>
      <c r="AC236" s="5">
        <f t="shared" si="237"/>
        <v>31409.949941450788</v>
      </c>
      <c r="AD236" s="5">
        <f t="shared" si="237"/>
        <v>31048.382802178476</v>
      </c>
      <c r="AE236" s="5">
        <f t="shared" si="237"/>
        <v>30686.815662906163</v>
      </c>
      <c r="AF236" s="5">
        <f t="shared" si="237"/>
        <v>30325.248523633851</v>
      </c>
      <c r="AG236" s="5">
        <f t="shared" si="237"/>
        <v>29963.681384361538</v>
      </c>
      <c r="AH236" s="5">
        <f t="shared" si="237"/>
        <v>29602.114245089222</v>
      </c>
    </row>
    <row r="237" spans="1:34" x14ac:dyDescent="0.35">
      <c r="A237" t="s">
        <v>257</v>
      </c>
      <c r="B237" s="3" t="s">
        <v>1264</v>
      </c>
      <c r="C237" s="4" t="s">
        <v>1263</v>
      </c>
      <c r="D237" s="2">
        <f t="shared" si="196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ref="W237:AH237" si="238">IF(OR((SLOPE($E237:$V237,$E$1:$V$1)*W$1+INTERCEPT($E237:$V237,$E$1:$V$1))&gt;(AVERAGE($E237:$V237)+_xlfn.STDEV.P($E237:$V237)),(SLOPE($E237:$V237,$E$1:$V$1)*W$1+INTERCEPT($E237:$V237,$E$1:$V$1))&lt;(AVERAGE($E237:$V237)-_xlfn.STDEV.P($E237:$V237))),V237,(SLOPE($E237:$V237,$E$1:$V$1)*W$1+INTERCEPT($E237:$V237,$E$1:$V$1)))</f>
        <v>43556.531199999983</v>
      </c>
      <c r="X237" s="5">
        <f t="shared" si="238"/>
        <v>43556.531199999983</v>
      </c>
      <c r="Y237" s="5">
        <f t="shared" si="238"/>
        <v>43556.531199999983</v>
      </c>
      <c r="Z237" s="5">
        <f t="shared" si="238"/>
        <v>43556.531199999983</v>
      </c>
      <c r="AA237" s="5">
        <f t="shared" si="238"/>
        <v>43556.531199999983</v>
      </c>
      <c r="AB237" s="5">
        <f t="shared" si="238"/>
        <v>43556.531199999983</v>
      </c>
      <c r="AC237" s="5">
        <f t="shared" si="238"/>
        <v>43556.531199999983</v>
      </c>
      <c r="AD237" s="5">
        <f t="shared" si="238"/>
        <v>43556.531199999983</v>
      </c>
      <c r="AE237" s="5">
        <f t="shared" si="238"/>
        <v>43556.531199999983</v>
      </c>
      <c r="AF237" s="5">
        <f t="shared" si="238"/>
        <v>43556.531199999983</v>
      </c>
      <c r="AG237" s="5">
        <f t="shared" si="238"/>
        <v>43556.531199999983</v>
      </c>
      <c r="AH237" s="5">
        <f t="shared" si="238"/>
        <v>43556.531199999983</v>
      </c>
    </row>
    <row r="238" spans="1:34" x14ac:dyDescent="0.35">
      <c r="A238" t="s">
        <v>258</v>
      </c>
      <c r="B238" s="3" t="s">
        <v>1265</v>
      </c>
      <c r="C238" s="4" t="s">
        <v>1263</v>
      </c>
      <c r="D238" s="2">
        <f t="shared" si="196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ref="W238:AH238" si="239">IF(OR((SLOPE($E238:$V238,$E$1:$V$1)*W$1+INTERCEPT($E238:$V238,$E$1:$V$1))&gt;(AVERAGE($E238:$V238)+_xlfn.STDEV.P($E238:$V238)),(SLOPE($E238:$V238,$E$1:$V$1)*W$1+INTERCEPT($E238:$V238,$E$1:$V$1))&lt;(AVERAGE($E238:$V238)-_xlfn.STDEV.P($E238:$V238))),V238,(SLOPE($E238:$V238,$E$1:$V$1)*W$1+INTERCEPT($E238:$V238,$E$1:$V$1)))</f>
        <v>40288.525199999989</v>
      </c>
      <c r="X238" s="5">
        <f t="shared" si="239"/>
        <v>40761.982799999991</v>
      </c>
      <c r="Y238" s="5">
        <f t="shared" si="239"/>
        <v>41235.440399999992</v>
      </c>
      <c r="Z238" s="5">
        <f t="shared" si="239"/>
        <v>41708.897999999986</v>
      </c>
      <c r="AA238" s="5">
        <f t="shared" si="239"/>
        <v>42182.355599999988</v>
      </c>
      <c r="AB238" s="5">
        <f t="shared" si="239"/>
        <v>42655.81319999999</v>
      </c>
      <c r="AC238" s="5">
        <f t="shared" si="239"/>
        <v>42655.81319999999</v>
      </c>
      <c r="AD238" s="5">
        <f t="shared" si="239"/>
        <v>42655.81319999999</v>
      </c>
      <c r="AE238" s="5">
        <f t="shared" si="239"/>
        <v>42655.81319999999</v>
      </c>
      <c r="AF238" s="5">
        <f t="shared" si="239"/>
        <v>42655.81319999999</v>
      </c>
      <c r="AG238" s="5">
        <f t="shared" si="239"/>
        <v>42655.81319999999</v>
      </c>
      <c r="AH238" s="5">
        <f t="shared" si="239"/>
        <v>42655.81319999999</v>
      </c>
    </row>
    <row r="239" spans="1:34" x14ac:dyDescent="0.35">
      <c r="A239" t="s">
        <v>259</v>
      </c>
      <c r="B239" s="3" t="s">
        <v>1266</v>
      </c>
      <c r="C239" s="4" t="s">
        <v>1263</v>
      </c>
      <c r="D239" s="2">
        <f t="shared" si="196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ref="W239:AH239" si="240">IF(OR((SLOPE($E239:$V239,$E$1:$V$1)*W$1+INTERCEPT($E239:$V239,$E$1:$V$1))&gt;(AVERAGE($E239:$V239)+_xlfn.STDEV.P($E239:$V239)),(SLOPE($E239:$V239,$E$1:$V$1)*W$1+INTERCEPT($E239:$V239,$E$1:$V$1))&lt;(AVERAGE($E239:$V239)-_xlfn.STDEV.P($E239:$V239))),V239,(SLOPE($E239:$V239,$E$1:$V$1)*W$1+INTERCEPT($E239:$V239,$E$1:$V$1)))</f>
        <v>50468.767788163808</v>
      </c>
      <c r="X239" s="5">
        <f t="shared" si="240"/>
        <v>51998.9718632492</v>
      </c>
      <c r="Y239" s="5">
        <f t="shared" si="240"/>
        <v>53529.175938334585</v>
      </c>
      <c r="Z239" s="5">
        <f t="shared" si="240"/>
        <v>55059.380013419977</v>
      </c>
      <c r="AA239" s="5">
        <f t="shared" si="240"/>
        <v>56589.584088505362</v>
      </c>
      <c r="AB239" s="5">
        <f t="shared" si="240"/>
        <v>58119.788163590747</v>
      </c>
      <c r="AC239" s="5">
        <f t="shared" si="240"/>
        <v>59649.992238676139</v>
      </c>
      <c r="AD239" s="5">
        <f t="shared" si="240"/>
        <v>61180.196313761524</v>
      </c>
      <c r="AE239" s="5">
        <f t="shared" si="240"/>
        <v>62710.400388846916</v>
      </c>
      <c r="AF239" s="5">
        <f t="shared" si="240"/>
        <v>64240.604463932301</v>
      </c>
      <c r="AG239" s="5">
        <f t="shared" si="240"/>
        <v>65770.808539017686</v>
      </c>
      <c r="AH239" s="5">
        <f t="shared" si="240"/>
        <v>67301.012614103078</v>
      </c>
    </row>
    <row r="240" spans="1:34" x14ac:dyDescent="0.35">
      <c r="A240" t="s">
        <v>260</v>
      </c>
      <c r="B240" s="3" t="s">
        <v>1262</v>
      </c>
      <c r="C240" s="4" t="s">
        <v>1263</v>
      </c>
      <c r="D240" s="2">
        <f t="shared" si="196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ref="W240:AH240" si="241">IF(OR((SLOPE($E240:$V240,$E$1:$V$1)*W$1+INTERCEPT($E240:$V240,$E$1:$V$1))&gt;(AVERAGE($E240:$V240)+_xlfn.STDEV.P($E240:$V240)),(SLOPE($E240:$V240,$E$1:$V$1)*W$1+INTERCEPT($E240:$V240,$E$1:$V$1))&lt;(AVERAGE($E240:$V240)-_xlfn.STDEV.P($E240:$V240))),V240,(SLOPE($E240:$V240,$E$1:$V$1)*W$1+INTERCEPT($E240:$V240,$E$1:$V$1)))</f>
        <v>87509.423596950932</v>
      </c>
      <c r="X240" s="5">
        <f t="shared" si="241"/>
        <v>92941.502950161535</v>
      </c>
      <c r="Y240" s="5">
        <f t="shared" si="241"/>
        <v>98373.582303372139</v>
      </c>
      <c r="Z240" s="5">
        <f t="shared" si="241"/>
        <v>103805.66165658273</v>
      </c>
      <c r="AA240" s="5">
        <f t="shared" si="241"/>
        <v>109237.74100979332</v>
      </c>
      <c r="AB240" s="5">
        <f t="shared" si="241"/>
        <v>114669.82036300392</v>
      </c>
      <c r="AC240" s="5">
        <f t="shared" si="241"/>
        <v>120101.89971621452</v>
      </c>
      <c r="AD240" s="5">
        <f t="shared" si="241"/>
        <v>125533.97906942513</v>
      </c>
      <c r="AE240" s="5">
        <f t="shared" si="241"/>
        <v>130966.0584226357</v>
      </c>
      <c r="AF240" s="5">
        <f t="shared" si="241"/>
        <v>130966.0584226357</v>
      </c>
      <c r="AG240" s="5">
        <f t="shared" si="241"/>
        <v>130966.0584226357</v>
      </c>
      <c r="AH240" s="5">
        <f t="shared" si="241"/>
        <v>130966.0584226357</v>
      </c>
    </row>
    <row r="241" spans="1:34" x14ac:dyDescent="0.35">
      <c r="A241" t="s">
        <v>261</v>
      </c>
      <c r="B241" s="3" t="s">
        <v>1264</v>
      </c>
      <c r="C241" s="4" t="s">
        <v>1263</v>
      </c>
      <c r="D241" s="2">
        <f t="shared" si="196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ref="W241:AH241" si="242">IF(OR((SLOPE($E241:$V241,$E$1:$V$1)*W$1+INTERCEPT($E241:$V241,$E$1:$V$1))&gt;(AVERAGE($E241:$V241)+_xlfn.STDEV.P($E241:$V241)),(SLOPE($E241:$V241,$E$1:$V$1)*W$1+INTERCEPT($E241:$V241,$E$1:$V$1))&lt;(AVERAGE($E241:$V241)-_xlfn.STDEV.P($E241:$V241))),V241,(SLOPE($E241:$V241,$E$1:$V$1)*W$1+INTERCEPT($E241:$V241,$E$1:$V$1)))</f>
        <v>3507.2582792120811</v>
      </c>
      <c r="X241" s="5">
        <f t="shared" si="242"/>
        <v>110.75552460670588</v>
      </c>
      <c r="Y241" s="5">
        <f t="shared" si="242"/>
        <v>-3285.7472299986839</v>
      </c>
      <c r="Z241" s="5">
        <f t="shared" si="242"/>
        <v>-6682.2499846040737</v>
      </c>
      <c r="AA241" s="5">
        <f t="shared" si="242"/>
        <v>-10078.752739209449</v>
      </c>
      <c r="AB241" s="5">
        <f t="shared" si="242"/>
        <v>-13475.255493814839</v>
      </c>
      <c r="AC241" s="5">
        <f t="shared" si="242"/>
        <v>-16871.758248420228</v>
      </c>
      <c r="AD241" s="5">
        <f t="shared" si="242"/>
        <v>-20268.261003025604</v>
      </c>
      <c r="AE241" s="5">
        <f t="shared" si="242"/>
        <v>-23664.763757630993</v>
      </c>
      <c r="AF241" s="5">
        <f t="shared" si="242"/>
        <v>-27061.266512236383</v>
      </c>
      <c r="AG241" s="5">
        <f t="shared" si="242"/>
        <v>-30457.769266841759</v>
      </c>
      <c r="AH241" s="5">
        <f t="shared" si="242"/>
        <v>-33854.272021447148</v>
      </c>
    </row>
    <row r="242" spans="1:34" x14ac:dyDescent="0.35">
      <c r="A242" t="s">
        <v>262</v>
      </c>
      <c r="B242" s="3" t="s">
        <v>1262</v>
      </c>
      <c r="C242" s="4" t="s">
        <v>1263</v>
      </c>
      <c r="D242" s="2">
        <f t="shared" si="196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ref="W242:AH242" si="243">IF(OR((SLOPE($E242:$V242,$E$1:$V$1)*W$1+INTERCEPT($E242:$V242,$E$1:$V$1))&gt;(AVERAGE($E242:$V242)+_xlfn.STDEV.P($E242:$V242)),(SLOPE($E242:$V242,$E$1:$V$1)*W$1+INTERCEPT($E242:$V242,$E$1:$V$1))&lt;(AVERAGE($E242:$V242)-_xlfn.STDEV.P($E242:$V242))),V242,(SLOPE($E242:$V242,$E$1:$V$1)*W$1+INTERCEPT($E242:$V242,$E$1:$V$1)))</f>
        <v>44625.732286013066</v>
      </c>
      <c r="X242" s="5">
        <f t="shared" si="243"/>
        <v>45645.966474248358</v>
      </c>
      <c r="Y242" s="5">
        <f t="shared" si="243"/>
        <v>46666.20066248365</v>
      </c>
      <c r="Z242" s="5">
        <f t="shared" si="243"/>
        <v>47686.43485071895</v>
      </c>
      <c r="AA242" s="5">
        <f t="shared" si="243"/>
        <v>48706.669038954242</v>
      </c>
      <c r="AB242" s="5">
        <f t="shared" si="243"/>
        <v>49726.903227189534</v>
      </c>
      <c r="AC242" s="5">
        <f t="shared" si="243"/>
        <v>50747.137415424833</v>
      </c>
      <c r="AD242" s="5">
        <f t="shared" si="243"/>
        <v>51767.371603660125</v>
      </c>
      <c r="AE242" s="5">
        <f t="shared" si="243"/>
        <v>52787.605791895417</v>
      </c>
      <c r="AF242" s="5">
        <f t="shared" si="243"/>
        <v>53807.83998013071</v>
      </c>
      <c r="AG242" s="5">
        <f t="shared" si="243"/>
        <v>54828.074168366002</v>
      </c>
      <c r="AH242" s="5">
        <f t="shared" si="243"/>
        <v>55848.308356601294</v>
      </c>
    </row>
    <row r="243" spans="1:34" x14ac:dyDescent="0.35">
      <c r="A243" t="s">
        <v>263</v>
      </c>
      <c r="B243" s="3" t="s">
        <v>1266</v>
      </c>
      <c r="C243" s="4" t="s">
        <v>1263</v>
      </c>
      <c r="D243" s="2">
        <f t="shared" si="196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ref="W243:AH243" si="244">IF(OR((SLOPE($E243:$V243,$E$1:$V$1)*W$1+INTERCEPT($E243:$V243,$E$1:$V$1))&gt;(AVERAGE($E243:$V243)+_xlfn.STDEV.P($E243:$V243)),(SLOPE($E243:$V243,$E$1:$V$1)*W$1+INTERCEPT($E243:$V243,$E$1:$V$1))&lt;(AVERAGE($E243:$V243)-_xlfn.STDEV.P($E243:$V243))),V243,(SLOPE($E243:$V243,$E$1:$V$1)*W$1+INTERCEPT($E243:$V243,$E$1:$V$1)))</f>
        <v>50219.755330841894</v>
      </c>
      <c r="X243" s="5">
        <f t="shared" si="244"/>
        <v>51781.588113677411</v>
      </c>
      <c r="Y243" s="5">
        <f t="shared" si="244"/>
        <v>53343.420896512929</v>
      </c>
      <c r="Z243" s="5">
        <f t="shared" si="244"/>
        <v>54905.253679348447</v>
      </c>
      <c r="AA243" s="5">
        <f t="shared" si="244"/>
        <v>56467.086462183957</v>
      </c>
      <c r="AB243" s="5">
        <f t="shared" si="244"/>
        <v>58028.919245019475</v>
      </c>
      <c r="AC243" s="5">
        <f t="shared" si="244"/>
        <v>59590.752027854993</v>
      </c>
      <c r="AD243" s="5">
        <f t="shared" si="244"/>
        <v>61152.58481069051</v>
      </c>
      <c r="AE243" s="5">
        <f t="shared" si="244"/>
        <v>62714.417593526028</v>
      </c>
      <c r="AF243" s="5">
        <f t="shared" si="244"/>
        <v>64276.250376361546</v>
      </c>
      <c r="AG243" s="5">
        <f t="shared" si="244"/>
        <v>65838.083159197064</v>
      </c>
      <c r="AH243" s="5">
        <f t="shared" si="244"/>
        <v>67399.915942032574</v>
      </c>
    </row>
    <row r="244" spans="1:34" x14ac:dyDescent="0.35">
      <c r="A244" t="s">
        <v>264</v>
      </c>
      <c r="B244" s="3" t="s">
        <v>1265</v>
      </c>
      <c r="C244" s="4" t="s">
        <v>1263</v>
      </c>
      <c r="D244" s="2">
        <f t="shared" si="196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ref="W244:AH244" si="245">IF(OR((SLOPE($E244:$V244,$E$1:$V$1)*W$1+INTERCEPT($E244:$V244,$E$1:$V$1))&gt;(AVERAGE($E244:$V244)+_xlfn.STDEV.P($E244:$V244)),(SLOPE($E244:$V244,$E$1:$V$1)*W$1+INTERCEPT($E244:$V244,$E$1:$V$1))&lt;(AVERAGE($E244:$V244)-_xlfn.STDEV.P($E244:$V244))),V244,(SLOPE($E244:$V244,$E$1:$V$1)*W$1+INTERCEPT($E244:$V244,$E$1:$V$1)))</f>
        <v>32706.612610214241</v>
      </c>
      <c r="X244" s="5">
        <f t="shared" si="245"/>
        <v>32513.221191068558</v>
      </c>
      <c r="Y244" s="5">
        <f t="shared" si="245"/>
        <v>32319.829771922872</v>
      </c>
      <c r="Z244" s="5">
        <f t="shared" si="245"/>
        <v>32126.438352777186</v>
      </c>
      <c r="AA244" s="5">
        <f t="shared" si="245"/>
        <v>31933.0469336315</v>
      </c>
      <c r="AB244" s="5">
        <f t="shared" si="245"/>
        <v>31739.655514485814</v>
      </c>
      <c r="AC244" s="5">
        <f t="shared" si="245"/>
        <v>31546.264095340128</v>
      </c>
      <c r="AD244" s="5">
        <f t="shared" si="245"/>
        <v>31352.872676194445</v>
      </c>
      <c r="AE244" s="5">
        <f t="shared" si="245"/>
        <v>31159.481257048759</v>
      </c>
      <c r="AF244" s="5">
        <f t="shared" si="245"/>
        <v>30966.089837903073</v>
      </c>
      <c r="AG244" s="5">
        <f t="shared" si="245"/>
        <v>30772.698418757387</v>
      </c>
      <c r="AH244" s="5">
        <f t="shared" si="245"/>
        <v>30579.306999611705</v>
      </c>
    </row>
    <row r="245" spans="1:34" x14ac:dyDescent="0.35">
      <c r="A245" t="s">
        <v>265</v>
      </c>
      <c r="B245" s="3" t="s">
        <v>1262</v>
      </c>
      <c r="C245" s="4" t="s">
        <v>1263</v>
      </c>
      <c r="D245" s="2">
        <f t="shared" si="196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H245" si="246">IF(OR((SLOPE($E245:$V245,$E$1:$V$1)*W$1+INTERCEPT($E245:$V245,$E$1:$V$1))&gt;(AVERAGE($E245:$V245)+_xlfn.STDEV.P($E245:$V245)),(SLOPE($E245:$V245,$E$1:$V$1)*W$1+INTERCEPT($E245:$V245,$E$1:$V$1))&lt;(AVERAGE($E245:$V245)-_xlfn.STDEV.P($E245:$V245))),V245,(SLOPE($E245:$V245,$E$1:$V$1)*W$1+INTERCEPT($E245:$V245,$E$1:$V$1)))</f>
        <v>5514.2966666666616</v>
      </c>
      <c r="X245" s="5">
        <f t="shared" si="246"/>
        <v>5514.2966666666616</v>
      </c>
      <c r="Y245" s="5">
        <f t="shared" si="246"/>
        <v>5514.2966666666616</v>
      </c>
      <c r="Z245" s="5">
        <f t="shared" si="246"/>
        <v>5514.2966666666616</v>
      </c>
      <c r="AA245" s="5">
        <f t="shared" si="246"/>
        <v>5514.2966666666616</v>
      </c>
      <c r="AB245" s="5">
        <f t="shared" si="246"/>
        <v>5514.2966666666616</v>
      </c>
      <c r="AC245" s="5">
        <f t="shared" si="246"/>
        <v>5514.2966666666616</v>
      </c>
      <c r="AD245" s="5">
        <f t="shared" si="246"/>
        <v>5514.2966666666616</v>
      </c>
      <c r="AE245" s="5">
        <f t="shared" si="246"/>
        <v>5514.2966666666616</v>
      </c>
      <c r="AF245" s="5">
        <f t="shared" si="246"/>
        <v>5514.2966666666616</v>
      </c>
      <c r="AG245" s="5">
        <f t="shared" si="246"/>
        <v>5514.2966666666616</v>
      </c>
      <c r="AH245" s="5">
        <f t="shared" si="246"/>
        <v>5514.2966666666616</v>
      </c>
    </row>
    <row r="246" spans="1:34" x14ac:dyDescent="0.35">
      <c r="A246" t="s">
        <v>266</v>
      </c>
      <c r="B246" s="3" t="s">
        <v>1265</v>
      </c>
      <c r="C246" s="4" t="s">
        <v>1263</v>
      </c>
      <c r="D246" s="2">
        <f t="shared" si="196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ref="W246:AH246" si="247">IF(OR((SLOPE($E246:$V246,$E$1:$V$1)*W$1+INTERCEPT($E246:$V246,$E$1:$V$1))&gt;(AVERAGE($E246:$V246)+_xlfn.STDEV.P($E246:$V246)),(SLOPE($E246:$V246,$E$1:$V$1)*W$1+INTERCEPT($E246:$V246,$E$1:$V$1))&lt;(AVERAGE($E246:$V246)-_xlfn.STDEV.P($E246:$V246))),V246,(SLOPE($E246:$V246,$E$1:$V$1)*W$1+INTERCEPT($E246:$V246,$E$1:$V$1)))</f>
        <v>91350.517839801934</v>
      </c>
      <c r="X246" s="5">
        <f t="shared" si="247"/>
        <v>97322.572711353772</v>
      </c>
      <c r="Y246" s="5">
        <f t="shared" si="247"/>
        <v>103294.62758290561</v>
      </c>
      <c r="Z246" s="5">
        <f t="shared" si="247"/>
        <v>109266.68245445742</v>
      </c>
      <c r="AA246" s="5">
        <f t="shared" si="247"/>
        <v>115238.73732600926</v>
      </c>
      <c r="AB246" s="5">
        <f t="shared" si="247"/>
        <v>115238.73732600926</v>
      </c>
      <c r="AC246" s="5">
        <f t="shared" si="247"/>
        <v>115238.73732600926</v>
      </c>
      <c r="AD246" s="5">
        <f t="shared" si="247"/>
        <v>115238.73732600926</v>
      </c>
      <c r="AE246" s="5">
        <f t="shared" si="247"/>
        <v>115238.73732600926</v>
      </c>
      <c r="AF246" s="5">
        <f t="shared" si="247"/>
        <v>115238.73732600926</v>
      </c>
      <c r="AG246" s="5">
        <f t="shared" si="247"/>
        <v>115238.73732600926</v>
      </c>
      <c r="AH246" s="5">
        <f t="shared" si="247"/>
        <v>115238.73732600926</v>
      </c>
    </row>
    <row r="247" spans="1:34" x14ac:dyDescent="0.35">
      <c r="A247" t="s">
        <v>267</v>
      </c>
      <c r="B247" s="3" t="s">
        <v>1265</v>
      </c>
      <c r="C247" s="4" t="s">
        <v>1263</v>
      </c>
      <c r="D247" s="2">
        <f t="shared" si="196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ref="W247:AH247" si="248">IF(OR((SLOPE($E247:$V247,$E$1:$V$1)*W$1+INTERCEPT($E247:$V247,$E$1:$V$1))&gt;(AVERAGE($E247:$V247)+_xlfn.STDEV.P($E247:$V247)),(SLOPE($E247:$V247,$E$1:$V$1)*W$1+INTERCEPT($E247:$V247,$E$1:$V$1))&lt;(AVERAGE($E247:$V247)-_xlfn.STDEV.P($E247:$V247))),V247,(SLOPE($E247:$V247,$E$1:$V$1)*W$1+INTERCEPT($E247:$V247,$E$1:$V$1)))</f>
        <v>35362.03337768987</v>
      </c>
      <c r="X247" s="5">
        <f t="shared" si="248"/>
        <v>35549.583202684924</v>
      </c>
      <c r="Y247" s="5">
        <f t="shared" si="248"/>
        <v>35737.133027679985</v>
      </c>
      <c r="Z247" s="5">
        <f t="shared" si="248"/>
        <v>35924.68285267504</v>
      </c>
      <c r="AA247" s="5">
        <f t="shared" si="248"/>
        <v>36112.232677670094</v>
      </c>
      <c r="AB247" s="5">
        <f t="shared" si="248"/>
        <v>36299.782502665155</v>
      </c>
      <c r="AC247" s="5">
        <f t="shared" si="248"/>
        <v>36487.332327660217</v>
      </c>
      <c r="AD247" s="5">
        <f t="shared" si="248"/>
        <v>36674.882152655271</v>
      </c>
      <c r="AE247" s="5">
        <f t="shared" si="248"/>
        <v>36862.431977650325</v>
      </c>
      <c r="AF247" s="5">
        <f t="shared" si="248"/>
        <v>37049.981802645387</v>
      </c>
      <c r="AG247" s="5">
        <f t="shared" si="248"/>
        <v>37237.531627640441</v>
      </c>
      <c r="AH247" s="5">
        <f t="shared" si="248"/>
        <v>37425.081452635503</v>
      </c>
    </row>
    <row r="248" spans="1:34" x14ac:dyDescent="0.35">
      <c r="A248" t="s">
        <v>268</v>
      </c>
      <c r="B248" s="3" t="s">
        <v>1265</v>
      </c>
      <c r="C248" s="4" t="s">
        <v>1263</v>
      </c>
      <c r="D248" s="2">
        <f t="shared" si="196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ref="W248:AH248" si="249">IF(OR((SLOPE($E248:$V248,$E$1:$V$1)*W$1+INTERCEPT($E248:$V248,$E$1:$V$1))&gt;(AVERAGE($E248:$V248)+_xlfn.STDEV.P($E248:$V248)),(SLOPE($E248:$V248,$E$1:$V$1)*W$1+INTERCEPT($E248:$V248,$E$1:$V$1))&lt;(AVERAGE($E248:$V248)-_xlfn.STDEV.P($E248:$V248))),V248,(SLOPE($E248:$V248,$E$1:$V$1)*W$1+INTERCEPT($E248:$V248,$E$1:$V$1)))</f>
        <v>44341.310507567025</v>
      </c>
      <c r="X248" s="5">
        <f t="shared" si="249"/>
        <v>45456.49848947359</v>
      </c>
      <c r="Y248" s="5">
        <f t="shared" si="249"/>
        <v>46571.686471380155</v>
      </c>
      <c r="Z248" s="5">
        <f t="shared" si="249"/>
        <v>46571.686471380155</v>
      </c>
      <c r="AA248" s="5">
        <f t="shared" si="249"/>
        <v>46571.686471380155</v>
      </c>
      <c r="AB248" s="5">
        <f t="shared" si="249"/>
        <v>46571.686471380155</v>
      </c>
      <c r="AC248" s="5">
        <f t="shared" si="249"/>
        <v>46571.686471380155</v>
      </c>
      <c r="AD248" s="5">
        <f t="shared" si="249"/>
        <v>46571.686471380155</v>
      </c>
      <c r="AE248" s="5">
        <f t="shared" si="249"/>
        <v>46571.686471380155</v>
      </c>
      <c r="AF248" s="5">
        <f t="shared" si="249"/>
        <v>46571.686471380155</v>
      </c>
      <c r="AG248" s="5">
        <f t="shared" si="249"/>
        <v>46571.686471380155</v>
      </c>
      <c r="AH248" s="5">
        <f t="shared" si="249"/>
        <v>46571.686471380155</v>
      </c>
    </row>
    <row r="249" spans="1:34" x14ac:dyDescent="0.35">
      <c r="A249" t="s">
        <v>269</v>
      </c>
      <c r="B249" s="3" t="s">
        <v>1265</v>
      </c>
      <c r="C249" s="4" t="s">
        <v>1263</v>
      </c>
      <c r="D249" s="2">
        <f t="shared" si="196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ref="W249:AH249" si="250">IF(OR((SLOPE($E249:$V249,$E$1:$V$1)*W$1+INTERCEPT($E249:$V249,$E$1:$V$1))&gt;(AVERAGE($E249:$V249)+_xlfn.STDEV.P($E249:$V249)),(SLOPE($E249:$V249,$E$1:$V$1)*W$1+INTERCEPT($E249:$V249,$E$1:$V$1))&lt;(AVERAGE($E249:$V249)-_xlfn.STDEV.P($E249:$V249))),V249,(SLOPE($E249:$V249,$E$1:$V$1)*W$1+INTERCEPT($E249:$V249,$E$1:$V$1)))</f>
        <v>34525.266130718963</v>
      </c>
      <c r="X249" s="5">
        <f t="shared" si="250"/>
        <v>34702.801676642594</v>
      </c>
      <c r="Y249" s="5">
        <f t="shared" si="250"/>
        <v>34880.337222566224</v>
      </c>
      <c r="Z249" s="5">
        <f t="shared" si="250"/>
        <v>35057.872768489862</v>
      </c>
      <c r="AA249" s="5">
        <f t="shared" si="250"/>
        <v>35235.408314413493</v>
      </c>
      <c r="AB249" s="5">
        <f t="shared" si="250"/>
        <v>35412.943860337124</v>
      </c>
      <c r="AC249" s="5">
        <f t="shared" si="250"/>
        <v>35590.479406260762</v>
      </c>
      <c r="AD249" s="5">
        <f t="shared" si="250"/>
        <v>35768.014952184392</v>
      </c>
      <c r="AE249" s="5">
        <f t="shared" si="250"/>
        <v>35945.550498108023</v>
      </c>
      <c r="AF249" s="5">
        <f t="shared" si="250"/>
        <v>36123.086044031661</v>
      </c>
      <c r="AG249" s="5">
        <f t="shared" si="250"/>
        <v>36300.621589955292</v>
      </c>
      <c r="AH249" s="5">
        <f t="shared" si="250"/>
        <v>36478.157135878922</v>
      </c>
    </row>
    <row r="250" spans="1:34" x14ac:dyDescent="0.35">
      <c r="A250" t="s">
        <v>270</v>
      </c>
      <c r="B250" s="3" t="s">
        <v>1265</v>
      </c>
      <c r="C250" s="4" t="s">
        <v>1263</v>
      </c>
      <c r="D250" s="2">
        <f t="shared" si="196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ref="W250:AH250" si="251">IF(OR((SLOPE($E250:$V250,$E$1:$V$1)*W$1+INTERCEPT($E250:$V250,$E$1:$V$1))&gt;(AVERAGE($E250:$V250)+_xlfn.STDEV.P($E250:$V250)),(SLOPE($E250:$V250,$E$1:$V$1)*W$1+INTERCEPT($E250:$V250,$E$1:$V$1))&lt;(AVERAGE($E250:$V250)-_xlfn.STDEV.P($E250:$V250))),V250,(SLOPE($E250:$V250,$E$1:$V$1)*W$1+INTERCEPT($E250:$V250,$E$1:$V$1)))</f>
        <v>35939.720605517025</v>
      </c>
      <c r="X250" s="5">
        <f t="shared" si="251"/>
        <v>36230.560721554939</v>
      </c>
      <c r="Y250" s="5">
        <f t="shared" si="251"/>
        <v>36521.400837592853</v>
      </c>
      <c r="Z250" s="5">
        <f t="shared" si="251"/>
        <v>36812.240953630775</v>
      </c>
      <c r="AA250" s="5">
        <f t="shared" si="251"/>
        <v>37103.081069668689</v>
      </c>
      <c r="AB250" s="5">
        <f t="shared" si="251"/>
        <v>37103.081069668689</v>
      </c>
      <c r="AC250" s="5">
        <f t="shared" si="251"/>
        <v>37103.081069668689</v>
      </c>
      <c r="AD250" s="5">
        <f t="shared" si="251"/>
        <v>37103.081069668689</v>
      </c>
      <c r="AE250" s="5">
        <f t="shared" si="251"/>
        <v>37103.081069668689</v>
      </c>
      <c r="AF250" s="5">
        <f t="shared" si="251"/>
        <v>37103.081069668689</v>
      </c>
      <c r="AG250" s="5">
        <f t="shared" si="251"/>
        <v>37103.081069668689</v>
      </c>
      <c r="AH250" s="5">
        <f t="shared" si="251"/>
        <v>37103.081069668689</v>
      </c>
    </row>
    <row r="251" spans="1:34" x14ac:dyDescent="0.35">
      <c r="A251" t="s">
        <v>271</v>
      </c>
      <c r="B251" s="3" t="s">
        <v>1266</v>
      </c>
      <c r="C251" s="4" t="s">
        <v>1267</v>
      </c>
      <c r="D251" s="2">
        <f t="shared" si="196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ref="W251:AH251" si="252">IF(OR((SLOPE($E251:$V251,$E$1:$V$1)*W$1+INTERCEPT($E251:$V251,$E$1:$V$1))&gt;(AVERAGE($E251:$V251)+_xlfn.STDEV.P($E251:$V251)),(SLOPE($E251:$V251,$E$1:$V$1)*W$1+INTERCEPT($E251:$V251,$E$1:$V$1))&lt;(AVERAGE($E251:$V251)-_xlfn.STDEV.P($E251:$V251))),V251,(SLOPE($E251:$V251,$E$1:$V$1)*W$1+INTERCEPT($E251:$V251,$E$1:$V$1)))</f>
        <v>14976.53149207044</v>
      </c>
      <c r="X251" s="5">
        <f t="shared" si="252"/>
        <v>13070.973454895036</v>
      </c>
      <c r="Y251" s="5">
        <f t="shared" si="252"/>
        <v>11165.415417719625</v>
      </c>
      <c r="Z251" s="5">
        <f t="shared" si="252"/>
        <v>9259.8573805442138</v>
      </c>
      <c r="AA251" s="5">
        <f t="shared" si="252"/>
        <v>7354.2993433688098</v>
      </c>
      <c r="AB251" s="5">
        <f t="shared" si="252"/>
        <v>5448.7413061933985</v>
      </c>
      <c r="AC251" s="5">
        <f t="shared" si="252"/>
        <v>3543.1832690179872</v>
      </c>
      <c r="AD251" s="5">
        <f t="shared" si="252"/>
        <v>1637.6252318425832</v>
      </c>
      <c r="AE251" s="5">
        <f t="shared" si="252"/>
        <v>-267.93280533282814</v>
      </c>
      <c r="AF251" s="5">
        <f t="shared" si="252"/>
        <v>-2173.4908425082394</v>
      </c>
      <c r="AG251" s="5">
        <f t="shared" si="252"/>
        <v>-4079.0488796836435</v>
      </c>
      <c r="AH251" s="5">
        <f t="shared" si="252"/>
        <v>-5984.6069168590548</v>
      </c>
    </row>
    <row r="252" spans="1:34" x14ac:dyDescent="0.35">
      <c r="A252" t="s">
        <v>272</v>
      </c>
      <c r="B252" s="3" t="s">
        <v>1265</v>
      </c>
      <c r="C252" s="4" t="s">
        <v>1263</v>
      </c>
      <c r="D252" s="2">
        <f t="shared" si="196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ref="W252:AH252" si="253">IF(OR((SLOPE($E252:$V252,$E$1:$V$1)*W$1+INTERCEPT($E252:$V252,$E$1:$V$1))&gt;(AVERAGE($E252:$V252)+_xlfn.STDEV.P($E252:$V252)),(SLOPE($E252:$V252,$E$1:$V$1)*W$1+INTERCEPT($E252:$V252,$E$1:$V$1))&lt;(AVERAGE($E252:$V252)-_xlfn.STDEV.P($E252:$V252))),V252,(SLOPE($E252:$V252,$E$1:$V$1)*W$1+INTERCEPT($E252:$V252,$E$1:$V$1)))</f>
        <v>45083.205506650134</v>
      </c>
      <c r="X252" s="5">
        <f t="shared" si="253"/>
        <v>46381.864831908344</v>
      </c>
      <c r="Y252" s="5">
        <f t="shared" si="253"/>
        <v>47680.524157166539</v>
      </c>
      <c r="Z252" s="5">
        <f t="shared" si="253"/>
        <v>48979.183482424749</v>
      </c>
      <c r="AA252" s="5">
        <f t="shared" si="253"/>
        <v>48979.183482424749</v>
      </c>
      <c r="AB252" s="5">
        <f t="shared" si="253"/>
        <v>48979.183482424749</v>
      </c>
      <c r="AC252" s="5">
        <f t="shared" si="253"/>
        <v>48979.183482424749</v>
      </c>
      <c r="AD252" s="5">
        <f t="shared" si="253"/>
        <v>48979.183482424749</v>
      </c>
      <c r="AE252" s="5">
        <f t="shared" si="253"/>
        <v>48979.183482424749</v>
      </c>
      <c r="AF252" s="5">
        <f t="shared" si="253"/>
        <v>48979.183482424749</v>
      </c>
      <c r="AG252" s="5">
        <f t="shared" si="253"/>
        <v>48979.183482424749</v>
      </c>
      <c r="AH252" s="5">
        <f t="shared" si="253"/>
        <v>48979.183482424749</v>
      </c>
    </row>
    <row r="253" spans="1:34" x14ac:dyDescent="0.35">
      <c r="A253" t="s">
        <v>273</v>
      </c>
      <c r="B253" s="3" t="s">
        <v>1265</v>
      </c>
      <c r="C253" s="4" t="s">
        <v>1263</v>
      </c>
      <c r="D253" s="2">
        <f t="shared" si="196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ref="W253:AH253" si="254">IF(OR((SLOPE($E253:$V253,$E$1:$V$1)*W$1+INTERCEPT($E253:$V253,$E$1:$V$1))&gt;(AVERAGE($E253:$V253)+_xlfn.STDEV.P($E253:$V253)),(SLOPE($E253:$V253,$E$1:$V$1)*W$1+INTERCEPT($E253:$V253,$E$1:$V$1))&lt;(AVERAGE($E253:$V253)-_xlfn.STDEV.P($E253:$V253))),V253,(SLOPE($E253:$V253,$E$1:$V$1)*W$1+INTERCEPT($E253:$V253,$E$1:$V$1)))</f>
        <v>35483.752841967595</v>
      </c>
      <c r="X253" s="5">
        <f t="shared" si="254"/>
        <v>35784.611843061801</v>
      </c>
      <c r="Y253" s="5">
        <f t="shared" si="254"/>
        <v>36085.470844156014</v>
      </c>
      <c r="Z253" s="5">
        <f t="shared" si="254"/>
        <v>36386.32984525022</v>
      </c>
      <c r="AA253" s="5">
        <f t="shared" si="254"/>
        <v>36687.188846344434</v>
      </c>
      <c r="AB253" s="5">
        <f t="shared" si="254"/>
        <v>36988.04784743864</v>
      </c>
      <c r="AC253" s="5">
        <f t="shared" si="254"/>
        <v>37288.906848532846</v>
      </c>
      <c r="AD253" s="5">
        <f t="shared" si="254"/>
        <v>37589.76584962706</v>
      </c>
      <c r="AE253" s="5">
        <f t="shared" si="254"/>
        <v>37890.624850721266</v>
      </c>
      <c r="AF253" s="5">
        <f t="shared" si="254"/>
        <v>38191.483851815472</v>
      </c>
      <c r="AG253" s="5">
        <f t="shared" si="254"/>
        <v>38492.342852909685</v>
      </c>
      <c r="AH253" s="5">
        <f t="shared" si="254"/>
        <v>38793.201854003892</v>
      </c>
    </row>
    <row r="254" spans="1:34" x14ac:dyDescent="0.35">
      <c r="A254" t="s">
        <v>274</v>
      </c>
      <c r="B254" s="3" t="s">
        <v>1262</v>
      </c>
      <c r="C254" s="4" t="s">
        <v>1263</v>
      </c>
      <c r="D254" s="2">
        <f t="shared" si="196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ref="W254:AH254" si="255">IF(OR((SLOPE($E254:$V254,$E$1:$V$1)*W$1+INTERCEPT($E254:$V254,$E$1:$V$1))&gt;(AVERAGE($E254:$V254)+_xlfn.STDEV.P($E254:$V254)),(SLOPE($E254:$V254,$E$1:$V$1)*W$1+INTERCEPT($E254:$V254,$E$1:$V$1))&lt;(AVERAGE($E254:$V254)-_xlfn.STDEV.P($E254:$V254))),V254,(SLOPE($E254:$V254,$E$1:$V$1)*W$1+INTERCEPT($E254:$V254,$E$1:$V$1)))</f>
        <v>91576.362810364066</v>
      </c>
      <c r="X254" s="5">
        <f t="shared" si="255"/>
        <v>91576.362810364066</v>
      </c>
      <c r="Y254" s="5">
        <f t="shared" si="255"/>
        <v>91576.362810364066</v>
      </c>
      <c r="Z254" s="5">
        <f t="shared" si="255"/>
        <v>91576.362810364066</v>
      </c>
      <c r="AA254" s="5">
        <f t="shared" si="255"/>
        <v>91576.362810364066</v>
      </c>
      <c r="AB254" s="5">
        <f t="shared" si="255"/>
        <v>91576.362810364066</v>
      </c>
      <c r="AC254" s="5">
        <f t="shared" si="255"/>
        <v>91576.362810364066</v>
      </c>
      <c r="AD254" s="5">
        <f t="shared" si="255"/>
        <v>91576.362810364066</v>
      </c>
      <c r="AE254" s="5">
        <f t="shared" si="255"/>
        <v>91576.362810364066</v>
      </c>
      <c r="AF254" s="5">
        <f t="shared" si="255"/>
        <v>91576.362810364066</v>
      </c>
      <c r="AG254" s="5">
        <f t="shared" si="255"/>
        <v>91576.362810364066</v>
      </c>
      <c r="AH254" s="5">
        <f t="shared" si="255"/>
        <v>91576.362810364066</v>
      </c>
    </row>
    <row r="255" spans="1:34" x14ac:dyDescent="0.35">
      <c r="A255" t="s">
        <v>275</v>
      </c>
      <c r="B255" s="3" t="s">
        <v>1266</v>
      </c>
      <c r="C255" s="4" t="s">
        <v>1263</v>
      </c>
      <c r="D255" s="2">
        <f t="shared" si="196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ref="W255:AH255" si="256">IF(OR((SLOPE($E255:$V255,$E$1:$V$1)*W$1+INTERCEPT($E255:$V255,$E$1:$V$1))&gt;(AVERAGE($E255:$V255)+_xlfn.STDEV.P($E255:$V255)),(SLOPE($E255:$V255,$E$1:$V$1)*W$1+INTERCEPT($E255:$V255,$E$1:$V$1))&lt;(AVERAGE($E255:$V255)-_xlfn.STDEV.P($E255:$V255))),V255,(SLOPE($E255:$V255,$E$1:$V$1)*W$1+INTERCEPT($E255:$V255,$E$1:$V$1)))</f>
        <v>25214.540845006701</v>
      </c>
      <c r="X255" s="5">
        <f t="shared" si="256"/>
        <v>24410.612242376279</v>
      </c>
      <c r="Y255" s="5">
        <f t="shared" si="256"/>
        <v>23606.683639745854</v>
      </c>
      <c r="Z255" s="5">
        <f t="shared" si="256"/>
        <v>22802.755037115432</v>
      </c>
      <c r="AA255" s="5">
        <f t="shared" si="256"/>
        <v>21998.82643448501</v>
      </c>
      <c r="AB255" s="5">
        <f t="shared" si="256"/>
        <v>21194.897831854585</v>
      </c>
      <c r="AC255" s="5">
        <f t="shared" si="256"/>
        <v>20390.969229224163</v>
      </c>
      <c r="AD255" s="5">
        <f t="shared" si="256"/>
        <v>19587.040626593742</v>
      </c>
      <c r="AE255" s="5">
        <f t="shared" si="256"/>
        <v>18783.11202396332</v>
      </c>
      <c r="AF255" s="5">
        <f t="shared" si="256"/>
        <v>17979.183421332895</v>
      </c>
      <c r="AG255" s="5">
        <f t="shared" si="256"/>
        <v>17175.254818702473</v>
      </c>
      <c r="AH255" s="5">
        <f t="shared" si="256"/>
        <v>16371.326216072051</v>
      </c>
    </row>
    <row r="256" spans="1:34" x14ac:dyDescent="0.35">
      <c r="A256" t="s">
        <v>276</v>
      </c>
      <c r="B256" s="3" t="s">
        <v>1265</v>
      </c>
      <c r="C256" s="4" t="s">
        <v>1263</v>
      </c>
      <c r="D256" s="2">
        <f t="shared" si="196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ref="W256:AH256" si="257">IF(OR((SLOPE($E256:$V256,$E$1:$V$1)*W$1+INTERCEPT($E256:$V256,$E$1:$V$1))&gt;(AVERAGE($E256:$V256)+_xlfn.STDEV.P($E256:$V256)),(SLOPE($E256:$V256,$E$1:$V$1)*W$1+INTERCEPT($E256:$V256,$E$1:$V$1))&lt;(AVERAGE($E256:$V256)-_xlfn.STDEV.P($E256:$V256))),V256,(SLOPE($E256:$V256,$E$1:$V$1)*W$1+INTERCEPT($E256:$V256,$E$1:$V$1)))</f>
        <v>18964.24740058833</v>
      </c>
      <c r="X256" s="5">
        <f t="shared" si="257"/>
        <v>17580.741033709462</v>
      </c>
      <c r="Y256" s="5">
        <f t="shared" si="257"/>
        <v>16197.234666830595</v>
      </c>
      <c r="Z256" s="5">
        <f t="shared" si="257"/>
        <v>14813.728299951727</v>
      </c>
      <c r="AA256" s="5">
        <f t="shared" si="257"/>
        <v>13430.221933072859</v>
      </c>
      <c r="AB256" s="5">
        <f t="shared" si="257"/>
        <v>13430.221933072859</v>
      </c>
      <c r="AC256" s="5">
        <f t="shared" si="257"/>
        <v>13430.221933072859</v>
      </c>
      <c r="AD256" s="5">
        <f t="shared" si="257"/>
        <v>13430.221933072859</v>
      </c>
      <c r="AE256" s="5">
        <f t="shared" si="257"/>
        <v>13430.221933072859</v>
      </c>
      <c r="AF256" s="5">
        <f t="shared" si="257"/>
        <v>13430.221933072859</v>
      </c>
      <c r="AG256" s="5">
        <f t="shared" si="257"/>
        <v>13430.221933072859</v>
      </c>
      <c r="AH256" s="5">
        <f t="shared" si="257"/>
        <v>13430.221933072859</v>
      </c>
    </row>
    <row r="257" spans="1:34" x14ac:dyDescent="0.35">
      <c r="A257" t="s">
        <v>277</v>
      </c>
      <c r="B257" s="3" t="s">
        <v>1264</v>
      </c>
      <c r="C257" s="4" t="s">
        <v>1263</v>
      </c>
      <c r="D257" s="2">
        <f t="shared" si="196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ref="W257:AH257" si="258">IF(OR((SLOPE($E257:$V257,$E$1:$V$1)*W$1+INTERCEPT($E257:$V257,$E$1:$V$1))&gt;(AVERAGE($E257:$V257)+_xlfn.STDEV.P($E257:$V257)),(SLOPE($E257:$V257,$E$1:$V$1)*W$1+INTERCEPT($E257:$V257,$E$1:$V$1))&lt;(AVERAGE($E257:$V257)-_xlfn.STDEV.P($E257:$V257))),V257,(SLOPE($E257:$V257,$E$1:$V$1)*W$1+INTERCEPT($E257:$V257,$E$1:$V$1)))</f>
        <v>36056.991936510909</v>
      </c>
      <c r="X257" s="5">
        <f t="shared" si="258"/>
        <v>36407.710710965672</v>
      </c>
      <c r="Y257" s="5">
        <f t="shared" si="258"/>
        <v>36758.429485420435</v>
      </c>
      <c r="Z257" s="5">
        <f t="shared" si="258"/>
        <v>37109.148259875205</v>
      </c>
      <c r="AA257" s="5">
        <f t="shared" si="258"/>
        <v>37459.867034329975</v>
      </c>
      <c r="AB257" s="5">
        <f t="shared" si="258"/>
        <v>37810.585808784737</v>
      </c>
      <c r="AC257" s="5">
        <f t="shared" si="258"/>
        <v>38161.3045832395</v>
      </c>
      <c r="AD257" s="5">
        <f t="shared" si="258"/>
        <v>38512.02335769427</v>
      </c>
      <c r="AE257" s="5">
        <f t="shared" si="258"/>
        <v>38862.74213214904</v>
      </c>
      <c r="AF257" s="5">
        <f t="shared" si="258"/>
        <v>39213.460906603803</v>
      </c>
      <c r="AG257" s="5">
        <f t="shared" si="258"/>
        <v>39564.179681058566</v>
      </c>
      <c r="AH257" s="5">
        <f t="shared" si="258"/>
        <v>39914.898455513336</v>
      </c>
    </row>
    <row r="258" spans="1:34" x14ac:dyDescent="0.35">
      <c r="A258" t="s">
        <v>278</v>
      </c>
      <c r="B258" s="3" t="s">
        <v>1262</v>
      </c>
      <c r="C258" s="4" t="s">
        <v>1263</v>
      </c>
      <c r="D258" s="2">
        <f t="shared" si="196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ref="W258:AH258" si="259">IF(OR((SLOPE($E258:$V258,$E$1:$V$1)*W$1+INTERCEPT($E258:$V258,$E$1:$V$1))&gt;(AVERAGE($E258:$V258)+_xlfn.STDEV.P($E258:$V258)),(SLOPE($E258:$V258,$E$1:$V$1)*W$1+INTERCEPT($E258:$V258,$E$1:$V$1))&lt;(AVERAGE($E258:$V258)-_xlfn.STDEV.P($E258:$V258))),V258,(SLOPE($E258:$V258,$E$1:$V$1)*W$1+INTERCEPT($E258:$V258,$E$1:$V$1)))</f>
        <v>71733.53387612653</v>
      </c>
      <c r="X258" s="5">
        <f t="shared" si="259"/>
        <v>75936.708174278392</v>
      </c>
      <c r="Y258" s="5">
        <f t="shared" si="259"/>
        <v>80139.882472430269</v>
      </c>
      <c r="Z258" s="5">
        <f t="shared" si="259"/>
        <v>84343.05677058213</v>
      </c>
      <c r="AA258" s="5">
        <f t="shared" si="259"/>
        <v>88546.231068733992</v>
      </c>
      <c r="AB258" s="5">
        <f t="shared" si="259"/>
        <v>92749.405366885869</v>
      </c>
      <c r="AC258" s="5">
        <f t="shared" si="259"/>
        <v>96952.579665037731</v>
      </c>
      <c r="AD258" s="5">
        <f t="shared" si="259"/>
        <v>101155.75396318959</v>
      </c>
      <c r="AE258" s="5">
        <f t="shared" si="259"/>
        <v>105358.92826134145</v>
      </c>
      <c r="AF258" s="5">
        <f t="shared" si="259"/>
        <v>105358.92826134145</v>
      </c>
      <c r="AG258" s="5">
        <f t="shared" si="259"/>
        <v>105358.92826134145</v>
      </c>
      <c r="AH258" s="5">
        <f t="shared" si="259"/>
        <v>105358.92826134145</v>
      </c>
    </row>
    <row r="259" spans="1:34" x14ac:dyDescent="0.35">
      <c r="A259" t="s">
        <v>279</v>
      </c>
      <c r="B259" s="3" t="s">
        <v>1262</v>
      </c>
      <c r="C259" s="4" t="s">
        <v>1263</v>
      </c>
      <c r="D259" s="2">
        <f t="shared" si="196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ref="W259:AH259" si="260">IF(OR((SLOPE($E259:$V259,$E$1:$V$1)*W$1+INTERCEPT($E259:$V259,$E$1:$V$1))&gt;(AVERAGE($E259:$V259)+_xlfn.STDEV.P($E259:$V259)),(SLOPE($E259:$V259,$E$1:$V$1)*W$1+INTERCEPT($E259:$V259,$E$1:$V$1))&lt;(AVERAGE($E259:$V259)-_xlfn.STDEV.P($E259:$V259))),V259,(SLOPE($E259:$V259,$E$1:$V$1)*W$1+INTERCEPT($E259:$V259,$E$1:$V$1)))</f>
        <v>47175.883838128851</v>
      </c>
      <c r="X259" s="5">
        <f t="shared" si="260"/>
        <v>48761.481875936995</v>
      </c>
      <c r="Y259" s="5">
        <f t="shared" si="260"/>
        <v>50347.079913745139</v>
      </c>
      <c r="Z259" s="5">
        <f t="shared" si="260"/>
        <v>51932.677951553283</v>
      </c>
      <c r="AA259" s="5">
        <f t="shared" si="260"/>
        <v>53518.275989361427</v>
      </c>
      <c r="AB259" s="5">
        <f t="shared" si="260"/>
        <v>55103.874027169571</v>
      </c>
      <c r="AC259" s="5">
        <f t="shared" si="260"/>
        <v>56689.472064977715</v>
      </c>
      <c r="AD259" s="5">
        <f t="shared" si="260"/>
        <v>58275.070102785874</v>
      </c>
      <c r="AE259" s="5">
        <f t="shared" si="260"/>
        <v>59860.668140594018</v>
      </c>
      <c r="AF259" s="5">
        <f t="shared" si="260"/>
        <v>61446.266178402162</v>
      </c>
      <c r="AG259" s="5">
        <f t="shared" si="260"/>
        <v>63031.864216210306</v>
      </c>
      <c r="AH259" s="5">
        <f t="shared" si="260"/>
        <v>64617.46225401845</v>
      </c>
    </row>
    <row r="260" spans="1:34" x14ac:dyDescent="0.35">
      <c r="A260" t="s">
        <v>280</v>
      </c>
      <c r="B260" s="3" t="s">
        <v>1266</v>
      </c>
      <c r="C260" s="4" t="s">
        <v>1267</v>
      </c>
      <c r="D260" s="2">
        <f t="shared" ref="D260:D323" si="26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ref="W260:AH260" si="262">IF(OR((SLOPE($E260:$V260,$E$1:$V$1)*W$1+INTERCEPT($E260:$V260,$E$1:$V$1))&gt;(AVERAGE($E260:$V260)+_xlfn.STDEV.P($E260:$V260)),(SLOPE($E260:$V260,$E$1:$V$1)*W$1+INTERCEPT($E260:$V260,$E$1:$V$1))&lt;(AVERAGE($E260:$V260)-_xlfn.STDEV.P($E260:$V260))),V260,(SLOPE($E260:$V260,$E$1:$V$1)*W$1+INTERCEPT($E260:$V260,$E$1:$V$1)))</f>
        <v>0</v>
      </c>
      <c r="X260" s="5">
        <f t="shared" si="262"/>
        <v>0</v>
      </c>
      <c r="Y260" s="5">
        <f t="shared" si="262"/>
        <v>0</v>
      </c>
      <c r="Z260" s="5">
        <f t="shared" si="262"/>
        <v>0</v>
      </c>
      <c r="AA260" s="5">
        <f t="shared" si="262"/>
        <v>0</v>
      </c>
      <c r="AB260" s="5">
        <f t="shared" si="262"/>
        <v>0</v>
      </c>
      <c r="AC260" s="5">
        <f t="shared" si="262"/>
        <v>0</v>
      </c>
      <c r="AD260" s="5">
        <f t="shared" si="262"/>
        <v>0</v>
      </c>
      <c r="AE260" s="5">
        <f t="shared" si="262"/>
        <v>0</v>
      </c>
      <c r="AF260" s="5">
        <f t="shared" si="262"/>
        <v>0</v>
      </c>
      <c r="AG260" s="5">
        <f t="shared" si="262"/>
        <v>0</v>
      </c>
      <c r="AH260" s="5">
        <f t="shared" si="262"/>
        <v>0</v>
      </c>
    </row>
    <row r="261" spans="1:34" x14ac:dyDescent="0.35">
      <c r="A261" t="s">
        <v>281</v>
      </c>
      <c r="B261" s="3" t="s">
        <v>1264</v>
      </c>
      <c r="C261" s="4" t="s">
        <v>1263</v>
      </c>
      <c r="D261" s="2">
        <f t="shared" si="26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H261" si="263">IF(OR((SLOPE($E261:$V261,$E$1:$V$1)*W$1+INTERCEPT($E261:$V261,$E$1:$V$1))&gt;(AVERAGE($E261:$V261)+_xlfn.STDEV.P($E261:$V261)),(SLOPE($E261:$V261,$E$1:$V$1)*W$1+INTERCEPT($E261:$V261,$E$1:$V$1))&lt;(AVERAGE($E261:$V261)-_xlfn.STDEV.P($E261:$V261))),V261,(SLOPE($E261:$V261,$E$1:$V$1)*W$1+INTERCEPT($E261:$V261,$E$1:$V$1)))</f>
        <v>26167.987213115164</v>
      </c>
      <c r="X261" s="5">
        <f t="shared" si="263"/>
        <v>25587.778901083984</v>
      </c>
      <c r="Y261" s="5">
        <f t="shared" si="263"/>
        <v>25007.570589052797</v>
      </c>
      <c r="Z261" s="5">
        <f t="shared" si="263"/>
        <v>25007.570589052797</v>
      </c>
      <c r="AA261" s="5">
        <f t="shared" si="263"/>
        <v>25007.570589052797</v>
      </c>
      <c r="AB261" s="5">
        <f t="shared" si="263"/>
        <v>25007.570589052797</v>
      </c>
      <c r="AC261" s="5">
        <f t="shared" si="263"/>
        <v>25007.570589052797</v>
      </c>
      <c r="AD261" s="5">
        <f t="shared" si="263"/>
        <v>25007.570589052797</v>
      </c>
      <c r="AE261" s="5">
        <f t="shared" si="263"/>
        <v>25007.570589052797</v>
      </c>
      <c r="AF261" s="5">
        <f t="shared" si="263"/>
        <v>25007.570589052797</v>
      </c>
      <c r="AG261" s="5">
        <f t="shared" si="263"/>
        <v>25007.570589052797</v>
      </c>
      <c r="AH261" s="5">
        <f t="shared" si="263"/>
        <v>25007.570589052797</v>
      </c>
    </row>
    <row r="262" spans="1:34" x14ac:dyDescent="0.35">
      <c r="A262" t="s">
        <v>282</v>
      </c>
      <c r="B262" s="3" t="s">
        <v>1265</v>
      </c>
      <c r="C262" s="4" t="s">
        <v>1263</v>
      </c>
      <c r="D262" s="2">
        <f t="shared" si="26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ref="W262:AH262" si="264">IF(OR((SLOPE($E262:$V262,$E$1:$V$1)*W$1+INTERCEPT($E262:$V262,$E$1:$V$1))&gt;(AVERAGE($E262:$V262)+_xlfn.STDEV.P($E262:$V262)),(SLOPE($E262:$V262,$E$1:$V$1)*W$1+INTERCEPT($E262:$V262,$E$1:$V$1))&lt;(AVERAGE($E262:$V262)-_xlfn.STDEV.P($E262:$V262))),V262,(SLOPE($E262:$V262,$E$1:$V$1)*W$1+INTERCEPT($E262:$V262,$E$1:$V$1)))</f>
        <v>39882.210585180699</v>
      </c>
      <c r="X262" s="5">
        <f t="shared" si="264"/>
        <v>40784.976204959159</v>
      </c>
      <c r="Y262" s="5">
        <f t="shared" si="264"/>
        <v>41687.741824737626</v>
      </c>
      <c r="Z262" s="5">
        <f t="shared" si="264"/>
        <v>42590.507444516086</v>
      </c>
      <c r="AA262" s="5">
        <f t="shared" si="264"/>
        <v>43493.273064294553</v>
      </c>
      <c r="AB262" s="5">
        <f t="shared" si="264"/>
        <v>44396.038684073021</v>
      </c>
      <c r="AC262" s="5">
        <f t="shared" si="264"/>
        <v>45298.804303851488</v>
      </c>
      <c r="AD262" s="5">
        <f t="shared" si="264"/>
        <v>45298.804303851488</v>
      </c>
      <c r="AE262" s="5">
        <f t="shared" si="264"/>
        <v>45298.804303851488</v>
      </c>
      <c r="AF262" s="5">
        <f t="shared" si="264"/>
        <v>45298.804303851488</v>
      </c>
      <c r="AG262" s="5">
        <f t="shared" si="264"/>
        <v>45298.804303851488</v>
      </c>
      <c r="AH262" s="5">
        <f t="shared" si="264"/>
        <v>45298.804303851488</v>
      </c>
    </row>
    <row r="263" spans="1:34" x14ac:dyDescent="0.35">
      <c r="A263" t="s">
        <v>283</v>
      </c>
      <c r="B263" s="3" t="s">
        <v>1265</v>
      </c>
      <c r="C263" s="4" t="s">
        <v>1263</v>
      </c>
      <c r="D263" s="2">
        <f t="shared" si="26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ref="W263:AH263" si="265">IF(OR((SLOPE($E263:$V263,$E$1:$V$1)*W$1+INTERCEPT($E263:$V263,$E$1:$V$1))&gt;(AVERAGE($E263:$V263)+_xlfn.STDEV.P($E263:$V263)),(SLOPE($E263:$V263,$E$1:$V$1)*W$1+INTERCEPT($E263:$V263,$E$1:$V$1))&lt;(AVERAGE($E263:$V263)-_xlfn.STDEV.P($E263:$V263))),V263,(SLOPE($E263:$V263,$E$1:$V$1)*W$1+INTERCEPT($E263:$V263,$E$1:$V$1)))</f>
        <v>26416.870667749976</v>
      </c>
      <c r="X263" s="5">
        <f t="shared" si="265"/>
        <v>25942.545421858849</v>
      </c>
      <c r="Y263" s="5">
        <f t="shared" si="265"/>
        <v>25468.220175967719</v>
      </c>
      <c r="Z263" s="5">
        <f t="shared" si="265"/>
        <v>24993.894930076593</v>
      </c>
      <c r="AA263" s="5">
        <f t="shared" si="265"/>
        <v>24519.569684185466</v>
      </c>
      <c r="AB263" s="5">
        <f t="shared" si="265"/>
        <v>24045.244438294336</v>
      </c>
      <c r="AC263" s="5">
        <f t="shared" si="265"/>
        <v>23570.919192403209</v>
      </c>
      <c r="AD263" s="5">
        <f t="shared" si="265"/>
        <v>23096.593946512083</v>
      </c>
      <c r="AE263" s="5">
        <f t="shared" si="265"/>
        <v>22622.268700620953</v>
      </c>
      <c r="AF263" s="5">
        <f t="shared" si="265"/>
        <v>22147.943454729826</v>
      </c>
      <c r="AG263" s="5">
        <f t="shared" si="265"/>
        <v>21673.6182088387</v>
      </c>
      <c r="AH263" s="5">
        <f t="shared" si="265"/>
        <v>21199.292962947569</v>
      </c>
    </row>
    <row r="264" spans="1:34" x14ac:dyDescent="0.35">
      <c r="A264" t="s">
        <v>284</v>
      </c>
      <c r="B264" s="3" t="s">
        <v>1265</v>
      </c>
      <c r="C264" s="4" t="s">
        <v>1263</v>
      </c>
      <c r="D264" s="2">
        <f t="shared" si="26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ref="W264:AH264" si="266">IF(OR((SLOPE($E264:$V264,$E$1:$V$1)*W$1+INTERCEPT($E264:$V264,$E$1:$V$1))&gt;(AVERAGE($E264:$V264)+_xlfn.STDEV.P($E264:$V264)),(SLOPE($E264:$V264,$E$1:$V$1)*W$1+INTERCEPT($E264:$V264,$E$1:$V$1))&lt;(AVERAGE($E264:$V264)-_xlfn.STDEV.P($E264:$V264))),V264,(SLOPE($E264:$V264,$E$1:$V$1)*W$1+INTERCEPT($E264:$V264,$E$1:$V$1)))</f>
        <v>32525.728172446543</v>
      </c>
      <c r="X264" s="5">
        <f t="shared" si="266"/>
        <v>32525.728172446543</v>
      </c>
      <c r="Y264" s="5">
        <f t="shared" si="266"/>
        <v>32525.728172446543</v>
      </c>
      <c r="Z264" s="5">
        <f t="shared" si="266"/>
        <v>32525.728172446543</v>
      </c>
      <c r="AA264" s="5">
        <f t="shared" si="266"/>
        <v>32525.728172446543</v>
      </c>
      <c r="AB264" s="5">
        <f t="shared" si="266"/>
        <v>32525.728172446543</v>
      </c>
      <c r="AC264" s="5">
        <f t="shared" si="266"/>
        <v>32525.728172446543</v>
      </c>
      <c r="AD264" s="5">
        <f t="shared" si="266"/>
        <v>32525.728172446543</v>
      </c>
      <c r="AE264" s="5">
        <f t="shared" si="266"/>
        <v>32525.728172446543</v>
      </c>
      <c r="AF264" s="5">
        <f t="shared" si="266"/>
        <v>32525.728172446543</v>
      </c>
      <c r="AG264" s="5">
        <f t="shared" si="266"/>
        <v>32525.728172446543</v>
      </c>
      <c r="AH264" s="5">
        <f t="shared" si="266"/>
        <v>32525.728172446543</v>
      </c>
    </row>
    <row r="265" spans="1:34" x14ac:dyDescent="0.35">
      <c r="A265" t="s">
        <v>285</v>
      </c>
      <c r="B265" s="3" t="s">
        <v>1262</v>
      </c>
      <c r="C265" s="4" t="s">
        <v>1267</v>
      </c>
      <c r="D265" s="2">
        <f t="shared" si="26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ref="W265:AH265" si="267">IF(OR((SLOPE($E265:$V265,$E$1:$V$1)*W$1+INTERCEPT($E265:$V265,$E$1:$V$1))&gt;(AVERAGE($E265:$V265)+_xlfn.STDEV.P($E265:$V265)),(SLOPE($E265:$V265,$E$1:$V$1)*W$1+INTERCEPT($E265:$V265,$E$1:$V$1))&lt;(AVERAGE($E265:$V265)-_xlfn.STDEV.P($E265:$V265))),V265,(SLOPE($E265:$V265,$E$1:$V$1)*W$1+INTERCEPT($E265:$V265,$E$1:$V$1)))</f>
        <v>44606.430171847402</v>
      </c>
      <c r="X265" s="5">
        <f t="shared" si="267"/>
        <v>47876.450428806143</v>
      </c>
      <c r="Y265" s="5">
        <f t="shared" si="267"/>
        <v>51146.470685764885</v>
      </c>
      <c r="Z265" s="5">
        <f t="shared" si="267"/>
        <v>54416.490942723613</v>
      </c>
      <c r="AA265" s="5">
        <f t="shared" si="267"/>
        <v>57686.511199682354</v>
      </c>
      <c r="AB265" s="5">
        <f t="shared" si="267"/>
        <v>60956.531456641096</v>
      </c>
      <c r="AC265" s="5">
        <f t="shared" si="267"/>
        <v>64226.551713599838</v>
      </c>
      <c r="AD265" s="5">
        <f t="shared" si="267"/>
        <v>67496.57197055858</v>
      </c>
      <c r="AE265" s="5">
        <f t="shared" si="267"/>
        <v>67496.57197055858</v>
      </c>
      <c r="AF265" s="5">
        <f t="shared" si="267"/>
        <v>67496.57197055858</v>
      </c>
      <c r="AG265" s="5">
        <f t="shared" si="267"/>
        <v>67496.57197055858</v>
      </c>
      <c r="AH265" s="5">
        <f t="shared" si="267"/>
        <v>67496.57197055858</v>
      </c>
    </row>
    <row r="266" spans="1:34" x14ac:dyDescent="0.35">
      <c r="A266" t="s">
        <v>286</v>
      </c>
      <c r="B266" s="3" t="s">
        <v>1266</v>
      </c>
      <c r="C266" s="4" t="s">
        <v>1263</v>
      </c>
      <c r="D266" s="2">
        <f t="shared" si="26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ref="W266:AH266" si="268">IF(OR((SLOPE($E266:$V266,$E$1:$V$1)*W$1+INTERCEPT($E266:$V266,$E$1:$V$1))&gt;(AVERAGE($E266:$V266)+_xlfn.STDEV.P($E266:$V266)),(SLOPE($E266:$V266,$E$1:$V$1)*W$1+INTERCEPT($E266:$V266,$E$1:$V$1))&lt;(AVERAGE($E266:$V266)-_xlfn.STDEV.P($E266:$V266))),V266,(SLOPE($E266:$V266,$E$1:$V$1)*W$1+INTERCEPT($E266:$V266,$E$1:$V$1)))</f>
        <v>48263.443361809004</v>
      </c>
      <c r="X266" s="5">
        <f t="shared" si="268"/>
        <v>50080.081258139791</v>
      </c>
      <c r="Y266" s="5">
        <f t="shared" si="268"/>
        <v>51896.719154470578</v>
      </c>
      <c r="Z266" s="5">
        <f t="shared" si="268"/>
        <v>53713.357050801365</v>
      </c>
      <c r="AA266" s="5">
        <f t="shared" si="268"/>
        <v>55529.99494713216</v>
      </c>
      <c r="AB266" s="5">
        <f t="shared" si="268"/>
        <v>57346.632843462947</v>
      </c>
      <c r="AC266" s="5">
        <f t="shared" si="268"/>
        <v>59163.270739793734</v>
      </c>
      <c r="AD266" s="5">
        <f t="shared" si="268"/>
        <v>60979.908636124521</v>
      </c>
      <c r="AE266" s="5">
        <f t="shared" si="268"/>
        <v>62796.546532455308</v>
      </c>
      <c r="AF266" s="5">
        <f t="shared" si="268"/>
        <v>64613.184428786095</v>
      </c>
      <c r="AG266" s="5">
        <f t="shared" si="268"/>
        <v>66429.822325116897</v>
      </c>
      <c r="AH266" s="5">
        <f t="shared" si="268"/>
        <v>68246.460221447676</v>
      </c>
    </row>
    <row r="267" spans="1:34" x14ac:dyDescent="0.35">
      <c r="A267" t="s">
        <v>287</v>
      </c>
      <c r="B267" s="3" t="s">
        <v>1262</v>
      </c>
      <c r="C267" s="4" t="s">
        <v>1263</v>
      </c>
      <c r="D267" s="2">
        <f t="shared" si="26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ref="W267:AH267" si="269">IF(OR((SLOPE($E267:$V267,$E$1:$V$1)*W$1+INTERCEPT($E267:$V267,$E$1:$V$1))&gt;(AVERAGE($E267:$V267)+_xlfn.STDEV.P($E267:$V267)),(SLOPE($E267:$V267,$E$1:$V$1)*W$1+INTERCEPT($E267:$V267,$E$1:$V$1))&lt;(AVERAGE($E267:$V267)-_xlfn.STDEV.P($E267:$V267))),V267,(SLOPE($E267:$V267,$E$1:$V$1)*W$1+INTERCEPT($E267:$V267,$E$1:$V$1)))</f>
        <v>76967.73</v>
      </c>
      <c r="X267" s="5">
        <f t="shared" si="269"/>
        <v>76967.73</v>
      </c>
      <c r="Y267" s="5">
        <f t="shared" si="269"/>
        <v>76967.73</v>
      </c>
      <c r="Z267" s="5">
        <f t="shared" si="269"/>
        <v>76967.73</v>
      </c>
      <c r="AA267" s="5">
        <f t="shared" si="269"/>
        <v>76967.73</v>
      </c>
      <c r="AB267" s="5">
        <f t="shared" si="269"/>
        <v>76967.73</v>
      </c>
      <c r="AC267" s="5">
        <f t="shared" si="269"/>
        <v>76967.73</v>
      </c>
      <c r="AD267" s="5">
        <f t="shared" si="269"/>
        <v>76967.73</v>
      </c>
      <c r="AE267" s="5">
        <f t="shared" si="269"/>
        <v>76967.73</v>
      </c>
      <c r="AF267" s="5">
        <f t="shared" si="269"/>
        <v>76967.73</v>
      </c>
      <c r="AG267" s="5">
        <f t="shared" si="269"/>
        <v>76967.73</v>
      </c>
      <c r="AH267" s="5">
        <f t="shared" si="269"/>
        <v>76967.73</v>
      </c>
    </row>
    <row r="268" spans="1:34" x14ac:dyDescent="0.35">
      <c r="A268" t="s">
        <v>288</v>
      </c>
      <c r="B268" s="3" t="s">
        <v>1265</v>
      </c>
      <c r="C268" s="4" t="s">
        <v>1263</v>
      </c>
      <c r="D268" s="2">
        <f t="shared" si="26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ref="W268:AH268" si="270">IF(OR((SLOPE($E268:$V268,$E$1:$V$1)*W$1+INTERCEPT($E268:$V268,$E$1:$V$1))&gt;(AVERAGE($E268:$V268)+_xlfn.STDEV.P($E268:$V268)),(SLOPE($E268:$V268,$E$1:$V$1)*W$1+INTERCEPT($E268:$V268,$E$1:$V$1))&lt;(AVERAGE($E268:$V268)-_xlfn.STDEV.P($E268:$V268))),V268,(SLOPE($E268:$V268,$E$1:$V$1)*W$1+INTERCEPT($E268:$V268,$E$1:$V$1)))</f>
        <v>34058.964369909219</v>
      </c>
      <c r="X268" s="5">
        <f t="shared" si="270"/>
        <v>34445.713961448113</v>
      </c>
      <c r="Y268" s="5">
        <f t="shared" si="270"/>
        <v>34832.463552986999</v>
      </c>
      <c r="Z268" s="5">
        <f t="shared" si="270"/>
        <v>35219.213144525893</v>
      </c>
      <c r="AA268" s="5">
        <f t="shared" si="270"/>
        <v>35605.962736064779</v>
      </c>
      <c r="AB268" s="5">
        <f t="shared" si="270"/>
        <v>35992.712327603673</v>
      </c>
      <c r="AC268" s="5">
        <f t="shared" si="270"/>
        <v>36379.461919142559</v>
      </c>
      <c r="AD268" s="5">
        <f t="shared" si="270"/>
        <v>36379.461919142559</v>
      </c>
      <c r="AE268" s="5">
        <f t="shared" si="270"/>
        <v>36379.461919142559</v>
      </c>
      <c r="AF268" s="5">
        <f t="shared" si="270"/>
        <v>36379.461919142559</v>
      </c>
      <c r="AG268" s="5">
        <f t="shared" si="270"/>
        <v>36379.461919142559</v>
      </c>
      <c r="AH268" s="5">
        <f t="shared" si="270"/>
        <v>36379.461919142559</v>
      </c>
    </row>
    <row r="269" spans="1:34" x14ac:dyDescent="0.35">
      <c r="A269" t="s">
        <v>289</v>
      </c>
      <c r="B269" s="3" t="s">
        <v>1266</v>
      </c>
      <c r="C269" s="4" t="s">
        <v>1267</v>
      </c>
      <c r="D269" s="2">
        <f t="shared" si="26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ref="W269:AH269" si="271">IF(OR((SLOPE($E269:$V269,$E$1:$V$1)*W$1+INTERCEPT($E269:$V269,$E$1:$V$1))&gt;(AVERAGE($E269:$V269)+_xlfn.STDEV.P($E269:$V269)),(SLOPE($E269:$V269,$E$1:$V$1)*W$1+INTERCEPT($E269:$V269,$E$1:$V$1))&lt;(AVERAGE($E269:$V269)-_xlfn.STDEV.P($E269:$V269))),V269,(SLOPE($E269:$V269,$E$1:$V$1)*W$1+INTERCEPT($E269:$V269,$E$1:$V$1)))</f>
        <v>-39324.120401176449</v>
      </c>
      <c r="X269" s="5">
        <f t="shared" si="271"/>
        <v>-46686.597242352931</v>
      </c>
      <c r="Y269" s="5">
        <f t="shared" si="271"/>
        <v>-46686.597242352931</v>
      </c>
      <c r="Z269" s="5">
        <f t="shared" si="271"/>
        <v>-46686.597242352931</v>
      </c>
      <c r="AA269" s="5">
        <f t="shared" si="271"/>
        <v>-46686.597242352931</v>
      </c>
      <c r="AB269" s="5">
        <f t="shared" si="271"/>
        <v>-46686.597242352931</v>
      </c>
      <c r="AC269" s="5">
        <f t="shared" si="271"/>
        <v>-46686.597242352931</v>
      </c>
      <c r="AD269" s="5">
        <f t="shared" si="271"/>
        <v>-46686.597242352931</v>
      </c>
      <c r="AE269" s="5">
        <f t="shared" si="271"/>
        <v>-46686.597242352931</v>
      </c>
      <c r="AF269" s="5">
        <f t="shared" si="271"/>
        <v>-46686.597242352931</v>
      </c>
      <c r="AG269" s="5">
        <f t="shared" si="271"/>
        <v>-46686.597242352931</v>
      </c>
      <c r="AH269" s="5">
        <f t="shared" si="271"/>
        <v>-46686.597242352931</v>
      </c>
    </row>
    <row r="270" spans="1:34" x14ac:dyDescent="0.35">
      <c r="A270" t="s">
        <v>290</v>
      </c>
      <c r="B270" s="3" t="s">
        <v>1264</v>
      </c>
      <c r="C270" s="4" t="s">
        <v>1263</v>
      </c>
      <c r="D270" s="2">
        <f t="shared" si="26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ref="W270:AH270" si="272">IF(OR((SLOPE($E270:$V270,$E$1:$V$1)*W$1+INTERCEPT($E270:$V270,$E$1:$V$1))&gt;(AVERAGE($E270:$V270)+_xlfn.STDEV.P($E270:$V270)),(SLOPE($E270:$V270,$E$1:$V$1)*W$1+INTERCEPT($E270:$V270,$E$1:$V$1))&lt;(AVERAGE($E270:$V270)-_xlfn.STDEV.P($E270:$V270))),V270,(SLOPE($E270:$V270,$E$1:$V$1)*W$1+INTERCEPT($E270:$V270,$E$1:$V$1)))</f>
        <v>35499.417206183949</v>
      </c>
      <c r="X270" s="5">
        <f t="shared" si="272"/>
        <v>36027.391352139093</v>
      </c>
      <c r="Y270" s="5">
        <f t="shared" si="272"/>
        <v>36555.36549809423</v>
      </c>
      <c r="Z270" s="5">
        <f t="shared" si="272"/>
        <v>37083.339644049374</v>
      </c>
      <c r="AA270" s="5">
        <f t="shared" si="272"/>
        <v>37611.313790004519</v>
      </c>
      <c r="AB270" s="5">
        <f t="shared" si="272"/>
        <v>38139.287935959663</v>
      </c>
      <c r="AC270" s="5">
        <f t="shared" si="272"/>
        <v>38667.2620819148</v>
      </c>
      <c r="AD270" s="5">
        <f t="shared" si="272"/>
        <v>39195.236227869944</v>
      </c>
      <c r="AE270" s="5">
        <f t="shared" si="272"/>
        <v>39723.210373825088</v>
      </c>
      <c r="AF270" s="5">
        <f t="shared" si="272"/>
        <v>40251.184519780232</v>
      </c>
      <c r="AG270" s="5">
        <f t="shared" si="272"/>
        <v>40779.158665735376</v>
      </c>
      <c r="AH270" s="5">
        <f t="shared" si="272"/>
        <v>41307.132811690521</v>
      </c>
    </row>
    <row r="271" spans="1:34" x14ac:dyDescent="0.35">
      <c r="A271" t="s">
        <v>291</v>
      </c>
      <c r="B271" s="3" t="s">
        <v>1266</v>
      </c>
      <c r="C271" s="4" t="s">
        <v>1268</v>
      </c>
      <c r="D271" s="2">
        <f t="shared" si="26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ref="W271:AH271" si="273">IF(OR((SLOPE($E271:$V271,$E$1:$V$1)*W$1+INTERCEPT($E271:$V271,$E$1:$V$1))&gt;(AVERAGE($E271:$V271)+_xlfn.STDEV.P($E271:$V271)),(SLOPE($E271:$V271,$E$1:$V$1)*W$1+INTERCEPT($E271:$V271,$E$1:$V$1))&lt;(AVERAGE($E271:$V271)-_xlfn.STDEV.P($E271:$V271))),V271,(SLOPE($E271:$V271,$E$1:$V$1)*W$1+INTERCEPT($E271:$V271,$E$1:$V$1)))</f>
        <v>24500.512634984305</v>
      </c>
      <c r="X271" s="5">
        <f t="shared" si="273"/>
        <v>23873.522391504368</v>
      </c>
      <c r="Y271" s="5">
        <f t="shared" si="273"/>
        <v>23246.532148024431</v>
      </c>
      <c r="Z271" s="5">
        <f t="shared" si="273"/>
        <v>22619.541904544494</v>
      </c>
      <c r="AA271" s="5">
        <f t="shared" si="273"/>
        <v>21992.551661064557</v>
      </c>
      <c r="AB271" s="5">
        <f t="shared" si="273"/>
        <v>21365.56141758462</v>
      </c>
      <c r="AC271" s="5">
        <f t="shared" si="273"/>
        <v>20738.571174104683</v>
      </c>
      <c r="AD271" s="5">
        <f t="shared" si="273"/>
        <v>20111.58093062475</v>
      </c>
      <c r="AE271" s="5">
        <f t="shared" si="273"/>
        <v>19484.590687144813</v>
      </c>
      <c r="AF271" s="5">
        <f t="shared" si="273"/>
        <v>18857.600443664876</v>
      </c>
      <c r="AG271" s="5">
        <f t="shared" si="273"/>
        <v>18230.610200184939</v>
      </c>
      <c r="AH271" s="5">
        <f t="shared" si="273"/>
        <v>17603.619956705006</v>
      </c>
    </row>
    <row r="272" spans="1:34" x14ac:dyDescent="0.35">
      <c r="A272" t="s">
        <v>292</v>
      </c>
      <c r="B272" s="3" t="s">
        <v>1262</v>
      </c>
      <c r="C272" s="4" t="s">
        <v>1263</v>
      </c>
      <c r="D272" s="2">
        <f t="shared" si="26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ref="W272:AH272" si="274">IF(OR((SLOPE($E272:$V272,$E$1:$V$1)*W$1+INTERCEPT($E272:$V272,$E$1:$V$1))&gt;(AVERAGE($E272:$V272)+_xlfn.STDEV.P($E272:$V272)),(SLOPE($E272:$V272,$E$1:$V$1)*W$1+INTERCEPT($E272:$V272,$E$1:$V$1))&lt;(AVERAGE($E272:$V272)-_xlfn.STDEV.P($E272:$V272))),V272,(SLOPE($E272:$V272,$E$1:$V$1)*W$1+INTERCEPT($E272:$V272,$E$1:$V$1)))</f>
        <v>32758.362000000005</v>
      </c>
      <c r="X272" s="5">
        <f t="shared" si="274"/>
        <v>32758.362000000005</v>
      </c>
      <c r="Y272" s="5">
        <f t="shared" si="274"/>
        <v>32758.362000000005</v>
      </c>
      <c r="Z272" s="5">
        <f t="shared" si="274"/>
        <v>32758.362000000005</v>
      </c>
      <c r="AA272" s="5">
        <f t="shared" si="274"/>
        <v>32758.362000000005</v>
      </c>
      <c r="AB272" s="5">
        <f t="shared" si="274"/>
        <v>32758.362000000005</v>
      </c>
      <c r="AC272" s="5">
        <f t="shared" si="274"/>
        <v>32758.362000000005</v>
      </c>
      <c r="AD272" s="5">
        <f t="shared" si="274"/>
        <v>32758.362000000005</v>
      </c>
      <c r="AE272" s="5">
        <f t="shared" si="274"/>
        <v>32758.362000000005</v>
      </c>
      <c r="AF272" s="5">
        <f t="shared" si="274"/>
        <v>32758.362000000005</v>
      </c>
      <c r="AG272" s="5">
        <f t="shared" si="274"/>
        <v>32758.362000000005</v>
      </c>
      <c r="AH272" s="5">
        <f t="shared" si="274"/>
        <v>32758.362000000005</v>
      </c>
    </row>
    <row r="273" spans="1:34" x14ac:dyDescent="0.35">
      <c r="A273" t="s">
        <v>293</v>
      </c>
      <c r="B273" s="3" t="s">
        <v>1266</v>
      </c>
      <c r="C273" s="4" t="s">
        <v>1267</v>
      </c>
      <c r="D273" s="2">
        <f t="shared" si="26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ref="W273:AH273" si="275">IF(OR((SLOPE($E273:$V273,$E$1:$V$1)*W$1+INTERCEPT($E273:$V273,$E$1:$V$1))&gt;(AVERAGE($E273:$V273)+_xlfn.STDEV.P($E273:$V273)),(SLOPE($E273:$V273,$E$1:$V$1)*W$1+INTERCEPT($E273:$V273,$E$1:$V$1))&lt;(AVERAGE($E273:$V273)-_xlfn.STDEV.P($E273:$V273))),V273,(SLOPE($E273:$V273,$E$1:$V$1)*W$1+INTERCEPT($E273:$V273,$E$1:$V$1)))</f>
        <v>109135.99957226579</v>
      </c>
      <c r="X273" s="5">
        <f t="shared" si="275"/>
        <v>117434.72188417405</v>
      </c>
      <c r="Y273" s="5">
        <f t="shared" si="275"/>
        <v>117434.72188417405</v>
      </c>
      <c r="Z273" s="5">
        <f t="shared" si="275"/>
        <v>117434.72188417405</v>
      </c>
      <c r="AA273" s="5">
        <f t="shared" si="275"/>
        <v>117434.72188417405</v>
      </c>
      <c r="AB273" s="5">
        <f t="shared" si="275"/>
        <v>117434.72188417405</v>
      </c>
      <c r="AC273" s="5">
        <f t="shared" si="275"/>
        <v>117434.72188417405</v>
      </c>
      <c r="AD273" s="5">
        <f t="shared" si="275"/>
        <v>117434.72188417405</v>
      </c>
      <c r="AE273" s="5">
        <f t="shared" si="275"/>
        <v>117434.72188417405</v>
      </c>
      <c r="AF273" s="5">
        <f t="shared" si="275"/>
        <v>117434.72188417405</v>
      </c>
      <c r="AG273" s="5">
        <f t="shared" si="275"/>
        <v>117434.72188417405</v>
      </c>
      <c r="AH273" s="5">
        <f t="shared" si="275"/>
        <v>117434.72188417405</v>
      </c>
    </row>
    <row r="274" spans="1:34" x14ac:dyDescent="0.35">
      <c r="A274" t="s">
        <v>294</v>
      </c>
      <c r="B274" s="3" t="s">
        <v>1265</v>
      </c>
      <c r="C274" s="4" t="s">
        <v>1263</v>
      </c>
      <c r="D274" s="2">
        <f t="shared" si="26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ref="W274:AH274" si="276">IF(OR((SLOPE($E274:$V274,$E$1:$V$1)*W$1+INTERCEPT($E274:$V274,$E$1:$V$1))&gt;(AVERAGE($E274:$V274)+_xlfn.STDEV.P($E274:$V274)),(SLOPE($E274:$V274,$E$1:$V$1)*W$1+INTERCEPT($E274:$V274,$E$1:$V$1))&lt;(AVERAGE($E274:$V274)-_xlfn.STDEV.P($E274:$V274))),V274,(SLOPE($E274:$V274,$E$1:$V$1)*W$1+INTERCEPT($E274:$V274,$E$1:$V$1)))</f>
        <v>28688.101106211212</v>
      </c>
      <c r="X274" s="5">
        <f t="shared" si="276"/>
        <v>28554.804265803024</v>
      </c>
      <c r="Y274" s="5">
        <f t="shared" si="276"/>
        <v>28421.507425394837</v>
      </c>
      <c r="Z274" s="5">
        <f t="shared" si="276"/>
        <v>28288.210584986649</v>
      </c>
      <c r="AA274" s="5">
        <f t="shared" si="276"/>
        <v>28154.913744578462</v>
      </c>
      <c r="AB274" s="5">
        <f t="shared" si="276"/>
        <v>28021.616904170274</v>
      </c>
      <c r="AC274" s="5">
        <f t="shared" si="276"/>
        <v>27888.320063762087</v>
      </c>
      <c r="AD274" s="5">
        <f t="shared" si="276"/>
        <v>27755.023223353899</v>
      </c>
      <c r="AE274" s="5">
        <f t="shared" si="276"/>
        <v>27621.726382945712</v>
      </c>
      <c r="AF274" s="5">
        <f t="shared" si="276"/>
        <v>27488.429542537524</v>
      </c>
      <c r="AG274" s="5">
        <f t="shared" si="276"/>
        <v>27355.132702129336</v>
      </c>
      <c r="AH274" s="5">
        <f t="shared" si="276"/>
        <v>27221.835861721149</v>
      </c>
    </row>
    <row r="275" spans="1:34" x14ac:dyDescent="0.35">
      <c r="A275" t="s">
        <v>295</v>
      </c>
      <c r="B275" s="3" t="s">
        <v>1262</v>
      </c>
      <c r="C275" s="4" t="s">
        <v>1263</v>
      </c>
      <c r="D275" s="2">
        <f t="shared" si="26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ref="W275:AH275" si="277">IF(OR((SLOPE($E275:$V275,$E$1:$V$1)*W$1+INTERCEPT($E275:$V275,$E$1:$V$1))&gt;(AVERAGE($E275:$V275)+_xlfn.STDEV.P($E275:$V275)),(SLOPE($E275:$V275,$E$1:$V$1)*W$1+INTERCEPT($E275:$V275,$E$1:$V$1))&lt;(AVERAGE($E275:$V275)-_xlfn.STDEV.P($E275:$V275))),V275,(SLOPE($E275:$V275,$E$1:$V$1)*W$1+INTERCEPT($E275:$V275,$E$1:$V$1)))</f>
        <v>63802.557000000001</v>
      </c>
      <c r="X275" s="5">
        <f t="shared" si="277"/>
        <v>63802.557000000001</v>
      </c>
      <c r="Y275" s="5">
        <f t="shared" si="277"/>
        <v>63802.557000000001</v>
      </c>
      <c r="Z275" s="5">
        <f t="shared" si="277"/>
        <v>63802.557000000001</v>
      </c>
      <c r="AA275" s="5">
        <f t="shared" si="277"/>
        <v>63802.557000000001</v>
      </c>
      <c r="AB275" s="5">
        <f t="shared" si="277"/>
        <v>63802.557000000001</v>
      </c>
      <c r="AC275" s="5">
        <f t="shared" si="277"/>
        <v>63802.557000000001</v>
      </c>
      <c r="AD275" s="5">
        <f t="shared" si="277"/>
        <v>63802.557000000001</v>
      </c>
      <c r="AE275" s="5">
        <f t="shared" si="277"/>
        <v>63802.557000000001</v>
      </c>
      <c r="AF275" s="5">
        <f t="shared" si="277"/>
        <v>63802.557000000001</v>
      </c>
      <c r="AG275" s="5">
        <f t="shared" si="277"/>
        <v>63802.557000000001</v>
      </c>
      <c r="AH275" s="5">
        <f t="shared" si="277"/>
        <v>63802.557000000001</v>
      </c>
    </row>
    <row r="276" spans="1:34" x14ac:dyDescent="0.35">
      <c r="A276" t="s">
        <v>296</v>
      </c>
      <c r="B276" s="3" t="s">
        <v>1264</v>
      </c>
      <c r="C276" s="4" t="s">
        <v>1263</v>
      </c>
      <c r="D276" s="2">
        <f t="shared" si="26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ref="W276:AH276" si="278">IF(OR((SLOPE($E276:$V276,$E$1:$V$1)*W$1+INTERCEPT($E276:$V276,$E$1:$V$1))&gt;(AVERAGE($E276:$V276)+_xlfn.STDEV.P($E276:$V276)),(SLOPE($E276:$V276,$E$1:$V$1)*W$1+INTERCEPT($E276:$V276,$E$1:$V$1))&lt;(AVERAGE($E276:$V276)-_xlfn.STDEV.P($E276:$V276))),V276,(SLOPE($E276:$V276,$E$1:$V$1)*W$1+INTERCEPT($E276:$V276,$E$1:$V$1)))</f>
        <v>27551.076915032674</v>
      </c>
      <c r="X276" s="5">
        <f t="shared" si="278"/>
        <v>27318.389315445471</v>
      </c>
      <c r="Y276" s="5">
        <f t="shared" si="278"/>
        <v>27085.701715858268</v>
      </c>
      <c r="Z276" s="5">
        <f t="shared" si="278"/>
        <v>26853.014116271064</v>
      </c>
      <c r="AA276" s="5">
        <f t="shared" si="278"/>
        <v>26620.326516683861</v>
      </c>
      <c r="AB276" s="5">
        <f t="shared" si="278"/>
        <v>26387.638917096658</v>
      </c>
      <c r="AC276" s="5">
        <f t="shared" si="278"/>
        <v>26154.951317509454</v>
      </c>
      <c r="AD276" s="5">
        <f t="shared" si="278"/>
        <v>25922.263717922251</v>
      </c>
      <c r="AE276" s="5">
        <f t="shared" si="278"/>
        <v>25689.576118335051</v>
      </c>
      <c r="AF276" s="5">
        <f t="shared" si="278"/>
        <v>25456.888518747848</v>
      </c>
      <c r="AG276" s="5">
        <f t="shared" si="278"/>
        <v>25224.200919160645</v>
      </c>
      <c r="AH276" s="5">
        <f t="shared" si="278"/>
        <v>24991.513319573442</v>
      </c>
    </row>
    <row r="277" spans="1:34" x14ac:dyDescent="0.35">
      <c r="A277" t="s">
        <v>297</v>
      </c>
      <c r="B277" s="3" t="s">
        <v>1265</v>
      </c>
      <c r="C277" s="4" t="s">
        <v>1263</v>
      </c>
      <c r="D277" s="2">
        <f t="shared" si="26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H277" si="279">IF(OR((SLOPE($E277:$V277,$E$1:$V$1)*W$1+INTERCEPT($E277:$V277,$E$1:$V$1))&gt;(AVERAGE($E277:$V277)+_xlfn.STDEV.P($E277:$V277)),(SLOPE($E277:$V277,$E$1:$V$1)*W$1+INTERCEPT($E277:$V277,$E$1:$V$1))&lt;(AVERAGE($E277:$V277)-_xlfn.STDEV.P($E277:$V277))),V277,(SLOPE($E277:$V277,$E$1:$V$1)*W$1+INTERCEPT($E277:$V277,$E$1:$V$1)))</f>
        <v>25616.638726789803</v>
      </c>
      <c r="X277" s="5">
        <f t="shared" si="279"/>
        <v>25154.273168262531</v>
      </c>
      <c r="Y277" s="5">
        <f t="shared" si="279"/>
        <v>24691.907609735259</v>
      </c>
      <c r="Z277" s="5">
        <f t="shared" si="279"/>
        <v>24229.542051207987</v>
      </c>
      <c r="AA277" s="5">
        <f t="shared" si="279"/>
        <v>23767.176492680719</v>
      </c>
      <c r="AB277" s="5">
        <f t="shared" si="279"/>
        <v>23304.810934153451</v>
      </c>
      <c r="AC277" s="5">
        <f t="shared" si="279"/>
        <v>22842.445375626179</v>
      </c>
      <c r="AD277" s="5">
        <f t="shared" si="279"/>
        <v>22380.079817098907</v>
      </c>
      <c r="AE277" s="5">
        <f t="shared" si="279"/>
        <v>21917.714258571636</v>
      </c>
      <c r="AF277" s="5">
        <f t="shared" si="279"/>
        <v>21455.348700044367</v>
      </c>
      <c r="AG277" s="5">
        <f t="shared" si="279"/>
        <v>20992.983141517099</v>
      </c>
      <c r="AH277" s="5">
        <f t="shared" si="279"/>
        <v>20530.617582989827</v>
      </c>
    </row>
    <row r="278" spans="1:34" x14ac:dyDescent="0.35">
      <c r="A278" t="s">
        <v>298</v>
      </c>
      <c r="B278" s="3" t="s">
        <v>1266</v>
      </c>
      <c r="C278" s="4" t="s">
        <v>1267</v>
      </c>
      <c r="D278" s="2">
        <f t="shared" si="26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ref="W278:AH278" si="280">IF(OR((SLOPE($E278:$V278,$E$1:$V$1)*W$1+INTERCEPT($E278:$V278,$E$1:$V$1))&gt;(AVERAGE($E278:$V278)+_xlfn.STDEV.P($E278:$V278)),(SLOPE($E278:$V278,$E$1:$V$1)*W$1+INTERCEPT($E278:$V278,$E$1:$V$1))&lt;(AVERAGE($E278:$V278)-_xlfn.STDEV.P($E278:$V278))),V278,(SLOPE($E278:$V278,$E$1:$V$1)*W$1+INTERCEPT($E278:$V278,$E$1:$V$1)))</f>
        <v>86176.469366935198</v>
      </c>
      <c r="X278" s="5">
        <f t="shared" si="280"/>
        <v>92088.370144723507</v>
      </c>
      <c r="Y278" s="5">
        <f t="shared" si="280"/>
        <v>98000.270922511787</v>
      </c>
      <c r="Z278" s="5">
        <f t="shared" si="280"/>
        <v>98000.270922511787</v>
      </c>
      <c r="AA278" s="5">
        <f t="shared" si="280"/>
        <v>98000.270922511787</v>
      </c>
      <c r="AB278" s="5">
        <f t="shared" si="280"/>
        <v>98000.270922511787</v>
      </c>
      <c r="AC278" s="5">
        <f t="shared" si="280"/>
        <v>98000.270922511787</v>
      </c>
      <c r="AD278" s="5">
        <f t="shared" si="280"/>
        <v>98000.270922511787</v>
      </c>
      <c r="AE278" s="5">
        <f t="shared" si="280"/>
        <v>98000.270922511787</v>
      </c>
      <c r="AF278" s="5">
        <f t="shared" si="280"/>
        <v>98000.270922511787</v>
      </c>
      <c r="AG278" s="5">
        <f t="shared" si="280"/>
        <v>98000.270922511787</v>
      </c>
      <c r="AH278" s="5">
        <f t="shared" si="280"/>
        <v>98000.270922511787</v>
      </c>
    </row>
    <row r="279" spans="1:34" x14ac:dyDescent="0.35">
      <c r="A279" t="s">
        <v>299</v>
      </c>
      <c r="B279" s="3" t="s">
        <v>1266</v>
      </c>
      <c r="C279" s="4" t="s">
        <v>1267</v>
      </c>
      <c r="D279" s="2">
        <f t="shared" si="26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ref="W279:AH279" si="281">IF(OR((SLOPE($E279:$V279,$E$1:$V$1)*W$1+INTERCEPT($E279:$V279,$E$1:$V$1))&gt;(AVERAGE($E279:$V279)+_xlfn.STDEV.P($E279:$V279)),(SLOPE($E279:$V279,$E$1:$V$1)*W$1+INTERCEPT($E279:$V279,$E$1:$V$1))&lt;(AVERAGE($E279:$V279)-_xlfn.STDEV.P($E279:$V279))),V279,(SLOPE($E279:$V279,$E$1:$V$1)*W$1+INTERCEPT($E279:$V279,$E$1:$V$1)))</f>
        <v>53466.025937426464</v>
      </c>
      <c r="X279" s="5">
        <f t="shared" si="281"/>
        <v>55939.82323019427</v>
      </c>
      <c r="Y279" s="5">
        <f t="shared" si="281"/>
        <v>58413.620522962075</v>
      </c>
      <c r="Z279" s="5">
        <f t="shared" si="281"/>
        <v>60887.417815729874</v>
      </c>
      <c r="AA279" s="5">
        <f t="shared" si="281"/>
        <v>63361.215108497679</v>
      </c>
      <c r="AB279" s="5">
        <f t="shared" si="281"/>
        <v>65835.012401265485</v>
      </c>
      <c r="AC279" s="5">
        <f t="shared" si="281"/>
        <v>68308.809694033291</v>
      </c>
      <c r="AD279" s="5">
        <f t="shared" si="281"/>
        <v>70782.606986801096</v>
      </c>
      <c r="AE279" s="5">
        <f t="shared" si="281"/>
        <v>73256.404279568902</v>
      </c>
      <c r="AF279" s="5">
        <f t="shared" si="281"/>
        <v>75730.201572336693</v>
      </c>
      <c r="AG279" s="5">
        <f t="shared" si="281"/>
        <v>75730.201572336693</v>
      </c>
      <c r="AH279" s="5">
        <f t="shared" si="281"/>
        <v>75730.201572336693</v>
      </c>
    </row>
    <row r="280" spans="1:34" x14ac:dyDescent="0.35">
      <c r="A280" t="s">
        <v>300</v>
      </c>
      <c r="B280" s="3" t="s">
        <v>1266</v>
      </c>
      <c r="C280" s="4" t="s">
        <v>1263</v>
      </c>
      <c r="D280" s="2">
        <f t="shared" si="26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ref="W280:AH280" si="282">IF(OR((SLOPE($E280:$V280,$E$1:$V$1)*W$1+INTERCEPT($E280:$V280,$E$1:$V$1))&gt;(AVERAGE($E280:$V280)+_xlfn.STDEV.P($E280:$V280)),(SLOPE($E280:$V280,$E$1:$V$1)*W$1+INTERCEPT($E280:$V280,$E$1:$V$1))&lt;(AVERAGE($E280:$V280)-_xlfn.STDEV.P($E280:$V280))),V280,(SLOPE($E280:$V280,$E$1:$V$1)*W$1+INTERCEPT($E280:$V280,$E$1:$V$1)))</f>
        <v>35542.308238640398</v>
      </c>
      <c r="X280" s="5">
        <f t="shared" si="282"/>
        <v>36138.550523754617</v>
      </c>
      <c r="Y280" s="5">
        <f t="shared" si="282"/>
        <v>36734.792808868835</v>
      </c>
      <c r="Z280" s="5">
        <f t="shared" si="282"/>
        <v>37331.035093983053</v>
      </c>
      <c r="AA280" s="5">
        <f t="shared" si="282"/>
        <v>37927.277379097271</v>
      </c>
      <c r="AB280" s="5">
        <f t="shared" si="282"/>
        <v>38523.51966421149</v>
      </c>
      <c r="AC280" s="5">
        <f t="shared" si="282"/>
        <v>39119.761949325708</v>
      </c>
      <c r="AD280" s="5">
        <f t="shared" si="282"/>
        <v>39716.004234439926</v>
      </c>
      <c r="AE280" s="5">
        <f t="shared" si="282"/>
        <v>40312.246519554144</v>
      </c>
      <c r="AF280" s="5">
        <f t="shared" si="282"/>
        <v>40908.488804668363</v>
      </c>
      <c r="AG280" s="5">
        <f t="shared" si="282"/>
        <v>41504.731089782581</v>
      </c>
      <c r="AH280" s="5">
        <f t="shared" si="282"/>
        <v>42100.973374896799</v>
      </c>
    </row>
    <row r="281" spans="1:34" x14ac:dyDescent="0.35">
      <c r="A281" t="s">
        <v>301</v>
      </c>
      <c r="B281" s="3" t="s">
        <v>1266</v>
      </c>
      <c r="C281" s="4" t="s">
        <v>1267</v>
      </c>
      <c r="D281" s="2">
        <f t="shared" si="26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ref="W281:AH281" si="283">IF(OR((SLOPE($E281:$V281,$E$1:$V$1)*W$1+INTERCEPT($E281:$V281,$E$1:$V$1))&gt;(AVERAGE($E281:$V281)+_xlfn.STDEV.P($E281:$V281)),(SLOPE($E281:$V281,$E$1:$V$1)*W$1+INTERCEPT($E281:$V281,$E$1:$V$1))&lt;(AVERAGE($E281:$V281)-_xlfn.STDEV.P($E281:$V281))),V281,(SLOPE($E281:$V281,$E$1:$V$1)*W$1+INTERCEPT($E281:$V281,$E$1:$V$1)))</f>
        <v>85248.649179616317</v>
      </c>
      <c r="X281" s="5">
        <f t="shared" si="283"/>
        <v>91102.400195567461</v>
      </c>
      <c r="Y281" s="5">
        <f t="shared" si="283"/>
        <v>96956.151211518605</v>
      </c>
      <c r="Z281" s="5">
        <f t="shared" si="283"/>
        <v>102809.90222746975</v>
      </c>
      <c r="AA281" s="5">
        <f t="shared" si="283"/>
        <v>108663.65324342089</v>
      </c>
      <c r="AB281" s="5">
        <f t="shared" si="283"/>
        <v>114517.40425937205</v>
      </c>
      <c r="AC281" s="5">
        <f t="shared" si="283"/>
        <v>114517.40425937205</v>
      </c>
      <c r="AD281" s="5">
        <f t="shared" si="283"/>
        <v>114517.40425937205</v>
      </c>
      <c r="AE281" s="5">
        <f t="shared" si="283"/>
        <v>114517.40425937205</v>
      </c>
      <c r="AF281" s="5">
        <f t="shared" si="283"/>
        <v>114517.40425937205</v>
      </c>
      <c r="AG281" s="5">
        <f t="shared" si="283"/>
        <v>114517.40425937205</v>
      </c>
      <c r="AH281" s="5">
        <f t="shared" si="283"/>
        <v>114517.40425937205</v>
      </c>
    </row>
    <row r="282" spans="1:34" x14ac:dyDescent="0.35">
      <c r="A282" t="s">
        <v>302</v>
      </c>
      <c r="B282" s="3" t="s">
        <v>1262</v>
      </c>
      <c r="C282" s="4" t="s">
        <v>1263</v>
      </c>
      <c r="D282" s="2">
        <f t="shared" si="26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ref="W282:AH282" si="284">IF(OR((SLOPE($E282:$V282,$E$1:$V$1)*W$1+INTERCEPT($E282:$V282,$E$1:$V$1))&gt;(AVERAGE($E282:$V282)+_xlfn.STDEV.P($E282:$V282)),(SLOPE($E282:$V282,$E$1:$V$1)*W$1+INTERCEPT($E282:$V282,$E$1:$V$1))&lt;(AVERAGE($E282:$V282)-_xlfn.STDEV.P($E282:$V282))),V282,(SLOPE($E282:$V282,$E$1:$V$1)*W$1+INTERCEPT($E282:$V282,$E$1:$V$1)))</f>
        <v>60800.343148017295</v>
      </c>
      <c r="X282" s="5">
        <f t="shared" si="284"/>
        <v>60800.343148017295</v>
      </c>
      <c r="Y282" s="5">
        <f t="shared" si="284"/>
        <v>60800.343148017295</v>
      </c>
      <c r="Z282" s="5">
        <f t="shared" si="284"/>
        <v>60800.343148017295</v>
      </c>
      <c r="AA282" s="5">
        <f t="shared" si="284"/>
        <v>60800.343148017295</v>
      </c>
      <c r="AB282" s="5">
        <f t="shared" si="284"/>
        <v>60800.343148017295</v>
      </c>
      <c r="AC282" s="5">
        <f t="shared" si="284"/>
        <v>60800.343148017295</v>
      </c>
      <c r="AD282" s="5">
        <f t="shared" si="284"/>
        <v>60800.343148017295</v>
      </c>
      <c r="AE282" s="5">
        <f t="shared" si="284"/>
        <v>60800.343148017295</v>
      </c>
      <c r="AF282" s="5">
        <f t="shared" si="284"/>
        <v>60800.343148017295</v>
      </c>
      <c r="AG282" s="5">
        <f t="shared" si="284"/>
        <v>60800.343148017295</v>
      </c>
      <c r="AH282" s="5">
        <f t="shared" si="284"/>
        <v>60800.343148017295</v>
      </c>
    </row>
    <row r="283" spans="1:34" x14ac:dyDescent="0.35">
      <c r="A283" t="s">
        <v>303</v>
      </c>
      <c r="B283" s="3" t="s">
        <v>1266</v>
      </c>
      <c r="C283" s="4" t="s">
        <v>1267</v>
      </c>
      <c r="D283" s="2">
        <f t="shared" si="26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ref="W283:AH283" si="285">IF(OR((SLOPE($E283:$V283,$E$1:$V$1)*W$1+INTERCEPT($E283:$V283,$E$1:$V$1))&gt;(AVERAGE($E283:$V283)+_xlfn.STDEV.P($E283:$V283)),(SLOPE($E283:$V283,$E$1:$V$1)*W$1+INTERCEPT($E283:$V283,$E$1:$V$1))&lt;(AVERAGE($E283:$V283)-_xlfn.STDEV.P($E283:$V283))),V283,(SLOPE($E283:$V283,$E$1:$V$1)*W$1+INTERCEPT($E283:$V283,$E$1:$V$1)))</f>
        <v>62318.885828946033</v>
      </c>
      <c r="X283" s="5">
        <f t="shared" si="285"/>
        <v>65782.01085226018</v>
      </c>
      <c r="Y283" s="5">
        <f t="shared" si="285"/>
        <v>69245.135875574328</v>
      </c>
      <c r="Z283" s="5">
        <f t="shared" si="285"/>
        <v>72708.260898888489</v>
      </c>
      <c r="AA283" s="5">
        <f t="shared" si="285"/>
        <v>76171.385922202651</v>
      </c>
      <c r="AB283" s="5">
        <f t="shared" si="285"/>
        <v>79634.510945516799</v>
      </c>
      <c r="AC283" s="5">
        <f t="shared" si="285"/>
        <v>83097.635968830946</v>
      </c>
      <c r="AD283" s="5">
        <f t="shared" si="285"/>
        <v>86560.760992145108</v>
      </c>
      <c r="AE283" s="5">
        <f t="shared" si="285"/>
        <v>90023.886015459269</v>
      </c>
      <c r="AF283" s="5">
        <f t="shared" si="285"/>
        <v>93487.011038773417</v>
      </c>
      <c r="AG283" s="5">
        <f t="shared" si="285"/>
        <v>96950.136062087564</v>
      </c>
      <c r="AH283" s="5">
        <f t="shared" si="285"/>
        <v>100413.26108540173</v>
      </c>
    </row>
    <row r="284" spans="1:34" x14ac:dyDescent="0.35">
      <c r="A284" t="s">
        <v>304</v>
      </c>
      <c r="B284" s="3" t="s">
        <v>1265</v>
      </c>
      <c r="C284" s="4" t="s">
        <v>1263</v>
      </c>
      <c r="D284" s="2">
        <f t="shared" si="26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ref="W284:AH284" si="286">IF(OR((SLOPE($E284:$V284,$E$1:$V$1)*W$1+INTERCEPT($E284:$V284,$E$1:$V$1))&gt;(AVERAGE($E284:$V284)+_xlfn.STDEV.P($E284:$V284)),(SLOPE($E284:$V284,$E$1:$V$1)*W$1+INTERCEPT($E284:$V284,$E$1:$V$1))&lt;(AVERAGE($E284:$V284)-_xlfn.STDEV.P($E284:$V284))),V284,(SLOPE($E284:$V284,$E$1:$V$1)*W$1+INTERCEPT($E284:$V284,$E$1:$V$1)))</f>
        <v>38124.178698837466</v>
      </c>
      <c r="X284" s="5">
        <f t="shared" si="286"/>
        <v>39090.096160112356</v>
      </c>
      <c r="Y284" s="5">
        <f t="shared" si="286"/>
        <v>40056.013621387247</v>
      </c>
      <c r="Z284" s="5">
        <f t="shared" si="286"/>
        <v>41021.931082662137</v>
      </c>
      <c r="AA284" s="5">
        <f t="shared" si="286"/>
        <v>41987.848543937027</v>
      </c>
      <c r="AB284" s="5">
        <f t="shared" si="286"/>
        <v>42953.76600521191</v>
      </c>
      <c r="AC284" s="5">
        <f t="shared" si="286"/>
        <v>43919.6834664868</v>
      </c>
      <c r="AD284" s="5">
        <f t="shared" si="286"/>
        <v>44885.600927761683</v>
      </c>
      <c r="AE284" s="5">
        <f t="shared" si="286"/>
        <v>45851.518389036573</v>
      </c>
      <c r="AF284" s="5">
        <f t="shared" si="286"/>
        <v>46817.435850311464</v>
      </c>
      <c r="AG284" s="5">
        <f t="shared" si="286"/>
        <v>47783.353311586354</v>
      </c>
      <c r="AH284" s="5">
        <f t="shared" si="286"/>
        <v>48749.270772861244</v>
      </c>
    </row>
    <row r="285" spans="1:34" x14ac:dyDescent="0.35">
      <c r="A285" t="s">
        <v>305</v>
      </c>
      <c r="B285" s="3" t="s">
        <v>1266</v>
      </c>
      <c r="C285" s="4" t="s">
        <v>1266</v>
      </c>
      <c r="D285" s="2">
        <f t="shared" si="26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ref="W285:AH285" si="287">IF(OR((SLOPE($E285:$V285,$E$1:$V$1)*W$1+INTERCEPT($E285:$V285,$E$1:$V$1))&gt;(AVERAGE($E285:$V285)+_xlfn.STDEV.P($E285:$V285)),(SLOPE($E285:$V285,$E$1:$V$1)*W$1+INTERCEPT($E285:$V285,$E$1:$V$1))&lt;(AVERAGE($E285:$V285)-_xlfn.STDEV.P($E285:$V285))),V285,(SLOPE($E285:$V285,$E$1:$V$1)*W$1+INTERCEPT($E285:$V285,$E$1:$V$1)))</f>
        <v>52217.551425663551</v>
      </c>
      <c r="X285" s="5">
        <f t="shared" si="287"/>
        <v>54659.21132109766</v>
      </c>
      <c r="Y285" s="5">
        <f t="shared" si="287"/>
        <v>57100.871216531763</v>
      </c>
      <c r="Z285" s="5">
        <f t="shared" si="287"/>
        <v>59542.531111965873</v>
      </c>
      <c r="AA285" s="5">
        <f t="shared" si="287"/>
        <v>61984.191007399975</v>
      </c>
      <c r="AB285" s="5">
        <f t="shared" si="287"/>
        <v>64425.850902834078</v>
      </c>
      <c r="AC285" s="5">
        <f t="shared" si="287"/>
        <v>66867.510798268195</v>
      </c>
      <c r="AD285" s="5">
        <f t="shared" si="287"/>
        <v>69309.170693702297</v>
      </c>
      <c r="AE285" s="5">
        <f t="shared" si="287"/>
        <v>71750.8305891364</v>
      </c>
      <c r="AF285" s="5">
        <f t="shared" si="287"/>
        <v>74192.490484570502</v>
      </c>
      <c r="AG285" s="5">
        <f t="shared" si="287"/>
        <v>76634.150380004605</v>
      </c>
      <c r="AH285" s="5">
        <f t="shared" si="287"/>
        <v>79075.810275438722</v>
      </c>
    </row>
    <row r="286" spans="1:34" x14ac:dyDescent="0.35">
      <c r="A286" t="s">
        <v>306</v>
      </c>
      <c r="B286" s="3" t="s">
        <v>1262</v>
      </c>
      <c r="C286" s="4" t="s">
        <v>1263</v>
      </c>
      <c r="D286" s="2">
        <f t="shared" si="26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ref="W286:AH286" si="288">IF(OR((SLOPE($E286:$V286,$E$1:$V$1)*W$1+INTERCEPT($E286:$V286,$E$1:$V$1))&gt;(AVERAGE($E286:$V286)+_xlfn.STDEV.P($E286:$V286)),(SLOPE($E286:$V286,$E$1:$V$1)*W$1+INTERCEPT($E286:$V286,$E$1:$V$1))&lt;(AVERAGE($E286:$V286)-_xlfn.STDEV.P($E286:$V286))),V286,(SLOPE($E286:$V286,$E$1:$V$1)*W$1+INTERCEPT($E286:$V286,$E$1:$V$1)))</f>
        <v>-6421.8823529411748</v>
      </c>
      <c r="X286" s="5">
        <f t="shared" si="288"/>
        <v>-10130.712074303403</v>
      </c>
      <c r="Y286" s="5">
        <f t="shared" si="288"/>
        <v>-13839.541795665631</v>
      </c>
      <c r="Z286" s="5">
        <f t="shared" si="288"/>
        <v>-17548.371517027859</v>
      </c>
      <c r="AA286" s="5">
        <f t="shared" si="288"/>
        <v>-21257.201238390087</v>
      </c>
      <c r="AB286" s="5">
        <f t="shared" si="288"/>
        <v>-21257.201238390087</v>
      </c>
      <c r="AC286" s="5">
        <f t="shared" si="288"/>
        <v>-21257.201238390087</v>
      </c>
      <c r="AD286" s="5">
        <f t="shared" si="288"/>
        <v>-21257.201238390087</v>
      </c>
      <c r="AE286" s="5">
        <f t="shared" si="288"/>
        <v>-21257.201238390087</v>
      </c>
      <c r="AF286" s="5">
        <f t="shared" si="288"/>
        <v>-21257.201238390087</v>
      </c>
      <c r="AG286" s="5">
        <f t="shared" si="288"/>
        <v>-21257.201238390087</v>
      </c>
      <c r="AH286" s="5">
        <f t="shared" si="288"/>
        <v>-21257.201238390087</v>
      </c>
    </row>
    <row r="287" spans="1:34" x14ac:dyDescent="0.35">
      <c r="A287" t="s">
        <v>307</v>
      </c>
      <c r="B287" s="3" t="s">
        <v>1266</v>
      </c>
      <c r="C287" s="4" t="s">
        <v>1263</v>
      </c>
      <c r="D287" s="2">
        <f t="shared" si="26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ref="W287:AH287" si="289">IF(OR((SLOPE($E287:$V287,$E$1:$V$1)*W$1+INTERCEPT($E287:$V287,$E$1:$V$1))&gt;(AVERAGE($E287:$V287)+_xlfn.STDEV.P($E287:$V287)),(SLOPE($E287:$V287,$E$1:$V$1)*W$1+INTERCEPT($E287:$V287,$E$1:$V$1))&lt;(AVERAGE($E287:$V287)-_xlfn.STDEV.P($E287:$V287))),V287,(SLOPE($E287:$V287,$E$1:$V$1)*W$1+INTERCEPT($E287:$V287,$E$1:$V$1)))</f>
        <v>34017.829653710171</v>
      </c>
      <c r="X287" s="5">
        <f t="shared" si="289"/>
        <v>34573.502183932564</v>
      </c>
      <c r="Y287" s="5">
        <f t="shared" si="289"/>
        <v>35129.174714154957</v>
      </c>
      <c r="Z287" s="5">
        <f t="shared" si="289"/>
        <v>35684.847244377357</v>
      </c>
      <c r="AA287" s="5">
        <f t="shared" si="289"/>
        <v>36240.51977459975</v>
      </c>
      <c r="AB287" s="5">
        <f t="shared" si="289"/>
        <v>36796.192304822151</v>
      </c>
      <c r="AC287" s="5">
        <f t="shared" si="289"/>
        <v>37351.864835044544</v>
      </c>
      <c r="AD287" s="5">
        <f t="shared" si="289"/>
        <v>37907.537365266944</v>
      </c>
      <c r="AE287" s="5">
        <f t="shared" si="289"/>
        <v>38463.209895489337</v>
      </c>
      <c r="AF287" s="5">
        <f t="shared" si="289"/>
        <v>39018.882425711738</v>
      </c>
      <c r="AG287" s="5">
        <f t="shared" si="289"/>
        <v>39574.554955934131</v>
      </c>
      <c r="AH287" s="5">
        <f t="shared" si="289"/>
        <v>40130.227486156524</v>
      </c>
    </row>
    <row r="288" spans="1:34" x14ac:dyDescent="0.35">
      <c r="A288" t="s">
        <v>308</v>
      </c>
      <c r="B288" s="3" t="s">
        <v>1262</v>
      </c>
      <c r="C288" s="4" t="s">
        <v>1263</v>
      </c>
      <c r="D288" s="2">
        <f t="shared" si="26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ref="W288:AH288" si="290">IF(OR((SLOPE($E288:$V288,$E$1:$V$1)*W$1+INTERCEPT($E288:$V288,$E$1:$V$1))&gt;(AVERAGE($E288:$V288)+_xlfn.STDEV.P($E288:$V288)),(SLOPE($E288:$V288,$E$1:$V$1)*W$1+INTERCEPT($E288:$V288,$E$1:$V$1))&lt;(AVERAGE($E288:$V288)-_xlfn.STDEV.P($E288:$V288))),V288,(SLOPE($E288:$V288,$E$1:$V$1)*W$1+INTERCEPT($E288:$V288,$E$1:$V$1)))</f>
        <v>78379.956993636617</v>
      </c>
      <c r="X288" s="5">
        <f t="shared" si="290"/>
        <v>78379.956993636617</v>
      </c>
      <c r="Y288" s="5">
        <f t="shared" si="290"/>
        <v>78379.956993636617</v>
      </c>
      <c r="Z288" s="5">
        <f t="shared" si="290"/>
        <v>78379.956993636617</v>
      </c>
      <c r="AA288" s="5">
        <f t="shared" si="290"/>
        <v>78379.956993636617</v>
      </c>
      <c r="AB288" s="5">
        <f t="shared" si="290"/>
        <v>78379.956993636617</v>
      </c>
      <c r="AC288" s="5">
        <f t="shared" si="290"/>
        <v>78379.956993636617</v>
      </c>
      <c r="AD288" s="5">
        <f t="shared" si="290"/>
        <v>78379.956993636617</v>
      </c>
      <c r="AE288" s="5">
        <f t="shared" si="290"/>
        <v>78379.956993636617</v>
      </c>
      <c r="AF288" s="5">
        <f t="shared" si="290"/>
        <v>78379.956993636617</v>
      </c>
      <c r="AG288" s="5">
        <f t="shared" si="290"/>
        <v>78379.956993636617</v>
      </c>
      <c r="AH288" s="5">
        <f t="shared" si="290"/>
        <v>78379.956993636617</v>
      </c>
    </row>
    <row r="289" spans="1:34" x14ac:dyDescent="0.35">
      <c r="A289" t="s">
        <v>309</v>
      </c>
      <c r="B289" s="3" t="s">
        <v>1266</v>
      </c>
      <c r="C289" s="4" t="s">
        <v>1268</v>
      </c>
      <c r="D289" s="2">
        <f t="shared" si="26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ref="W289:AH289" si="291">IF(OR((SLOPE($E289:$V289,$E$1:$V$1)*W$1+INTERCEPT($E289:$V289,$E$1:$V$1))&gt;(AVERAGE($E289:$V289)+_xlfn.STDEV.P($E289:$V289)),(SLOPE($E289:$V289,$E$1:$V$1)*W$1+INTERCEPT($E289:$V289,$E$1:$V$1))&lt;(AVERAGE($E289:$V289)-_xlfn.STDEV.P($E289:$V289))),V289,(SLOPE($E289:$V289,$E$1:$V$1)*W$1+INTERCEPT($E289:$V289,$E$1:$V$1)))</f>
        <v>21538.463902262774</v>
      </c>
      <c r="X289" s="5">
        <f t="shared" si="291"/>
        <v>20789.842984947623</v>
      </c>
      <c r="Y289" s="5">
        <f t="shared" si="291"/>
        <v>20041.222067632472</v>
      </c>
      <c r="Z289" s="5">
        <f t="shared" si="291"/>
        <v>19292.601150317321</v>
      </c>
      <c r="AA289" s="5">
        <f t="shared" si="291"/>
        <v>18543.98023300217</v>
      </c>
      <c r="AB289" s="5">
        <f t="shared" si="291"/>
        <v>17795.359315687019</v>
      </c>
      <c r="AC289" s="5">
        <f t="shared" si="291"/>
        <v>17046.738398371868</v>
      </c>
      <c r="AD289" s="5">
        <f t="shared" si="291"/>
        <v>16298.117481056717</v>
      </c>
      <c r="AE289" s="5">
        <f t="shared" si="291"/>
        <v>15549.496563741566</v>
      </c>
      <c r="AF289" s="5">
        <f t="shared" si="291"/>
        <v>14800.875646426415</v>
      </c>
      <c r="AG289" s="5">
        <f t="shared" si="291"/>
        <v>14052.254729111264</v>
      </c>
      <c r="AH289" s="5">
        <f t="shared" si="291"/>
        <v>13303.633811796113</v>
      </c>
    </row>
    <row r="290" spans="1:34" x14ac:dyDescent="0.35">
      <c r="A290" t="s">
        <v>310</v>
      </c>
      <c r="B290" s="3" t="s">
        <v>1266</v>
      </c>
      <c r="C290" s="4" t="s">
        <v>1266</v>
      </c>
      <c r="D290" s="2">
        <f t="shared" si="26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ref="W290:AH290" si="292">IF(OR((SLOPE($E290:$V290,$E$1:$V$1)*W$1+INTERCEPT($E290:$V290,$E$1:$V$1))&gt;(AVERAGE($E290:$V290)+_xlfn.STDEV.P($E290:$V290)),(SLOPE($E290:$V290,$E$1:$V$1)*W$1+INTERCEPT($E290:$V290,$E$1:$V$1))&lt;(AVERAGE($E290:$V290)-_xlfn.STDEV.P($E290:$V290))),V290,(SLOPE($E290:$V290,$E$1:$V$1)*W$1+INTERCEPT($E290:$V290,$E$1:$V$1)))</f>
        <v>49658.258514957532</v>
      </c>
      <c r="X290" s="5">
        <f t="shared" si="292"/>
        <v>51885.452157782696</v>
      </c>
      <c r="Y290" s="5">
        <f t="shared" si="292"/>
        <v>54112.645800607861</v>
      </c>
      <c r="Z290" s="5">
        <f t="shared" si="292"/>
        <v>56339.839443433026</v>
      </c>
      <c r="AA290" s="5">
        <f t="shared" si="292"/>
        <v>58567.03308625819</v>
      </c>
      <c r="AB290" s="5">
        <f t="shared" si="292"/>
        <v>60794.226729083362</v>
      </c>
      <c r="AC290" s="5">
        <f t="shared" si="292"/>
        <v>63021.420371908527</v>
      </c>
      <c r="AD290" s="5">
        <f t="shared" si="292"/>
        <v>65248.614014733692</v>
      </c>
      <c r="AE290" s="5">
        <f t="shared" si="292"/>
        <v>67475.807657558849</v>
      </c>
      <c r="AF290" s="5">
        <f t="shared" si="292"/>
        <v>69703.001300384029</v>
      </c>
      <c r="AG290" s="5">
        <f t="shared" si="292"/>
        <v>71930.194943209179</v>
      </c>
      <c r="AH290" s="5">
        <f t="shared" si="292"/>
        <v>74157.388586034358</v>
      </c>
    </row>
    <row r="291" spans="1:34" x14ac:dyDescent="0.35">
      <c r="A291" t="s">
        <v>311</v>
      </c>
      <c r="B291" s="3" t="s">
        <v>1266</v>
      </c>
      <c r="C291" s="4" t="s">
        <v>1267</v>
      </c>
      <c r="D291" s="2">
        <f t="shared" si="26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ref="W291:AH291" si="293">IF(OR((SLOPE($E291:$V291,$E$1:$V$1)*W$1+INTERCEPT($E291:$V291,$E$1:$V$1))&gt;(AVERAGE($E291:$V291)+_xlfn.STDEV.P($E291:$V291)),(SLOPE($E291:$V291,$E$1:$V$1)*W$1+INTERCEPT($E291:$V291,$E$1:$V$1))&lt;(AVERAGE($E291:$V291)-_xlfn.STDEV.P($E291:$V291))),V291,(SLOPE($E291:$V291,$E$1:$V$1)*W$1+INTERCEPT($E291:$V291,$E$1:$V$1)))</f>
        <v>51559.187433717248</v>
      </c>
      <c r="X291" s="5">
        <f t="shared" si="293"/>
        <v>53992.595692221104</v>
      </c>
      <c r="Y291" s="5">
        <f t="shared" si="293"/>
        <v>56426.00395072496</v>
      </c>
      <c r="Z291" s="5">
        <f t="shared" si="293"/>
        <v>58859.412209228816</v>
      </c>
      <c r="AA291" s="5">
        <f t="shared" si="293"/>
        <v>61292.820467732672</v>
      </c>
      <c r="AB291" s="5">
        <f t="shared" si="293"/>
        <v>63726.228726236528</v>
      </c>
      <c r="AC291" s="5">
        <f t="shared" si="293"/>
        <v>66159.636984740384</v>
      </c>
      <c r="AD291" s="5">
        <f t="shared" si="293"/>
        <v>68593.04524324424</v>
      </c>
      <c r="AE291" s="5">
        <f t="shared" si="293"/>
        <v>71026.453501748096</v>
      </c>
      <c r="AF291" s="5">
        <f t="shared" si="293"/>
        <v>73459.861760251952</v>
      </c>
      <c r="AG291" s="5">
        <f t="shared" si="293"/>
        <v>75893.270018755808</v>
      </c>
      <c r="AH291" s="5">
        <f t="shared" si="293"/>
        <v>78326.678277259663</v>
      </c>
    </row>
    <row r="292" spans="1:34" x14ac:dyDescent="0.35">
      <c r="A292" t="s">
        <v>312</v>
      </c>
      <c r="B292" s="3" t="s">
        <v>1265</v>
      </c>
      <c r="C292" s="4" t="s">
        <v>1263</v>
      </c>
      <c r="D292" s="2">
        <f t="shared" si="26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ref="W292:AH292" si="294">IF(OR((SLOPE($E292:$V292,$E$1:$V$1)*W$1+INTERCEPT($E292:$V292,$E$1:$V$1))&gt;(AVERAGE($E292:$V292)+_xlfn.STDEV.P($E292:$V292)),(SLOPE($E292:$V292,$E$1:$V$1)*W$1+INTERCEPT($E292:$V292,$E$1:$V$1))&lt;(AVERAGE($E292:$V292)-_xlfn.STDEV.P($E292:$V292))),V292,(SLOPE($E292:$V292,$E$1:$V$1)*W$1+INTERCEPT($E292:$V292,$E$1:$V$1)))</f>
        <v>42531.88919507504</v>
      </c>
      <c r="X292" s="5">
        <f t="shared" si="294"/>
        <v>42531.88919507504</v>
      </c>
      <c r="Y292" s="5">
        <f t="shared" si="294"/>
        <v>42531.88919507504</v>
      </c>
      <c r="Z292" s="5">
        <f t="shared" si="294"/>
        <v>42531.88919507504</v>
      </c>
      <c r="AA292" s="5">
        <f t="shared" si="294"/>
        <v>42531.88919507504</v>
      </c>
      <c r="AB292" s="5">
        <f t="shared" si="294"/>
        <v>42531.88919507504</v>
      </c>
      <c r="AC292" s="5">
        <f t="shared" si="294"/>
        <v>42531.88919507504</v>
      </c>
      <c r="AD292" s="5">
        <f t="shared" si="294"/>
        <v>42531.88919507504</v>
      </c>
      <c r="AE292" s="5">
        <f t="shared" si="294"/>
        <v>42531.88919507504</v>
      </c>
      <c r="AF292" s="5">
        <f t="shared" si="294"/>
        <v>42531.88919507504</v>
      </c>
      <c r="AG292" s="5">
        <f t="shared" si="294"/>
        <v>42531.88919507504</v>
      </c>
      <c r="AH292" s="5">
        <f t="shared" si="294"/>
        <v>42531.88919507504</v>
      </c>
    </row>
    <row r="293" spans="1:34" x14ac:dyDescent="0.35">
      <c r="A293" t="s">
        <v>313</v>
      </c>
      <c r="B293" s="3" t="s">
        <v>1262</v>
      </c>
      <c r="C293" s="4" t="s">
        <v>1263</v>
      </c>
      <c r="D293" s="2">
        <f t="shared" si="26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H293" si="295">IF(OR((SLOPE($E293:$V293,$E$1:$V$1)*W$1+INTERCEPT($E293:$V293,$E$1:$V$1))&gt;(AVERAGE($E293:$V293)+_xlfn.STDEV.P($E293:$V293)),(SLOPE($E293:$V293,$E$1:$V$1)*W$1+INTERCEPT($E293:$V293,$E$1:$V$1))&lt;(AVERAGE($E293:$V293)-_xlfn.STDEV.P($E293:$V293))),V293,(SLOPE($E293:$V293,$E$1:$V$1)*W$1+INTERCEPT($E293:$V293,$E$1:$V$1)))</f>
        <v>36501.767152941175</v>
      </c>
      <c r="X293" s="5">
        <f t="shared" si="295"/>
        <v>37476.054390092875</v>
      </c>
      <c r="Y293" s="5">
        <f t="shared" si="295"/>
        <v>38450.341627244583</v>
      </c>
      <c r="Z293" s="5">
        <f t="shared" si="295"/>
        <v>39424.628864396291</v>
      </c>
      <c r="AA293" s="5">
        <f t="shared" si="295"/>
        <v>40398.916101547991</v>
      </c>
      <c r="AB293" s="5">
        <f t="shared" si="295"/>
        <v>41373.203338699692</v>
      </c>
      <c r="AC293" s="5">
        <f t="shared" si="295"/>
        <v>42347.490575851392</v>
      </c>
      <c r="AD293" s="5">
        <f t="shared" si="295"/>
        <v>43321.777813003093</v>
      </c>
      <c r="AE293" s="5">
        <f t="shared" si="295"/>
        <v>44296.065050154801</v>
      </c>
      <c r="AF293" s="5">
        <f t="shared" si="295"/>
        <v>45270.352287306509</v>
      </c>
      <c r="AG293" s="5">
        <f t="shared" si="295"/>
        <v>46244.639524458209</v>
      </c>
      <c r="AH293" s="5">
        <f t="shared" si="295"/>
        <v>47218.92676160991</v>
      </c>
    </row>
    <row r="294" spans="1:34" x14ac:dyDescent="0.35">
      <c r="A294" t="s">
        <v>314</v>
      </c>
      <c r="B294" s="3" t="s">
        <v>1266</v>
      </c>
      <c r="C294" s="4" t="s">
        <v>1267</v>
      </c>
      <c r="D294" s="2">
        <f t="shared" si="26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ref="W294:AH294" si="296">IF(OR((SLOPE($E294:$V294,$E$1:$V$1)*W$1+INTERCEPT($E294:$V294,$E$1:$V$1))&gt;(AVERAGE($E294:$V294)+_xlfn.STDEV.P($E294:$V294)),(SLOPE($E294:$V294,$E$1:$V$1)*W$1+INTERCEPT($E294:$V294,$E$1:$V$1))&lt;(AVERAGE($E294:$V294)-_xlfn.STDEV.P($E294:$V294))),V294,(SLOPE($E294:$V294,$E$1:$V$1)*W$1+INTERCEPT($E294:$V294,$E$1:$V$1)))</f>
        <v>77971.688826873244</v>
      </c>
      <c r="X294" s="5">
        <f t="shared" si="296"/>
        <v>77971.688826873244</v>
      </c>
      <c r="Y294" s="5">
        <f t="shared" si="296"/>
        <v>77971.688826873244</v>
      </c>
      <c r="Z294" s="5">
        <f t="shared" si="296"/>
        <v>77971.688826873244</v>
      </c>
      <c r="AA294" s="5">
        <f t="shared" si="296"/>
        <v>77971.688826873244</v>
      </c>
      <c r="AB294" s="5">
        <f t="shared" si="296"/>
        <v>77971.688826873244</v>
      </c>
      <c r="AC294" s="5">
        <f t="shared" si="296"/>
        <v>77971.688826873244</v>
      </c>
      <c r="AD294" s="5">
        <f t="shared" si="296"/>
        <v>77971.688826873244</v>
      </c>
      <c r="AE294" s="5">
        <f t="shared" si="296"/>
        <v>77971.688826873244</v>
      </c>
      <c r="AF294" s="5">
        <f t="shared" si="296"/>
        <v>77971.688826873244</v>
      </c>
      <c r="AG294" s="5">
        <f t="shared" si="296"/>
        <v>77971.688826873244</v>
      </c>
      <c r="AH294" s="5">
        <f t="shared" si="296"/>
        <v>77971.688826873244</v>
      </c>
    </row>
    <row r="295" spans="1:34" x14ac:dyDescent="0.35">
      <c r="A295" t="s">
        <v>315</v>
      </c>
      <c r="B295" s="3" t="s">
        <v>1266</v>
      </c>
      <c r="C295" s="4" t="s">
        <v>1267</v>
      </c>
      <c r="D295" s="2">
        <f t="shared" si="26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ref="W295:AH295" si="297">IF(OR((SLOPE($E295:$V295,$E$1:$V$1)*W$1+INTERCEPT($E295:$V295,$E$1:$V$1))&gt;(AVERAGE($E295:$V295)+_xlfn.STDEV.P($E295:$V295)),(SLOPE($E295:$V295,$E$1:$V$1)*W$1+INTERCEPT($E295:$V295,$E$1:$V$1))&lt;(AVERAGE($E295:$V295)-_xlfn.STDEV.P($E295:$V295))),V295,(SLOPE($E295:$V295,$E$1:$V$1)*W$1+INTERCEPT($E295:$V295,$E$1:$V$1)))</f>
        <v>25932.545432893665</v>
      </c>
      <c r="X295" s="5">
        <f t="shared" si="297"/>
        <v>25779.670887956396</v>
      </c>
      <c r="Y295" s="5">
        <f t="shared" si="297"/>
        <v>25626.796343019123</v>
      </c>
      <c r="Z295" s="5">
        <f t="shared" si="297"/>
        <v>25473.921798081854</v>
      </c>
      <c r="AA295" s="5">
        <f t="shared" si="297"/>
        <v>25321.047253144581</v>
      </c>
      <c r="AB295" s="5">
        <f t="shared" si="297"/>
        <v>25168.172708207312</v>
      </c>
      <c r="AC295" s="5">
        <f t="shared" si="297"/>
        <v>25015.298163270039</v>
      </c>
      <c r="AD295" s="5">
        <f t="shared" si="297"/>
        <v>24862.42361833277</v>
      </c>
      <c r="AE295" s="5">
        <f t="shared" si="297"/>
        <v>24709.549073395501</v>
      </c>
      <c r="AF295" s="5">
        <f t="shared" si="297"/>
        <v>24556.674528458228</v>
      </c>
      <c r="AG295" s="5">
        <f t="shared" si="297"/>
        <v>24403.799983520959</v>
      </c>
      <c r="AH295" s="5">
        <f t="shared" si="297"/>
        <v>24250.925438583687</v>
      </c>
    </row>
    <row r="296" spans="1:34" x14ac:dyDescent="0.35">
      <c r="A296" t="s">
        <v>316</v>
      </c>
      <c r="B296" s="3" t="s">
        <v>1265</v>
      </c>
      <c r="C296" s="4" t="s">
        <v>1263</v>
      </c>
      <c r="D296" s="2">
        <f t="shared" si="26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ref="W296:AH296" si="298">IF(OR((SLOPE($E296:$V296,$E$1:$V$1)*W$1+INTERCEPT($E296:$V296,$E$1:$V$1))&gt;(AVERAGE($E296:$V296)+_xlfn.STDEV.P($E296:$V296)),(SLOPE($E296:$V296,$E$1:$V$1)*W$1+INTERCEPT($E296:$V296,$E$1:$V$1))&lt;(AVERAGE($E296:$V296)-_xlfn.STDEV.P($E296:$V296))),V296,(SLOPE($E296:$V296,$E$1:$V$1)*W$1+INTERCEPT($E296:$V296,$E$1:$V$1)))</f>
        <v>28180.010682352939</v>
      </c>
      <c r="X296" s="5">
        <f t="shared" si="298"/>
        <v>28292.556248916404</v>
      </c>
      <c r="Y296" s="5">
        <f t="shared" si="298"/>
        <v>28405.101815479873</v>
      </c>
      <c r="Z296" s="5">
        <f t="shared" si="298"/>
        <v>28517.647382043338</v>
      </c>
      <c r="AA296" s="5">
        <f t="shared" si="298"/>
        <v>28630.192948606804</v>
      </c>
      <c r="AB296" s="5">
        <f t="shared" si="298"/>
        <v>28742.738515170273</v>
      </c>
      <c r="AC296" s="5">
        <f t="shared" si="298"/>
        <v>28855.284081733738</v>
      </c>
      <c r="AD296" s="5">
        <f t="shared" si="298"/>
        <v>28967.829648297207</v>
      </c>
      <c r="AE296" s="5">
        <f t="shared" si="298"/>
        <v>29080.375214860673</v>
      </c>
      <c r="AF296" s="5">
        <f t="shared" si="298"/>
        <v>29192.920781424142</v>
      </c>
      <c r="AG296" s="5">
        <f t="shared" si="298"/>
        <v>29305.466347987607</v>
      </c>
      <c r="AH296" s="5">
        <f t="shared" si="298"/>
        <v>29418.011914551076</v>
      </c>
    </row>
    <row r="297" spans="1:34" x14ac:dyDescent="0.35">
      <c r="A297" t="s">
        <v>317</v>
      </c>
      <c r="B297" s="3" t="s">
        <v>1262</v>
      </c>
      <c r="C297" s="4" t="s">
        <v>1263</v>
      </c>
      <c r="D297" s="2">
        <f t="shared" si="26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ref="W297:AH297" si="299">IF(OR((SLOPE($E297:$V297,$E$1:$V$1)*W$1+INTERCEPT($E297:$V297,$E$1:$V$1))&gt;(AVERAGE($E297:$V297)+_xlfn.STDEV.P($E297:$V297)),(SLOPE($E297:$V297,$E$1:$V$1)*W$1+INTERCEPT($E297:$V297,$E$1:$V$1))&lt;(AVERAGE($E297:$V297)-_xlfn.STDEV.P($E297:$V297))),V297,(SLOPE($E297:$V297,$E$1:$V$1)*W$1+INTERCEPT($E297:$V297,$E$1:$V$1)))</f>
        <v>38891.38647058823</v>
      </c>
      <c r="X297" s="5">
        <f t="shared" si="299"/>
        <v>40191.494520123837</v>
      </c>
      <c r="Y297" s="5">
        <f t="shared" si="299"/>
        <v>41491.602569659437</v>
      </c>
      <c r="Z297" s="5">
        <f t="shared" si="299"/>
        <v>42791.710619195037</v>
      </c>
      <c r="AA297" s="5">
        <f t="shared" si="299"/>
        <v>44091.818668730644</v>
      </c>
      <c r="AB297" s="5">
        <f t="shared" si="299"/>
        <v>45391.926718266244</v>
      </c>
      <c r="AC297" s="5">
        <f t="shared" si="299"/>
        <v>46692.034767801852</v>
      </c>
      <c r="AD297" s="5">
        <f t="shared" si="299"/>
        <v>47992.142817337452</v>
      </c>
      <c r="AE297" s="5">
        <f t="shared" si="299"/>
        <v>49292.250866873059</v>
      </c>
      <c r="AF297" s="5">
        <f t="shared" si="299"/>
        <v>49292.250866873059</v>
      </c>
      <c r="AG297" s="5">
        <f t="shared" si="299"/>
        <v>49292.250866873059</v>
      </c>
      <c r="AH297" s="5">
        <f t="shared" si="299"/>
        <v>49292.250866873059</v>
      </c>
    </row>
    <row r="298" spans="1:34" x14ac:dyDescent="0.35">
      <c r="A298" t="s">
        <v>318</v>
      </c>
      <c r="B298" s="3" t="s">
        <v>1262</v>
      </c>
      <c r="C298" s="4" t="s">
        <v>1263</v>
      </c>
      <c r="D298" s="2">
        <f t="shared" si="26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ref="W298:AH298" si="300">IF(OR((SLOPE($E298:$V298,$E$1:$V$1)*W$1+INTERCEPT($E298:$V298,$E$1:$V$1))&gt;(AVERAGE($E298:$V298)+_xlfn.STDEV.P($E298:$V298)),(SLOPE($E298:$V298,$E$1:$V$1)*W$1+INTERCEPT($E298:$V298,$E$1:$V$1))&lt;(AVERAGE($E298:$V298)-_xlfn.STDEV.P($E298:$V298))),V298,(SLOPE($E298:$V298,$E$1:$V$1)*W$1+INTERCEPT($E298:$V298,$E$1:$V$1)))</f>
        <v>1426.932250338461</v>
      </c>
      <c r="X298" s="5">
        <f t="shared" si="300"/>
        <v>-1213.7430038125676</v>
      </c>
      <c r="Y298" s="5">
        <f t="shared" si="300"/>
        <v>-3854.418257963589</v>
      </c>
      <c r="Z298" s="5">
        <f t="shared" si="300"/>
        <v>-6495.0935121146176</v>
      </c>
      <c r="AA298" s="5">
        <f t="shared" si="300"/>
        <v>-9135.768766265639</v>
      </c>
      <c r="AB298" s="5">
        <f t="shared" si="300"/>
        <v>-11776.44402041666</v>
      </c>
      <c r="AC298" s="5">
        <f t="shared" si="300"/>
        <v>-14417.119274567682</v>
      </c>
      <c r="AD298" s="5">
        <f t="shared" si="300"/>
        <v>-17057.794528718718</v>
      </c>
      <c r="AE298" s="5">
        <f t="shared" si="300"/>
        <v>-19698.469782869739</v>
      </c>
      <c r="AF298" s="5">
        <f t="shared" si="300"/>
        <v>-22339.14503702076</v>
      </c>
      <c r="AG298" s="5">
        <f t="shared" si="300"/>
        <v>-24979.820291171782</v>
      </c>
      <c r="AH298" s="5">
        <f t="shared" si="300"/>
        <v>-27620.495545322818</v>
      </c>
    </row>
    <row r="299" spans="1:34" x14ac:dyDescent="0.35">
      <c r="A299" t="s">
        <v>319</v>
      </c>
      <c r="B299" s="3" t="s">
        <v>1265</v>
      </c>
      <c r="C299" s="4" t="s">
        <v>1263</v>
      </c>
      <c r="D299" s="2">
        <f t="shared" si="26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ref="W299:AH299" si="301">IF(OR((SLOPE($E299:$V299,$E$1:$V$1)*W$1+INTERCEPT($E299:$V299,$E$1:$V$1))&gt;(AVERAGE($E299:$V299)+_xlfn.STDEV.P($E299:$V299)),(SLOPE($E299:$V299,$E$1:$V$1)*W$1+INTERCEPT($E299:$V299,$E$1:$V$1))&lt;(AVERAGE($E299:$V299)-_xlfn.STDEV.P($E299:$V299))),V299,(SLOPE($E299:$V299,$E$1:$V$1)*W$1+INTERCEPT($E299:$V299,$E$1:$V$1)))</f>
        <v>31462.342076673343</v>
      </c>
      <c r="X299" s="5">
        <f t="shared" si="301"/>
        <v>31959.115898936609</v>
      </c>
      <c r="Y299" s="5">
        <f t="shared" si="301"/>
        <v>32455.88972119987</v>
      </c>
      <c r="Z299" s="5">
        <f t="shared" si="301"/>
        <v>32952.663543463132</v>
      </c>
      <c r="AA299" s="5">
        <f t="shared" si="301"/>
        <v>33449.437365726393</v>
      </c>
      <c r="AB299" s="5">
        <f t="shared" si="301"/>
        <v>33946.211187989655</v>
      </c>
      <c r="AC299" s="5">
        <f t="shared" si="301"/>
        <v>34442.985010252924</v>
      </c>
      <c r="AD299" s="5">
        <f t="shared" si="301"/>
        <v>34939.758832516185</v>
      </c>
      <c r="AE299" s="5">
        <f t="shared" si="301"/>
        <v>35436.532654779447</v>
      </c>
      <c r="AF299" s="5">
        <f t="shared" si="301"/>
        <v>35933.306477042715</v>
      </c>
      <c r="AG299" s="5">
        <f t="shared" si="301"/>
        <v>36430.080299305977</v>
      </c>
      <c r="AH299" s="5">
        <f t="shared" si="301"/>
        <v>36926.854121569238</v>
      </c>
    </row>
    <row r="300" spans="1:34" x14ac:dyDescent="0.35">
      <c r="A300" t="s">
        <v>320</v>
      </c>
      <c r="B300" s="3" t="s">
        <v>1265</v>
      </c>
      <c r="C300" s="4" t="s">
        <v>1263</v>
      </c>
      <c r="D300" s="2">
        <f t="shared" si="26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ref="W300:AH300" si="302">IF(OR((SLOPE($E300:$V300,$E$1:$V$1)*W$1+INTERCEPT($E300:$V300,$E$1:$V$1))&gt;(AVERAGE($E300:$V300)+_xlfn.STDEV.P($E300:$V300)),(SLOPE($E300:$V300,$E$1:$V$1)*W$1+INTERCEPT($E300:$V300,$E$1:$V$1))&lt;(AVERAGE($E300:$V300)-_xlfn.STDEV.P($E300:$V300))),V300,(SLOPE($E300:$V300,$E$1:$V$1)*W$1+INTERCEPT($E300:$V300,$E$1:$V$1)))</f>
        <v>68929.823091472877</v>
      </c>
      <c r="X300" s="5">
        <f t="shared" si="302"/>
        <v>73382.918208747986</v>
      </c>
      <c r="Y300" s="5">
        <f t="shared" si="302"/>
        <v>77836.013326023094</v>
      </c>
      <c r="Z300" s="5">
        <f t="shared" si="302"/>
        <v>82289.108443298202</v>
      </c>
      <c r="AA300" s="5">
        <f t="shared" si="302"/>
        <v>86742.203560573311</v>
      </c>
      <c r="AB300" s="5">
        <f t="shared" si="302"/>
        <v>91195.298677848448</v>
      </c>
      <c r="AC300" s="5">
        <f t="shared" si="302"/>
        <v>91195.298677848448</v>
      </c>
      <c r="AD300" s="5">
        <f t="shared" si="302"/>
        <v>91195.298677848448</v>
      </c>
      <c r="AE300" s="5">
        <f t="shared" si="302"/>
        <v>91195.298677848448</v>
      </c>
      <c r="AF300" s="5">
        <f t="shared" si="302"/>
        <v>91195.298677848448</v>
      </c>
      <c r="AG300" s="5">
        <f t="shared" si="302"/>
        <v>91195.298677848448</v>
      </c>
      <c r="AH300" s="5">
        <f t="shared" si="302"/>
        <v>91195.298677848448</v>
      </c>
    </row>
    <row r="301" spans="1:34" x14ac:dyDescent="0.35">
      <c r="A301" t="s">
        <v>321</v>
      </c>
      <c r="B301" s="3" t="s">
        <v>1265</v>
      </c>
      <c r="C301" s="4" t="s">
        <v>1263</v>
      </c>
      <c r="D301" s="2">
        <f t="shared" si="26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ref="W301:AH301" si="303">IF(OR((SLOPE($E301:$V301,$E$1:$V$1)*W$1+INTERCEPT($E301:$V301,$E$1:$V$1))&gt;(AVERAGE($E301:$V301)+_xlfn.STDEV.P($E301:$V301)),(SLOPE($E301:$V301,$E$1:$V$1)*W$1+INTERCEPT($E301:$V301,$E$1:$V$1))&lt;(AVERAGE($E301:$V301)-_xlfn.STDEV.P($E301:$V301))),V301,(SLOPE($E301:$V301,$E$1:$V$1)*W$1+INTERCEPT($E301:$V301,$E$1:$V$1)))</f>
        <v>77358.455999999991</v>
      </c>
      <c r="X301" s="5">
        <f t="shared" si="303"/>
        <v>77358.455999999991</v>
      </c>
      <c r="Y301" s="5">
        <f t="shared" si="303"/>
        <v>77358.455999999991</v>
      </c>
      <c r="Z301" s="5">
        <f t="shared" si="303"/>
        <v>77358.455999999991</v>
      </c>
      <c r="AA301" s="5">
        <f t="shared" si="303"/>
        <v>77358.455999999991</v>
      </c>
      <c r="AB301" s="5">
        <f t="shared" si="303"/>
        <v>77358.455999999991</v>
      </c>
      <c r="AC301" s="5">
        <f t="shared" si="303"/>
        <v>77358.455999999991</v>
      </c>
      <c r="AD301" s="5">
        <f t="shared" si="303"/>
        <v>77358.455999999991</v>
      </c>
      <c r="AE301" s="5">
        <f t="shared" si="303"/>
        <v>77358.455999999991</v>
      </c>
      <c r="AF301" s="5">
        <f t="shared" si="303"/>
        <v>77358.455999999991</v>
      </c>
      <c r="AG301" s="5">
        <f t="shared" si="303"/>
        <v>77358.455999999991</v>
      </c>
      <c r="AH301" s="5">
        <f t="shared" si="303"/>
        <v>77358.455999999991</v>
      </c>
    </row>
    <row r="302" spans="1:34" x14ac:dyDescent="0.35">
      <c r="A302" t="s">
        <v>322</v>
      </c>
      <c r="B302" s="3" t="s">
        <v>1262</v>
      </c>
      <c r="C302" s="4" t="s">
        <v>1267</v>
      </c>
      <c r="D302" s="2">
        <f t="shared" si="26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ref="W302:AH302" si="304">IF(OR((SLOPE($E302:$V302,$E$1:$V$1)*W$1+INTERCEPT($E302:$V302,$E$1:$V$1))&gt;(AVERAGE($E302:$V302)+_xlfn.STDEV.P($E302:$V302)),(SLOPE($E302:$V302,$E$1:$V$1)*W$1+INTERCEPT($E302:$V302,$E$1:$V$1))&lt;(AVERAGE($E302:$V302)-_xlfn.STDEV.P($E302:$V302))),V302,(SLOPE($E302:$V302,$E$1:$V$1)*W$1+INTERCEPT($E302:$V302,$E$1:$V$1)))</f>
        <v>87185.7</v>
      </c>
      <c r="X302" s="5">
        <f t="shared" si="304"/>
        <v>87185.7</v>
      </c>
      <c r="Y302" s="5">
        <f t="shared" si="304"/>
        <v>87185.7</v>
      </c>
      <c r="Z302" s="5">
        <f t="shared" si="304"/>
        <v>87185.7</v>
      </c>
      <c r="AA302" s="5">
        <f t="shared" si="304"/>
        <v>87185.7</v>
      </c>
      <c r="AB302" s="5">
        <f t="shared" si="304"/>
        <v>87185.7</v>
      </c>
      <c r="AC302" s="5">
        <f t="shared" si="304"/>
        <v>87185.7</v>
      </c>
      <c r="AD302" s="5">
        <f t="shared" si="304"/>
        <v>87185.7</v>
      </c>
      <c r="AE302" s="5">
        <f t="shared" si="304"/>
        <v>87185.7</v>
      </c>
      <c r="AF302" s="5">
        <f t="shared" si="304"/>
        <v>87185.7</v>
      </c>
      <c r="AG302" s="5">
        <f t="shared" si="304"/>
        <v>87185.7</v>
      </c>
      <c r="AH302" s="5">
        <f t="shared" si="304"/>
        <v>87185.7</v>
      </c>
    </row>
    <row r="303" spans="1:34" x14ac:dyDescent="0.35">
      <c r="A303" t="s">
        <v>323</v>
      </c>
      <c r="B303" s="3" t="s">
        <v>1262</v>
      </c>
      <c r="C303" s="4" t="s">
        <v>1263</v>
      </c>
      <c r="D303" s="2">
        <f t="shared" si="26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ref="W303:AH303" si="305">IF(OR((SLOPE($E303:$V303,$E$1:$V$1)*W$1+INTERCEPT($E303:$V303,$E$1:$V$1))&gt;(AVERAGE($E303:$V303)+_xlfn.STDEV.P($E303:$V303)),(SLOPE($E303:$V303,$E$1:$V$1)*W$1+INTERCEPT($E303:$V303,$E$1:$V$1))&lt;(AVERAGE($E303:$V303)-_xlfn.STDEV.P($E303:$V303))),V303,(SLOPE($E303:$V303,$E$1:$V$1)*W$1+INTERCEPT($E303:$V303,$E$1:$V$1)))</f>
        <v>71141.645916909431</v>
      </c>
      <c r="X303" s="5">
        <f t="shared" si="305"/>
        <v>71141.645916909431</v>
      </c>
      <c r="Y303" s="5">
        <f t="shared" si="305"/>
        <v>71141.645916909431</v>
      </c>
      <c r="Z303" s="5">
        <f t="shared" si="305"/>
        <v>71141.645916909431</v>
      </c>
      <c r="AA303" s="5">
        <f t="shared" si="305"/>
        <v>71141.645916909431</v>
      </c>
      <c r="AB303" s="5">
        <f t="shared" si="305"/>
        <v>71141.645916909431</v>
      </c>
      <c r="AC303" s="5">
        <f t="shared" si="305"/>
        <v>71141.645916909431</v>
      </c>
      <c r="AD303" s="5">
        <f t="shared" si="305"/>
        <v>71141.645916909431</v>
      </c>
      <c r="AE303" s="5">
        <f t="shared" si="305"/>
        <v>71141.645916909431</v>
      </c>
      <c r="AF303" s="5">
        <f t="shared" si="305"/>
        <v>71141.645916909431</v>
      </c>
      <c r="AG303" s="5">
        <f t="shared" si="305"/>
        <v>71141.645916909431</v>
      </c>
      <c r="AH303" s="5">
        <f t="shared" si="305"/>
        <v>71141.645916909431</v>
      </c>
    </row>
    <row r="304" spans="1:34" x14ac:dyDescent="0.35">
      <c r="A304" t="s">
        <v>324</v>
      </c>
      <c r="B304" s="3" t="s">
        <v>1265</v>
      </c>
      <c r="C304" s="4" t="s">
        <v>1263</v>
      </c>
      <c r="D304" s="2">
        <f t="shared" si="26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ref="W304:AH304" si="306">IF(OR((SLOPE($E304:$V304,$E$1:$V$1)*W$1+INTERCEPT($E304:$V304,$E$1:$V$1))&gt;(AVERAGE($E304:$V304)+_xlfn.STDEV.P($E304:$V304)),(SLOPE($E304:$V304,$E$1:$V$1)*W$1+INTERCEPT($E304:$V304,$E$1:$V$1))&lt;(AVERAGE($E304:$V304)-_xlfn.STDEV.P($E304:$V304))),V304,(SLOPE($E304:$V304,$E$1:$V$1)*W$1+INTERCEPT($E304:$V304,$E$1:$V$1)))</f>
        <v>24753.351189890502</v>
      </c>
      <c r="X304" s="5">
        <f t="shared" si="306"/>
        <v>24628.972498018888</v>
      </c>
      <c r="Y304" s="5">
        <f t="shared" si="306"/>
        <v>24504.59380614727</v>
      </c>
      <c r="Z304" s="5">
        <f t="shared" si="306"/>
        <v>24380.215114275656</v>
      </c>
      <c r="AA304" s="5">
        <f t="shared" si="306"/>
        <v>24255.836422404042</v>
      </c>
      <c r="AB304" s="5">
        <f t="shared" si="306"/>
        <v>24131.457730532424</v>
      </c>
      <c r="AC304" s="5">
        <f t="shared" si="306"/>
        <v>24007.07903866081</v>
      </c>
      <c r="AD304" s="5">
        <f t="shared" si="306"/>
        <v>23882.700346789192</v>
      </c>
      <c r="AE304" s="5">
        <f t="shared" si="306"/>
        <v>23758.321654917578</v>
      </c>
      <c r="AF304" s="5">
        <f t="shared" si="306"/>
        <v>23633.94296304596</v>
      </c>
      <c r="AG304" s="5">
        <f t="shared" si="306"/>
        <v>23509.564271174346</v>
      </c>
      <c r="AH304" s="5">
        <f t="shared" si="306"/>
        <v>23385.185579302732</v>
      </c>
    </row>
    <row r="305" spans="1:34" x14ac:dyDescent="0.35">
      <c r="A305" t="s">
        <v>325</v>
      </c>
      <c r="B305" s="3" t="s">
        <v>1264</v>
      </c>
      <c r="C305" s="4" t="s">
        <v>1263</v>
      </c>
      <c r="D305" s="2">
        <f t="shared" si="26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ref="W305:AH305" si="307">IF(OR((SLOPE($E305:$V305,$E$1:$V$1)*W$1+INTERCEPT($E305:$V305,$E$1:$V$1))&gt;(AVERAGE($E305:$V305)+_xlfn.STDEV.P($E305:$V305)),(SLOPE($E305:$V305,$E$1:$V$1)*W$1+INTERCEPT($E305:$V305,$E$1:$V$1))&lt;(AVERAGE($E305:$V305)-_xlfn.STDEV.P($E305:$V305))),V305,(SLOPE($E305:$V305,$E$1:$V$1)*W$1+INTERCEPT($E305:$V305,$E$1:$V$1)))</f>
        <v>25686.689378519943</v>
      </c>
      <c r="X305" s="5">
        <f t="shared" si="307"/>
        <v>25686.689378519943</v>
      </c>
      <c r="Y305" s="5">
        <f t="shared" si="307"/>
        <v>25686.689378519943</v>
      </c>
      <c r="Z305" s="5">
        <f t="shared" si="307"/>
        <v>25686.689378519943</v>
      </c>
      <c r="AA305" s="5">
        <f t="shared" si="307"/>
        <v>25686.689378519943</v>
      </c>
      <c r="AB305" s="5">
        <f t="shared" si="307"/>
        <v>25686.689378519943</v>
      </c>
      <c r="AC305" s="5">
        <f t="shared" si="307"/>
        <v>25686.689378519943</v>
      </c>
      <c r="AD305" s="5">
        <f t="shared" si="307"/>
        <v>25686.689378519943</v>
      </c>
      <c r="AE305" s="5">
        <f t="shared" si="307"/>
        <v>25686.689378519943</v>
      </c>
      <c r="AF305" s="5">
        <f t="shared" si="307"/>
        <v>25686.689378519943</v>
      </c>
      <c r="AG305" s="5">
        <f t="shared" si="307"/>
        <v>25686.689378519943</v>
      </c>
      <c r="AH305" s="5">
        <f t="shared" si="307"/>
        <v>25686.689378519943</v>
      </c>
    </row>
    <row r="306" spans="1:34" x14ac:dyDescent="0.35">
      <c r="A306" t="s">
        <v>326</v>
      </c>
      <c r="B306" s="3" t="s">
        <v>1262</v>
      </c>
      <c r="C306" s="4" t="s">
        <v>1263</v>
      </c>
      <c r="D306" s="2">
        <f t="shared" si="26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ref="W306:AH306" si="308">IF(OR((SLOPE($E306:$V306,$E$1:$V$1)*W$1+INTERCEPT($E306:$V306,$E$1:$V$1))&gt;(AVERAGE($E306:$V306)+_xlfn.STDEV.P($E306:$V306)),(SLOPE($E306:$V306,$E$1:$V$1)*W$1+INTERCEPT($E306:$V306,$E$1:$V$1))&lt;(AVERAGE($E306:$V306)-_xlfn.STDEV.P($E306:$V306))),V306,(SLOPE($E306:$V306,$E$1:$V$1)*W$1+INTERCEPT($E306:$V306,$E$1:$V$1)))</f>
        <v>20079.767647058823</v>
      </c>
      <c r="X306" s="5">
        <f t="shared" si="308"/>
        <v>19473.15371517028</v>
      </c>
      <c r="Y306" s="5">
        <f t="shared" si="308"/>
        <v>18866.539783281733</v>
      </c>
      <c r="Z306" s="5">
        <f t="shared" si="308"/>
        <v>18259.925851393185</v>
      </c>
      <c r="AA306" s="5">
        <f t="shared" si="308"/>
        <v>17653.311919504642</v>
      </c>
      <c r="AB306" s="5">
        <f t="shared" si="308"/>
        <v>17046.697987616099</v>
      </c>
      <c r="AC306" s="5">
        <f t="shared" si="308"/>
        <v>16440.084055727551</v>
      </c>
      <c r="AD306" s="5">
        <f t="shared" si="308"/>
        <v>15833.470123839008</v>
      </c>
      <c r="AE306" s="5">
        <f t="shared" si="308"/>
        <v>15226.856191950463</v>
      </c>
      <c r="AF306" s="5">
        <f t="shared" si="308"/>
        <v>14620.242260061917</v>
      </c>
      <c r="AG306" s="5">
        <f t="shared" si="308"/>
        <v>14013.62832817337</v>
      </c>
      <c r="AH306" s="5">
        <f t="shared" si="308"/>
        <v>13407.014396284827</v>
      </c>
    </row>
    <row r="307" spans="1:34" x14ac:dyDescent="0.35">
      <c r="A307" t="s">
        <v>327</v>
      </c>
      <c r="B307" s="3" t="s">
        <v>1266</v>
      </c>
      <c r="C307" s="4" t="s">
        <v>1263</v>
      </c>
      <c r="D307" s="2">
        <f t="shared" si="26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ref="W307:AH307" si="309">IF(OR((SLOPE($E307:$V307,$E$1:$V$1)*W$1+INTERCEPT($E307:$V307,$E$1:$V$1))&gt;(AVERAGE($E307:$V307)+_xlfn.STDEV.P($E307:$V307)),(SLOPE($E307:$V307,$E$1:$V$1)*W$1+INTERCEPT($E307:$V307,$E$1:$V$1))&lt;(AVERAGE($E307:$V307)-_xlfn.STDEV.P($E307:$V307))),V307,(SLOPE($E307:$V307,$E$1:$V$1)*W$1+INTERCEPT($E307:$V307,$E$1:$V$1)))</f>
        <v>15577.895627071437</v>
      </c>
      <c r="X307" s="5">
        <f t="shared" si="309"/>
        <v>14498.444738012775</v>
      </c>
      <c r="Y307" s="5">
        <f t="shared" si="309"/>
        <v>13418.993848954113</v>
      </c>
      <c r="Z307" s="5">
        <f t="shared" si="309"/>
        <v>12339.542959895451</v>
      </c>
      <c r="AA307" s="5">
        <f t="shared" si="309"/>
        <v>11260.092070836788</v>
      </c>
      <c r="AB307" s="5">
        <f t="shared" si="309"/>
        <v>10180.641181778126</v>
      </c>
      <c r="AC307" s="5">
        <f t="shared" si="309"/>
        <v>9101.1902927194678</v>
      </c>
      <c r="AD307" s="5">
        <f t="shared" si="309"/>
        <v>8021.7394036608057</v>
      </c>
      <c r="AE307" s="5">
        <f t="shared" si="309"/>
        <v>6942.2885146021436</v>
      </c>
      <c r="AF307" s="5">
        <f t="shared" si="309"/>
        <v>5862.8376255434814</v>
      </c>
      <c r="AG307" s="5">
        <f t="shared" si="309"/>
        <v>4783.3867364848193</v>
      </c>
      <c r="AH307" s="5">
        <f t="shared" si="309"/>
        <v>3703.9358474261608</v>
      </c>
    </row>
    <row r="308" spans="1:34" x14ac:dyDescent="0.35">
      <c r="A308" t="s">
        <v>328</v>
      </c>
      <c r="B308" s="3" t="s">
        <v>1266</v>
      </c>
      <c r="C308" s="4" t="s">
        <v>1263</v>
      </c>
      <c r="D308" s="2">
        <f t="shared" si="26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ref="W308:AH308" si="310">IF(OR((SLOPE($E308:$V308,$E$1:$V$1)*W$1+INTERCEPT($E308:$V308,$E$1:$V$1))&gt;(AVERAGE($E308:$V308)+_xlfn.STDEV.P($E308:$V308)),(SLOPE($E308:$V308,$E$1:$V$1)*W$1+INTERCEPT($E308:$V308,$E$1:$V$1))&lt;(AVERAGE($E308:$V308)-_xlfn.STDEV.P($E308:$V308))),V308,(SLOPE($E308:$V308,$E$1:$V$1)*W$1+INTERCEPT($E308:$V308,$E$1:$V$1)))</f>
        <v>8442.2285678339613</v>
      </c>
      <c r="X308" s="5">
        <f t="shared" si="310"/>
        <v>6623.3101352827653</v>
      </c>
      <c r="Y308" s="5">
        <f t="shared" si="310"/>
        <v>4804.391702731562</v>
      </c>
      <c r="Z308" s="5">
        <f t="shared" si="310"/>
        <v>2985.4732701803659</v>
      </c>
      <c r="AA308" s="5">
        <f t="shared" si="310"/>
        <v>1166.5548376291699</v>
      </c>
      <c r="AB308" s="5">
        <f t="shared" si="310"/>
        <v>-652.3635949220261</v>
      </c>
      <c r="AC308" s="5">
        <f t="shared" si="310"/>
        <v>-2471.2820274732221</v>
      </c>
      <c r="AD308" s="5">
        <f t="shared" si="310"/>
        <v>-4290.2004600244254</v>
      </c>
      <c r="AE308" s="5">
        <f t="shared" si="310"/>
        <v>-6109.1188925756214</v>
      </c>
      <c r="AF308" s="5">
        <f t="shared" si="310"/>
        <v>-7928.0373251268174</v>
      </c>
      <c r="AG308" s="5">
        <f t="shared" si="310"/>
        <v>-9746.9557576780135</v>
      </c>
      <c r="AH308" s="5">
        <f t="shared" si="310"/>
        <v>-9746.9557576780135</v>
      </c>
    </row>
    <row r="309" spans="1:34" x14ac:dyDescent="0.35">
      <c r="A309" t="s">
        <v>329</v>
      </c>
      <c r="B309" s="3" t="s">
        <v>1266</v>
      </c>
      <c r="C309" s="4" t="s">
        <v>1263</v>
      </c>
      <c r="D309" s="2">
        <f t="shared" si="26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H309" si="311">IF(OR((SLOPE($E309:$V309,$E$1:$V$1)*W$1+INTERCEPT($E309:$V309,$E$1:$V$1))&gt;(AVERAGE($E309:$V309)+_xlfn.STDEV.P($E309:$V309)),(SLOPE($E309:$V309,$E$1:$V$1)*W$1+INTERCEPT($E309:$V309,$E$1:$V$1))&lt;(AVERAGE($E309:$V309)-_xlfn.STDEV.P($E309:$V309))),V309,(SLOPE($E309:$V309,$E$1:$V$1)*W$1+INTERCEPT($E309:$V309,$E$1:$V$1)))</f>
        <v>57504.922741319519</v>
      </c>
      <c r="X309" s="5">
        <f t="shared" si="311"/>
        <v>60853.461013208158</v>
      </c>
      <c r="Y309" s="5">
        <f t="shared" si="311"/>
        <v>64201.999285096797</v>
      </c>
      <c r="Z309" s="5">
        <f t="shared" si="311"/>
        <v>67550.537556985437</v>
      </c>
      <c r="AA309" s="5">
        <f t="shared" si="311"/>
        <v>70899.075828874076</v>
      </c>
      <c r="AB309" s="5">
        <f t="shared" si="311"/>
        <v>74247.614100762716</v>
      </c>
      <c r="AC309" s="5">
        <f t="shared" si="311"/>
        <v>77596.152372651355</v>
      </c>
      <c r="AD309" s="5">
        <f t="shared" si="311"/>
        <v>80944.690644539995</v>
      </c>
      <c r="AE309" s="5">
        <f t="shared" si="311"/>
        <v>80944.690644539995</v>
      </c>
      <c r="AF309" s="5">
        <f t="shared" si="311"/>
        <v>80944.690644539995</v>
      </c>
      <c r="AG309" s="5">
        <f t="shared" si="311"/>
        <v>80944.690644539995</v>
      </c>
      <c r="AH309" s="5">
        <f t="shared" si="311"/>
        <v>80944.690644539995</v>
      </c>
    </row>
    <row r="310" spans="1:34" x14ac:dyDescent="0.35">
      <c r="A310" t="s">
        <v>330</v>
      </c>
      <c r="B310" s="3" t="s">
        <v>1266</v>
      </c>
      <c r="C310" s="4" t="s">
        <v>1266</v>
      </c>
      <c r="D310" s="2">
        <f t="shared" si="26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ref="W310:AH310" si="312">IF(OR((SLOPE($E310:$V310,$E$1:$V$1)*W$1+INTERCEPT($E310:$V310,$E$1:$V$1))&gt;(AVERAGE($E310:$V310)+_xlfn.STDEV.P($E310:$V310)),(SLOPE($E310:$V310,$E$1:$V$1)*W$1+INTERCEPT($E310:$V310,$E$1:$V$1))&lt;(AVERAGE($E310:$V310)-_xlfn.STDEV.P($E310:$V310))),V310,(SLOPE($E310:$V310,$E$1:$V$1)*W$1+INTERCEPT($E310:$V310,$E$1:$V$1)))</f>
        <v>72533.161370970338</v>
      </c>
      <c r="X310" s="5">
        <f t="shared" si="312"/>
        <v>77463.866878461718</v>
      </c>
      <c r="Y310" s="5">
        <f t="shared" si="312"/>
        <v>82394.572385953099</v>
      </c>
      <c r="Z310" s="5">
        <f t="shared" si="312"/>
        <v>87325.27789344448</v>
      </c>
      <c r="AA310" s="5">
        <f t="shared" si="312"/>
        <v>92255.98340093586</v>
      </c>
      <c r="AB310" s="5">
        <f t="shared" si="312"/>
        <v>97186.688908427241</v>
      </c>
      <c r="AC310" s="5">
        <f t="shared" si="312"/>
        <v>102117.39441591862</v>
      </c>
      <c r="AD310" s="5">
        <f t="shared" si="312"/>
        <v>102117.39441591862</v>
      </c>
      <c r="AE310" s="5">
        <f t="shared" si="312"/>
        <v>102117.39441591862</v>
      </c>
      <c r="AF310" s="5">
        <f t="shared" si="312"/>
        <v>102117.39441591862</v>
      </c>
      <c r="AG310" s="5">
        <f t="shared" si="312"/>
        <v>102117.39441591862</v>
      </c>
      <c r="AH310" s="5">
        <f t="shared" si="312"/>
        <v>102117.39441591862</v>
      </c>
    </row>
    <row r="311" spans="1:34" x14ac:dyDescent="0.35">
      <c r="A311" t="s">
        <v>331</v>
      </c>
      <c r="B311" s="3" t="s">
        <v>1266</v>
      </c>
      <c r="C311" s="4" t="s">
        <v>1266</v>
      </c>
      <c r="D311" s="2">
        <f t="shared" si="26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ref="W311:AH311" si="313">IF(OR((SLOPE($E311:$V311,$E$1:$V$1)*W$1+INTERCEPT($E311:$V311,$E$1:$V$1))&gt;(AVERAGE($E311:$V311)+_xlfn.STDEV.P($E311:$V311)),(SLOPE($E311:$V311,$E$1:$V$1)*W$1+INTERCEPT($E311:$V311,$E$1:$V$1))&lt;(AVERAGE($E311:$V311)-_xlfn.STDEV.P($E311:$V311))),V311,(SLOPE($E311:$V311,$E$1:$V$1)*W$1+INTERCEPT($E311:$V311,$E$1:$V$1)))</f>
        <v>38290.063157884833</v>
      </c>
      <c r="X311" s="5">
        <f t="shared" si="313"/>
        <v>39618.456042179569</v>
      </c>
      <c r="Y311" s="5">
        <f t="shared" si="313"/>
        <v>40946.848926474311</v>
      </c>
      <c r="Z311" s="5">
        <f t="shared" si="313"/>
        <v>42275.241810769046</v>
      </c>
      <c r="AA311" s="5">
        <f t="shared" si="313"/>
        <v>43603.634695063782</v>
      </c>
      <c r="AB311" s="5">
        <f t="shared" si="313"/>
        <v>44932.027579358517</v>
      </c>
      <c r="AC311" s="5">
        <f t="shared" si="313"/>
        <v>46260.42046365326</v>
      </c>
      <c r="AD311" s="5">
        <f t="shared" si="313"/>
        <v>47588.813347947995</v>
      </c>
      <c r="AE311" s="5">
        <f t="shared" si="313"/>
        <v>48917.20623224273</v>
      </c>
      <c r="AF311" s="5">
        <f t="shared" si="313"/>
        <v>50245.599116537473</v>
      </c>
      <c r="AG311" s="5">
        <f t="shared" si="313"/>
        <v>51573.992000832208</v>
      </c>
      <c r="AH311" s="5">
        <f t="shared" si="313"/>
        <v>52902.384885126943</v>
      </c>
    </row>
    <row r="312" spans="1:34" x14ac:dyDescent="0.35">
      <c r="A312" t="s">
        <v>332</v>
      </c>
      <c r="B312" s="3" t="s">
        <v>1265</v>
      </c>
      <c r="C312" s="4" t="s">
        <v>1263</v>
      </c>
      <c r="D312" s="2">
        <f t="shared" si="26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ref="W312:AH312" si="314">IF(OR((SLOPE($E312:$V312,$E$1:$V$1)*W$1+INTERCEPT($E312:$V312,$E$1:$V$1))&gt;(AVERAGE($E312:$V312)+_xlfn.STDEV.P($E312:$V312)),(SLOPE($E312:$V312,$E$1:$V$1)*W$1+INTERCEPT($E312:$V312,$E$1:$V$1))&lt;(AVERAGE($E312:$V312)-_xlfn.STDEV.P($E312:$V312))),V312,(SLOPE($E312:$V312,$E$1:$V$1)*W$1+INTERCEPT($E312:$V312,$E$1:$V$1)))</f>
        <v>32354.571001783879</v>
      </c>
      <c r="X312" s="5">
        <f t="shared" si="314"/>
        <v>33111.896243470823</v>
      </c>
      <c r="Y312" s="5">
        <f t="shared" si="314"/>
        <v>33869.221485157759</v>
      </c>
      <c r="Z312" s="5">
        <f t="shared" si="314"/>
        <v>34626.54672684471</v>
      </c>
      <c r="AA312" s="5">
        <f t="shared" si="314"/>
        <v>35383.871968531646</v>
      </c>
      <c r="AB312" s="5">
        <f t="shared" si="314"/>
        <v>36141.19721021859</v>
      </c>
      <c r="AC312" s="5">
        <f t="shared" si="314"/>
        <v>36898.522451905534</v>
      </c>
      <c r="AD312" s="5">
        <f t="shared" si="314"/>
        <v>37655.847693592477</v>
      </c>
      <c r="AE312" s="5">
        <f t="shared" si="314"/>
        <v>38413.172935279421</v>
      </c>
      <c r="AF312" s="5">
        <f t="shared" si="314"/>
        <v>39170.498176966357</v>
      </c>
      <c r="AG312" s="5">
        <f t="shared" si="314"/>
        <v>39927.823418653308</v>
      </c>
      <c r="AH312" s="5">
        <f t="shared" si="314"/>
        <v>40685.148660340245</v>
      </c>
    </row>
    <row r="313" spans="1:34" x14ac:dyDescent="0.35">
      <c r="A313" t="s">
        <v>333</v>
      </c>
      <c r="B313" s="3" t="s">
        <v>1265</v>
      </c>
      <c r="C313" s="4" t="s">
        <v>1263</v>
      </c>
      <c r="D313" s="2">
        <f t="shared" si="26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ref="W313:AH313" si="315">IF(OR((SLOPE($E313:$V313,$E$1:$V$1)*W$1+INTERCEPT($E313:$V313,$E$1:$V$1))&gt;(AVERAGE($E313:$V313)+_xlfn.STDEV.P($E313:$V313)),(SLOPE($E313:$V313,$E$1:$V$1)*W$1+INTERCEPT($E313:$V313,$E$1:$V$1))&lt;(AVERAGE($E313:$V313)-_xlfn.STDEV.P($E313:$V313))),V313,(SLOPE($E313:$V313,$E$1:$V$1)*W$1+INTERCEPT($E313:$V313,$E$1:$V$1)))</f>
        <v>24451.274021261641</v>
      </c>
      <c r="X313" s="5">
        <f t="shared" si="315"/>
        <v>24451.274021261641</v>
      </c>
      <c r="Y313" s="5">
        <f t="shared" si="315"/>
        <v>24451.274021261641</v>
      </c>
      <c r="Z313" s="5">
        <f t="shared" si="315"/>
        <v>24451.274021261641</v>
      </c>
      <c r="AA313" s="5">
        <f t="shared" si="315"/>
        <v>24451.274021261641</v>
      </c>
      <c r="AB313" s="5">
        <f t="shared" si="315"/>
        <v>24451.274021261641</v>
      </c>
      <c r="AC313" s="5">
        <f t="shared" si="315"/>
        <v>24451.274021261641</v>
      </c>
      <c r="AD313" s="5">
        <f t="shared" si="315"/>
        <v>24451.274021261641</v>
      </c>
      <c r="AE313" s="5">
        <f t="shared" si="315"/>
        <v>24451.274021261641</v>
      </c>
      <c r="AF313" s="5">
        <f t="shared" si="315"/>
        <v>24451.274021261641</v>
      </c>
      <c r="AG313" s="5">
        <f t="shared" si="315"/>
        <v>24451.274021261641</v>
      </c>
      <c r="AH313" s="5">
        <f t="shared" si="315"/>
        <v>24451.274021261641</v>
      </c>
    </row>
    <row r="314" spans="1:34" x14ac:dyDescent="0.35">
      <c r="A314" t="s">
        <v>334</v>
      </c>
      <c r="B314" s="3" t="s">
        <v>1266</v>
      </c>
      <c r="C314" s="4" t="s">
        <v>1266</v>
      </c>
      <c r="D314" s="2">
        <f t="shared" si="26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ref="W314:AH314" si="316">IF(OR((SLOPE($E314:$V314,$E$1:$V$1)*W$1+INTERCEPT($E314:$V314,$E$1:$V$1))&gt;(AVERAGE($E314:$V314)+_xlfn.STDEV.P($E314:$V314)),(SLOPE($E314:$V314,$E$1:$V$1)*W$1+INTERCEPT($E314:$V314,$E$1:$V$1))&lt;(AVERAGE($E314:$V314)-_xlfn.STDEV.P($E314:$V314))),V314,(SLOPE($E314:$V314,$E$1:$V$1)*W$1+INTERCEPT($E314:$V314,$E$1:$V$1)))</f>
        <v>45470.250350455426</v>
      </c>
      <c r="X314" s="5">
        <f t="shared" si="316"/>
        <v>47568.543662414741</v>
      </c>
      <c r="Y314" s="5">
        <f t="shared" si="316"/>
        <v>49666.836974374062</v>
      </c>
      <c r="Z314" s="5">
        <f t="shared" si="316"/>
        <v>51765.130286333377</v>
      </c>
      <c r="AA314" s="5">
        <f t="shared" si="316"/>
        <v>53863.423598292691</v>
      </c>
      <c r="AB314" s="5">
        <f t="shared" si="316"/>
        <v>55961.716910252013</v>
      </c>
      <c r="AC314" s="5">
        <f t="shared" si="316"/>
        <v>58060.010222211327</v>
      </c>
      <c r="AD314" s="5">
        <f t="shared" si="316"/>
        <v>60158.303534170642</v>
      </c>
      <c r="AE314" s="5">
        <f t="shared" si="316"/>
        <v>62256.596846129956</v>
      </c>
      <c r="AF314" s="5">
        <f t="shared" si="316"/>
        <v>64354.890158089278</v>
      </c>
      <c r="AG314" s="5">
        <f t="shared" si="316"/>
        <v>66453.183470048592</v>
      </c>
      <c r="AH314" s="5">
        <f t="shared" si="316"/>
        <v>68551.4767820079</v>
      </c>
    </row>
    <row r="315" spans="1:34" x14ac:dyDescent="0.35">
      <c r="A315" t="s">
        <v>335</v>
      </c>
      <c r="B315" s="3" t="s">
        <v>1264</v>
      </c>
      <c r="C315" s="4" t="s">
        <v>1263</v>
      </c>
      <c r="D315" s="2">
        <f t="shared" si="26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ref="W315:AH315" si="317">IF(OR((SLOPE($E315:$V315,$E$1:$V$1)*W$1+INTERCEPT($E315:$V315,$E$1:$V$1))&gt;(AVERAGE($E315:$V315)+_xlfn.STDEV.P($E315:$V315)),(SLOPE($E315:$V315,$E$1:$V$1)*W$1+INTERCEPT($E315:$V315,$E$1:$V$1))&lt;(AVERAGE($E315:$V315)-_xlfn.STDEV.P($E315:$V315))),V315,(SLOPE($E315:$V315,$E$1:$V$1)*W$1+INTERCEPT($E315:$V315,$E$1:$V$1)))</f>
        <v>49032.279985857123</v>
      </c>
      <c r="X315" s="5">
        <f t="shared" si="317"/>
        <v>51511.397778947241</v>
      </c>
      <c r="Y315" s="5">
        <f t="shared" si="317"/>
        <v>53990.515572037359</v>
      </c>
      <c r="Z315" s="5">
        <f t="shared" si="317"/>
        <v>56469.633365127491</v>
      </c>
      <c r="AA315" s="5">
        <f t="shared" si="317"/>
        <v>58948.751158217608</v>
      </c>
      <c r="AB315" s="5">
        <f t="shared" si="317"/>
        <v>61427.868951307726</v>
      </c>
      <c r="AC315" s="5">
        <f t="shared" si="317"/>
        <v>63906.986744397844</v>
      </c>
      <c r="AD315" s="5">
        <f t="shared" si="317"/>
        <v>66386.104537487961</v>
      </c>
      <c r="AE315" s="5">
        <f t="shared" si="317"/>
        <v>66386.104537487961</v>
      </c>
      <c r="AF315" s="5">
        <f t="shared" si="317"/>
        <v>66386.104537487961</v>
      </c>
      <c r="AG315" s="5">
        <f t="shared" si="317"/>
        <v>66386.104537487961</v>
      </c>
      <c r="AH315" s="5">
        <f t="shared" si="317"/>
        <v>66386.104537487961</v>
      </c>
    </row>
    <row r="316" spans="1:34" x14ac:dyDescent="0.35">
      <c r="A316" t="s">
        <v>336</v>
      </c>
      <c r="B316" s="3" t="s">
        <v>1266</v>
      </c>
      <c r="C316" s="4" t="s">
        <v>1263</v>
      </c>
      <c r="D316" s="2">
        <f t="shared" si="26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ref="W316:AH316" si="318">IF(OR((SLOPE($E316:$V316,$E$1:$V$1)*W$1+INTERCEPT($E316:$V316,$E$1:$V$1))&gt;(AVERAGE($E316:$V316)+_xlfn.STDEV.P($E316:$V316)),(SLOPE($E316:$V316,$E$1:$V$1)*W$1+INTERCEPT($E316:$V316,$E$1:$V$1))&lt;(AVERAGE($E316:$V316)-_xlfn.STDEV.P($E316:$V316))),V316,(SLOPE($E316:$V316,$E$1:$V$1)*W$1+INTERCEPT($E316:$V316,$E$1:$V$1)))</f>
        <v>13594.492202038076</v>
      </c>
      <c r="X316" s="5">
        <f t="shared" si="318"/>
        <v>12343.951149574252</v>
      </c>
      <c r="Y316" s="5">
        <f t="shared" si="318"/>
        <v>11093.410097110427</v>
      </c>
      <c r="Z316" s="5">
        <f t="shared" si="318"/>
        <v>9842.8690446466026</v>
      </c>
      <c r="AA316" s="5">
        <f t="shared" si="318"/>
        <v>8592.327992182778</v>
      </c>
      <c r="AB316" s="5">
        <f t="shared" si="318"/>
        <v>7341.786939718957</v>
      </c>
      <c r="AC316" s="5">
        <f t="shared" si="318"/>
        <v>6091.2458872551324</v>
      </c>
      <c r="AD316" s="5">
        <f t="shared" si="318"/>
        <v>4840.7048347913078</v>
      </c>
      <c r="AE316" s="5">
        <f t="shared" si="318"/>
        <v>3590.1637823274796</v>
      </c>
      <c r="AF316" s="5">
        <f t="shared" si="318"/>
        <v>2339.6227298636586</v>
      </c>
      <c r="AG316" s="5">
        <f t="shared" si="318"/>
        <v>1089.0816773998304</v>
      </c>
      <c r="AH316" s="5">
        <f t="shared" si="318"/>
        <v>-161.45937506399059</v>
      </c>
    </row>
    <row r="317" spans="1:34" x14ac:dyDescent="0.35">
      <c r="A317" t="s">
        <v>337</v>
      </c>
      <c r="B317" s="3" t="s">
        <v>1264</v>
      </c>
      <c r="C317" s="4" t="s">
        <v>1263</v>
      </c>
      <c r="D317" s="2">
        <f t="shared" si="26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ref="W317:AH317" si="319">IF(OR((SLOPE($E317:$V317,$E$1:$V$1)*W$1+INTERCEPT($E317:$V317,$E$1:$V$1))&gt;(AVERAGE($E317:$V317)+_xlfn.STDEV.P($E317:$V317)),(SLOPE($E317:$V317,$E$1:$V$1)*W$1+INTERCEPT($E317:$V317,$E$1:$V$1))&lt;(AVERAGE($E317:$V317)-_xlfn.STDEV.P($E317:$V317))),V317,(SLOPE($E317:$V317,$E$1:$V$1)*W$1+INTERCEPT($E317:$V317,$E$1:$V$1)))</f>
        <v>37855.785882352939</v>
      </c>
      <c r="X317" s="5">
        <f t="shared" si="319"/>
        <v>39200.408080495356</v>
      </c>
      <c r="Y317" s="5">
        <f t="shared" si="319"/>
        <v>40545.030278637772</v>
      </c>
      <c r="Z317" s="5">
        <f t="shared" si="319"/>
        <v>41889.652476780189</v>
      </c>
      <c r="AA317" s="5">
        <f t="shared" si="319"/>
        <v>43234.274674922606</v>
      </c>
      <c r="AB317" s="5">
        <f t="shared" si="319"/>
        <v>44578.896873065023</v>
      </c>
      <c r="AC317" s="5">
        <f t="shared" si="319"/>
        <v>45923.51907120744</v>
      </c>
      <c r="AD317" s="5">
        <f t="shared" si="319"/>
        <v>47268.141269349857</v>
      </c>
      <c r="AE317" s="5">
        <f t="shared" si="319"/>
        <v>48612.763467492259</v>
      </c>
      <c r="AF317" s="5">
        <f t="shared" si="319"/>
        <v>49957.385665634676</v>
      </c>
      <c r="AG317" s="5">
        <f t="shared" si="319"/>
        <v>51302.007863777093</v>
      </c>
      <c r="AH317" s="5">
        <f t="shared" si="319"/>
        <v>52646.63006191951</v>
      </c>
    </row>
    <row r="318" spans="1:34" x14ac:dyDescent="0.35">
      <c r="A318" t="s">
        <v>338</v>
      </c>
      <c r="B318" s="3" t="s">
        <v>1262</v>
      </c>
      <c r="C318" s="4" t="s">
        <v>1263</v>
      </c>
      <c r="D318" s="2">
        <f t="shared" si="26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ref="W318:AH318" si="320">IF(OR((SLOPE($E318:$V318,$E$1:$V$1)*W$1+INTERCEPT($E318:$V318,$E$1:$V$1))&gt;(AVERAGE($E318:$V318)+_xlfn.STDEV.P($E318:$V318)),(SLOPE($E318:$V318,$E$1:$V$1)*W$1+INTERCEPT($E318:$V318,$E$1:$V$1))&lt;(AVERAGE($E318:$V318)-_xlfn.STDEV.P($E318:$V318))),V318,(SLOPE($E318:$V318,$E$1:$V$1)*W$1+INTERCEPT($E318:$V318,$E$1:$V$1)))</f>
        <v>22012.690823529421</v>
      </c>
      <c r="X318" s="5">
        <f t="shared" si="320"/>
        <v>21742.451120743044</v>
      </c>
      <c r="Y318" s="5">
        <f t="shared" si="320"/>
        <v>21472.211417956667</v>
      </c>
      <c r="Z318" s="5">
        <f t="shared" si="320"/>
        <v>21201.97171517029</v>
      </c>
      <c r="AA318" s="5">
        <f t="shared" si="320"/>
        <v>20931.732012383913</v>
      </c>
      <c r="AB318" s="5">
        <f t="shared" si="320"/>
        <v>20661.492309597535</v>
      </c>
      <c r="AC318" s="5">
        <f t="shared" si="320"/>
        <v>20391.252606811158</v>
      </c>
      <c r="AD318" s="5">
        <f t="shared" si="320"/>
        <v>20121.012904024781</v>
      </c>
      <c r="AE318" s="5">
        <f t="shared" si="320"/>
        <v>19850.773201238404</v>
      </c>
      <c r="AF318" s="5">
        <f t="shared" si="320"/>
        <v>19580.533498452027</v>
      </c>
      <c r="AG318" s="5">
        <f t="shared" si="320"/>
        <v>19310.29379566565</v>
      </c>
      <c r="AH318" s="5">
        <f t="shared" si="320"/>
        <v>19040.054092879269</v>
      </c>
    </row>
    <row r="319" spans="1:34" x14ac:dyDescent="0.35">
      <c r="A319" t="s">
        <v>339</v>
      </c>
      <c r="B319" s="3" t="s">
        <v>1266</v>
      </c>
      <c r="C319" s="4" t="s">
        <v>1263</v>
      </c>
      <c r="D319" s="2">
        <f t="shared" si="26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ref="W319:AH319" si="321">IF(OR((SLOPE($E319:$V319,$E$1:$V$1)*W$1+INTERCEPT($E319:$V319,$E$1:$V$1))&gt;(AVERAGE($E319:$V319)+_xlfn.STDEV.P($E319:$V319)),(SLOPE($E319:$V319,$E$1:$V$1)*W$1+INTERCEPT($E319:$V319,$E$1:$V$1))&lt;(AVERAGE($E319:$V319)-_xlfn.STDEV.P($E319:$V319))),V319,(SLOPE($E319:$V319,$E$1:$V$1)*W$1+INTERCEPT($E319:$V319,$E$1:$V$1)))</f>
        <v>0</v>
      </c>
      <c r="X319" s="5">
        <f t="shared" si="321"/>
        <v>0</v>
      </c>
      <c r="Y319" s="5">
        <f t="shared" si="321"/>
        <v>0</v>
      </c>
      <c r="Z319" s="5">
        <f t="shared" si="321"/>
        <v>0</v>
      </c>
      <c r="AA319" s="5">
        <f t="shared" si="321"/>
        <v>0</v>
      </c>
      <c r="AB319" s="5">
        <f t="shared" si="321"/>
        <v>0</v>
      </c>
      <c r="AC319" s="5">
        <f t="shared" si="321"/>
        <v>0</v>
      </c>
      <c r="AD319" s="5">
        <f t="shared" si="321"/>
        <v>0</v>
      </c>
      <c r="AE319" s="5">
        <f t="shared" si="321"/>
        <v>0</v>
      </c>
      <c r="AF319" s="5">
        <f t="shared" si="321"/>
        <v>0</v>
      </c>
      <c r="AG319" s="5">
        <f t="shared" si="321"/>
        <v>0</v>
      </c>
      <c r="AH319" s="5">
        <f t="shared" si="321"/>
        <v>0</v>
      </c>
    </row>
    <row r="320" spans="1:34" x14ac:dyDescent="0.35">
      <c r="A320" t="s">
        <v>340</v>
      </c>
      <c r="B320" s="3" t="s">
        <v>1265</v>
      </c>
      <c r="C320" s="4" t="s">
        <v>1263</v>
      </c>
      <c r="D320" s="2">
        <f t="shared" si="26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ref="W320:AH320" si="322">IF(OR((SLOPE($E320:$V320,$E$1:$V$1)*W$1+INTERCEPT($E320:$V320,$E$1:$V$1))&gt;(AVERAGE($E320:$V320)+_xlfn.STDEV.P($E320:$V320)),(SLOPE($E320:$V320,$E$1:$V$1)*W$1+INTERCEPT($E320:$V320,$E$1:$V$1))&lt;(AVERAGE($E320:$V320)-_xlfn.STDEV.P($E320:$V320))),V320,(SLOPE($E320:$V320,$E$1:$V$1)*W$1+INTERCEPT($E320:$V320,$E$1:$V$1)))</f>
        <v>29438.462688961481</v>
      </c>
      <c r="X320" s="5">
        <f t="shared" si="322"/>
        <v>29970.821407977041</v>
      </c>
      <c r="Y320" s="5">
        <f t="shared" si="322"/>
        <v>30503.1801269926</v>
      </c>
      <c r="Z320" s="5">
        <f t="shared" si="322"/>
        <v>31035.538846008159</v>
      </c>
      <c r="AA320" s="5">
        <f t="shared" si="322"/>
        <v>31567.897565023715</v>
      </c>
      <c r="AB320" s="5">
        <f t="shared" si="322"/>
        <v>32100.256284039275</v>
      </c>
      <c r="AC320" s="5">
        <f t="shared" si="322"/>
        <v>32632.615003054831</v>
      </c>
      <c r="AD320" s="5">
        <f t="shared" si="322"/>
        <v>33164.97372207039</v>
      </c>
      <c r="AE320" s="5">
        <f t="shared" si="322"/>
        <v>33697.33244108595</v>
      </c>
      <c r="AF320" s="5">
        <f t="shared" si="322"/>
        <v>34229.691160101509</v>
      </c>
      <c r="AG320" s="5">
        <f t="shared" si="322"/>
        <v>34762.049879117068</v>
      </c>
      <c r="AH320" s="5">
        <f t="shared" si="322"/>
        <v>35294.408598132621</v>
      </c>
    </row>
    <row r="321" spans="1:34" x14ac:dyDescent="0.35">
      <c r="A321" t="s">
        <v>341</v>
      </c>
      <c r="B321" s="3" t="s">
        <v>1266</v>
      </c>
      <c r="C321" s="4" t="s">
        <v>1268</v>
      </c>
      <c r="D321" s="2">
        <f t="shared" si="26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ref="W321:AH321" si="323">IF(OR((SLOPE($E321:$V321,$E$1:$V$1)*W$1+INTERCEPT($E321:$V321,$E$1:$V$1))&gt;(AVERAGE($E321:$V321)+_xlfn.STDEV.P($E321:$V321)),(SLOPE($E321:$V321,$E$1:$V$1)*W$1+INTERCEPT($E321:$V321,$E$1:$V$1))&lt;(AVERAGE($E321:$V321)-_xlfn.STDEV.P($E321:$V321))),V321,(SLOPE($E321:$V321,$E$1:$V$1)*W$1+INTERCEPT($E321:$V321,$E$1:$V$1)))</f>
        <v>77802.782048372785</v>
      </c>
      <c r="X321" s="5">
        <f t="shared" si="323"/>
        <v>77802.782048372785</v>
      </c>
      <c r="Y321" s="5">
        <f t="shared" si="323"/>
        <v>77802.782048372785</v>
      </c>
      <c r="Z321" s="5">
        <f t="shared" si="323"/>
        <v>77802.782048372785</v>
      </c>
      <c r="AA321" s="5">
        <f t="shared" si="323"/>
        <v>77802.782048372785</v>
      </c>
      <c r="AB321" s="5">
        <f t="shared" si="323"/>
        <v>77802.782048372785</v>
      </c>
      <c r="AC321" s="5">
        <f t="shared" si="323"/>
        <v>77802.782048372785</v>
      </c>
      <c r="AD321" s="5">
        <f t="shared" si="323"/>
        <v>77802.782048372785</v>
      </c>
      <c r="AE321" s="5">
        <f t="shared" si="323"/>
        <v>77802.782048372785</v>
      </c>
      <c r="AF321" s="5">
        <f t="shared" si="323"/>
        <v>77802.782048372785</v>
      </c>
      <c r="AG321" s="5">
        <f t="shared" si="323"/>
        <v>77802.782048372785</v>
      </c>
      <c r="AH321" s="5">
        <f t="shared" si="323"/>
        <v>77802.782048372785</v>
      </c>
    </row>
    <row r="322" spans="1:34" x14ac:dyDescent="0.35">
      <c r="A322" t="s">
        <v>342</v>
      </c>
      <c r="B322" s="3" t="s">
        <v>1266</v>
      </c>
      <c r="C322" s="4" t="s">
        <v>1263</v>
      </c>
      <c r="D322" s="2">
        <f t="shared" si="26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ref="W322:AH322" si="324">IF(OR((SLOPE($E322:$V322,$E$1:$V$1)*W$1+INTERCEPT($E322:$V322,$E$1:$V$1))&gt;(AVERAGE($E322:$V322)+_xlfn.STDEV.P($E322:$V322)),(SLOPE($E322:$V322,$E$1:$V$1)*W$1+INTERCEPT($E322:$V322,$E$1:$V$1))&lt;(AVERAGE($E322:$V322)-_xlfn.STDEV.P($E322:$V322))),V322,(SLOPE($E322:$V322,$E$1:$V$1)*W$1+INTERCEPT($E322:$V322,$E$1:$V$1)))</f>
        <v>0</v>
      </c>
      <c r="X322" s="5">
        <f t="shared" si="324"/>
        <v>0</v>
      </c>
      <c r="Y322" s="5">
        <f t="shared" si="324"/>
        <v>0</v>
      </c>
      <c r="Z322" s="5">
        <f t="shared" si="324"/>
        <v>0</v>
      </c>
      <c r="AA322" s="5">
        <f t="shared" si="324"/>
        <v>0</v>
      </c>
      <c r="AB322" s="5">
        <f t="shared" si="324"/>
        <v>0</v>
      </c>
      <c r="AC322" s="5">
        <f t="shared" si="324"/>
        <v>0</v>
      </c>
      <c r="AD322" s="5">
        <f t="shared" si="324"/>
        <v>0</v>
      </c>
      <c r="AE322" s="5">
        <f t="shared" si="324"/>
        <v>0</v>
      </c>
      <c r="AF322" s="5">
        <f t="shared" si="324"/>
        <v>0</v>
      </c>
      <c r="AG322" s="5">
        <f t="shared" si="324"/>
        <v>0</v>
      </c>
      <c r="AH322" s="5">
        <f t="shared" si="324"/>
        <v>0</v>
      </c>
    </row>
    <row r="323" spans="1:34" x14ac:dyDescent="0.35">
      <c r="A323" t="s">
        <v>343</v>
      </c>
      <c r="B323" s="3" t="s">
        <v>1262</v>
      </c>
      <c r="C323" s="4" t="s">
        <v>1263</v>
      </c>
      <c r="D323" s="2">
        <f t="shared" si="26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ref="W323:AH323" si="325">IF(OR((SLOPE($E323:$V323,$E$1:$V$1)*W$1+INTERCEPT($E323:$V323,$E$1:$V$1))&gt;(AVERAGE($E323:$V323)+_xlfn.STDEV.P($E323:$V323)),(SLOPE($E323:$V323,$E$1:$V$1)*W$1+INTERCEPT($E323:$V323,$E$1:$V$1))&lt;(AVERAGE($E323:$V323)-_xlfn.STDEV.P($E323:$V323))),V323,(SLOPE($E323:$V323,$E$1:$V$1)*W$1+INTERCEPT($E323:$V323,$E$1:$V$1)))</f>
        <v>22881.480999999992</v>
      </c>
      <c r="X323" s="5">
        <f t="shared" si="325"/>
        <v>22761.157631578939</v>
      </c>
      <c r="Y323" s="5">
        <f t="shared" si="325"/>
        <v>22640.834263157885</v>
      </c>
      <c r="Z323" s="5">
        <f t="shared" si="325"/>
        <v>22520.510894736835</v>
      </c>
      <c r="AA323" s="5">
        <f t="shared" si="325"/>
        <v>22400.187526315782</v>
      </c>
      <c r="AB323" s="5">
        <f t="shared" si="325"/>
        <v>22279.864157894728</v>
      </c>
      <c r="AC323" s="5">
        <f t="shared" si="325"/>
        <v>22159.540789473678</v>
      </c>
      <c r="AD323" s="5">
        <f t="shared" si="325"/>
        <v>22039.217421052625</v>
      </c>
      <c r="AE323" s="5">
        <f t="shared" si="325"/>
        <v>21918.894052631571</v>
      </c>
      <c r="AF323" s="5">
        <f t="shared" si="325"/>
        <v>21798.570684210517</v>
      </c>
      <c r="AG323" s="5">
        <f t="shared" si="325"/>
        <v>21678.247315789467</v>
      </c>
      <c r="AH323" s="5">
        <f t="shared" si="325"/>
        <v>21557.923947368414</v>
      </c>
    </row>
    <row r="324" spans="1:34" x14ac:dyDescent="0.35">
      <c r="A324" t="s">
        <v>344</v>
      </c>
      <c r="B324" s="3" t="s">
        <v>1264</v>
      </c>
      <c r="C324" s="4" t="s">
        <v>1263</v>
      </c>
      <c r="D324" s="2">
        <f t="shared" ref="D324:D387" si="326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ref="W324:AH324" si="327">IF(OR((SLOPE($E324:$V324,$E$1:$V$1)*W$1+INTERCEPT($E324:$V324,$E$1:$V$1))&gt;(AVERAGE($E324:$V324)+_xlfn.STDEV.P($E324:$V324)),(SLOPE($E324:$V324,$E$1:$V$1)*W$1+INTERCEPT($E324:$V324,$E$1:$V$1))&lt;(AVERAGE($E324:$V324)-_xlfn.STDEV.P($E324:$V324))),V324,(SLOPE($E324:$V324,$E$1:$V$1)*W$1+INTERCEPT($E324:$V324,$E$1:$V$1)))</f>
        <v>19890.411694315622</v>
      </c>
      <c r="X324" s="5">
        <f t="shared" si="327"/>
        <v>19453.434781832177</v>
      </c>
      <c r="Y324" s="5">
        <f t="shared" si="327"/>
        <v>19016.457869348735</v>
      </c>
      <c r="Z324" s="5">
        <f t="shared" si="327"/>
        <v>18579.480956865289</v>
      </c>
      <c r="AA324" s="5">
        <f t="shared" si="327"/>
        <v>18579.480956865289</v>
      </c>
      <c r="AB324" s="5">
        <f t="shared" si="327"/>
        <v>18579.480956865289</v>
      </c>
      <c r="AC324" s="5">
        <f t="shared" si="327"/>
        <v>18579.480956865289</v>
      </c>
      <c r="AD324" s="5">
        <f t="shared" si="327"/>
        <v>18579.480956865289</v>
      </c>
      <c r="AE324" s="5">
        <f t="shared" si="327"/>
        <v>18579.480956865289</v>
      </c>
      <c r="AF324" s="5">
        <f t="shared" si="327"/>
        <v>18579.480956865289</v>
      </c>
      <c r="AG324" s="5">
        <f t="shared" si="327"/>
        <v>18579.480956865289</v>
      </c>
      <c r="AH324" s="5">
        <f t="shared" si="327"/>
        <v>18579.480956865289</v>
      </c>
    </row>
    <row r="325" spans="1:34" x14ac:dyDescent="0.35">
      <c r="A325" t="s">
        <v>345</v>
      </c>
      <c r="B325" s="3" t="s">
        <v>1266</v>
      </c>
      <c r="C325" s="4" t="s">
        <v>1266</v>
      </c>
      <c r="D325" s="2">
        <f t="shared" si="326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H325" si="328">IF(OR((SLOPE($E325:$V325,$E$1:$V$1)*W$1+INTERCEPT($E325:$V325,$E$1:$V$1))&gt;(AVERAGE($E325:$V325)+_xlfn.STDEV.P($E325:$V325)),(SLOPE($E325:$V325,$E$1:$V$1)*W$1+INTERCEPT($E325:$V325,$E$1:$V$1))&lt;(AVERAGE($E325:$V325)-_xlfn.STDEV.P($E325:$V325))),V325,(SLOPE($E325:$V325,$E$1:$V$1)*W$1+INTERCEPT($E325:$V325,$E$1:$V$1)))</f>
        <v>88086.273882352922</v>
      </c>
      <c r="X325" s="5">
        <f t="shared" si="328"/>
        <v>94816.125027863774</v>
      </c>
      <c r="Y325" s="5">
        <f t="shared" si="328"/>
        <v>101545.9761733746</v>
      </c>
      <c r="Z325" s="5">
        <f t="shared" si="328"/>
        <v>108275.82731888542</v>
      </c>
      <c r="AA325" s="5">
        <f t="shared" si="328"/>
        <v>115005.67846439627</v>
      </c>
      <c r="AB325" s="5">
        <f t="shared" si="328"/>
        <v>121735.5296099071</v>
      </c>
      <c r="AC325" s="5">
        <f t="shared" si="328"/>
        <v>121735.5296099071</v>
      </c>
      <c r="AD325" s="5">
        <f t="shared" si="328"/>
        <v>121735.5296099071</v>
      </c>
      <c r="AE325" s="5">
        <f t="shared" si="328"/>
        <v>121735.5296099071</v>
      </c>
      <c r="AF325" s="5">
        <f t="shared" si="328"/>
        <v>121735.5296099071</v>
      </c>
      <c r="AG325" s="5">
        <f t="shared" si="328"/>
        <v>121735.5296099071</v>
      </c>
      <c r="AH325" s="5">
        <f t="shared" si="328"/>
        <v>121735.5296099071</v>
      </c>
    </row>
    <row r="326" spans="1:34" x14ac:dyDescent="0.35">
      <c r="A326" t="s">
        <v>346</v>
      </c>
      <c r="B326" s="3" t="s">
        <v>1265</v>
      </c>
      <c r="C326" s="4" t="s">
        <v>1263</v>
      </c>
      <c r="D326" s="2">
        <f t="shared" si="326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ref="W326:AH326" si="329">IF(OR((SLOPE($E326:$V326,$E$1:$V$1)*W$1+INTERCEPT($E326:$V326,$E$1:$V$1))&gt;(AVERAGE($E326:$V326)+_xlfn.STDEV.P($E326:$V326)),(SLOPE($E326:$V326,$E$1:$V$1)*W$1+INTERCEPT($E326:$V326,$E$1:$V$1))&lt;(AVERAGE($E326:$V326)-_xlfn.STDEV.P($E326:$V326))),V326,(SLOPE($E326:$V326,$E$1:$V$1)*W$1+INTERCEPT($E326:$V326,$E$1:$V$1)))</f>
        <v>13811.23388779621</v>
      </c>
      <c r="X326" s="5">
        <f t="shared" si="329"/>
        <v>12764.364103456908</v>
      </c>
      <c r="Y326" s="5">
        <f t="shared" si="329"/>
        <v>11717.49431911761</v>
      </c>
      <c r="Z326" s="5">
        <f t="shared" si="329"/>
        <v>10670.624534778308</v>
      </c>
      <c r="AA326" s="5">
        <f t="shared" si="329"/>
        <v>10670.624534778308</v>
      </c>
      <c r="AB326" s="5">
        <f t="shared" si="329"/>
        <v>10670.624534778308</v>
      </c>
      <c r="AC326" s="5">
        <f t="shared" si="329"/>
        <v>10670.624534778308</v>
      </c>
      <c r="AD326" s="5">
        <f t="shared" si="329"/>
        <v>10670.624534778308</v>
      </c>
      <c r="AE326" s="5">
        <f t="shared" si="329"/>
        <v>10670.624534778308</v>
      </c>
      <c r="AF326" s="5">
        <f t="shared" si="329"/>
        <v>10670.624534778308</v>
      </c>
      <c r="AG326" s="5">
        <f t="shared" si="329"/>
        <v>10670.624534778308</v>
      </c>
      <c r="AH326" s="5">
        <f t="shared" si="329"/>
        <v>10670.624534778308</v>
      </c>
    </row>
    <row r="327" spans="1:34" x14ac:dyDescent="0.35">
      <c r="A327" t="s">
        <v>347</v>
      </c>
      <c r="B327" s="3" t="s">
        <v>1265</v>
      </c>
      <c r="C327" s="4" t="s">
        <v>1263</v>
      </c>
      <c r="D327" s="2">
        <f t="shared" si="326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ref="W327:AH327" si="330">IF(OR((SLOPE($E327:$V327,$E$1:$V$1)*W$1+INTERCEPT($E327:$V327,$E$1:$V$1))&gt;(AVERAGE($E327:$V327)+_xlfn.STDEV.P($E327:$V327)),(SLOPE($E327:$V327,$E$1:$V$1)*W$1+INTERCEPT($E327:$V327,$E$1:$V$1))&lt;(AVERAGE($E327:$V327)-_xlfn.STDEV.P($E327:$V327))),V327,(SLOPE($E327:$V327,$E$1:$V$1)*W$1+INTERCEPT($E327:$V327,$E$1:$V$1)))</f>
        <v>24357.968792156855</v>
      </c>
      <c r="X327" s="5">
        <f t="shared" si="330"/>
        <v>24407.029331682141</v>
      </c>
      <c r="Y327" s="5">
        <f t="shared" si="330"/>
        <v>24456.089871207423</v>
      </c>
      <c r="Z327" s="5">
        <f t="shared" si="330"/>
        <v>24505.150410732705</v>
      </c>
      <c r="AA327" s="5">
        <f t="shared" si="330"/>
        <v>24554.210950257988</v>
      </c>
      <c r="AB327" s="5">
        <f t="shared" si="330"/>
        <v>24603.271489783274</v>
      </c>
      <c r="AC327" s="5">
        <f t="shared" si="330"/>
        <v>24652.332029308556</v>
      </c>
      <c r="AD327" s="5">
        <f t="shared" si="330"/>
        <v>24701.392568833839</v>
      </c>
      <c r="AE327" s="5">
        <f t="shared" si="330"/>
        <v>24750.453108359125</v>
      </c>
      <c r="AF327" s="5">
        <f t="shared" si="330"/>
        <v>24799.513647884407</v>
      </c>
      <c r="AG327" s="5">
        <f t="shared" si="330"/>
        <v>24848.574187409689</v>
      </c>
      <c r="AH327" s="5">
        <f t="shared" si="330"/>
        <v>24897.634726934975</v>
      </c>
    </row>
    <row r="328" spans="1:34" x14ac:dyDescent="0.35">
      <c r="A328" t="s">
        <v>348</v>
      </c>
      <c r="B328" s="3" t="s">
        <v>1264</v>
      </c>
      <c r="C328" s="4" t="s">
        <v>1263</v>
      </c>
      <c r="D328" s="2">
        <f t="shared" si="326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ref="W328:AH328" si="331">IF(OR((SLOPE($E328:$V328,$E$1:$V$1)*W$1+INTERCEPT($E328:$V328,$E$1:$V$1))&gt;(AVERAGE($E328:$V328)+_xlfn.STDEV.P($E328:$V328)),(SLOPE($E328:$V328,$E$1:$V$1)*W$1+INTERCEPT($E328:$V328,$E$1:$V$1))&lt;(AVERAGE($E328:$V328)-_xlfn.STDEV.P($E328:$V328))),V328,(SLOPE($E328:$V328,$E$1:$V$1)*W$1+INTERCEPT($E328:$V328,$E$1:$V$1)))</f>
        <v>24258.271278431363</v>
      </c>
      <c r="X328" s="5">
        <f t="shared" si="331"/>
        <v>24362.776900722383</v>
      </c>
      <c r="Y328" s="5">
        <f t="shared" si="331"/>
        <v>24467.282523013404</v>
      </c>
      <c r="Z328" s="5">
        <f t="shared" si="331"/>
        <v>24571.788145304425</v>
      </c>
      <c r="AA328" s="5">
        <f t="shared" si="331"/>
        <v>24676.293767595449</v>
      </c>
      <c r="AB328" s="5">
        <f t="shared" si="331"/>
        <v>24780.79938988647</v>
      </c>
      <c r="AC328" s="5">
        <f t="shared" si="331"/>
        <v>24885.30501217749</v>
      </c>
      <c r="AD328" s="5">
        <f t="shared" si="331"/>
        <v>24989.810634468511</v>
      </c>
      <c r="AE328" s="5">
        <f t="shared" si="331"/>
        <v>25094.316256759532</v>
      </c>
      <c r="AF328" s="5">
        <f t="shared" si="331"/>
        <v>25198.821879050556</v>
      </c>
      <c r="AG328" s="5">
        <f t="shared" si="331"/>
        <v>25303.327501341577</v>
      </c>
      <c r="AH328" s="5">
        <f t="shared" si="331"/>
        <v>25407.833123632598</v>
      </c>
    </row>
    <row r="329" spans="1:34" x14ac:dyDescent="0.35">
      <c r="A329" t="s">
        <v>349</v>
      </c>
      <c r="B329" s="3" t="s">
        <v>1262</v>
      </c>
      <c r="C329" s="4" t="s">
        <v>1263</v>
      </c>
      <c r="D329" s="2">
        <f t="shared" si="326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ref="W329:AH329" si="332">IF(OR((SLOPE($E329:$V329,$E$1:$V$1)*W$1+INTERCEPT($E329:$V329,$E$1:$V$1))&gt;(AVERAGE($E329:$V329)+_xlfn.STDEV.P($E329:$V329)),(SLOPE($E329:$V329,$E$1:$V$1)*W$1+INTERCEPT($E329:$V329,$E$1:$V$1))&lt;(AVERAGE($E329:$V329)-_xlfn.STDEV.P($E329:$V329))),V329,(SLOPE($E329:$V329,$E$1:$V$1)*W$1+INTERCEPT($E329:$V329,$E$1:$V$1)))</f>
        <v>32288.212651904065</v>
      </c>
      <c r="X329" s="5">
        <f t="shared" si="332"/>
        <v>33302.189406112222</v>
      </c>
      <c r="Y329" s="5">
        <f t="shared" si="332"/>
        <v>34316.166160320383</v>
      </c>
      <c r="Z329" s="5">
        <f t="shared" si="332"/>
        <v>35330.142914528536</v>
      </c>
      <c r="AA329" s="5">
        <f t="shared" si="332"/>
        <v>36344.11966873669</v>
      </c>
      <c r="AB329" s="5">
        <f t="shared" si="332"/>
        <v>37358.096422944851</v>
      </c>
      <c r="AC329" s="5">
        <f t="shared" si="332"/>
        <v>38372.073177153012</v>
      </c>
      <c r="AD329" s="5">
        <f t="shared" si="332"/>
        <v>39386.049931361165</v>
      </c>
      <c r="AE329" s="5">
        <f t="shared" si="332"/>
        <v>40400.026685569319</v>
      </c>
      <c r="AF329" s="5">
        <f t="shared" si="332"/>
        <v>41414.00343977748</v>
      </c>
      <c r="AG329" s="5">
        <f t="shared" si="332"/>
        <v>41414.00343977748</v>
      </c>
      <c r="AH329" s="5">
        <f t="shared" si="332"/>
        <v>41414.00343977748</v>
      </c>
    </row>
    <row r="330" spans="1:34" x14ac:dyDescent="0.35">
      <c r="A330" t="s">
        <v>350</v>
      </c>
      <c r="B330" s="3" t="s">
        <v>1264</v>
      </c>
      <c r="C330" s="4" t="s">
        <v>1263</v>
      </c>
      <c r="D330" s="2">
        <f t="shared" si="326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ref="W330:AH330" si="333">IF(OR((SLOPE($E330:$V330,$E$1:$V$1)*W$1+INTERCEPT($E330:$V330,$E$1:$V$1))&gt;(AVERAGE($E330:$V330)+_xlfn.STDEV.P($E330:$V330)),(SLOPE($E330:$V330,$E$1:$V$1)*W$1+INTERCEPT($E330:$V330,$E$1:$V$1))&lt;(AVERAGE($E330:$V330)-_xlfn.STDEV.P($E330:$V330))),V330,(SLOPE($E330:$V330,$E$1:$V$1)*W$1+INTERCEPT($E330:$V330,$E$1:$V$1)))</f>
        <v>31961.617932309397</v>
      </c>
      <c r="X330" s="5">
        <f t="shared" si="333"/>
        <v>32841.479958288706</v>
      </c>
      <c r="Y330" s="5">
        <f t="shared" si="333"/>
        <v>33721.341984268023</v>
      </c>
      <c r="Z330" s="5">
        <f t="shared" si="333"/>
        <v>34601.20401024734</v>
      </c>
      <c r="AA330" s="5">
        <f t="shared" si="333"/>
        <v>35481.06603622665</v>
      </c>
      <c r="AB330" s="5">
        <f t="shared" si="333"/>
        <v>36360.928062205967</v>
      </c>
      <c r="AC330" s="5">
        <f t="shared" si="333"/>
        <v>37240.790088185284</v>
      </c>
      <c r="AD330" s="5">
        <f t="shared" si="333"/>
        <v>38120.652114164601</v>
      </c>
      <c r="AE330" s="5">
        <f t="shared" si="333"/>
        <v>39000.51414014391</v>
      </c>
      <c r="AF330" s="5">
        <f t="shared" si="333"/>
        <v>39880.376166123227</v>
      </c>
      <c r="AG330" s="5">
        <f t="shared" si="333"/>
        <v>40760.238192102544</v>
      </c>
      <c r="AH330" s="5">
        <f t="shared" si="333"/>
        <v>41640.100218081854</v>
      </c>
    </row>
    <row r="331" spans="1:34" x14ac:dyDescent="0.35">
      <c r="A331" t="s">
        <v>351</v>
      </c>
      <c r="B331" s="3" t="s">
        <v>1262</v>
      </c>
      <c r="C331" s="4" t="s">
        <v>1263</v>
      </c>
      <c r="D331" s="2">
        <f t="shared" si="326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ref="W331:AH331" si="334">IF(OR((SLOPE($E331:$V331,$E$1:$V$1)*W$1+INTERCEPT($E331:$V331,$E$1:$V$1))&gt;(AVERAGE($E331:$V331)+_xlfn.STDEV.P($E331:$V331)),(SLOPE($E331:$V331,$E$1:$V$1)*W$1+INTERCEPT($E331:$V331,$E$1:$V$1))&lt;(AVERAGE($E331:$V331)-_xlfn.STDEV.P($E331:$V331))),V331,(SLOPE($E331:$V331,$E$1:$V$1)*W$1+INTERCEPT($E331:$V331,$E$1:$V$1)))</f>
        <v>53213.706000000006</v>
      </c>
      <c r="X331" s="5">
        <f t="shared" si="334"/>
        <v>53213.706000000006</v>
      </c>
      <c r="Y331" s="5">
        <f t="shared" si="334"/>
        <v>53213.706000000006</v>
      </c>
      <c r="Z331" s="5">
        <f t="shared" si="334"/>
        <v>53213.706000000006</v>
      </c>
      <c r="AA331" s="5">
        <f t="shared" si="334"/>
        <v>53213.706000000006</v>
      </c>
      <c r="AB331" s="5">
        <f t="shared" si="334"/>
        <v>53213.706000000006</v>
      </c>
      <c r="AC331" s="5">
        <f t="shared" si="334"/>
        <v>53213.706000000006</v>
      </c>
      <c r="AD331" s="5">
        <f t="shared" si="334"/>
        <v>53213.706000000006</v>
      </c>
      <c r="AE331" s="5">
        <f t="shared" si="334"/>
        <v>53213.706000000006</v>
      </c>
      <c r="AF331" s="5">
        <f t="shared" si="334"/>
        <v>53213.706000000006</v>
      </c>
      <c r="AG331" s="5">
        <f t="shared" si="334"/>
        <v>53213.706000000006</v>
      </c>
      <c r="AH331" s="5">
        <f t="shared" si="334"/>
        <v>53213.706000000006</v>
      </c>
    </row>
    <row r="332" spans="1:34" x14ac:dyDescent="0.35">
      <c r="A332" t="s">
        <v>352</v>
      </c>
      <c r="B332" s="3" t="s">
        <v>1266</v>
      </c>
      <c r="C332" s="4" t="s">
        <v>1263</v>
      </c>
      <c r="D332" s="2">
        <f t="shared" si="326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ref="W332:AH332" si="335">IF(OR((SLOPE($E332:$V332,$E$1:$V$1)*W$1+INTERCEPT($E332:$V332,$E$1:$V$1))&gt;(AVERAGE($E332:$V332)+_xlfn.STDEV.P($E332:$V332)),(SLOPE($E332:$V332,$E$1:$V$1)*W$1+INTERCEPT($E332:$V332,$E$1:$V$1))&lt;(AVERAGE($E332:$V332)-_xlfn.STDEV.P($E332:$V332))),V332,(SLOPE($E332:$V332,$E$1:$V$1)*W$1+INTERCEPT($E332:$V332,$E$1:$V$1)))</f>
        <v>5603.177547139021</v>
      </c>
      <c r="X332" s="5">
        <f t="shared" si="335"/>
        <v>3740.136143406693</v>
      </c>
      <c r="Y332" s="5">
        <f t="shared" si="335"/>
        <v>1877.0947396743577</v>
      </c>
      <c r="Z332" s="5">
        <f t="shared" si="335"/>
        <v>14.053335942029662</v>
      </c>
      <c r="AA332" s="5">
        <f t="shared" si="335"/>
        <v>-1848.9880677902984</v>
      </c>
      <c r="AB332" s="5">
        <f t="shared" si="335"/>
        <v>-3712.0294715226264</v>
      </c>
      <c r="AC332" s="5">
        <f t="shared" si="335"/>
        <v>-5575.0708752549544</v>
      </c>
      <c r="AD332" s="5">
        <f t="shared" si="335"/>
        <v>-7438.1122789872825</v>
      </c>
      <c r="AE332" s="5">
        <f t="shared" si="335"/>
        <v>-9301.1536827196105</v>
      </c>
      <c r="AF332" s="5">
        <f t="shared" si="335"/>
        <v>-11164.195086451946</v>
      </c>
      <c r="AG332" s="5">
        <f t="shared" si="335"/>
        <v>-13027.236490184274</v>
      </c>
      <c r="AH332" s="5">
        <f t="shared" si="335"/>
        <v>-14890.277893916602</v>
      </c>
    </row>
    <row r="333" spans="1:34" x14ac:dyDescent="0.35">
      <c r="A333" t="s">
        <v>353</v>
      </c>
      <c r="B333" s="3" t="s">
        <v>1266</v>
      </c>
      <c r="C333" s="4" t="s">
        <v>1263</v>
      </c>
      <c r="D333" s="2">
        <f t="shared" si="326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ref="W333:AH333" si="336">IF(OR((SLOPE($E333:$V333,$E$1:$V$1)*W$1+INTERCEPT($E333:$V333,$E$1:$V$1))&gt;(AVERAGE($E333:$V333)+_xlfn.STDEV.P($E333:$V333)),(SLOPE($E333:$V333,$E$1:$V$1)*W$1+INTERCEPT($E333:$V333,$E$1:$V$1))&lt;(AVERAGE($E333:$V333)-_xlfn.STDEV.P($E333:$V333))),V333,(SLOPE($E333:$V333,$E$1:$V$1)*W$1+INTERCEPT($E333:$V333,$E$1:$V$1)))</f>
        <v>44540.121855846504</v>
      </c>
      <c r="X333" s="5">
        <f t="shared" si="336"/>
        <v>46798.440793640562</v>
      </c>
      <c r="Y333" s="5">
        <f t="shared" si="336"/>
        <v>49056.759731434606</v>
      </c>
      <c r="Z333" s="5">
        <f t="shared" si="336"/>
        <v>51315.078669228664</v>
      </c>
      <c r="AA333" s="5">
        <f t="shared" si="336"/>
        <v>53573.397607022707</v>
      </c>
      <c r="AB333" s="5">
        <f t="shared" si="336"/>
        <v>55831.716544816765</v>
      </c>
      <c r="AC333" s="5">
        <f t="shared" si="336"/>
        <v>58090.035482610823</v>
      </c>
      <c r="AD333" s="5">
        <f t="shared" si="336"/>
        <v>60348.354420404867</v>
      </c>
      <c r="AE333" s="5">
        <f t="shared" si="336"/>
        <v>62606.673358198925</v>
      </c>
      <c r="AF333" s="5">
        <f t="shared" si="336"/>
        <v>64864.992295992968</v>
      </c>
      <c r="AG333" s="5">
        <f t="shared" si="336"/>
        <v>67123.311233787026</v>
      </c>
      <c r="AH333" s="5">
        <f t="shared" si="336"/>
        <v>69381.630171581084</v>
      </c>
    </row>
    <row r="334" spans="1:34" x14ac:dyDescent="0.35">
      <c r="A334" t="s">
        <v>354</v>
      </c>
      <c r="B334" s="3" t="s">
        <v>1265</v>
      </c>
      <c r="C334" s="4" t="s">
        <v>1263</v>
      </c>
      <c r="D334" s="2">
        <f t="shared" si="326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ref="W334:AH334" si="337">IF(OR((SLOPE($E334:$V334,$E$1:$V$1)*W$1+INTERCEPT($E334:$V334,$E$1:$V$1))&gt;(AVERAGE($E334:$V334)+_xlfn.STDEV.P($E334:$V334)),(SLOPE($E334:$V334,$E$1:$V$1)*W$1+INTERCEPT($E334:$V334,$E$1:$V$1))&lt;(AVERAGE($E334:$V334)-_xlfn.STDEV.P($E334:$V334))),V334,(SLOPE($E334:$V334,$E$1:$V$1)*W$1+INTERCEPT($E334:$V334,$E$1:$V$1)))</f>
        <v>25319.350833899665</v>
      </c>
      <c r="X334" s="5">
        <f t="shared" si="337"/>
        <v>25603.869317728851</v>
      </c>
      <c r="Y334" s="5">
        <f t="shared" si="337"/>
        <v>25888.387801558041</v>
      </c>
      <c r="Z334" s="5">
        <f t="shared" si="337"/>
        <v>26172.906285387231</v>
      </c>
      <c r="AA334" s="5">
        <f t="shared" si="337"/>
        <v>26172.906285387231</v>
      </c>
      <c r="AB334" s="5">
        <f t="shared" si="337"/>
        <v>26172.906285387231</v>
      </c>
      <c r="AC334" s="5">
        <f t="shared" si="337"/>
        <v>26172.906285387231</v>
      </c>
      <c r="AD334" s="5">
        <f t="shared" si="337"/>
        <v>26172.906285387231</v>
      </c>
      <c r="AE334" s="5">
        <f t="shared" si="337"/>
        <v>26172.906285387231</v>
      </c>
      <c r="AF334" s="5">
        <f t="shared" si="337"/>
        <v>26172.906285387231</v>
      </c>
      <c r="AG334" s="5">
        <f t="shared" si="337"/>
        <v>26172.906285387231</v>
      </c>
      <c r="AH334" s="5">
        <f t="shared" si="337"/>
        <v>26172.906285387231</v>
      </c>
    </row>
    <row r="335" spans="1:34" x14ac:dyDescent="0.35">
      <c r="A335" t="s">
        <v>355</v>
      </c>
      <c r="B335" s="3" t="s">
        <v>1262</v>
      </c>
      <c r="C335" s="4" t="s">
        <v>1263</v>
      </c>
      <c r="D335" s="2">
        <f t="shared" si="326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ref="W335:AH335" si="338">IF(OR((SLOPE($E335:$V335,$E$1:$V$1)*W$1+INTERCEPT($E335:$V335,$E$1:$V$1))&gt;(AVERAGE($E335:$V335)+_xlfn.STDEV.P($E335:$V335)),(SLOPE($E335:$V335,$E$1:$V$1)*W$1+INTERCEPT($E335:$V335,$E$1:$V$1))&lt;(AVERAGE($E335:$V335)-_xlfn.STDEV.P($E335:$V335))),V335,(SLOPE($E335:$V335,$E$1:$V$1)*W$1+INTERCEPT($E335:$V335,$E$1:$V$1)))</f>
        <v>55618.920000000013</v>
      </c>
      <c r="X335" s="5">
        <f t="shared" si="338"/>
        <v>55618.920000000013</v>
      </c>
      <c r="Y335" s="5">
        <f t="shared" si="338"/>
        <v>55618.920000000013</v>
      </c>
      <c r="Z335" s="5">
        <f t="shared" si="338"/>
        <v>55618.920000000013</v>
      </c>
      <c r="AA335" s="5">
        <f t="shared" si="338"/>
        <v>55618.920000000013</v>
      </c>
      <c r="AB335" s="5">
        <f t="shared" si="338"/>
        <v>55618.920000000013</v>
      </c>
      <c r="AC335" s="5">
        <f t="shared" si="338"/>
        <v>55618.920000000013</v>
      </c>
      <c r="AD335" s="5">
        <f t="shared" si="338"/>
        <v>55618.920000000013</v>
      </c>
      <c r="AE335" s="5">
        <f t="shared" si="338"/>
        <v>55618.920000000013</v>
      </c>
      <c r="AF335" s="5">
        <f t="shared" si="338"/>
        <v>55618.920000000013</v>
      </c>
      <c r="AG335" s="5">
        <f t="shared" si="338"/>
        <v>55618.920000000013</v>
      </c>
      <c r="AH335" s="5">
        <f t="shared" si="338"/>
        <v>55618.920000000013</v>
      </c>
    </row>
    <row r="336" spans="1:34" x14ac:dyDescent="0.35">
      <c r="A336" t="s">
        <v>356</v>
      </c>
      <c r="B336" s="3" t="s">
        <v>1266</v>
      </c>
      <c r="C336" s="4" t="s">
        <v>1267</v>
      </c>
      <c r="D336" s="2">
        <f t="shared" si="326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ref="W336:AH336" si="339">IF(OR((SLOPE($E336:$V336,$E$1:$V$1)*W$1+INTERCEPT($E336:$V336,$E$1:$V$1))&gt;(AVERAGE($E336:$V336)+_xlfn.STDEV.P($E336:$V336)),(SLOPE($E336:$V336,$E$1:$V$1)*W$1+INTERCEPT($E336:$V336,$E$1:$V$1))&lt;(AVERAGE($E336:$V336)-_xlfn.STDEV.P($E336:$V336))),V336,(SLOPE($E336:$V336,$E$1:$V$1)*W$1+INTERCEPT($E336:$V336,$E$1:$V$1)))</f>
        <v>58237.321228177818</v>
      </c>
      <c r="X336" s="5">
        <f t="shared" si="339"/>
        <v>62002.101286793251</v>
      </c>
      <c r="Y336" s="5">
        <f t="shared" si="339"/>
        <v>65766.881345408707</v>
      </c>
      <c r="Z336" s="5">
        <f t="shared" si="339"/>
        <v>69531.66140402414</v>
      </c>
      <c r="AA336" s="5">
        <f t="shared" si="339"/>
        <v>73296.441462639574</v>
      </c>
      <c r="AB336" s="5">
        <f t="shared" si="339"/>
        <v>77061.221521255036</v>
      </c>
      <c r="AC336" s="5">
        <f t="shared" si="339"/>
        <v>80826.00157987047</v>
      </c>
      <c r="AD336" s="5">
        <f t="shared" si="339"/>
        <v>84590.781638485903</v>
      </c>
      <c r="AE336" s="5">
        <f t="shared" si="339"/>
        <v>84590.781638485903</v>
      </c>
      <c r="AF336" s="5">
        <f t="shared" si="339"/>
        <v>84590.781638485903</v>
      </c>
      <c r="AG336" s="5">
        <f t="shared" si="339"/>
        <v>84590.781638485903</v>
      </c>
      <c r="AH336" s="5">
        <f t="shared" si="339"/>
        <v>84590.781638485903</v>
      </c>
    </row>
    <row r="337" spans="1:34" x14ac:dyDescent="0.35">
      <c r="A337" t="s">
        <v>357</v>
      </c>
      <c r="B337" s="3" t="s">
        <v>1266</v>
      </c>
      <c r="C337" s="4" t="s">
        <v>1266</v>
      </c>
      <c r="D337" s="2">
        <f t="shared" si="326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ref="W337:AH337" si="340">IF(OR((SLOPE($E337:$V337,$E$1:$V$1)*W$1+INTERCEPT($E337:$V337,$E$1:$V$1))&gt;(AVERAGE($E337:$V337)+_xlfn.STDEV.P($E337:$V337)),(SLOPE($E337:$V337,$E$1:$V$1)*W$1+INTERCEPT($E337:$V337,$E$1:$V$1))&lt;(AVERAGE($E337:$V337)-_xlfn.STDEV.P($E337:$V337))),V337,(SLOPE($E337:$V337,$E$1:$V$1)*W$1+INTERCEPT($E337:$V337,$E$1:$V$1)))</f>
        <v>41950.114405391927</v>
      </c>
      <c r="X337" s="5">
        <f t="shared" si="340"/>
        <v>44020.021366184301</v>
      </c>
      <c r="Y337" s="5">
        <f t="shared" si="340"/>
        <v>46089.92832697666</v>
      </c>
      <c r="Z337" s="5">
        <f t="shared" si="340"/>
        <v>48159.835287769019</v>
      </c>
      <c r="AA337" s="5">
        <f t="shared" si="340"/>
        <v>50229.742248561393</v>
      </c>
      <c r="AB337" s="5">
        <f t="shared" si="340"/>
        <v>52299.649209353753</v>
      </c>
      <c r="AC337" s="5">
        <f t="shared" si="340"/>
        <v>54369.556170146127</v>
      </c>
      <c r="AD337" s="5">
        <f t="shared" si="340"/>
        <v>56439.463130938486</v>
      </c>
      <c r="AE337" s="5">
        <f t="shared" si="340"/>
        <v>58509.370091730845</v>
      </c>
      <c r="AF337" s="5">
        <f t="shared" si="340"/>
        <v>60579.277052523219</v>
      </c>
      <c r="AG337" s="5">
        <f t="shared" si="340"/>
        <v>62649.184013315578</v>
      </c>
      <c r="AH337" s="5">
        <f t="shared" si="340"/>
        <v>64719.090974107938</v>
      </c>
    </row>
    <row r="338" spans="1:34" x14ac:dyDescent="0.35">
      <c r="A338" t="s">
        <v>358</v>
      </c>
      <c r="B338" s="3" t="s">
        <v>1266</v>
      </c>
      <c r="C338" s="4" t="s">
        <v>1268</v>
      </c>
      <c r="D338" s="2">
        <f t="shared" si="326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ref="W338:AH338" si="341">IF(OR((SLOPE($E338:$V338,$E$1:$V$1)*W$1+INTERCEPT($E338:$V338,$E$1:$V$1))&gt;(AVERAGE($E338:$V338)+_xlfn.STDEV.P($E338:$V338)),(SLOPE($E338:$V338,$E$1:$V$1)*W$1+INTERCEPT($E338:$V338,$E$1:$V$1))&lt;(AVERAGE($E338:$V338)-_xlfn.STDEV.P($E338:$V338))),V338,(SLOPE($E338:$V338,$E$1:$V$1)*W$1+INTERCEPT($E338:$V338,$E$1:$V$1)))</f>
        <v>4970.2153835879726</v>
      </c>
      <c r="X338" s="5">
        <f t="shared" si="341"/>
        <v>3156.8714150199594</v>
      </c>
      <c r="Y338" s="5">
        <f t="shared" si="341"/>
        <v>1343.5274464519462</v>
      </c>
      <c r="Z338" s="5">
        <f t="shared" si="341"/>
        <v>-469.81652211605979</v>
      </c>
      <c r="AA338" s="5">
        <f t="shared" si="341"/>
        <v>-2283.160490684073</v>
      </c>
      <c r="AB338" s="5">
        <f t="shared" si="341"/>
        <v>-4096.5044592520862</v>
      </c>
      <c r="AC338" s="5">
        <f t="shared" si="341"/>
        <v>-5909.8484278200922</v>
      </c>
      <c r="AD338" s="5">
        <f t="shared" si="341"/>
        <v>-7723.1923963881054</v>
      </c>
      <c r="AE338" s="5">
        <f t="shared" si="341"/>
        <v>-9536.5363649561186</v>
      </c>
      <c r="AF338" s="5">
        <f t="shared" si="341"/>
        <v>-11349.880333524125</v>
      </c>
      <c r="AG338" s="5">
        <f t="shared" si="341"/>
        <v>-13163.224302092138</v>
      </c>
      <c r="AH338" s="5">
        <f t="shared" si="341"/>
        <v>-14976.568270660151</v>
      </c>
    </row>
    <row r="339" spans="1:34" x14ac:dyDescent="0.35">
      <c r="A339" t="s">
        <v>359</v>
      </c>
      <c r="B339" s="3" t="s">
        <v>1265</v>
      </c>
      <c r="C339" s="4" t="s">
        <v>1263</v>
      </c>
      <c r="D339" s="2">
        <f t="shared" si="326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ref="W339:AH339" si="342">IF(OR((SLOPE($E339:$V339,$E$1:$V$1)*W$1+INTERCEPT($E339:$V339,$E$1:$V$1))&gt;(AVERAGE($E339:$V339)+_xlfn.STDEV.P($E339:$V339)),(SLOPE($E339:$V339,$E$1:$V$1)*W$1+INTERCEPT($E339:$V339,$E$1:$V$1))&lt;(AVERAGE($E339:$V339)-_xlfn.STDEV.P($E339:$V339))),V339,(SLOPE($E339:$V339,$E$1:$V$1)*W$1+INTERCEPT($E339:$V339,$E$1:$V$1)))</f>
        <v>19212.449871788674</v>
      </c>
      <c r="X339" s="5">
        <f t="shared" si="342"/>
        <v>18931.447574502548</v>
      </c>
      <c r="Y339" s="5">
        <f t="shared" si="342"/>
        <v>18650.445277216422</v>
      </c>
      <c r="Z339" s="5">
        <f t="shared" si="342"/>
        <v>18369.442979930296</v>
      </c>
      <c r="AA339" s="5">
        <f t="shared" si="342"/>
        <v>18088.44068264417</v>
      </c>
      <c r="AB339" s="5">
        <f t="shared" si="342"/>
        <v>17807.438385358044</v>
      </c>
      <c r="AC339" s="5">
        <f t="shared" si="342"/>
        <v>17526.436088071918</v>
      </c>
      <c r="AD339" s="5">
        <f t="shared" si="342"/>
        <v>17245.433790785792</v>
      </c>
      <c r="AE339" s="5">
        <f t="shared" si="342"/>
        <v>16964.431493499669</v>
      </c>
      <c r="AF339" s="5">
        <f t="shared" si="342"/>
        <v>16683.429196213543</v>
      </c>
      <c r="AG339" s="5">
        <f t="shared" si="342"/>
        <v>16402.426898927417</v>
      </c>
      <c r="AH339" s="5">
        <f t="shared" si="342"/>
        <v>16121.424601641291</v>
      </c>
    </row>
    <row r="340" spans="1:34" x14ac:dyDescent="0.35">
      <c r="A340" t="s">
        <v>360</v>
      </c>
      <c r="B340" s="3" t="s">
        <v>1264</v>
      </c>
      <c r="C340" s="4" t="s">
        <v>1263</v>
      </c>
      <c r="D340" s="2">
        <f t="shared" si="326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ref="W340:AH340" si="343">IF(OR((SLOPE($E340:$V340,$E$1:$V$1)*W$1+INTERCEPT($E340:$V340,$E$1:$V$1))&gt;(AVERAGE($E340:$V340)+_xlfn.STDEV.P($E340:$V340)),(SLOPE($E340:$V340,$E$1:$V$1)*W$1+INTERCEPT($E340:$V340,$E$1:$V$1))&lt;(AVERAGE($E340:$V340)-_xlfn.STDEV.P($E340:$V340))),V340,(SLOPE($E340:$V340,$E$1:$V$1)*W$1+INTERCEPT($E340:$V340,$E$1:$V$1)))</f>
        <v>23471.319437386566</v>
      </c>
      <c r="X340" s="5">
        <f t="shared" si="343"/>
        <v>23471.319437386566</v>
      </c>
      <c r="Y340" s="5">
        <f t="shared" si="343"/>
        <v>23471.319437386566</v>
      </c>
      <c r="Z340" s="5">
        <f t="shared" si="343"/>
        <v>23471.319437386566</v>
      </c>
      <c r="AA340" s="5">
        <f t="shared" si="343"/>
        <v>23471.319437386566</v>
      </c>
      <c r="AB340" s="5">
        <f t="shared" si="343"/>
        <v>23471.319437386566</v>
      </c>
      <c r="AC340" s="5">
        <f t="shared" si="343"/>
        <v>23471.319437386566</v>
      </c>
      <c r="AD340" s="5">
        <f t="shared" si="343"/>
        <v>23471.319437386566</v>
      </c>
      <c r="AE340" s="5">
        <f t="shared" si="343"/>
        <v>23471.319437386566</v>
      </c>
      <c r="AF340" s="5">
        <f t="shared" si="343"/>
        <v>23471.319437386566</v>
      </c>
      <c r="AG340" s="5">
        <f t="shared" si="343"/>
        <v>23471.319437386566</v>
      </c>
      <c r="AH340" s="5">
        <f t="shared" si="343"/>
        <v>23471.319437386566</v>
      </c>
    </row>
    <row r="341" spans="1:34" x14ac:dyDescent="0.35">
      <c r="A341" t="s">
        <v>361</v>
      </c>
      <c r="B341" s="3" t="s">
        <v>1266</v>
      </c>
      <c r="C341" s="4" t="s">
        <v>1263</v>
      </c>
      <c r="D341" s="2">
        <f t="shared" si="326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H341" si="344">IF(OR((SLOPE($E341:$V341,$E$1:$V$1)*W$1+INTERCEPT($E341:$V341,$E$1:$V$1))&gt;(AVERAGE($E341:$V341)+_xlfn.STDEV.P($E341:$V341)),(SLOPE($E341:$V341,$E$1:$V$1)*W$1+INTERCEPT($E341:$V341,$E$1:$V$1))&lt;(AVERAGE($E341:$V341)-_xlfn.STDEV.P($E341:$V341))),V341,(SLOPE($E341:$V341,$E$1:$V$1)*W$1+INTERCEPT($E341:$V341,$E$1:$V$1)))</f>
        <v>30215.445124557526</v>
      </c>
      <c r="X341" s="5">
        <f t="shared" si="344"/>
        <v>31067.775257354137</v>
      </c>
      <c r="Y341" s="5">
        <f t="shared" si="344"/>
        <v>31920.105390150748</v>
      </c>
      <c r="Z341" s="5">
        <f t="shared" si="344"/>
        <v>32772.435522947359</v>
      </c>
      <c r="AA341" s="5">
        <f t="shared" si="344"/>
        <v>33624.765655743977</v>
      </c>
      <c r="AB341" s="5">
        <f t="shared" si="344"/>
        <v>34477.095788540588</v>
      </c>
      <c r="AC341" s="5">
        <f t="shared" si="344"/>
        <v>35329.425921337199</v>
      </c>
      <c r="AD341" s="5">
        <f t="shared" si="344"/>
        <v>36181.75605413381</v>
      </c>
      <c r="AE341" s="5">
        <f t="shared" si="344"/>
        <v>37034.086186930421</v>
      </c>
      <c r="AF341" s="5">
        <f t="shared" si="344"/>
        <v>37886.416319727032</v>
      </c>
      <c r="AG341" s="5">
        <f t="shared" si="344"/>
        <v>38738.74645252365</v>
      </c>
      <c r="AH341" s="5">
        <f t="shared" si="344"/>
        <v>39591.076585320261</v>
      </c>
    </row>
    <row r="342" spans="1:34" x14ac:dyDescent="0.35">
      <c r="A342" t="s">
        <v>362</v>
      </c>
      <c r="B342" s="3" t="s">
        <v>1262</v>
      </c>
      <c r="C342" s="4" t="s">
        <v>1263</v>
      </c>
      <c r="D342" s="2">
        <f t="shared" si="326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ref="W342:AH342" si="345">IF(OR((SLOPE($E342:$V342,$E$1:$V$1)*W$1+INTERCEPT($E342:$V342,$E$1:$V$1))&gt;(AVERAGE($E342:$V342)+_xlfn.STDEV.P($E342:$V342)),(SLOPE($E342:$V342,$E$1:$V$1)*W$1+INTERCEPT($E342:$V342,$E$1:$V$1))&lt;(AVERAGE($E342:$V342)-_xlfn.STDEV.P($E342:$V342))),V342,(SLOPE($E342:$V342,$E$1:$V$1)*W$1+INTERCEPT($E342:$V342,$E$1:$V$1)))</f>
        <v>41387.780823529407</v>
      </c>
      <c r="X342" s="5">
        <f t="shared" si="345"/>
        <v>43447.057857585132</v>
      </c>
      <c r="Y342" s="5">
        <f t="shared" si="345"/>
        <v>45506.334891640865</v>
      </c>
      <c r="Z342" s="5">
        <f t="shared" si="345"/>
        <v>47565.61192569659</v>
      </c>
      <c r="AA342" s="5">
        <f t="shared" si="345"/>
        <v>49624.888959752316</v>
      </c>
      <c r="AB342" s="5">
        <f t="shared" si="345"/>
        <v>51684.165993808048</v>
      </c>
      <c r="AC342" s="5">
        <f t="shared" si="345"/>
        <v>51684.165993808048</v>
      </c>
      <c r="AD342" s="5">
        <f t="shared" si="345"/>
        <v>51684.165993808048</v>
      </c>
      <c r="AE342" s="5">
        <f t="shared" si="345"/>
        <v>51684.165993808048</v>
      </c>
      <c r="AF342" s="5">
        <f t="shared" si="345"/>
        <v>51684.165993808048</v>
      </c>
      <c r="AG342" s="5">
        <f t="shared" si="345"/>
        <v>51684.165993808048</v>
      </c>
      <c r="AH342" s="5">
        <f t="shared" si="345"/>
        <v>51684.165993808048</v>
      </c>
    </row>
    <row r="343" spans="1:34" x14ac:dyDescent="0.35">
      <c r="A343" t="s">
        <v>363</v>
      </c>
      <c r="B343" s="3" t="s">
        <v>1265</v>
      </c>
      <c r="C343" s="4" t="s">
        <v>1263</v>
      </c>
      <c r="D343" s="2">
        <f t="shared" si="326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ref="W343:AH343" si="346">IF(OR((SLOPE($E343:$V343,$E$1:$V$1)*W$1+INTERCEPT($E343:$V343,$E$1:$V$1))&gt;(AVERAGE($E343:$V343)+_xlfn.STDEV.P($E343:$V343)),(SLOPE($E343:$V343,$E$1:$V$1)*W$1+INTERCEPT($E343:$V343,$E$1:$V$1))&lt;(AVERAGE($E343:$V343)-_xlfn.STDEV.P($E343:$V343))),V343,(SLOPE($E343:$V343,$E$1:$V$1)*W$1+INTERCEPT($E343:$V343,$E$1:$V$1)))</f>
        <v>33983.578115046868</v>
      </c>
      <c r="X343" s="5">
        <f t="shared" si="346"/>
        <v>35277.966606199865</v>
      </c>
      <c r="Y343" s="5">
        <f t="shared" si="346"/>
        <v>36572.355097352862</v>
      </c>
      <c r="Z343" s="5">
        <f t="shared" si="346"/>
        <v>37866.743588505858</v>
      </c>
      <c r="AA343" s="5">
        <f t="shared" si="346"/>
        <v>37866.743588505858</v>
      </c>
      <c r="AB343" s="5">
        <f t="shared" si="346"/>
        <v>37866.743588505858</v>
      </c>
      <c r="AC343" s="5">
        <f t="shared" si="346"/>
        <v>37866.743588505858</v>
      </c>
      <c r="AD343" s="5">
        <f t="shared" si="346"/>
        <v>37866.743588505858</v>
      </c>
      <c r="AE343" s="5">
        <f t="shared" si="346"/>
        <v>37866.743588505858</v>
      </c>
      <c r="AF343" s="5">
        <f t="shared" si="346"/>
        <v>37866.743588505858</v>
      </c>
      <c r="AG343" s="5">
        <f t="shared" si="346"/>
        <v>37866.743588505858</v>
      </c>
      <c r="AH343" s="5">
        <f t="shared" si="346"/>
        <v>37866.743588505858</v>
      </c>
    </row>
    <row r="344" spans="1:34" x14ac:dyDescent="0.35">
      <c r="A344" t="s">
        <v>364</v>
      </c>
      <c r="B344" s="3" t="s">
        <v>1265</v>
      </c>
      <c r="C344" s="4" t="s">
        <v>1263</v>
      </c>
      <c r="D344" s="2">
        <f t="shared" si="326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ref="W344:AH344" si="347">IF(OR((SLOPE($E344:$V344,$E$1:$V$1)*W$1+INTERCEPT($E344:$V344,$E$1:$V$1))&gt;(AVERAGE($E344:$V344)+_xlfn.STDEV.P($E344:$V344)),(SLOPE($E344:$V344,$E$1:$V$1)*W$1+INTERCEPT($E344:$V344,$E$1:$V$1))&lt;(AVERAGE($E344:$V344)-_xlfn.STDEV.P($E344:$V344))),V344,(SLOPE($E344:$V344,$E$1:$V$1)*W$1+INTERCEPT($E344:$V344,$E$1:$V$1)))</f>
        <v>18746.452078565402</v>
      </c>
      <c r="X344" s="5">
        <f t="shared" si="347"/>
        <v>18444.505912123957</v>
      </c>
      <c r="Y344" s="5">
        <f t="shared" si="347"/>
        <v>18142.559745682513</v>
      </c>
      <c r="Z344" s="5">
        <f t="shared" si="347"/>
        <v>17840.613579241071</v>
      </c>
      <c r="AA344" s="5">
        <f t="shared" si="347"/>
        <v>17538.667412799627</v>
      </c>
      <c r="AB344" s="5">
        <f t="shared" si="347"/>
        <v>17236.721246358185</v>
      </c>
      <c r="AC344" s="5">
        <f t="shared" si="347"/>
        <v>16934.775079916741</v>
      </c>
      <c r="AD344" s="5">
        <f t="shared" si="347"/>
        <v>16632.828913475299</v>
      </c>
      <c r="AE344" s="5">
        <f t="shared" si="347"/>
        <v>16330.882747033855</v>
      </c>
      <c r="AF344" s="5">
        <f t="shared" si="347"/>
        <v>16028.936580592412</v>
      </c>
      <c r="AG344" s="5">
        <f t="shared" si="347"/>
        <v>15726.990414150969</v>
      </c>
      <c r="AH344" s="5">
        <f t="shared" si="347"/>
        <v>15425.044247709524</v>
      </c>
    </row>
    <row r="345" spans="1:34" x14ac:dyDescent="0.35">
      <c r="A345" t="s">
        <v>365</v>
      </c>
      <c r="B345" s="3" t="s">
        <v>1265</v>
      </c>
      <c r="C345" s="4" t="s">
        <v>1263</v>
      </c>
      <c r="D345" s="2">
        <f t="shared" si="326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ref="W345:AH345" si="348">IF(OR((SLOPE($E345:$V345,$E$1:$V$1)*W$1+INTERCEPT($E345:$V345,$E$1:$V$1))&gt;(AVERAGE($E345:$V345)+_xlfn.STDEV.P($E345:$V345)),(SLOPE($E345:$V345,$E$1:$V$1)*W$1+INTERCEPT($E345:$V345,$E$1:$V$1))&lt;(AVERAGE($E345:$V345)-_xlfn.STDEV.P($E345:$V345))),V345,(SLOPE($E345:$V345,$E$1:$V$1)*W$1+INTERCEPT($E345:$V345,$E$1:$V$1)))</f>
        <v>27332.395743790854</v>
      </c>
      <c r="X345" s="5">
        <f t="shared" si="348"/>
        <v>27955.67525834194</v>
      </c>
      <c r="Y345" s="5">
        <f t="shared" si="348"/>
        <v>28578.954772893023</v>
      </c>
      <c r="Z345" s="5">
        <f t="shared" si="348"/>
        <v>29202.234287444109</v>
      </c>
      <c r="AA345" s="5">
        <f t="shared" si="348"/>
        <v>29825.513801995192</v>
      </c>
      <c r="AB345" s="5">
        <f t="shared" si="348"/>
        <v>30448.793316546275</v>
      </c>
      <c r="AC345" s="5">
        <f t="shared" si="348"/>
        <v>31072.072831097357</v>
      </c>
      <c r="AD345" s="5">
        <f t="shared" si="348"/>
        <v>31695.352345648444</v>
      </c>
      <c r="AE345" s="5">
        <f t="shared" si="348"/>
        <v>32318.631860199526</v>
      </c>
      <c r="AF345" s="5">
        <f t="shared" si="348"/>
        <v>32941.911374750613</v>
      </c>
      <c r="AG345" s="5">
        <f t="shared" si="348"/>
        <v>33565.190889301695</v>
      </c>
      <c r="AH345" s="5">
        <f t="shared" si="348"/>
        <v>34188.470403852778</v>
      </c>
    </row>
    <row r="346" spans="1:34" x14ac:dyDescent="0.35">
      <c r="A346" t="s">
        <v>366</v>
      </c>
      <c r="B346" s="3" t="s">
        <v>1266</v>
      </c>
      <c r="C346" s="4" t="s">
        <v>1267</v>
      </c>
      <c r="D346" s="2">
        <f t="shared" si="326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ref="W346:AH346" si="349">IF(OR((SLOPE($E346:$V346,$E$1:$V$1)*W$1+INTERCEPT($E346:$V346,$E$1:$V$1))&gt;(AVERAGE($E346:$V346)+_xlfn.STDEV.P($E346:$V346)),(SLOPE($E346:$V346,$E$1:$V$1)*W$1+INTERCEPT($E346:$V346,$E$1:$V$1))&lt;(AVERAGE($E346:$V346)-_xlfn.STDEV.P($E346:$V346))),V346,(SLOPE($E346:$V346,$E$1:$V$1)*W$1+INTERCEPT($E346:$V346,$E$1:$V$1)))</f>
        <v>40603.320907532121</v>
      </c>
      <c r="X346" s="5">
        <f t="shared" si="349"/>
        <v>42602.633365592963</v>
      </c>
      <c r="Y346" s="5">
        <f t="shared" si="349"/>
        <v>44601.945823653819</v>
      </c>
      <c r="Z346" s="5">
        <f t="shared" si="349"/>
        <v>46601.258281714676</v>
      </c>
      <c r="AA346" s="5">
        <f t="shared" si="349"/>
        <v>48600.570739775518</v>
      </c>
      <c r="AB346" s="5">
        <f t="shared" si="349"/>
        <v>50599.883197836374</v>
      </c>
      <c r="AC346" s="5">
        <f t="shared" si="349"/>
        <v>52599.195655897231</v>
      </c>
      <c r="AD346" s="5">
        <f t="shared" si="349"/>
        <v>54598.508113958072</v>
      </c>
      <c r="AE346" s="5">
        <f t="shared" si="349"/>
        <v>56597.820572018929</v>
      </c>
      <c r="AF346" s="5">
        <f t="shared" si="349"/>
        <v>58597.133030079785</v>
      </c>
      <c r="AG346" s="5">
        <f t="shared" si="349"/>
        <v>58597.133030079785</v>
      </c>
      <c r="AH346" s="5">
        <f t="shared" si="349"/>
        <v>58597.133030079785</v>
      </c>
    </row>
    <row r="347" spans="1:34" x14ac:dyDescent="0.35">
      <c r="A347" t="s">
        <v>367</v>
      </c>
      <c r="B347" s="3" t="s">
        <v>1265</v>
      </c>
      <c r="C347" s="4" t="s">
        <v>1263</v>
      </c>
      <c r="D347" s="2">
        <f t="shared" si="326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ref="W347:AH347" si="350">IF(OR((SLOPE($E347:$V347,$E$1:$V$1)*W$1+INTERCEPT($E347:$V347,$E$1:$V$1))&gt;(AVERAGE($E347:$V347)+_xlfn.STDEV.P($E347:$V347)),(SLOPE($E347:$V347,$E$1:$V$1)*W$1+INTERCEPT($E347:$V347,$E$1:$V$1))&lt;(AVERAGE($E347:$V347)-_xlfn.STDEV.P($E347:$V347))),V347,(SLOPE($E347:$V347,$E$1:$V$1)*W$1+INTERCEPT($E347:$V347,$E$1:$V$1)))</f>
        <v>19492.400922622528</v>
      </c>
      <c r="X347" s="5">
        <f t="shared" si="350"/>
        <v>19297.953725289128</v>
      </c>
      <c r="Y347" s="5">
        <f t="shared" si="350"/>
        <v>19103.506527955731</v>
      </c>
      <c r="Z347" s="5">
        <f t="shared" si="350"/>
        <v>18909.059330622331</v>
      </c>
      <c r="AA347" s="5">
        <f t="shared" si="350"/>
        <v>18714.612133288934</v>
      </c>
      <c r="AB347" s="5">
        <f t="shared" si="350"/>
        <v>18520.164935955538</v>
      </c>
      <c r="AC347" s="5">
        <f t="shared" si="350"/>
        <v>18325.717738622137</v>
      </c>
      <c r="AD347" s="5">
        <f t="shared" si="350"/>
        <v>18131.270541288741</v>
      </c>
      <c r="AE347" s="5">
        <f t="shared" si="350"/>
        <v>17936.823343955344</v>
      </c>
      <c r="AF347" s="5">
        <f t="shared" si="350"/>
        <v>17742.376146621944</v>
      </c>
      <c r="AG347" s="5">
        <f t="shared" si="350"/>
        <v>17547.928949288547</v>
      </c>
      <c r="AH347" s="5">
        <f t="shared" si="350"/>
        <v>17547.928949288547</v>
      </c>
    </row>
    <row r="348" spans="1:34" x14ac:dyDescent="0.35">
      <c r="A348" t="s">
        <v>368</v>
      </c>
      <c r="B348" s="3" t="s">
        <v>1266</v>
      </c>
      <c r="C348" s="4" t="s">
        <v>1267</v>
      </c>
      <c r="D348" s="2">
        <f t="shared" si="326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ref="W348:AH348" si="351">IF(OR((SLOPE($E348:$V348,$E$1:$V$1)*W$1+INTERCEPT($E348:$V348,$E$1:$V$1))&gt;(AVERAGE($E348:$V348)+_xlfn.STDEV.P($E348:$V348)),(SLOPE($E348:$V348,$E$1:$V$1)*W$1+INTERCEPT($E348:$V348,$E$1:$V$1))&lt;(AVERAGE($E348:$V348)-_xlfn.STDEV.P($E348:$V348))),V348,(SLOPE($E348:$V348,$E$1:$V$1)*W$1+INTERCEPT($E348:$V348,$E$1:$V$1)))</f>
        <v>44326.18060820856</v>
      </c>
      <c r="X348" s="5">
        <f t="shared" si="351"/>
        <v>46724.466925714521</v>
      </c>
      <c r="Y348" s="5">
        <f t="shared" si="351"/>
        <v>49122.753243220483</v>
      </c>
      <c r="Z348" s="5">
        <f t="shared" si="351"/>
        <v>51521.039560726451</v>
      </c>
      <c r="AA348" s="5">
        <f t="shared" si="351"/>
        <v>53919.325878232419</v>
      </c>
      <c r="AB348" s="5">
        <f t="shared" si="351"/>
        <v>56317.61219573838</v>
      </c>
      <c r="AC348" s="5">
        <f t="shared" si="351"/>
        <v>58715.898513244341</v>
      </c>
      <c r="AD348" s="5">
        <f t="shared" si="351"/>
        <v>61114.18483075031</v>
      </c>
      <c r="AE348" s="5">
        <f t="shared" si="351"/>
        <v>63512.471148256278</v>
      </c>
      <c r="AF348" s="5">
        <f t="shared" si="351"/>
        <v>65910.757465762232</v>
      </c>
      <c r="AG348" s="5">
        <f t="shared" si="351"/>
        <v>68309.043783268193</v>
      </c>
      <c r="AH348" s="5">
        <f t="shared" si="351"/>
        <v>70707.330100774183</v>
      </c>
    </row>
    <row r="349" spans="1:34" x14ac:dyDescent="0.35">
      <c r="A349" t="s">
        <v>369</v>
      </c>
      <c r="B349" s="3" t="s">
        <v>1266</v>
      </c>
      <c r="C349" s="4" t="s">
        <v>1267</v>
      </c>
      <c r="D349" s="2">
        <f t="shared" si="326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ref="W349:AH349" si="352">IF(OR((SLOPE($E349:$V349,$E$1:$V$1)*W$1+INTERCEPT($E349:$V349,$E$1:$V$1))&gt;(AVERAGE($E349:$V349)+_xlfn.STDEV.P($E349:$V349)),(SLOPE($E349:$V349,$E$1:$V$1)*W$1+INTERCEPT($E349:$V349,$E$1:$V$1))&lt;(AVERAGE($E349:$V349)-_xlfn.STDEV.P($E349:$V349))),V349,(SLOPE($E349:$V349,$E$1:$V$1)*W$1+INTERCEPT($E349:$V349,$E$1:$V$1)))</f>
        <v>17454.873158295159</v>
      </c>
      <c r="X349" s="5">
        <f t="shared" si="352"/>
        <v>17040.116118602196</v>
      </c>
      <c r="Y349" s="5">
        <f t="shared" si="352"/>
        <v>16625.359078909234</v>
      </c>
      <c r="Z349" s="5">
        <f t="shared" si="352"/>
        <v>16210.602039216268</v>
      </c>
      <c r="AA349" s="5">
        <f t="shared" si="352"/>
        <v>15795.844999523304</v>
      </c>
      <c r="AB349" s="5">
        <f t="shared" si="352"/>
        <v>15381.08795983034</v>
      </c>
      <c r="AC349" s="5">
        <f t="shared" si="352"/>
        <v>14966.330920137376</v>
      </c>
      <c r="AD349" s="5">
        <f t="shared" si="352"/>
        <v>14551.573880444412</v>
      </c>
      <c r="AE349" s="5">
        <f t="shared" si="352"/>
        <v>14136.816840751448</v>
      </c>
      <c r="AF349" s="5">
        <f t="shared" si="352"/>
        <v>13722.059801058484</v>
      </c>
      <c r="AG349" s="5">
        <f t="shared" si="352"/>
        <v>13307.302761365519</v>
      </c>
      <c r="AH349" s="5">
        <f t="shared" si="352"/>
        <v>12892.545721672555</v>
      </c>
    </row>
    <row r="350" spans="1:34" x14ac:dyDescent="0.35">
      <c r="A350" t="s">
        <v>370</v>
      </c>
      <c r="B350" s="3" t="s">
        <v>1265</v>
      </c>
      <c r="C350" s="4" t="s">
        <v>1263</v>
      </c>
      <c r="D350" s="2">
        <f t="shared" si="326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ref="W350:AH350" si="353">IF(OR((SLOPE($E350:$V350,$E$1:$V$1)*W$1+INTERCEPT($E350:$V350,$E$1:$V$1))&gt;(AVERAGE($E350:$V350)+_xlfn.STDEV.P($E350:$V350)),(SLOPE($E350:$V350,$E$1:$V$1)*W$1+INTERCEPT($E350:$V350,$E$1:$V$1))&lt;(AVERAGE($E350:$V350)-_xlfn.STDEV.P($E350:$V350))),V350,(SLOPE($E350:$V350,$E$1:$V$1)*W$1+INTERCEPT($E350:$V350,$E$1:$V$1)))</f>
        <v>17186.447081563747</v>
      </c>
      <c r="X350" s="5">
        <f t="shared" si="353"/>
        <v>16760.75619459122</v>
      </c>
      <c r="Y350" s="5">
        <f t="shared" si="353"/>
        <v>16335.065307618692</v>
      </c>
      <c r="Z350" s="5">
        <f t="shared" si="353"/>
        <v>15909.374420646163</v>
      </c>
      <c r="AA350" s="5">
        <f t="shared" si="353"/>
        <v>15483.683533673635</v>
      </c>
      <c r="AB350" s="5">
        <f t="shared" si="353"/>
        <v>15057.992646701106</v>
      </c>
      <c r="AC350" s="5">
        <f t="shared" si="353"/>
        <v>14632.301759728578</v>
      </c>
      <c r="AD350" s="5">
        <f t="shared" si="353"/>
        <v>14206.61087275605</v>
      </c>
      <c r="AE350" s="5">
        <f t="shared" si="353"/>
        <v>13780.919985783519</v>
      </c>
      <c r="AF350" s="5">
        <f t="shared" si="353"/>
        <v>13780.919985783519</v>
      </c>
      <c r="AG350" s="5">
        <f t="shared" si="353"/>
        <v>13780.919985783519</v>
      </c>
      <c r="AH350" s="5">
        <f t="shared" si="353"/>
        <v>13780.919985783519</v>
      </c>
    </row>
    <row r="351" spans="1:34" x14ac:dyDescent="0.35">
      <c r="A351" t="s">
        <v>371</v>
      </c>
      <c r="B351" s="3" t="s">
        <v>1265</v>
      </c>
      <c r="C351" s="4" t="s">
        <v>1268</v>
      </c>
      <c r="D351" s="2">
        <f t="shared" si="326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ref="W351:AH351" si="354">IF(OR((SLOPE($E351:$V351,$E$1:$V$1)*W$1+INTERCEPT($E351:$V351,$E$1:$V$1))&gt;(AVERAGE($E351:$V351)+_xlfn.STDEV.P($E351:$V351)),(SLOPE($E351:$V351,$E$1:$V$1)*W$1+INTERCEPT($E351:$V351,$E$1:$V$1))&lt;(AVERAGE($E351:$V351)-_xlfn.STDEV.P($E351:$V351))),V351,(SLOPE($E351:$V351,$E$1:$V$1)*W$1+INTERCEPT($E351:$V351,$E$1:$V$1)))</f>
        <v>45669.117033464048</v>
      </c>
      <c r="X351" s="5">
        <f t="shared" si="354"/>
        <v>48264.856970904715</v>
      </c>
      <c r="Y351" s="5">
        <f t="shared" si="354"/>
        <v>50860.596908345382</v>
      </c>
      <c r="Z351" s="5">
        <f t="shared" si="354"/>
        <v>53456.336845786034</v>
      </c>
      <c r="AA351" s="5">
        <f t="shared" si="354"/>
        <v>56052.076783226701</v>
      </c>
      <c r="AB351" s="5">
        <f t="shared" si="354"/>
        <v>58647.816720667353</v>
      </c>
      <c r="AC351" s="5">
        <f t="shared" si="354"/>
        <v>61243.55665810802</v>
      </c>
      <c r="AD351" s="5">
        <f t="shared" si="354"/>
        <v>63839.296595548687</v>
      </c>
      <c r="AE351" s="5">
        <f t="shared" si="354"/>
        <v>66435.036532989339</v>
      </c>
      <c r="AF351" s="5">
        <f t="shared" si="354"/>
        <v>69030.776470430006</v>
      </c>
      <c r="AG351" s="5">
        <f t="shared" si="354"/>
        <v>71626.516407870658</v>
      </c>
      <c r="AH351" s="5">
        <f t="shared" si="354"/>
        <v>71626.516407870658</v>
      </c>
    </row>
    <row r="352" spans="1:34" x14ac:dyDescent="0.35">
      <c r="A352" t="s">
        <v>372</v>
      </c>
      <c r="B352" s="3" t="s">
        <v>1262</v>
      </c>
      <c r="C352" s="4" t="s">
        <v>1263</v>
      </c>
      <c r="D352" s="2">
        <f t="shared" si="326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ref="W352:AH352" si="355">IF(OR((SLOPE($E352:$V352,$E$1:$V$1)*W$1+INTERCEPT($E352:$V352,$E$1:$V$1))&gt;(AVERAGE($E352:$V352)+_xlfn.STDEV.P($E352:$V352)),(SLOPE($E352:$V352,$E$1:$V$1)*W$1+INTERCEPT($E352:$V352,$E$1:$V$1))&lt;(AVERAGE($E352:$V352)-_xlfn.STDEV.P($E352:$V352))),V352,(SLOPE($E352:$V352,$E$1:$V$1)*W$1+INTERCEPT($E352:$V352,$E$1:$V$1)))</f>
        <v>65212.771555555562</v>
      </c>
      <c r="X352" s="5">
        <f t="shared" si="355"/>
        <v>65212.771555555562</v>
      </c>
      <c r="Y352" s="5">
        <f t="shared" si="355"/>
        <v>65212.771555555562</v>
      </c>
      <c r="Z352" s="5">
        <f t="shared" si="355"/>
        <v>65212.771555555562</v>
      </c>
      <c r="AA352" s="5">
        <f t="shared" si="355"/>
        <v>65212.771555555562</v>
      </c>
      <c r="AB352" s="5">
        <f t="shared" si="355"/>
        <v>65212.771555555562</v>
      </c>
      <c r="AC352" s="5">
        <f t="shared" si="355"/>
        <v>65212.771555555562</v>
      </c>
      <c r="AD352" s="5">
        <f t="shared" si="355"/>
        <v>65212.771555555562</v>
      </c>
      <c r="AE352" s="5">
        <f t="shared" si="355"/>
        <v>65212.771555555562</v>
      </c>
      <c r="AF352" s="5">
        <f t="shared" si="355"/>
        <v>65212.771555555562</v>
      </c>
      <c r="AG352" s="5">
        <f t="shared" si="355"/>
        <v>65212.771555555562</v>
      </c>
      <c r="AH352" s="5">
        <f t="shared" si="355"/>
        <v>65212.771555555562</v>
      </c>
    </row>
    <row r="353" spans="1:34" x14ac:dyDescent="0.35">
      <c r="A353" t="s">
        <v>373</v>
      </c>
      <c r="B353" s="3" t="s">
        <v>1266</v>
      </c>
      <c r="C353" s="4" t="s">
        <v>1267</v>
      </c>
      <c r="D353" s="2">
        <f t="shared" si="326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ref="W353:AH353" si="356">IF(OR((SLOPE($E353:$V353,$E$1:$V$1)*W$1+INTERCEPT($E353:$V353,$E$1:$V$1))&gt;(AVERAGE($E353:$V353)+_xlfn.STDEV.P($E353:$V353)),(SLOPE($E353:$V353,$E$1:$V$1)*W$1+INTERCEPT($E353:$V353,$E$1:$V$1))&lt;(AVERAGE($E353:$V353)-_xlfn.STDEV.P($E353:$V353))),V353,(SLOPE($E353:$V353,$E$1:$V$1)*W$1+INTERCEPT($E353:$V353,$E$1:$V$1)))</f>
        <v>33932.748199855509</v>
      </c>
      <c r="X353" s="5">
        <f t="shared" si="356"/>
        <v>35323.560986751487</v>
      </c>
      <c r="Y353" s="5">
        <f t="shared" si="356"/>
        <v>36714.373773647458</v>
      </c>
      <c r="Z353" s="5">
        <f t="shared" si="356"/>
        <v>38105.186560543436</v>
      </c>
      <c r="AA353" s="5">
        <f t="shared" si="356"/>
        <v>39495.999347439407</v>
      </c>
      <c r="AB353" s="5">
        <f t="shared" si="356"/>
        <v>40886.812134335385</v>
      </c>
      <c r="AC353" s="5">
        <f t="shared" si="356"/>
        <v>42277.624921231363</v>
      </c>
      <c r="AD353" s="5">
        <f t="shared" si="356"/>
        <v>43668.437708127334</v>
      </c>
      <c r="AE353" s="5">
        <f t="shared" si="356"/>
        <v>45059.250495023312</v>
      </c>
      <c r="AF353" s="5">
        <f t="shared" si="356"/>
        <v>46450.063281919291</v>
      </c>
      <c r="AG353" s="5">
        <f t="shared" si="356"/>
        <v>47840.876068815262</v>
      </c>
      <c r="AH353" s="5">
        <f t="shared" si="356"/>
        <v>49231.68885571124</v>
      </c>
    </row>
    <row r="354" spans="1:34" x14ac:dyDescent="0.35">
      <c r="A354" t="s">
        <v>374</v>
      </c>
      <c r="B354" s="3" t="s">
        <v>1265</v>
      </c>
      <c r="C354" s="4" t="s">
        <v>1263</v>
      </c>
      <c r="D354" s="2">
        <f t="shared" si="326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ref="W354:AH354" si="357">IF(OR((SLOPE($E354:$V354,$E$1:$V$1)*W$1+INTERCEPT($E354:$V354,$E$1:$V$1))&gt;(AVERAGE($E354:$V354)+_xlfn.STDEV.P($E354:$V354)),(SLOPE($E354:$V354,$E$1:$V$1)*W$1+INTERCEPT($E354:$V354,$E$1:$V$1))&lt;(AVERAGE($E354:$V354)-_xlfn.STDEV.P($E354:$V354))),V354,(SLOPE($E354:$V354,$E$1:$V$1)*W$1+INTERCEPT($E354:$V354,$E$1:$V$1)))</f>
        <v>19321.941474187395</v>
      </c>
      <c r="X354" s="5">
        <f t="shared" si="357"/>
        <v>19243.765167833059</v>
      </c>
      <c r="Y354" s="5">
        <f t="shared" si="357"/>
        <v>19165.588861478718</v>
      </c>
      <c r="Z354" s="5">
        <f t="shared" si="357"/>
        <v>19087.412555124381</v>
      </c>
      <c r="AA354" s="5">
        <f t="shared" si="357"/>
        <v>19009.236248770045</v>
      </c>
      <c r="AB354" s="5">
        <f t="shared" si="357"/>
        <v>18931.059942415704</v>
      </c>
      <c r="AC354" s="5">
        <f t="shared" si="357"/>
        <v>18852.883636061368</v>
      </c>
      <c r="AD354" s="5">
        <f t="shared" si="357"/>
        <v>18774.707329707031</v>
      </c>
      <c r="AE354" s="5">
        <f t="shared" si="357"/>
        <v>18696.531023352691</v>
      </c>
      <c r="AF354" s="5">
        <f t="shared" si="357"/>
        <v>18618.354716998354</v>
      </c>
      <c r="AG354" s="5">
        <f t="shared" si="357"/>
        <v>18540.178410644017</v>
      </c>
      <c r="AH354" s="5">
        <f t="shared" si="357"/>
        <v>18462.002104289681</v>
      </c>
    </row>
    <row r="355" spans="1:34" x14ac:dyDescent="0.35">
      <c r="A355" t="s">
        <v>375</v>
      </c>
      <c r="B355" s="3" t="s">
        <v>1266</v>
      </c>
      <c r="C355" s="4" t="s">
        <v>1263</v>
      </c>
      <c r="D355" s="2">
        <f t="shared" si="326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ref="W355:AH355" si="358">IF(OR((SLOPE($E355:$V355,$E$1:$V$1)*W$1+INTERCEPT($E355:$V355,$E$1:$V$1))&gt;(AVERAGE($E355:$V355)+_xlfn.STDEV.P($E355:$V355)),(SLOPE($E355:$V355,$E$1:$V$1)*W$1+INTERCEPT($E355:$V355,$E$1:$V$1))&lt;(AVERAGE($E355:$V355)-_xlfn.STDEV.P($E355:$V355))),V355,(SLOPE($E355:$V355,$E$1:$V$1)*W$1+INTERCEPT($E355:$V355,$E$1:$V$1)))</f>
        <v>28923.359739540701</v>
      </c>
      <c r="X355" s="5">
        <f t="shared" si="358"/>
        <v>29833.23284421545</v>
      </c>
      <c r="Y355" s="5">
        <f t="shared" si="358"/>
        <v>30743.105948890196</v>
      </c>
      <c r="Z355" s="5">
        <f t="shared" si="358"/>
        <v>31652.979053564944</v>
      </c>
      <c r="AA355" s="5">
        <f t="shared" si="358"/>
        <v>32562.852158239693</v>
      </c>
      <c r="AB355" s="5">
        <f t="shared" si="358"/>
        <v>33472.725262914442</v>
      </c>
      <c r="AC355" s="5">
        <f t="shared" si="358"/>
        <v>34382.598367589191</v>
      </c>
      <c r="AD355" s="5">
        <f t="shared" si="358"/>
        <v>35292.471472263933</v>
      </c>
      <c r="AE355" s="5">
        <f t="shared" si="358"/>
        <v>36202.344576938689</v>
      </c>
      <c r="AF355" s="5">
        <f t="shared" si="358"/>
        <v>37112.217681613431</v>
      </c>
      <c r="AG355" s="5">
        <f t="shared" si="358"/>
        <v>38022.090786288187</v>
      </c>
      <c r="AH355" s="5">
        <f t="shared" si="358"/>
        <v>38931.963890962928</v>
      </c>
    </row>
    <row r="356" spans="1:34" x14ac:dyDescent="0.35">
      <c r="A356" t="s">
        <v>376</v>
      </c>
      <c r="B356" s="3" t="s">
        <v>1265</v>
      </c>
      <c r="C356" s="4" t="s">
        <v>1263</v>
      </c>
      <c r="D356" s="2">
        <f t="shared" si="326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ref="W356:AH356" si="359">IF(OR((SLOPE($E356:$V356,$E$1:$V$1)*W$1+INTERCEPT($E356:$V356,$E$1:$V$1))&gt;(AVERAGE($E356:$V356)+_xlfn.STDEV.P($E356:$V356)),(SLOPE($E356:$V356,$E$1:$V$1)*W$1+INTERCEPT($E356:$V356,$E$1:$V$1))&lt;(AVERAGE($E356:$V356)-_xlfn.STDEV.P($E356:$V356))),V356,(SLOPE($E356:$V356,$E$1:$V$1)*W$1+INTERCEPT($E356:$V356,$E$1:$V$1)))</f>
        <v>16567.789392685707</v>
      </c>
      <c r="X356" s="5">
        <f t="shared" si="359"/>
        <v>16187.282402667555</v>
      </c>
      <c r="Y356" s="5">
        <f t="shared" si="359"/>
        <v>15806.775412649404</v>
      </c>
      <c r="Z356" s="5">
        <f t="shared" si="359"/>
        <v>15426.268422631252</v>
      </c>
      <c r="AA356" s="5">
        <f t="shared" si="359"/>
        <v>15045.761432613102</v>
      </c>
      <c r="AB356" s="5">
        <f t="shared" si="359"/>
        <v>14665.254442594951</v>
      </c>
      <c r="AC356" s="5">
        <f t="shared" si="359"/>
        <v>14284.747452576799</v>
      </c>
      <c r="AD356" s="5">
        <f t="shared" si="359"/>
        <v>13904.24046255865</v>
      </c>
      <c r="AE356" s="5">
        <f t="shared" si="359"/>
        <v>13523.733472540498</v>
      </c>
      <c r="AF356" s="5">
        <f t="shared" si="359"/>
        <v>13143.226482522346</v>
      </c>
      <c r="AG356" s="5">
        <f t="shared" si="359"/>
        <v>12762.719492504197</v>
      </c>
      <c r="AH356" s="5">
        <f t="shared" si="359"/>
        <v>12382.212502486045</v>
      </c>
    </row>
    <row r="357" spans="1:34" x14ac:dyDescent="0.35">
      <c r="A357" t="s">
        <v>377</v>
      </c>
      <c r="B357" s="3" t="s">
        <v>1266</v>
      </c>
      <c r="C357" s="4" t="s">
        <v>1267</v>
      </c>
      <c r="D357" s="2">
        <f t="shared" si="326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H357" si="360">IF(OR((SLOPE($E357:$V357,$E$1:$V$1)*W$1+INTERCEPT($E357:$V357,$E$1:$V$1))&gt;(AVERAGE($E357:$V357)+_xlfn.STDEV.P($E357:$V357)),(SLOPE($E357:$V357,$E$1:$V$1)*W$1+INTERCEPT($E357:$V357,$E$1:$V$1))&lt;(AVERAGE($E357:$V357)-_xlfn.STDEV.P($E357:$V357))),V357,(SLOPE($E357:$V357,$E$1:$V$1)*W$1+INTERCEPT($E357:$V357,$E$1:$V$1)))</f>
        <v>48912.048847173253</v>
      </c>
      <c r="X357" s="5">
        <f t="shared" si="360"/>
        <v>51959.081517601066</v>
      </c>
      <c r="Y357" s="5">
        <f t="shared" si="360"/>
        <v>55006.114188028863</v>
      </c>
      <c r="Z357" s="5">
        <f t="shared" si="360"/>
        <v>58053.146858456676</v>
      </c>
      <c r="AA357" s="5">
        <f t="shared" si="360"/>
        <v>61100.179528884473</v>
      </c>
      <c r="AB357" s="5">
        <f t="shared" si="360"/>
        <v>64147.212199312286</v>
      </c>
      <c r="AC357" s="5">
        <f t="shared" si="360"/>
        <v>67194.244869740098</v>
      </c>
      <c r="AD357" s="5">
        <f t="shared" si="360"/>
        <v>70241.277540167895</v>
      </c>
      <c r="AE357" s="5">
        <f t="shared" si="360"/>
        <v>73288.310210595708</v>
      </c>
      <c r="AF357" s="5">
        <f t="shared" si="360"/>
        <v>76335.34288102352</v>
      </c>
      <c r="AG357" s="5">
        <f t="shared" si="360"/>
        <v>76335.34288102352</v>
      </c>
      <c r="AH357" s="5">
        <f t="shared" si="360"/>
        <v>76335.34288102352</v>
      </c>
    </row>
    <row r="358" spans="1:34" x14ac:dyDescent="0.35">
      <c r="A358" t="s">
        <v>378</v>
      </c>
      <c r="B358" s="3" t="s">
        <v>1265</v>
      </c>
      <c r="C358" s="4" t="s">
        <v>1263</v>
      </c>
      <c r="D358" s="2">
        <f t="shared" si="326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ref="W358:AH358" si="361">IF(OR((SLOPE($E358:$V358,$E$1:$V$1)*W$1+INTERCEPT($E358:$V358,$E$1:$V$1))&gt;(AVERAGE($E358:$V358)+_xlfn.STDEV.P($E358:$V358)),(SLOPE($E358:$V358,$E$1:$V$1)*W$1+INTERCEPT($E358:$V358,$E$1:$V$1))&lt;(AVERAGE($E358:$V358)-_xlfn.STDEV.P($E358:$V358))),V358,(SLOPE($E358:$V358,$E$1:$V$1)*W$1+INTERCEPT($E358:$V358,$E$1:$V$1)))</f>
        <v>25067.353608496451</v>
      </c>
      <c r="X358" s="5">
        <f t="shared" si="361"/>
        <v>25615.086630577214</v>
      </c>
      <c r="Y358" s="5">
        <f t="shared" si="361"/>
        <v>26162.819652657978</v>
      </c>
      <c r="Z358" s="5">
        <f t="shared" si="361"/>
        <v>26710.552674738745</v>
      </c>
      <c r="AA358" s="5">
        <f t="shared" si="361"/>
        <v>27258.285696819512</v>
      </c>
      <c r="AB358" s="5">
        <f t="shared" si="361"/>
        <v>27806.018718900275</v>
      </c>
      <c r="AC358" s="5">
        <f t="shared" si="361"/>
        <v>28353.751740981039</v>
      </c>
      <c r="AD358" s="5">
        <f t="shared" si="361"/>
        <v>28353.751740981039</v>
      </c>
      <c r="AE358" s="5">
        <f t="shared" si="361"/>
        <v>28353.751740981039</v>
      </c>
      <c r="AF358" s="5">
        <f t="shared" si="361"/>
        <v>28353.751740981039</v>
      </c>
      <c r="AG358" s="5">
        <f t="shared" si="361"/>
        <v>28353.751740981039</v>
      </c>
      <c r="AH358" s="5">
        <f t="shared" si="361"/>
        <v>28353.751740981039</v>
      </c>
    </row>
    <row r="359" spans="1:34" x14ac:dyDescent="0.35">
      <c r="A359" t="s">
        <v>379</v>
      </c>
      <c r="B359" s="3" t="s">
        <v>1265</v>
      </c>
      <c r="C359" s="4" t="s">
        <v>1263</v>
      </c>
      <c r="D359" s="2">
        <f t="shared" si="326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ref="W359:AH359" si="362">IF(OR((SLOPE($E359:$V359,$E$1:$V$1)*W$1+INTERCEPT($E359:$V359,$E$1:$V$1))&gt;(AVERAGE($E359:$V359)+_xlfn.STDEV.P($E359:$V359)),(SLOPE($E359:$V359,$E$1:$V$1)*W$1+INTERCEPT($E359:$V359,$E$1:$V$1))&lt;(AVERAGE($E359:$V359)-_xlfn.STDEV.P($E359:$V359))),V359,(SLOPE($E359:$V359,$E$1:$V$1)*W$1+INTERCEPT($E359:$V359,$E$1:$V$1)))</f>
        <v>37055.028608320892</v>
      </c>
      <c r="X359" s="5">
        <f t="shared" si="362"/>
        <v>38910.70029036481</v>
      </c>
      <c r="Y359" s="5">
        <f t="shared" si="362"/>
        <v>40766.371972408742</v>
      </c>
      <c r="Z359" s="5">
        <f t="shared" si="362"/>
        <v>42622.04365445266</v>
      </c>
      <c r="AA359" s="5">
        <f t="shared" si="362"/>
        <v>42622.04365445266</v>
      </c>
      <c r="AB359" s="5">
        <f t="shared" si="362"/>
        <v>42622.04365445266</v>
      </c>
      <c r="AC359" s="5">
        <f t="shared" si="362"/>
        <v>42622.04365445266</v>
      </c>
      <c r="AD359" s="5">
        <f t="shared" si="362"/>
        <v>42622.04365445266</v>
      </c>
      <c r="AE359" s="5">
        <f t="shared" si="362"/>
        <v>42622.04365445266</v>
      </c>
      <c r="AF359" s="5">
        <f t="shared" si="362"/>
        <v>42622.04365445266</v>
      </c>
      <c r="AG359" s="5">
        <f t="shared" si="362"/>
        <v>42622.04365445266</v>
      </c>
      <c r="AH359" s="5">
        <f t="shared" si="362"/>
        <v>42622.04365445266</v>
      </c>
    </row>
    <row r="360" spans="1:34" x14ac:dyDescent="0.35">
      <c r="A360" t="s">
        <v>380</v>
      </c>
      <c r="B360" s="3" t="s">
        <v>1262</v>
      </c>
      <c r="C360" s="4" t="s">
        <v>1263</v>
      </c>
      <c r="D360" s="2">
        <f t="shared" si="326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ref="W360:AH360" si="363">IF(OR((SLOPE($E360:$V360,$E$1:$V$1)*W$1+INTERCEPT($E360:$V360,$E$1:$V$1))&gt;(AVERAGE($E360:$V360)+_xlfn.STDEV.P($E360:$V360)),(SLOPE($E360:$V360,$E$1:$V$1)*W$1+INTERCEPT($E360:$V360,$E$1:$V$1))&lt;(AVERAGE($E360:$V360)-_xlfn.STDEV.P($E360:$V360))),V360,(SLOPE($E360:$V360,$E$1:$V$1)*W$1+INTERCEPT($E360:$V360,$E$1:$V$1)))</f>
        <v>20029.283235294119</v>
      </c>
      <c r="X360" s="5">
        <f t="shared" si="363"/>
        <v>20079.26778637771</v>
      </c>
      <c r="Y360" s="5">
        <f t="shared" si="363"/>
        <v>20129.252337461301</v>
      </c>
      <c r="Z360" s="5">
        <f t="shared" si="363"/>
        <v>20179.236888544892</v>
      </c>
      <c r="AA360" s="5">
        <f t="shared" si="363"/>
        <v>20229.221439628483</v>
      </c>
      <c r="AB360" s="5">
        <f t="shared" si="363"/>
        <v>20279.205990712075</v>
      </c>
      <c r="AC360" s="5">
        <f t="shared" si="363"/>
        <v>20329.190541795666</v>
      </c>
      <c r="AD360" s="5">
        <f t="shared" si="363"/>
        <v>20379.175092879257</v>
      </c>
      <c r="AE360" s="5">
        <f t="shared" si="363"/>
        <v>20429.159643962848</v>
      </c>
      <c r="AF360" s="5">
        <f t="shared" si="363"/>
        <v>20479.14419504644</v>
      </c>
      <c r="AG360" s="5">
        <f t="shared" si="363"/>
        <v>20529.128746130031</v>
      </c>
      <c r="AH360" s="5">
        <f t="shared" si="363"/>
        <v>20579.113297213622</v>
      </c>
    </row>
    <row r="361" spans="1:34" x14ac:dyDescent="0.35">
      <c r="A361" t="s">
        <v>381</v>
      </c>
      <c r="B361" s="3" t="s">
        <v>1265</v>
      </c>
      <c r="C361" s="4" t="s">
        <v>1267</v>
      </c>
      <c r="D361" s="2">
        <f t="shared" si="326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ref="W361:AH361" si="364">IF(OR((SLOPE($E361:$V361,$E$1:$V$1)*W$1+INTERCEPT($E361:$V361,$E$1:$V$1))&gt;(AVERAGE($E361:$V361)+_xlfn.STDEV.P($E361:$V361)),(SLOPE($E361:$V361,$E$1:$V$1)*W$1+INTERCEPT($E361:$V361,$E$1:$V$1))&lt;(AVERAGE($E361:$V361)-_xlfn.STDEV.P($E361:$V361))),V361,(SLOPE($E361:$V361,$E$1:$V$1)*W$1+INTERCEPT($E361:$V361,$E$1:$V$1)))</f>
        <v>67554.572360529928</v>
      </c>
      <c r="X361" s="5">
        <f t="shared" si="364"/>
        <v>72583.587860332336</v>
      </c>
      <c r="Y361" s="5">
        <f t="shared" si="364"/>
        <v>77612.603360134744</v>
      </c>
      <c r="Z361" s="5">
        <f t="shared" si="364"/>
        <v>77612.603360134744</v>
      </c>
      <c r="AA361" s="5">
        <f t="shared" si="364"/>
        <v>77612.603360134744</v>
      </c>
      <c r="AB361" s="5">
        <f t="shared" si="364"/>
        <v>77612.603360134744</v>
      </c>
      <c r="AC361" s="5">
        <f t="shared" si="364"/>
        <v>77612.603360134744</v>
      </c>
      <c r="AD361" s="5">
        <f t="shared" si="364"/>
        <v>77612.603360134744</v>
      </c>
      <c r="AE361" s="5">
        <f t="shared" si="364"/>
        <v>77612.603360134744</v>
      </c>
      <c r="AF361" s="5">
        <f t="shared" si="364"/>
        <v>77612.603360134744</v>
      </c>
      <c r="AG361" s="5">
        <f t="shared" si="364"/>
        <v>77612.603360134744</v>
      </c>
      <c r="AH361" s="5">
        <f t="shared" si="364"/>
        <v>77612.603360134744</v>
      </c>
    </row>
    <row r="362" spans="1:34" x14ac:dyDescent="0.35">
      <c r="A362" t="s">
        <v>382</v>
      </c>
      <c r="B362" s="3" t="s">
        <v>1266</v>
      </c>
      <c r="C362" s="4" t="s">
        <v>1263</v>
      </c>
      <c r="D362" s="2">
        <f t="shared" si="326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ref="W362:AH362" si="365">IF(OR((SLOPE($E362:$V362,$E$1:$V$1)*W$1+INTERCEPT($E362:$V362,$E$1:$V$1))&gt;(AVERAGE($E362:$V362)+_xlfn.STDEV.P($E362:$V362)),(SLOPE($E362:$V362,$E$1:$V$1)*W$1+INTERCEPT($E362:$V362,$E$1:$V$1))&lt;(AVERAGE($E362:$V362)-_xlfn.STDEV.P($E362:$V362))),V362,(SLOPE($E362:$V362,$E$1:$V$1)*W$1+INTERCEPT($E362:$V362,$E$1:$V$1)))</f>
        <v>9055.0145843690589</v>
      </c>
      <c r="X362" s="5">
        <f t="shared" si="365"/>
        <v>7926.2058710759302</v>
      </c>
      <c r="Y362" s="5">
        <f t="shared" si="365"/>
        <v>6797.3971577828052</v>
      </c>
      <c r="Z362" s="5">
        <f t="shared" si="365"/>
        <v>5668.5884444896765</v>
      </c>
      <c r="AA362" s="5">
        <f t="shared" si="365"/>
        <v>4539.7797311965478</v>
      </c>
      <c r="AB362" s="5">
        <f t="shared" si="365"/>
        <v>3410.9710179034228</v>
      </c>
      <c r="AC362" s="5">
        <f t="shared" si="365"/>
        <v>2282.1623046102941</v>
      </c>
      <c r="AD362" s="5">
        <f t="shared" si="365"/>
        <v>1153.3535913171654</v>
      </c>
      <c r="AE362" s="5">
        <f t="shared" si="365"/>
        <v>24.544878024036734</v>
      </c>
      <c r="AF362" s="5">
        <f t="shared" si="365"/>
        <v>-1104.2638352690883</v>
      </c>
      <c r="AG362" s="5">
        <f t="shared" si="365"/>
        <v>-2233.072548562217</v>
      </c>
      <c r="AH362" s="5">
        <f t="shared" si="365"/>
        <v>-3361.881261855342</v>
      </c>
    </row>
    <row r="363" spans="1:34" x14ac:dyDescent="0.35">
      <c r="A363" t="s">
        <v>383</v>
      </c>
      <c r="B363" s="3" t="s">
        <v>1266</v>
      </c>
      <c r="C363" s="4" t="s">
        <v>1267</v>
      </c>
      <c r="D363" s="2">
        <f t="shared" si="326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ref="W363:AH363" si="366">IF(OR((SLOPE($E363:$V363,$E$1:$V$1)*W$1+INTERCEPT($E363:$V363,$E$1:$V$1))&gt;(AVERAGE($E363:$V363)+_xlfn.STDEV.P($E363:$V363)),(SLOPE($E363:$V363,$E$1:$V$1)*W$1+INTERCEPT($E363:$V363,$E$1:$V$1))&lt;(AVERAGE($E363:$V363)-_xlfn.STDEV.P($E363:$V363))),V363,(SLOPE($E363:$V363,$E$1:$V$1)*W$1+INTERCEPT($E363:$V363,$E$1:$V$1)))</f>
        <v>37102.40386425703</v>
      </c>
      <c r="X363" s="5">
        <f t="shared" si="366"/>
        <v>38933.114581243397</v>
      </c>
      <c r="Y363" s="5">
        <f t="shared" si="366"/>
        <v>40763.825298229764</v>
      </c>
      <c r="Z363" s="5">
        <f t="shared" si="366"/>
        <v>42594.53601521613</v>
      </c>
      <c r="AA363" s="5">
        <f t="shared" si="366"/>
        <v>44425.246732202497</v>
      </c>
      <c r="AB363" s="5">
        <f t="shared" si="366"/>
        <v>46255.957449188871</v>
      </c>
      <c r="AC363" s="5">
        <f t="shared" si="366"/>
        <v>48086.668166175237</v>
      </c>
      <c r="AD363" s="5">
        <f t="shared" si="366"/>
        <v>49917.378883161604</v>
      </c>
      <c r="AE363" s="5">
        <f t="shared" si="366"/>
        <v>51748.08960014797</v>
      </c>
      <c r="AF363" s="5">
        <f t="shared" si="366"/>
        <v>53578.800317134337</v>
      </c>
      <c r="AG363" s="5">
        <f t="shared" si="366"/>
        <v>55409.511034120704</v>
      </c>
      <c r="AH363" s="5">
        <f t="shared" si="366"/>
        <v>57240.22175110707</v>
      </c>
    </row>
    <row r="364" spans="1:34" x14ac:dyDescent="0.35">
      <c r="A364" t="s">
        <v>384</v>
      </c>
      <c r="B364" s="3" t="s">
        <v>1262</v>
      </c>
      <c r="C364" s="4" t="s">
        <v>1263</v>
      </c>
      <c r="D364" s="2">
        <f t="shared" si="326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ref="W364:AH364" si="367">IF(OR((SLOPE($E364:$V364,$E$1:$V$1)*W$1+INTERCEPT($E364:$V364,$E$1:$V$1))&gt;(AVERAGE($E364:$V364)+_xlfn.STDEV.P($E364:$V364)),(SLOPE($E364:$V364,$E$1:$V$1)*W$1+INTERCEPT($E364:$V364,$E$1:$V$1))&lt;(AVERAGE($E364:$V364)-_xlfn.STDEV.P($E364:$V364))),V364,(SLOPE($E364:$V364,$E$1:$V$1)*W$1+INTERCEPT($E364:$V364,$E$1:$V$1)))</f>
        <v>11000.741195294126</v>
      </c>
      <c r="X364" s="5">
        <f t="shared" si="367"/>
        <v>10129.180580061926</v>
      </c>
      <c r="Y364" s="5">
        <f t="shared" si="367"/>
        <v>9257.6199648297261</v>
      </c>
      <c r="Z364" s="5">
        <f t="shared" si="367"/>
        <v>8386.0593495975299</v>
      </c>
      <c r="AA364" s="5">
        <f t="shared" si="367"/>
        <v>7514.4987343653338</v>
      </c>
      <c r="AB364" s="5">
        <f t="shared" si="367"/>
        <v>6642.938119133134</v>
      </c>
      <c r="AC364" s="5">
        <f t="shared" si="367"/>
        <v>6642.938119133134</v>
      </c>
      <c r="AD364" s="5">
        <f t="shared" si="367"/>
        <v>6642.938119133134</v>
      </c>
      <c r="AE364" s="5">
        <f t="shared" si="367"/>
        <v>6642.938119133134</v>
      </c>
      <c r="AF364" s="5">
        <f t="shared" si="367"/>
        <v>6642.938119133134</v>
      </c>
      <c r="AG364" s="5">
        <f t="shared" si="367"/>
        <v>6642.938119133134</v>
      </c>
      <c r="AH364" s="5">
        <f t="shared" si="367"/>
        <v>6642.938119133134</v>
      </c>
    </row>
    <row r="365" spans="1:34" x14ac:dyDescent="0.35">
      <c r="A365" t="s">
        <v>385</v>
      </c>
      <c r="B365" s="3" t="s">
        <v>1266</v>
      </c>
      <c r="C365" s="4" t="s">
        <v>1263</v>
      </c>
      <c r="D365" s="2">
        <f t="shared" si="326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ref="W365:AH365" si="368">IF(OR((SLOPE($E365:$V365,$E$1:$V$1)*W$1+INTERCEPT($E365:$V365,$E$1:$V$1))&gt;(AVERAGE($E365:$V365)+_xlfn.STDEV.P($E365:$V365)),(SLOPE($E365:$V365,$E$1:$V$1)*W$1+INTERCEPT($E365:$V365,$E$1:$V$1))&lt;(AVERAGE($E365:$V365)-_xlfn.STDEV.P($E365:$V365))),V365,(SLOPE($E365:$V365,$E$1:$V$1)*W$1+INTERCEPT($E365:$V365,$E$1:$V$1)))</f>
        <v>16650.832368726991</v>
      </c>
      <c r="X365" s="5">
        <f t="shared" si="368"/>
        <v>16349.480353229319</v>
      </c>
      <c r="Y365" s="5">
        <f t="shared" si="368"/>
        <v>16048.128337731647</v>
      </c>
      <c r="Z365" s="5">
        <f t="shared" si="368"/>
        <v>15746.776322233973</v>
      </c>
      <c r="AA365" s="5">
        <f t="shared" si="368"/>
        <v>15445.4243067363</v>
      </c>
      <c r="AB365" s="5">
        <f t="shared" si="368"/>
        <v>15144.072291238626</v>
      </c>
      <c r="AC365" s="5">
        <f t="shared" si="368"/>
        <v>14842.720275740954</v>
      </c>
      <c r="AD365" s="5">
        <f t="shared" si="368"/>
        <v>14541.368260243282</v>
      </c>
      <c r="AE365" s="5">
        <f t="shared" si="368"/>
        <v>14240.01624474561</v>
      </c>
      <c r="AF365" s="5">
        <f t="shared" si="368"/>
        <v>13938.664229247936</v>
      </c>
      <c r="AG365" s="5">
        <f t="shared" si="368"/>
        <v>13637.312213750263</v>
      </c>
      <c r="AH365" s="5">
        <f t="shared" si="368"/>
        <v>13335.960198252591</v>
      </c>
    </row>
    <row r="366" spans="1:34" x14ac:dyDescent="0.35">
      <c r="A366" t="s">
        <v>386</v>
      </c>
      <c r="B366" s="3" t="s">
        <v>1265</v>
      </c>
      <c r="C366" s="4" t="s">
        <v>1263</v>
      </c>
      <c r="D366" s="2">
        <f t="shared" si="326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ref="W366:AH366" si="369">IF(OR((SLOPE($E366:$V366,$E$1:$V$1)*W$1+INTERCEPT($E366:$V366,$E$1:$V$1))&gt;(AVERAGE($E366:$V366)+_xlfn.STDEV.P($E366:$V366)),(SLOPE($E366:$V366,$E$1:$V$1)*W$1+INTERCEPT($E366:$V366,$E$1:$V$1))&lt;(AVERAGE($E366:$V366)-_xlfn.STDEV.P($E366:$V366))),V366,(SLOPE($E366:$V366,$E$1:$V$1)*W$1+INTERCEPT($E366:$V366,$E$1:$V$1)))</f>
        <v>13082.285121898776</v>
      </c>
      <c r="X366" s="5">
        <f t="shared" si="369"/>
        <v>12410.360022381448</v>
      </c>
      <c r="Y366" s="5">
        <f t="shared" si="369"/>
        <v>11738.43492286412</v>
      </c>
      <c r="Z366" s="5">
        <f t="shared" si="369"/>
        <v>11066.509823346791</v>
      </c>
      <c r="AA366" s="5">
        <f t="shared" si="369"/>
        <v>10394.584723829463</v>
      </c>
      <c r="AB366" s="5">
        <f t="shared" si="369"/>
        <v>9722.6596243121348</v>
      </c>
      <c r="AC366" s="5">
        <f t="shared" si="369"/>
        <v>9050.7345247948069</v>
      </c>
      <c r="AD366" s="5">
        <f t="shared" si="369"/>
        <v>8378.809425277479</v>
      </c>
      <c r="AE366" s="5">
        <f t="shared" si="369"/>
        <v>7706.8843257601511</v>
      </c>
      <c r="AF366" s="5">
        <f t="shared" si="369"/>
        <v>7034.9592262428196</v>
      </c>
      <c r="AG366" s="5">
        <f t="shared" si="369"/>
        <v>6363.0341267254917</v>
      </c>
      <c r="AH366" s="5">
        <f t="shared" si="369"/>
        <v>5691.1090272081638</v>
      </c>
    </row>
    <row r="367" spans="1:34" x14ac:dyDescent="0.35">
      <c r="A367" t="s">
        <v>387</v>
      </c>
      <c r="B367" s="3" t="s">
        <v>1266</v>
      </c>
      <c r="C367" s="4" t="s">
        <v>1263</v>
      </c>
      <c r="D367" s="2">
        <f t="shared" si="326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ref="W367:AH367" si="370">IF(OR((SLOPE($E367:$V367,$E$1:$V$1)*W$1+INTERCEPT($E367:$V367,$E$1:$V$1))&gt;(AVERAGE($E367:$V367)+_xlfn.STDEV.P($E367:$V367)),(SLOPE($E367:$V367,$E$1:$V$1)*W$1+INTERCEPT($E367:$V367,$E$1:$V$1))&lt;(AVERAGE($E367:$V367)-_xlfn.STDEV.P($E367:$V367))),V367,(SLOPE($E367:$V367,$E$1:$V$1)*W$1+INTERCEPT($E367:$V367,$E$1:$V$1)))</f>
        <v>3746.9410562244375</v>
      </c>
      <c r="X367" s="5">
        <f t="shared" si="370"/>
        <v>2089.1678132783418</v>
      </c>
      <c r="Y367" s="5">
        <f t="shared" si="370"/>
        <v>431.39457033224608</v>
      </c>
      <c r="Z367" s="5">
        <f t="shared" si="370"/>
        <v>-1226.3786726138496</v>
      </c>
      <c r="AA367" s="5">
        <f t="shared" si="370"/>
        <v>-2884.1519155599526</v>
      </c>
      <c r="AB367" s="5">
        <f t="shared" si="370"/>
        <v>-4541.9251585060483</v>
      </c>
      <c r="AC367" s="5">
        <f t="shared" si="370"/>
        <v>-6199.698401452144</v>
      </c>
      <c r="AD367" s="5">
        <f t="shared" si="370"/>
        <v>-7857.4716443982397</v>
      </c>
      <c r="AE367" s="5">
        <f t="shared" si="370"/>
        <v>-9515.2448873443354</v>
      </c>
      <c r="AF367" s="5">
        <f t="shared" si="370"/>
        <v>-11173.018130290431</v>
      </c>
      <c r="AG367" s="5">
        <f t="shared" si="370"/>
        <v>-12830.791373236534</v>
      </c>
      <c r="AH367" s="5">
        <f t="shared" si="370"/>
        <v>-14488.56461618263</v>
      </c>
    </row>
    <row r="368" spans="1:34" x14ac:dyDescent="0.35">
      <c r="A368" t="s">
        <v>388</v>
      </c>
      <c r="B368" s="3" t="s">
        <v>1265</v>
      </c>
      <c r="C368" s="4" t="s">
        <v>1263</v>
      </c>
      <c r="D368" s="2">
        <f t="shared" si="326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ref="W368:AH368" si="371">IF(OR((SLOPE($E368:$V368,$E$1:$V$1)*W$1+INTERCEPT($E368:$V368,$E$1:$V$1))&gt;(AVERAGE($E368:$V368)+_xlfn.STDEV.P($E368:$V368)),(SLOPE($E368:$V368,$E$1:$V$1)*W$1+INTERCEPT($E368:$V368,$E$1:$V$1))&lt;(AVERAGE($E368:$V368)-_xlfn.STDEV.P($E368:$V368))),V368,(SLOPE($E368:$V368,$E$1:$V$1)*W$1+INTERCEPT($E368:$V368,$E$1:$V$1)))</f>
        <v>15126.309992156859</v>
      </c>
      <c r="X368" s="5">
        <f t="shared" si="371"/>
        <v>14692.639380804951</v>
      </c>
      <c r="Y368" s="5">
        <f t="shared" si="371"/>
        <v>14258.96876945304</v>
      </c>
      <c r="Z368" s="5">
        <f t="shared" si="371"/>
        <v>13825.298158101132</v>
      </c>
      <c r="AA368" s="5">
        <f t="shared" si="371"/>
        <v>13391.627546749223</v>
      </c>
      <c r="AB368" s="5">
        <f t="shared" si="371"/>
        <v>12957.956935397313</v>
      </c>
      <c r="AC368" s="5">
        <f t="shared" si="371"/>
        <v>12524.286324045404</v>
      </c>
      <c r="AD368" s="5">
        <f t="shared" si="371"/>
        <v>12090.615712693494</v>
      </c>
      <c r="AE368" s="5">
        <f t="shared" si="371"/>
        <v>11656.945101341586</v>
      </c>
      <c r="AF368" s="5">
        <f t="shared" si="371"/>
        <v>11223.274489989677</v>
      </c>
      <c r="AG368" s="5">
        <f t="shared" si="371"/>
        <v>10789.603878637767</v>
      </c>
      <c r="AH368" s="5">
        <f t="shared" si="371"/>
        <v>10355.933267285858</v>
      </c>
    </row>
    <row r="369" spans="1:34" x14ac:dyDescent="0.35">
      <c r="A369" t="s">
        <v>389</v>
      </c>
      <c r="B369" s="3" t="s">
        <v>1262</v>
      </c>
      <c r="C369" s="4" t="s">
        <v>1263</v>
      </c>
      <c r="D369" s="2">
        <f t="shared" si="326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ref="W369:AH369" si="372">IF(OR((SLOPE($E369:$V369,$E$1:$V$1)*W$1+INTERCEPT($E369:$V369,$E$1:$V$1))&gt;(AVERAGE($E369:$V369)+_xlfn.STDEV.P($E369:$V369)),(SLOPE($E369:$V369,$E$1:$V$1)*W$1+INTERCEPT($E369:$V369,$E$1:$V$1))&lt;(AVERAGE($E369:$V369)-_xlfn.STDEV.P($E369:$V369))),V369,(SLOPE($E369:$V369,$E$1:$V$1)*W$1+INTERCEPT($E369:$V369,$E$1:$V$1)))</f>
        <v>20040.103588235299</v>
      </c>
      <c r="X369" s="5">
        <f t="shared" si="372"/>
        <v>20151.417176470593</v>
      </c>
      <c r="Y369" s="5">
        <f t="shared" si="372"/>
        <v>20262.730764705888</v>
      </c>
      <c r="Z369" s="5">
        <f t="shared" si="372"/>
        <v>20374.044352941179</v>
      </c>
      <c r="AA369" s="5">
        <f t="shared" si="372"/>
        <v>20485.357941176473</v>
      </c>
      <c r="AB369" s="5">
        <f t="shared" si="372"/>
        <v>20596.671529411768</v>
      </c>
      <c r="AC369" s="5">
        <f t="shared" si="372"/>
        <v>20707.985117647062</v>
      </c>
      <c r="AD369" s="5">
        <f t="shared" si="372"/>
        <v>20819.298705882356</v>
      </c>
      <c r="AE369" s="5">
        <f t="shared" si="372"/>
        <v>20930.612294117651</v>
      </c>
      <c r="AF369" s="5">
        <f t="shared" si="372"/>
        <v>21041.925882352945</v>
      </c>
      <c r="AG369" s="5">
        <f t="shared" si="372"/>
        <v>21153.23947058824</v>
      </c>
      <c r="AH369" s="5">
        <f t="shared" si="372"/>
        <v>21264.553058823534</v>
      </c>
    </row>
    <row r="370" spans="1:34" x14ac:dyDescent="0.35">
      <c r="A370" t="s">
        <v>390</v>
      </c>
      <c r="B370" s="3" t="s">
        <v>1265</v>
      </c>
      <c r="C370" s="4" t="s">
        <v>1263</v>
      </c>
      <c r="D370" s="2">
        <f t="shared" si="326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ref="W370:AH370" si="373">IF(OR((SLOPE($E370:$V370,$E$1:$V$1)*W$1+INTERCEPT($E370:$V370,$E$1:$V$1))&gt;(AVERAGE($E370:$V370)+_xlfn.STDEV.P($E370:$V370)),(SLOPE($E370:$V370,$E$1:$V$1)*W$1+INTERCEPT($E370:$V370,$E$1:$V$1))&lt;(AVERAGE($E370:$V370)-_xlfn.STDEV.P($E370:$V370))),V370,(SLOPE($E370:$V370,$E$1:$V$1)*W$1+INTERCEPT($E370:$V370,$E$1:$V$1)))</f>
        <v>5985.2183039716174</v>
      </c>
      <c r="X370" s="5">
        <f t="shared" si="373"/>
        <v>5985.2183039716174</v>
      </c>
      <c r="Y370" s="5">
        <f t="shared" si="373"/>
        <v>5985.2183039716174</v>
      </c>
      <c r="Z370" s="5">
        <f t="shared" si="373"/>
        <v>5985.2183039716174</v>
      </c>
      <c r="AA370" s="5">
        <f t="shared" si="373"/>
        <v>5985.2183039716174</v>
      </c>
      <c r="AB370" s="5">
        <f t="shared" si="373"/>
        <v>5985.2183039716174</v>
      </c>
      <c r="AC370" s="5">
        <f t="shared" si="373"/>
        <v>5985.2183039716174</v>
      </c>
      <c r="AD370" s="5">
        <f t="shared" si="373"/>
        <v>5985.2183039716174</v>
      </c>
      <c r="AE370" s="5">
        <f t="shared" si="373"/>
        <v>5985.2183039716174</v>
      </c>
      <c r="AF370" s="5">
        <f t="shared" si="373"/>
        <v>5985.2183039716174</v>
      </c>
      <c r="AG370" s="5">
        <f t="shared" si="373"/>
        <v>5985.2183039716174</v>
      </c>
      <c r="AH370" s="5">
        <f t="shared" si="373"/>
        <v>5985.2183039716174</v>
      </c>
    </row>
    <row r="371" spans="1:34" x14ac:dyDescent="0.35">
      <c r="A371" t="s">
        <v>391</v>
      </c>
      <c r="B371" s="3" t="s">
        <v>1265</v>
      </c>
      <c r="C371" s="4" t="s">
        <v>1263</v>
      </c>
      <c r="D371" s="2">
        <f t="shared" si="326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ref="W371:AH371" si="374">IF(OR((SLOPE($E371:$V371,$E$1:$V$1)*W$1+INTERCEPT($E371:$V371,$E$1:$V$1))&gt;(AVERAGE($E371:$V371)+_xlfn.STDEV.P($E371:$V371)),(SLOPE($E371:$V371,$E$1:$V$1)*W$1+INTERCEPT($E371:$V371,$E$1:$V$1))&lt;(AVERAGE($E371:$V371)-_xlfn.STDEV.P($E371:$V371))),V371,(SLOPE($E371:$V371,$E$1:$V$1)*W$1+INTERCEPT($E371:$V371,$E$1:$V$1)))</f>
        <v>50050.55999999999</v>
      </c>
      <c r="X371" s="5">
        <f t="shared" si="374"/>
        <v>50050.55999999999</v>
      </c>
      <c r="Y371" s="5">
        <f t="shared" si="374"/>
        <v>50050.55999999999</v>
      </c>
      <c r="Z371" s="5">
        <f t="shared" si="374"/>
        <v>50050.55999999999</v>
      </c>
      <c r="AA371" s="5">
        <f t="shared" si="374"/>
        <v>50050.55999999999</v>
      </c>
      <c r="AB371" s="5">
        <f t="shared" si="374"/>
        <v>50050.55999999999</v>
      </c>
      <c r="AC371" s="5">
        <f t="shared" si="374"/>
        <v>50050.55999999999</v>
      </c>
      <c r="AD371" s="5">
        <f t="shared" si="374"/>
        <v>50050.55999999999</v>
      </c>
      <c r="AE371" s="5">
        <f t="shared" si="374"/>
        <v>50050.55999999999</v>
      </c>
      <c r="AF371" s="5">
        <f t="shared" si="374"/>
        <v>50050.55999999999</v>
      </c>
      <c r="AG371" s="5">
        <f t="shared" si="374"/>
        <v>50050.55999999999</v>
      </c>
      <c r="AH371" s="5">
        <f t="shared" si="374"/>
        <v>50050.55999999999</v>
      </c>
    </row>
    <row r="372" spans="1:34" x14ac:dyDescent="0.35">
      <c r="A372" t="s">
        <v>392</v>
      </c>
      <c r="B372" s="3" t="s">
        <v>1265</v>
      </c>
      <c r="C372" s="4" t="s">
        <v>1263</v>
      </c>
      <c r="D372" s="2">
        <f t="shared" si="326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ref="W372:AH372" si="375">IF(OR((SLOPE($E372:$V372,$E$1:$V$1)*W$1+INTERCEPT($E372:$V372,$E$1:$V$1))&gt;(AVERAGE($E372:$V372)+_xlfn.STDEV.P($E372:$V372)),(SLOPE($E372:$V372,$E$1:$V$1)*W$1+INTERCEPT($E372:$V372,$E$1:$V$1))&lt;(AVERAGE($E372:$V372)-_xlfn.STDEV.P($E372:$V372))),V372,(SLOPE($E372:$V372,$E$1:$V$1)*W$1+INTERCEPT($E372:$V372,$E$1:$V$1)))</f>
        <v>20368.395137083426</v>
      </c>
      <c r="X372" s="5">
        <f t="shared" si="375"/>
        <v>20521.388576252353</v>
      </c>
      <c r="Y372" s="5">
        <f t="shared" si="375"/>
        <v>20674.382015421284</v>
      </c>
      <c r="Z372" s="5">
        <f t="shared" si="375"/>
        <v>20827.375454590212</v>
      </c>
      <c r="AA372" s="5">
        <f t="shared" si="375"/>
        <v>20980.368893759143</v>
      </c>
      <c r="AB372" s="5">
        <f t="shared" si="375"/>
        <v>21133.362332928071</v>
      </c>
      <c r="AC372" s="5">
        <f t="shared" si="375"/>
        <v>21286.355772096998</v>
      </c>
      <c r="AD372" s="5">
        <f t="shared" si="375"/>
        <v>21439.34921126593</v>
      </c>
      <c r="AE372" s="5">
        <f t="shared" si="375"/>
        <v>21592.342650434861</v>
      </c>
      <c r="AF372" s="5">
        <f t="shared" si="375"/>
        <v>21745.336089603788</v>
      </c>
      <c r="AG372" s="5">
        <f t="shared" si="375"/>
        <v>21898.329528772716</v>
      </c>
      <c r="AH372" s="5">
        <f t="shared" si="375"/>
        <v>22051.322967941647</v>
      </c>
    </row>
    <row r="373" spans="1:34" x14ac:dyDescent="0.35">
      <c r="A373" t="s">
        <v>393</v>
      </c>
      <c r="B373" s="3" t="s">
        <v>1266</v>
      </c>
      <c r="C373" s="4" t="s">
        <v>1267</v>
      </c>
      <c r="D373" s="2">
        <f t="shared" si="326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H373" si="376">IF(OR((SLOPE($E373:$V373,$E$1:$V$1)*W$1+INTERCEPT($E373:$V373,$E$1:$V$1))&gt;(AVERAGE($E373:$V373)+_xlfn.STDEV.P($E373:$V373)),(SLOPE($E373:$V373,$E$1:$V$1)*W$1+INTERCEPT($E373:$V373,$E$1:$V$1))&lt;(AVERAGE($E373:$V373)-_xlfn.STDEV.P($E373:$V373))),V373,(SLOPE($E373:$V373,$E$1:$V$1)*W$1+INTERCEPT($E373:$V373,$E$1:$V$1)))</f>
        <v>16322.018199136957</v>
      </c>
      <c r="X373" s="5">
        <f t="shared" si="376"/>
        <v>16034.977844347994</v>
      </c>
      <c r="Y373" s="5">
        <f t="shared" si="376"/>
        <v>15747.93748955903</v>
      </c>
      <c r="Z373" s="5">
        <f t="shared" si="376"/>
        <v>15460.897134770064</v>
      </c>
      <c r="AA373" s="5">
        <f t="shared" si="376"/>
        <v>15173.856779981101</v>
      </c>
      <c r="AB373" s="5">
        <f t="shared" si="376"/>
        <v>14886.816425192137</v>
      </c>
      <c r="AC373" s="5">
        <f t="shared" si="376"/>
        <v>14599.776070403173</v>
      </c>
      <c r="AD373" s="5">
        <f t="shared" si="376"/>
        <v>14312.73571561421</v>
      </c>
      <c r="AE373" s="5">
        <f t="shared" si="376"/>
        <v>14025.695360825244</v>
      </c>
      <c r="AF373" s="5">
        <f t="shared" si="376"/>
        <v>13738.655006036281</v>
      </c>
      <c r="AG373" s="5">
        <f t="shared" si="376"/>
        <v>13451.614651247317</v>
      </c>
      <c r="AH373" s="5">
        <f t="shared" si="376"/>
        <v>13164.574296458351</v>
      </c>
    </row>
    <row r="374" spans="1:34" x14ac:dyDescent="0.35">
      <c r="A374" t="s">
        <v>394</v>
      </c>
      <c r="B374" s="3" t="s">
        <v>1266</v>
      </c>
      <c r="C374" s="4" t="s">
        <v>1263</v>
      </c>
      <c r="D374" s="2">
        <f t="shared" si="326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ref="W374:AH374" si="377">IF(OR((SLOPE($E374:$V374,$E$1:$V$1)*W$1+INTERCEPT($E374:$V374,$E$1:$V$1))&gt;(AVERAGE($E374:$V374)+_xlfn.STDEV.P($E374:$V374)),(SLOPE($E374:$V374,$E$1:$V$1)*W$1+INTERCEPT($E374:$V374,$E$1:$V$1))&lt;(AVERAGE($E374:$V374)-_xlfn.STDEV.P($E374:$V374))),V374,(SLOPE($E374:$V374,$E$1:$V$1)*W$1+INTERCEPT($E374:$V374,$E$1:$V$1)))</f>
        <v>-25090.915403921565</v>
      </c>
      <c r="X374" s="5">
        <f t="shared" si="377"/>
        <v>-29721.748421878219</v>
      </c>
      <c r="Y374" s="5">
        <f t="shared" si="377"/>
        <v>-34352.581439834888</v>
      </c>
      <c r="Z374" s="5">
        <f t="shared" si="377"/>
        <v>-38983.414457791543</v>
      </c>
      <c r="AA374" s="5">
        <f t="shared" si="377"/>
        <v>-43614.247475748198</v>
      </c>
      <c r="AB374" s="5">
        <f t="shared" si="377"/>
        <v>-48245.080493704852</v>
      </c>
      <c r="AC374" s="5">
        <f t="shared" si="377"/>
        <v>-48245.080493704852</v>
      </c>
      <c r="AD374" s="5">
        <f t="shared" si="377"/>
        <v>-48245.080493704852</v>
      </c>
      <c r="AE374" s="5">
        <f t="shared" si="377"/>
        <v>-48245.080493704852</v>
      </c>
      <c r="AF374" s="5">
        <f t="shared" si="377"/>
        <v>-48245.080493704852</v>
      </c>
      <c r="AG374" s="5">
        <f t="shared" si="377"/>
        <v>-48245.080493704852</v>
      </c>
      <c r="AH374" s="5">
        <f t="shared" si="377"/>
        <v>-48245.080493704852</v>
      </c>
    </row>
    <row r="375" spans="1:34" x14ac:dyDescent="0.35">
      <c r="A375" t="s">
        <v>395</v>
      </c>
      <c r="B375" s="3" t="s">
        <v>1266</v>
      </c>
      <c r="C375" s="4" t="s">
        <v>1267</v>
      </c>
      <c r="D375" s="2">
        <f t="shared" si="326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ref="W375:AH375" si="378">IF(OR((SLOPE($E375:$V375,$E$1:$V$1)*W$1+INTERCEPT($E375:$V375,$E$1:$V$1))&gt;(AVERAGE($E375:$V375)+_xlfn.STDEV.P($E375:$V375)),(SLOPE($E375:$V375,$E$1:$V$1)*W$1+INTERCEPT($E375:$V375,$E$1:$V$1))&lt;(AVERAGE($E375:$V375)-_xlfn.STDEV.P($E375:$V375))),V375,(SLOPE($E375:$V375,$E$1:$V$1)*W$1+INTERCEPT($E375:$V375,$E$1:$V$1)))</f>
        <v>11616.848815202846</v>
      </c>
      <c r="X375" s="5">
        <f t="shared" si="378"/>
        <v>10850.161273001693</v>
      </c>
      <c r="Y375" s="5">
        <f t="shared" si="378"/>
        <v>10083.473730800539</v>
      </c>
      <c r="Z375" s="5">
        <f t="shared" si="378"/>
        <v>9316.786188599388</v>
      </c>
      <c r="AA375" s="5">
        <f t="shared" si="378"/>
        <v>8550.0986463982335</v>
      </c>
      <c r="AB375" s="5">
        <f t="shared" si="378"/>
        <v>7783.4111041970791</v>
      </c>
      <c r="AC375" s="5">
        <f t="shared" si="378"/>
        <v>7016.7235619959283</v>
      </c>
      <c r="AD375" s="5">
        <f t="shared" si="378"/>
        <v>6250.0360197947739</v>
      </c>
      <c r="AE375" s="5">
        <f t="shared" si="378"/>
        <v>5483.3484775936195</v>
      </c>
      <c r="AF375" s="5">
        <f t="shared" si="378"/>
        <v>4716.6609353924687</v>
      </c>
      <c r="AG375" s="5">
        <f t="shared" si="378"/>
        <v>3949.9733931913142</v>
      </c>
      <c r="AH375" s="5">
        <f t="shared" si="378"/>
        <v>3183.2858509901598</v>
      </c>
    </row>
    <row r="376" spans="1:34" x14ac:dyDescent="0.35">
      <c r="A376" t="s">
        <v>396</v>
      </c>
      <c r="B376" s="3" t="s">
        <v>1264</v>
      </c>
      <c r="C376" s="4" t="s">
        <v>1263</v>
      </c>
      <c r="D376" s="2">
        <f t="shared" si="326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ref="W376:AH376" si="379">IF(OR((SLOPE($E376:$V376,$E$1:$V$1)*W$1+INTERCEPT($E376:$V376,$E$1:$V$1))&gt;(AVERAGE($E376:$V376)+_xlfn.STDEV.P($E376:$V376)),(SLOPE($E376:$V376,$E$1:$V$1)*W$1+INTERCEPT($E376:$V376,$E$1:$V$1))&lt;(AVERAGE($E376:$V376)-_xlfn.STDEV.P($E376:$V376))),V376,(SLOPE($E376:$V376,$E$1:$V$1)*W$1+INTERCEPT($E376:$V376,$E$1:$V$1)))</f>
        <v>59246.30241454138</v>
      </c>
      <c r="X376" s="5">
        <f t="shared" si="379"/>
        <v>59246.30241454138</v>
      </c>
      <c r="Y376" s="5">
        <f t="shared" si="379"/>
        <v>59246.30241454138</v>
      </c>
      <c r="Z376" s="5">
        <f t="shared" si="379"/>
        <v>59246.30241454138</v>
      </c>
      <c r="AA376" s="5">
        <f t="shared" si="379"/>
        <v>59246.30241454138</v>
      </c>
      <c r="AB376" s="5">
        <f t="shared" si="379"/>
        <v>59246.30241454138</v>
      </c>
      <c r="AC376" s="5">
        <f t="shared" si="379"/>
        <v>59246.30241454138</v>
      </c>
      <c r="AD376" s="5">
        <f t="shared" si="379"/>
        <v>59246.30241454138</v>
      </c>
      <c r="AE376" s="5">
        <f t="shared" si="379"/>
        <v>59246.30241454138</v>
      </c>
      <c r="AF376" s="5">
        <f t="shared" si="379"/>
        <v>59246.30241454138</v>
      </c>
      <c r="AG376" s="5">
        <f t="shared" si="379"/>
        <v>59246.30241454138</v>
      </c>
      <c r="AH376" s="5">
        <f t="shared" si="379"/>
        <v>59246.30241454138</v>
      </c>
    </row>
    <row r="377" spans="1:34" x14ac:dyDescent="0.35">
      <c r="A377" t="s">
        <v>397</v>
      </c>
      <c r="B377" s="3" t="s">
        <v>1266</v>
      </c>
      <c r="C377" s="4" t="s">
        <v>1267</v>
      </c>
      <c r="D377" s="2">
        <f t="shared" si="326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ref="W377:AH377" si="380">IF(OR((SLOPE($E377:$V377,$E$1:$V$1)*W$1+INTERCEPT($E377:$V377,$E$1:$V$1))&gt;(AVERAGE($E377:$V377)+_xlfn.STDEV.P($E377:$V377)),(SLOPE($E377:$V377,$E$1:$V$1)*W$1+INTERCEPT($E377:$V377,$E$1:$V$1))&lt;(AVERAGE($E377:$V377)-_xlfn.STDEV.P($E377:$V377))),V377,(SLOPE($E377:$V377,$E$1:$V$1)*W$1+INTERCEPT($E377:$V377,$E$1:$V$1)))</f>
        <v>16235.76964594363</v>
      </c>
      <c r="X377" s="5">
        <f t="shared" si="380"/>
        <v>15976.628411221722</v>
      </c>
      <c r="Y377" s="5">
        <f t="shared" si="380"/>
        <v>15717.487176499813</v>
      </c>
      <c r="Z377" s="5">
        <f t="shared" si="380"/>
        <v>15458.345941777905</v>
      </c>
      <c r="AA377" s="5">
        <f t="shared" si="380"/>
        <v>15199.204707055997</v>
      </c>
      <c r="AB377" s="5">
        <f t="shared" si="380"/>
        <v>14940.06347233409</v>
      </c>
      <c r="AC377" s="5">
        <f t="shared" si="380"/>
        <v>14680.922237612182</v>
      </c>
      <c r="AD377" s="5">
        <f t="shared" si="380"/>
        <v>14421.781002890275</v>
      </c>
      <c r="AE377" s="5">
        <f t="shared" si="380"/>
        <v>14162.639768168367</v>
      </c>
      <c r="AF377" s="5">
        <f t="shared" si="380"/>
        <v>13903.498533446458</v>
      </c>
      <c r="AG377" s="5">
        <f t="shared" si="380"/>
        <v>13644.35729872455</v>
      </c>
      <c r="AH377" s="5">
        <f t="shared" si="380"/>
        <v>13385.216064002641</v>
      </c>
    </row>
    <row r="378" spans="1:34" x14ac:dyDescent="0.35">
      <c r="A378" t="s">
        <v>398</v>
      </c>
      <c r="B378" s="3" t="s">
        <v>1266</v>
      </c>
      <c r="C378" s="4" t="s">
        <v>1267</v>
      </c>
      <c r="D378" s="2">
        <f t="shared" si="326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ref="W378:AH378" si="381">IF(OR((SLOPE($E378:$V378,$E$1:$V$1)*W$1+INTERCEPT($E378:$V378,$E$1:$V$1))&gt;(AVERAGE($E378:$V378)+_xlfn.STDEV.P($E378:$V378)),(SLOPE($E378:$V378,$E$1:$V$1)*W$1+INTERCEPT($E378:$V378,$E$1:$V$1))&lt;(AVERAGE($E378:$V378)-_xlfn.STDEV.P($E378:$V378))),V378,(SLOPE($E378:$V378,$E$1:$V$1)*W$1+INTERCEPT($E378:$V378,$E$1:$V$1)))</f>
        <v>44595.07019232068</v>
      </c>
      <c r="X378" s="5">
        <f t="shared" si="381"/>
        <v>47345.197093530602</v>
      </c>
      <c r="Y378" s="5">
        <f t="shared" si="381"/>
        <v>50095.323994740531</v>
      </c>
      <c r="Z378" s="5">
        <f t="shared" si="381"/>
        <v>52845.450895950453</v>
      </c>
      <c r="AA378" s="5">
        <f t="shared" si="381"/>
        <v>55595.577797160375</v>
      </c>
      <c r="AB378" s="5">
        <f t="shared" si="381"/>
        <v>58345.704698370304</v>
      </c>
      <c r="AC378" s="5">
        <f t="shared" si="381"/>
        <v>61095.831599580226</v>
      </c>
      <c r="AD378" s="5">
        <f t="shared" si="381"/>
        <v>61095.831599580226</v>
      </c>
      <c r="AE378" s="5">
        <f t="shared" si="381"/>
        <v>61095.831599580226</v>
      </c>
      <c r="AF378" s="5">
        <f t="shared" si="381"/>
        <v>61095.831599580226</v>
      </c>
      <c r="AG378" s="5">
        <f t="shared" si="381"/>
        <v>61095.831599580226</v>
      </c>
      <c r="AH378" s="5">
        <f t="shared" si="381"/>
        <v>61095.831599580226</v>
      </c>
    </row>
    <row r="379" spans="1:34" x14ac:dyDescent="0.35">
      <c r="A379" t="s">
        <v>399</v>
      </c>
      <c r="B379" s="3" t="s">
        <v>1265</v>
      </c>
      <c r="C379" s="4" t="s">
        <v>1263</v>
      </c>
      <c r="D379" s="2">
        <f t="shared" si="326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ref="W379:AH379" si="382">IF(OR((SLOPE($E379:$V379,$E$1:$V$1)*W$1+INTERCEPT($E379:$V379,$E$1:$V$1))&gt;(AVERAGE($E379:$V379)+_xlfn.STDEV.P($E379:$V379)),(SLOPE($E379:$V379,$E$1:$V$1)*W$1+INTERCEPT($E379:$V379,$E$1:$V$1))&lt;(AVERAGE($E379:$V379)-_xlfn.STDEV.P($E379:$V379))),V379,(SLOPE($E379:$V379,$E$1:$V$1)*W$1+INTERCEPT($E379:$V379,$E$1:$V$1)))</f>
        <v>16081.997603522941</v>
      </c>
      <c r="X379" s="5">
        <f t="shared" si="382"/>
        <v>15850.806997588334</v>
      </c>
      <c r="Y379" s="5">
        <f t="shared" si="382"/>
        <v>15619.61639165373</v>
      </c>
      <c r="Z379" s="5">
        <f t="shared" si="382"/>
        <v>15388.425785719124</v>
      </c>
      <c r="AA379" s="5">
        <f t="shared" si="382"/>
        <v>15157.235179784519</v>
      </c>
      <c r="AB379" s="5">
        <f t="shared" si="382"/>
        <v>14926.044573849913</v>
      </c>
      <c r="AC379" s="5">
        <f t="shared" si="382"/>
        <v>14694.853967915307</v>
      </c>
      <c r="AD379" s="5">
        <f t="shared" si="382"/>
        <v>14463.663361980702</v>
      </c>
      <c r="AE379" s="5">
        <f t="shared" si="382"/>
        <v>14232.472756046096</v>
      </c>
      <c r="AF379" s="5">
        <f t="shared" si="382"/>
        <v>14001.282150111492</v>
      </c>
      <c r="AG379" s="5">
        <f t="shared" si="382"/>
        <v>13770.091544176885</v>
      </c>
      <c r="AH379" s="5">
        <f t="shared" si="382"/>
        <v>13538.900938242281</v>
      </c>
    </row>
    <row r="380" spans="1:34" x14ac:dyDescent="0.35">
      <c r="A380" t="s">
        <v>400</v>
      </c>
      <c r="B380" s="3" t="s">
        <v>1266</v>
      </c>
      <c r="C380" s="4" t="s">
        <v>1263</v>
      </c>
      <c r="D380" s="2">
        <f t="shared" si="326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ref="W380:AH380" si="383">IF(OR((SLOPE($E380:$V380,$E$1:$V$1)*W$1+INTERCEPT($E380:$V380,$E$1:$V$1))&gt;(AVERAGE($E380:$V380)+_xlfn.STDEV.P($E380:$V380)),(SLOPE($E380:$V380,$E$1:$V$1)*W$1+INTERCEPT($E380:$V380,$E$1:$V$1))&lt;(AVERAGE($E380:$V380)-_xlfn.STDEV.P($E380:$V380))),V380,(SLOPE($E380:$V380,$E$1:$V$1)*W$1+INTERCEPT($E380:$V380,$E$1:$V$1)))</f>
        <v>4197.9869281045794</v>
      </c>
      <c r="X380" s="5">
        <f t="shared" si="383"/>
        <v>2696.9328620571068</v>
      </c>
      <c r="Y380" s="5">
        <f t="shared" si="383"/>
        <v>1195.8787960096342</v>
      </c>
      <c r="Z380" s="5">
        <f t="shared" si="383"/>
        <v>-305.17527003783471</v>
      </c>
      <c r="AA380" s="5">
        <f t="shared" si="383"/>
        <v>-1806.2293360853073</v>
      </c>
      <c r="AB380" s="5">
        <f t="shared" si="383"/>
        <v>-1806.2293360853073</v>
      </c>
      <c r="AC380" s="5">
        <f t="shared" si="383"/>
        <v>-1806.2293360853073</v>
      </c>
      <c r="AD380" s="5">
        <f t="shared" si="383"/>
        <v>-1806.2293360853073</v>
      </c>
      <c r="AE380" s="5">
        <f t="shared" si="383"/>
        <v>-1806.2293360853073</v>
      </c>
      <c r="AF380" s="5">
        <f t="shared" si="383"/>
        <v>-1806.2293360853073</v>
      </c>
      <c r="AG380" s="5">
        <f t="shared" si="383"/>
        <v>-1806.2293360853073</v>
      </c>
      <c r="AH380" s="5">
        <f t="shared" si="383"/>
        <v>-1806.2293360853073</v>
      </c>
    </row>
    <row r="381" spans="1:34" x14ac:dyDescent="0.35">
      <c r="A381" t="s">
        <v>401</v>
      </c>
      <c r="B381" s="3" t="s">
        <v>1265</v>
      </c>
      <c r="C381" s="4" t="s">
        <v>1263</v>
      </c>
      <c r="D381" s="2">
        <f t="shared" si="326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ref="W381:AH381" si="384">IF(OR((SLOPE($E381:$V381,$E$1:$V$1)*W$1+INTERCEPT($E381:$V381,$E$1:$V$1))&gt;(AVERAGE($E381:$V381)+_xlfn.STDEV.P($E381:$V381)),(SLOPE($E381:$V381,$E$1:$V$1)*W$1+INTERCEPT($E381:$V381,$E$1:$V$1))&lt;(AVERAGE($E381:$V381)-_xlfn.STDEV.P($E381:$V381))),V381,(SLOPE($E381:$V381,$E$1:$V$1)*W$1+INTERCEPT($E381:$V381,$E$1:$V$1)))</f>
        <v>16117.952744631206</v>
      </c>
      <c r="X381" s="5">
        <f t="shared" si="384"/>
        <v>15885.466408058572</v>
      </c>
      <c r="Y381" s="5">
        <f t="shared" si="384"/>
        <v>15652.980071485938</v>
      </c>
      <c r="Z381" s="5">
        <f t="shared" si="384"/>
        <v>15420.493734913303</v>
      </c>
      <c r="AA381" s="5">
        <f t="shared" si="384"/>
        <v>15188.007398340669</v>
      </c>
      <c r="AB381" s="5">
        <f t="shared" si="384"/>
        <v>14955.521061768035</v>
      </c>
      <c r="AC381" s="5">
        <f t="shared" si="384"/>
        <v>14723.034725195401</v>
      </c>
      <c r="AD381" s="5">
        <f t="shared" si="384"/>
        <v>14490.548388622767</v>
      </c>
      <c r="AE381" s="5">
        <f t="shared" si="384"/>
        <v>14258.062052050132</v>
      </c>
      <c r="AF381" s="5">
        <f t="shared" si="384"/>
        <v>14025.5757154775</v>
      </c>
      <c r="AG381" s="5">
        <f t="shared" si="384"/>
        <v>13793.089378904866</v>
      </c>
      <c r="AH381" s="5">
        <f t="shared" si="384"/>
        <v>13560.603042332232</v>
      </c>
    </row>
    <row r="382" spans="1:34" x14ac:dyDescent="0.35">
      <c r="A382" t="s">
        <v>402</v>
      </c>
      <c r="B382" s="3" t="s">
        <v>1266</v>
      </c>
      <c r="C382" s="4" t="s">
        <v>1267</v>
      </c>
      <c r="D382" s="2">
        <f t="shared" si="326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ref="W382:AH382" si="385">IF(OR((SLOPE($E382:$V382,$E$1:$V$1)*W$1+INTERCEPT($E382:$V382,$E$1:$V$1))&gt;(AVERAGE($E382:$V382)+_xlfn.STDEV.P($E382:$V382)),(SLOPE($E382:$V382,$E$1:$V$1)*W$1+INTERCEPT($E382:$V382,$E$1:$V$1))&lt;(AVERAGE($E382:$V382)-_xlfn.STDEV.P($E382:$V382))),V382,(SLOPE($E382:$V382,$E$1:$V$1)*W$1+INTERCEPT($E382:$V382,$E$1:$V$1)))</f>
        <v>17531.082009060126</v>
      </c>
      <c r="X382" s="5">
        <f t="shared" si="385"/>
        <v>17438.148548710495</v>
      </c>
      <c r="Y382" s="5">
        <f t="shared" si="385"/>
        <v>17345.215088360863</v>
      </c>
      <c r="Z382" s="5">
        <f t="shared" si="385"/>
        <v>17252.281628011231</v>
      </c>
      <c r="AA382" s="5">
        <f t="shared" si="385"/>
        <v>17159.348167661599</v>
      </c>
      <c r="AB382" s="5">
        <f t="shared" si="385"/>
        <v>17066.414707311968</v>
      </c>
      <c r="AC382" s="5">
        <f t="shared" si="385"/>
        <v>16973.481246962336</v>
      </c>
      <c r="AD382" s="5">
        <f t="shared" si="385"/>
        <v>16880.547786612704</v>
      </c>
      <c r="AE382" s="5">
        <f t="shared" si="385"/>
        <v>16787.614326263072</v>
      </c>
      <c r="AF382" s="5">
        <f t="shared" si="385"/>
        <v>16694.68086591344</v>
      </c>
      <c r="AG382" s="5">
        <f t="shared" si="385"/>
        <v>16601.747405563805</v>
      </c>
      <c r="AH382" s="5">
        <f t="shared" si="385"/>
        <v>16508.813945214173</v>
      </c>
    </row>
    <row r="383" spans="1:34" x14ac:dyDescent="0.35">
      <c r="A383" t="s">
        <v>403</v>
      </c>
      <c r="B383" s="3" t="s">
        <v>1262</v>
      </c>
      <c r="C383" s="4" t="s">
        <v>1267</v>
      </c>
      <c r="D383" s="2">
        <f t="shared" si="326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ref="W383:AH383" si="386">IF(OR((SLOPE($E383:$V383,$E$1:$V$1)*W$1+INTERCEPT($E383:$V383,$E$1:$V$1))&gt;(AVERAGE($E383:$V383)+_xlfn.STDEV.P($E383:$V383)),(SLOPE($E383:$V383,$E$1:$V$1)*W$1+INTERCEPT($E383:$V383,$E$1:$V$1))&lt;(AVERAGE($E383:$V383)-_xlfn.STDEV.P($E383:$V383))),V383,(SLOPE($E383:$V383,$E$1:$V$1)*W$1+INTERCEPT($E383:$V383,$E$1:$V$1)))</f>
        <v>25654.534172192238</v>
      </c>
      <c r="X383" s="5">
        <f t="shared" si="386"/>
        <v>26419.183935892597</v>
      </c>
      <c r="Y383" s="5">
        <f t="shared" si="386"/>
        <v>27183.833699592957</v>
      </c>
      <c r="Z383" s="5">
        <f t="shared" si="386"/>
        <v>27948.48346329332</v>
      </c>
      <c r="AA383" s="5">
        <f t="shared" si="386"/>
        <v>28713.133226993683</v>
      </c>
      <c r="AB383" s="5">
        <f t="shared" si="386"/>
        <v>29477.782990694042</v>
      </c>
      <c r="AC383" s="5">
        <f t="shared" si="386"/>
        <v>30242.432754394405</v>
      </c>
      <c r="AD383" s="5">
        <f t="shared" si="386"/>
        <v>31007.082518094765</v>
      </c>
      <c r="AE383" s="5">
        <f t="shared" si="386"/>
        <v>31771.732281795128</v>
      </c>
      <c r="AF383" s="5">
        <f t="shared" si="386"/>
        <v>32536.382045495491</v>
      </c>
      <c r="AG383" s="5">
        <f t="shared" si="386"/>
        <v>33301.031809195847</v>
      </c>
      <c r="AH383" s="5">
        <f t="shared" si="386"/>
        <v>34065.68157289621</v>
      </c>
    </row>
    <row r="384" spans="1:34" x14ac:dyDescent="0.35">
      <c r="A384" t="s">
        <v>404</v>
      </c>
      <c r="B384" s="3" t="s">
        <v>1265</v>
      </c>
      <c r="C384" s="4" t="s">
        <v>1263</v>
      </c>
      <c r="D384" s="2">
        <f t="shared" si="326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ref="W384:AH384" si="387">IF(OR((SLOPE($E384:$V384,$E$1:$V$1)*W$1+INTERCEPT($E384:$V384,$E$1:$V$1))&gt;(AVERAGE($E384:$V384)+_xlfn.STDEV.P($E384:$V384)),(SLOPE($E384:$V384,$E$1:$V$1)*W$1+INTERCEPT($E384:$V384,$E$1:$V$1))&lt;(AVERAGE($E384:$V384)-_xlfn.STDEV.P($E384:$V384))),V384,(SLOPE($E384:$V384,$E$1:$V$1)*W$1+INTERCEPT($E384:$V384,$E$1:$V$1)))</f>
        <v>12984.520562332211</v>
      </c>
      <c r="X384" s="5">
        <f t="shared" si="387"/>
        <v>12984.520562332211</v>
      </c>
      <c r="Y384" s="5">
        <f t="shared" si="387"/>
        <v>12984.520562332211</v>
      </c>
      <c r="Z384" s="5">
        <f t="shared" si="387"/>
        <v>12984.520562332211</v>
      </c>
      <c r="AA384" s="5">
        <f t="shared" si="387"/>
        <v>12984.520562332211</v>
      </c>
      <c r="AB384" s="5">
        <f t="shared" si="387"/>
        <v>12984.520562332211</v>
      </c>
      <c r="AC384" s="5">
        <f t="shared" si="387"/>
        <v>12984.520562332211</v>
      </c>
      <c r="AD384" s="5">
        <f t="shared" si="387"/>
        <v>12984.520562332211</v>
      </c>
      <c r="AE384" s="5">
        <f t="shared" si="387"/>
        <v>12984.520562332211</v>
      </c>
      <c r="AF384" s="5">
        <f t="shared" si="387"/>
        <v>12984.520562332211</v>
      </c>
      <c r="AG384" s="5">
        <f t="shared" si="387"/>
        <v>12984.520562332211</v>
      </c>
      <c r="AH384" s="5">
        <f t="shared" si="387"/>
        <v>12984.520562332211</v>
      </c>
    </row>
    <row r="385" spans="1:34" x14ac:dyDescent="0.35">
      <c r="A385" t="s">
        <v>405</v>
      </c>
      <c r="B385" s="3" t="s">
        <v>1266</v>
      </c>
      <c r="C385" s="4" t="s">
        <v>1267</v>
      </c>
      <c r="D385" s="2">
        <f t="shared" si="326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ref="W385:AH385" si="388">IF(OR((SLOPE($E385:$V385,$E$1:$V$1)*W$1+INTERCEPT($E385:$V385,$E$1:$V$1))&gt;(AVERAGE($E385:$V385)+_xlfn.STDEV.P($E385:$V385)),(SLOPE($E385:$V385,$E$1:$V$1)*W$1+INTERCEPT($E385:$V385,$E$1:$V$1))&lt;(AVERAGE($E385:$V385)-_xlfn.STDEV.P($E385:$V385))),V385,(SLOPE($E385:$V385,$E$1:$V$1)*W$1+INTERCEPT($E385:$V385,$E$1:$V$1)))</f>
        <v>10162.592099112253</v>
      </c>
      <c r="X385" s="5">
        <f t="shared" si="388"/>
        <v>9325.2609312652821</v>
      </c>
      <c r="Y385" s="5">
        <f t="shared" si="388"/>
        <v>8487.9297634183094</v>
      </c>
      <c r="Z385" s="5">
        <f t="shared" si="388"/>
        <v>7650.5985955713404</v>
      </c>
      <c r="AA385" s="5">
        <f t="shared" si="388"/>
        <v>6813.2674277243714</v>
      </c>
      <c r="AB385" s="5">
        <f t="shared" si="388"/>
        <v>5975.9362598773987</v>
      </c>
      <c r="AC385" s="5">
        <f t="shared" si="388"/>
        <v>5138.6050920304297</v>
      </c>
      <c r="AD385" s="5">
        <f t="shared" si="388"/>
        <v>4301.273924183457</v>
      </c>
      <c r="AE385" s="5">
        <f t="shared" si="388"/>
        <v>3463.9427563364879</v>
      </c>
      <c r="AF385" s="5">
        <f t="shared" si="388"/>
        <v>2626.6115884895189</v>
      </c>
      <c r="AG385" s="5">
        <f t="shared" si="388"/>
        <v>1789.2804206425462</v>
      </c>
      <c r="AH385" s="5">
        <f t="shared" si="388"/>
        <v>951.94925279557719</v>
      </c>
    </row>
    <row r="386" spans="1:34" x14ac:dyDescent="0.35">
      <c r="A386" t="s">
        <v>406</v>
      </c>
      <c r="B386" s="3" t="s">
        <v>1266</v>
      </c>
      <c r="C386" s="4" t="s">
        <v>1263</v>
      </c>
      <c r="D386" s="2">
        <f t="shared" si="326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ref="W386:AH386" si="389">IF(OR((SLOPE($E386:$V386,$E$1:$V$1)*W$1+INTERCEPT($E386:$V386,$E$1:$V$1))&gt;(AVERAGE($E386:$V386)+_xlfn.STDEV.P($E386:$V386)),(SLOPE($E386:$V386,$E$1:$V$1)*W$1+INTERCEPT($E386:$V386,$E$1:$V$1))&lt;(AVERAGE($E386:$V386)-_xlfn.STDEV.P($E386:$V386))),V386,(SLOPE($E386:$V386,$E$1:$V$1)*W$1+INTERCEPT($E386:$V386,$E$1:$V$1)))</f>
        <v>26537.834331908627</v>
      </c>
      <c r="X386" s="5">
        <f t="shared" si="389"/>
        <v>27435.249815731608</v>
      </c>
      <c r="Y386" s="5">
        <f t="shared" si="389"/>
        <v>28332.665299554588</v>
      </c>
      <c r="Z386" s="5">
        <f t="shared" si="389"/>
        <v>29230.080783377562</v>
      </c>
      <c r="AA386" s="5">
        <f t="shared" si="389"/>
        <v>30127.496267200542</v>
      </c>
      <c r="AB386" s="5">
        <f t="shared" si="389"/>
        <v>31024.911751023523</v>
      </c>
      <c r="AC386" s="5">
        <f t="shared" si="389"/>
        <v>31922.327234846503</v>
      </c>
      <c r="AD386" s="5">
        <f t="shared" si="389"/>
        <v>32819.742718669484</v>
      </c>
      <c r="AE386" s="5">
        <f t="shared" si="389"/>
        <v>33717.158202492465</v>
      </c>
      <c r="AF386" s="5">
        <f t="shared" si="389"/>
        <v>34614.573686315445</v>
      </c>
      <c r="AG386" s="5">
        <f t="shared" si="389"/>
        <v>35511.989170138426</v>
      </c>
      <c r="AH386" s="5">
        <f t="shared" si="389"/>
        <v>36409.404653961399</v>
      </c>
    </row>
    <row r="387" spans="1:34" x14ac:dyDescent="0.35">
      <c r="A387" t="s">
        <v>407</v>
      </c>
      <c r="B387" s="3" t="s">
        <v>1264</v>
      </c>
      <c r="C387" s="4" t="s">
        <v>1263</v>
      </c>
      <c r="D387" s="2">
        <f t="shared" si="326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ref="W387:AH387" si="390">IF(OR((SLOPE($E387:$V387,$E$1:$V$1)*W$1+INTERCEPT($E387:$V387,$E$1:$V$1))&gt;(AVERAGE($E387:$V387)+_xlfn.STDEV.P($E387:$V387)),(SLOPE($E387:$V387,$E$1:$V$1)*W$1+INTERCEPT($E387:$V387,$E$1:$V$1))&lt;(AVERAGE($E387:$V387)-_xlfn.STDEV.P($E387:$V387))),V387,(SLOPE($E387:$V387,$E$1:$V$1)*W$1+INTERCEPT($E387:$V387,$E$1:$V$1)))</f>
        <v>33761.815606706725</v>
      </c>
      <c r="X387" s="5">
        <f t="shared" si="390"/>
        <v>35427.694666248179</v>
      </c>
      <c r="Y387" s="5">
        <f t="shared" si="390"/>
        <v>37093.573725789625</v>
      </c>
      <c r="Z387" s="5">
        <f t="shared" si="390"/>
        <v>38759.452785331079</v>
      </c>
      <c r="AA387" s="5">
        <f t="shared" si="390"/>
        <v>40425.331844872526</v>
      </c>
      <c r="AB387" s="5">
        <f t="shared" si="390"/>
        <v>42091.21090441398</v>
      </c>
      <c r="AC387" s="5">
        <f t="shared" si="390"/>
        <v>43757.089963955426</v>
      </c>
      <c r="AD387" s="5">
        <f t="shared" si="390"/>
        <v>45422.96902349688</v>
      </c>
      <c r="AE387" s="5">
        <f t="shared" si="390"/>
        <v>47088.848083038327</v>
      </c>
      <c r="AF387" s="5">
        <f t="shared" si="390"/>
        <v>48754.727142579781</v>
      </c>
      <c r="AG387" s="5">
        <f t="shared" si="390"/>
        <v>50420.606202121227</v>
      </c>
      <c r="AH387" s="5">
        <f t="shared" si="390"/>
        <v>52086.485261662681</v>
      </c>
    </row>
    <row r="388" spans="1:34" x14ac:dyDescent="0.35">
      <c r="A388" t="s">
        <v>408</v>
      </c>
      <c r="B388" s="3" t="s">
        <v>1262</v>
      </c>
      <c r="C388" s="4" t="s">
        <v>1263</v>
      </c>
      <c r="D388" s="2">
        <f t="shared" ref="D388:D451" si="391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ref="W388:AH388" si="392">IF(OR((SLOPE($E388:$V388,$E$1:$V$1)*W$1+INTERCEPT($E388:$V388,$E$1:$V$1))&gt;(AVERAGE($E388:$V388)+_xlfn.STDEV.P($E388:$V388)),(SLOPE($E388:$V388,$E$1:$V$1)*W$1+INTERCEPT($E388:$V388,$E$1:$V$1))&lt;(AVERAGE($E388:$V388)-_xlfn.STDEV.P($E388:$V388))),V388,(SLOPE($E388:$V388,$E$1:$V$1)*W$1+INTERCEPT($E388:$V388,$E$1:$V$1)))</f>
        <v>29414.699999999997</v>
      </c>
      <c r="X388" s="5">
        <f t="shared" si="392"/>
        <v>29414.699999999997</v>
      </c>
      <c r="Y388" s="5">
        <f t="shared" si="392"/>
        <v>29414.699999999997</v>
      </c>
      <c r="Z388" s="5">
        <f t="shared" si="392"/>
        <v>29414.699999999997</v>
      </c>
      <c r="AA388" s="5">
        <f t="shared" si="392"/>
        <v>29414.699999999997</v>
      </c>
      <c r="AB388" s="5">
        <f t="shared" si="392"/>
        <v>29414.699999999997</v>
      </c>
      <c r="AC388" s="5">
        <f t="shared" si="392"/>
        <v>29414.699999999997</v>
      </c>
      <c r="AD388" s="5">
        <f t="shared" si="392"/>
        <v>29414.699999999997</v>
      </c>
      <c r="AE388" s="5">
        <f t="shared" si="392"/>
        <v>29414.699999999997</v>
      </c>
      <c r="AF388" s="5">
        <f t="shared" si="392"/>
        <v>29414.699999999997</v>
      </c>
      <c r="AG388" s="5">
        <f t="shared" si="392"/>
        <v>29414.699999999997</v>
      </c>
      <c r="AH388" s="5">
        <f t="shared" si="392"/>
        <v>29414.699999999997</v>
      </c>
    </row>
    <row r="389" spans="1:34" x14ac:dyDescent="0.35">
      <c r="A389" t="s">
        <v>409</v>
      </c>
      <c r="B389" s="3" t="s">
        <v>1265</v>
      </c>
      <c r="C389" s="4" t="s">
        <v>1263</v>
      </c>
      <c r="D389" s="2">
        <f t="shared" si="391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H389" si="393">IF(OR((SLOPE($E389:$V389,$E$1:$V$1)*W$1+INTERCEPT($E389:$V389,$E$1:$V$1))&gt;(AVERAGE($E389:$V389)+_xlfn.STDEV.P($E389:$V389)),(SLOPE($E389:$V389,$E$1:$V$1)*W$1+INTERCEPT($E389:$V389,$E$1:$V$1))&lt;(AVERAGE($E389:$V389)-_xlfn.STDEV.P($E389:$V389))),V389,(SLOPE($E389:$V389,$E$1:$V$1)*W$1+INTERCEPT($E389:$V389,$E$1:$V$1)))</f>
        <v>15789.936400000002</v>
      </c>
      <c r="X389" s="5">
        <f t="shared" si="393"/>
        <v>15584.006421052633</v>
      </c>
      <c r="Y389" s="5">
        <f t="shared" si="393"/>
        <v>15378.076442105266</v>
      </c>
      <c r="Z389" s="5">
        <f t="shared" si="393"/>
        <v>15172.146463157897</v>
      </c>
      <c r="AA389" s="5">
        <f t="shared" si="393"/>
        <v>14966.216484210529</v>
      </c>
      <c r="AB389" s="5">
        <f t="shared" si="393"/>
        <v>14760.286505263161</v>
      </c>
      <c r="AC389" s="5">
        <f t="shared" si="393"/>
        <v>14554.356526315791</v>
      </c>
      <c r="AD389" s="5">
        <f t="shared" si="393"/>
        <v>14348.426547368425</v>
      </c>
      <c r="AE389" s="5">
        <f t="shared" si="393"/>
        <v>14142.496568421055</v>
      </c>
      <c r="AF389" s="5">
        <f t="shared" si="393"/>
        <v>13936.566589473687</v>
      </c>
      <c r="AG389" s="5">
        <f t="shared" si="393"/>
        <v>13730.636610526319</v>
      </c>
      <c r="AH389" s="5">
        <f t="shared" si="393"/>
        <v>13524.706631578951</v>
      </c>
    </row>
    <row r="390" spans="1:34" x14ac:dyDescent="0.35">
      <c r="A390" t="s">
        <v>410</v>
      </c>
      <c r="B390" s="3" t="s">
        <v>1266</v>
      </c>
      <c r="C390" s="4" t="s">
        <v>1267</v>
      </c>
      <c r="D390" s="2">
        <f t="shared" si="391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ref="W390:AH390" si="394">IF(OR((SLOPE($E390:$V390,$E$1:$V$1)*W$1+INTERCEPT($E390:$V390,$E$1:$V$1))&gt;(AVERAGE($E390:$V390)+_xlfn.STDEV.P($E390:$V390)),(SLOPE($E390:$V390,$E$1:$V$1)*W$1+INTERCEPT($E390:$V390,$E$1:$V$1))&lt;(AVERAGE($E390:$V390)-_xlfn.STDEV.P($E390:$V390))),V390,(SLOPE($E390:$V390,$E$1:$V$1)*W$1+INTERCEPT($E390:$V390,$E$1:$V$1)))</f>
        <v>11150.497935186282</v>
      </c>
      <c r="X390" s="5">
        <f t="shared" si="394"/>
        <v>10450.615956775882</v>
      </c>
      <c r="Y390" s="5">
        <f t="shared" si="394"/>
        <v>9750.7339783654807</v>
      </c>
      <c r="Z390" s="5">
        <f t="shared" si="394"/>
        <v>9050.8519999550808</v>
      </c>
      <c r="AA390" s="5">
        <f t="shared" si="394"/>
        <v>8350.9700215446792</v>
      </c>
      <c r="AB390" s="5">
        <f t="shared" si="394"/>
        <v>7651.0880431342775</v>
      </c>
      <c r="AC390" s="5">
        <f t="shared" si="394"/>
        <v>6951.2060647238759</v>
      </c>
      <c r="AD390" s="5">
        <f t="shared" si="394"/>
        <v>6251.3240863134779</v>
      </c>
      <c r="AE390" s="5">
        <f t="shared" si="394"/>
        <v>5551.4421079030762</v>
      </c>
      <c r="AF390" s="5">
        <f t="shared" si="394"/>
        <v>4851.5601294926746</v>
      </c>
      <c r="AG390" s="5">
        <f t="shared" si="394"/>
        <v>4151.678151082273</v>
      </c>
      <c r="AH390" s="5">
        <f t="shared" si="394"/>
        <v>3451.796172671875</v>
      </c>
    </row>
    <row r="391" spans="1:34" x14ac:dyDescent="0.35">
      <c r="A391" t="s">
        <v>411</v>
      </c>
      <c r="B391" s="3" t="s">
        <v>1265</v>
      </c>
      <c r="C391" s="4" t="s">
        <v>1263</v>
      </c>
      <c r="D391" s="2">
        <f t="shared" si="391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ref="W391:AH391" si="395">IF(OR((SLOPE($E391:$V391,$E$1:$V$1)*W$1+INTERCEPT($E391:$V391,$E$1:$V$1))&gt;(AVERAGE($E391:$V391)+_xlfn.STDEV.P($E391:$V391)),(SLOPE($E391:$V391,$E$1:$V$1)*W$1+INTERCEPT($E391:$V391,$E$1:$V$1))&lt;(AVERAGE($E391:$V391)-_xlfn.STDEV.P($E391:$V391))),V391,(SLOPE($E391:$V391,$E$1:$V$1)*W$1+INTERCEPT($E391:$V391,$E$1:$V$1)))</f>
        <v>18882.724097990977</v>
      </c>
      <c r="X391" s="5">
        <f t="shared" si="395"/>
        <v>19026.068511466907</v>
      </c>
      <c r="Y391" s="5">
        <f t="shared" si="395"/>
        <v>19169.412924942837</v>
      </c>
      <c r="Z391" s="5">
        <f t="shared" si="395"/>
        <v>19312.757338418771</v>
      </c>
      <c r="AA391" s="5">
        <f t="shared" si="395"/>
        <v>19456.101751894701</v>
      </c>
      <c r="AB391" s="5">
        <f t="shared" si="395"/>
        <v>19599.446165370631</v>
      </c>
      <c r="AC391" s="5">
        <f t="shared" si="395"/>
        <v>19742.790578846561</v>
      </c>
      <c r="AD391" s="5">
        <f t="shared" si="395"/>
        <v>19886.134992322492</v>
      </c>
      <c r="AE391" s="5">
        <f t="shared" si="395"/>
        <v>20029.479405798422</v>
      </c>
      <c r="AF391" s="5">
        <f t="shared" si="395"/>
        <v>20172.823819274356</v>
      </c>
      <c r="AG391" s="5">
        <f t="shared" si="395"/>
        <v>20316.168232750286</v>
      </c>
      <c r="AH391" s="5">
        <f t="shared" si="395"/>
        <v>20459.512646226216</v>
      </c>
    </row>
    <row r="392" spans="1:34" x14ac:dyDescent="0.35">
      <c r="A392" t="s">
        <v>412</v>
      </c>
      <c r="B392" s="3" t="s">
        <v>1266</v>
      </c>
      <c r="C392" s="4" t="s">
        <v>1266</v>
      </c>
      <c r="D392" s="2">
        <f t="shared" si="391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ref="W392:AH392" si="396">IF(OR((SLOPE($E392:$V392,$E$1:$V$1)*W$1+INTERCEPT($E392:$V392,$E$1:$V$1))&gt;(AVERAGE($E392:$V392)+_xlfn.STDEV.P($E392:$V392)),(SLOPE($E392:$V392,$E$1:$V$1)*W$1+INTERCEPT($E392:$V392,$E$1:$V$1))&lt;(AVERAGE($E392:$V392)-_xlfn.STDEV.P($E392:$V392))),V392,(SLOPE($E392:$V392,$E$1:$V$1)*W$1+INTERCEPT($E392:$V392,$E$1:$V$1)))</f>
        <v>64314.196845066021</v>
      </c>
      <c r="X392" s="5">
        <f t="shared" si="396"/>
        <v>69227.845160902987</v>
      </c>
      <c r="Y392" s="5">
        <f t="shared" si="396"/>
        <v>74141.493476739954</v>
      </c>
      <c r="Z392" s="5">
        <f t="shared" si="396"/>
        <v>79055.141792576906</v>
      </c>
      <c r="AA392" s="5">
        <f t="shared" si="396"/>
        <v>83968.790108413872</v>
      </c>
      <c r="AB392" s="5">
        <f t="shared" si="396"/>
        <v>88882.438424250839</v>
      </c>
      <c r="AC392" s="5">
        <f t="shared" si="396"/>
        <v>88882.438424250839</v>
      </c>
      <c r="AD392" s="5">
        <f t="shared" si="396"/>
        <v>88882.438424250839</v>
      </c>
      <c r="AE392" s="5">
        <f t="shared" si="396"/>
        <v>88882.438424250839</v>
      </c>
      <c r="AF392" s="5">
        <f t="shared" si="396"/>
        <v>88882.438424250839</v>
      </c>
      <c r="AG392" s="5">
        <f t="shared" si="396"/>
        <v>88882.438424250839</v>
      </c>
      <c r="AH392" s="5">
        <f t="shared" si="396"/>
        <v>88882.438424250839</v>
      </c>
    </row>
    <row r="393" spans="1:34" x14ac:dyDescent="0.35">
      <c r="A393" t="s">
        <v>413</v>
      </c>
      <c r="B393" s="3" t="s">
        <v>1266</v>
      </c>
      <c r="C393" s="4" t="s">
        <v>1267</v>
      </c>
      <c r="D393" s="2">
        <f t="shared" si="391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ref="W393:AH393" si="397">IF(OR((SLOPE($E393:$V393,$E$1:$V$1)*W$1+INTERCEPT($E393:$V393,$E$1:$V$1))&gt;(AVERAGE($E393:$V393)+_xlfn.STDEV.P($E393:$V393)),(SLOPE($E393:$V393,$E$1:$V$1)*W$1+INTERCEPT($E393:$V393,$E$1:$V$1))&lt;(AVERAGE($E393:$V393)-_xlfn.STDEV.P($E393:$V393))),V393,(SLOPE($E393:$V393,$E$1:$V$1)*W$1+INTERCEPT($E393:$V393,$E$1:$V$1)))</f>
        <v>48951.766125757698</v>
      </c>
      <c r="X393" s="5">
        <f t="shared" si="397"/>
        <v>52266.158646392767</v>
      </c>
      <c r="Y393" s="5">
        <f t="shared" si="397"/>
        <v>55580.551167027836</v>
      </c>
      <c r="Z393" s="5">
        <f t="shared" si="397"/>
        <v>55580.551167027836</v>
      </c>
      <c r="AA393" s="5">
        <f t="shared" si="397"/>
        <v>55580.551167027836</v>
      </c>
      <c r="AB393" s="5">
        <f t="shared" si="397"/>
        <v>55580.551167027836</v>
      </c>
      <c r="AC393" s="5">
        <f t="shared" si="397"/>
        <v>55580.551167027836</v>
      </c>
      <c r="AD393" s="5">
        <f t="shared" si="397"/>
        <v>55580.551167027836</v>
      </c>
      <c r="AE393" s="5">
        <f t="shared" si="397"/>
        <v>55580.551167027836</v>
      </c>
      <c r="AF393" s="5">
        <f t="shared" si="397"/>
        <v>55580.551167027836</v>
      </c>
      <c r="AG393" s="5">
        <f t="shared" si="397"/>
        <v>55580.551167027836</v>
      </c>
      <c r="AH393" s="5">
        <f t="shared" si="397"/>
        <v>55580.551167027836</v>
      </c>
    </row>
    <row r="394" spans="1:34" x14ac:dyDescent="0.35">
      <c r="A394" t="s">
        <v>414</v>
      </c>
      <c r="B394" s="3" t="s">
        <v>1264</v>
      </c>
      <c r="C394" s="4" t="s">
        <v>1263</v>
      </c>
      <c r="D394" s="2">
        <f t="shared" si="391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ref="W394:AH394" si="398">IF(OR((SLOPE($E394:$V394,$E$1:$V$1)*W$1+INTERCEPT($E394:$V394,$E$1:$V$1))&gt;(AVERAGE($E394:$V394)+_xlfn.STDEV.P($E394:$V394)),(SLOPE($E394:$V394,$E$1:$V$1)*W$1+INTERCEPT($E394:$V394,$E$1:$V$1))&lt;(AVERAGE($E394:$V394)-_xlfn.STDEV.P($E394:$V394))),V394,(SLOPE($E394:$V394,$E$1:$V$1)*W$1+INTERCEPT($E394:$V394,$E$1:$V$1)))</f>
        <v>17450.889707737031</v>
      </c>
      <c r="X394" s="5">
        <f t="shared" si="398"/>
        <v>17493.202508122711</v>
      </c>
      <c r="Y394" s="5">
        <f t="shared" si="398"/>
        <v>17535.515308508388</v>
      </c>
      <c r="Z394" s="5">
        <f t="shared" si="398"/>
        <v>17577.828108894068</v>
      </c>
      <c r="AA394" s="5">
        <f t="shared" si="398"/>
        <v>17620.140909279748</v>
      </c>
      <c r="AB394" s="5">
        <f t="shared" si="398"/>
        <v>17662.453709665428</v>
      </c>
      <c r="AC394" s="5">
        <f t="shared" si="398"/>
        <v>17704.766510051104</v>
      </c>
      <c r="AD394" s="5">
        <f t="shared" si="398"/>
        <v>17747.079310436784</v>
      </c>
      <c r="AE394" s="5">
        <f t="shared" si="398"/>
        <v>17789.392110822464</v>
      </c>
      <c r="AF394" s="5">
        <f t="shared" si="398"/>
        <v>17831.704911208144</v>
      </c>
      <c r="AG394" s="5">
        <f t="shared" si="398"/>
        <v>17874.01771159382</v>
      </c>
      <c r="AH394" s="5">
        <f t="shared" si="398"/>
        <v>17916.3305119795</v>
      </c>
    </row>
    <row r="395" spans="1:34" x14ac:dyDescent="0.35">
      <c r="A395" t="s">
        <v>415</v>
      </c>
      <c r="B395" s="3" t="s">
        <v>1266</v>
      </c>
      <c r="C395" s="4" t="s">
        <v>1266</v>
      </c>
      <c r="D395" s="2">
        <f t="shared" si="391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ref="W395:AH395" si="399">IF(OR((SLOPE($E395:$V395,$E$1:$V$1)*W$1+INTERCEPT($E395:$V395,$E$1:$V$1))&gt;(AVERAGE($E395:$V395)+_xlfn.STDEV.P($E395:$V395)),(SLOPE($E395:$V395,$E$1:$V$1)*W$1+INTERCEPT($E395:$V395,$E$1:$V$1))&lt;(AVERAGE($E395:$V395)-_xlfn.STDEV.P($E395:$V395))),V395,(SLOPE($E395:$V395,$E$1:$V$1)*W$1+INTERCEPT($E395:$V395,$E$1:$V$1)))</f>
        <v>-28362.747936100306</v>
      </c>
      <c r="X395" s="5">
        <f t="shared" si="399"/>
        <v>-33160.957173410512</v>
      </c>
      <c r="Y395" s="5">
        <f t="shared" si="399"/>
        <v>-37959.166410720718</v>
      </c>
      <c r="Z395" s="5">
        <f t="shared" si="399"/>
        <v>-42757.375648030924</v>
      </c>
      <c r="AA395" s="5">
        <f t="shared" si="399"/>
        <v>-47555.58488534113</v>
      </c>
      <c r="AB395" s="5">
        <f t="shared" si="399"/>
        <v>-52353.794122651336</v>
      </c>
      <c r="AC395" s="5">
        <f t="shared" si="399"/>
        <v>-52353.794122651336</v>
      </c>
      <c r="AD395" s="5">
        <f t="shared" si="399"/>
        <v>-52353.794122651336</v>
      </c>
      <c r="AE395" s="5">
        <f t="shared" si="399"/>
        <v>-52353.794122651336</v>
      </c>
      <c r="AF395" s="5">
        <f t="shared" si="399"/>
        <v>-52353.794122651336</v>
      </c>
      <c r="AG395" s="5">
        <f t="shared" si="399"/>
        <v>-52353.794122651336</v>
      </c>
      <c r="AH395" s="5">
        <f t="shared" si="399"/>
        <v>-52353.794122651336</v>
      </c>
    </row>
    <row r="396" spans="1:34" x14ac:dyDescent="0.35">
      <c r="A396" t="s">
        <v>416</v>
      </c>
      <c r="B396" s="3" t="s">
        <v>1264</v>
      </c>
      <c r="C396" s="4" t="s">
        <v>1263</v>
      </c>
      <c r="D396" s="2">
        <f t="shared" si="391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ref="W396:AH396" si="400">IF(OR((SLOPE($E396:$V396,$E$1:$V$1)*W$1+INTERCEPT($E396:$V396,$E$1:$V$1))&gt;(AVERAGE($E396:$V396)+_xlfn.STDEV.P($E396:$V396)),(SLOPE($E396:$V396,$E$1:$V$1)*W$1+INTERCEPT($E396:$V396,$E$1:$V$1))&lt;(AVERAGE($E396:$V396)-_xlfn.STDEV.P($E396:$V396))),V396,(SLOPE($E396:$V396,$E$1:$V$1)*W$1+INTERCEPT($E396:$V396,$E$1:$V$1)))</f>
        <v>26250.863879434659</v>
      </c>
      <c r="X396" s="5">
        <f t="shared" si="400"/>
        <v>27213.891527553013</v>
      </c>
      <c r="Y396" s="5">
        <f t="shared" si="400"/>
        <v>28176.919175671366</v>
      </c>
      <c r="Z396" s="5">
        <f t="shared" si="400"/>
        <v>29139.94682378972</v>
      </c>
      <c r="AA396" s="5">
        <f t="shared" si="400"/>
        <v>30102.974471908074</v>
      </c>
      <c r="AB396" s="5">
        <f t="shared" si="400"/>
        <v>31066.002120026427</v>
      </c>
      <c r="AC396" s="5">
        <f t="shared" si="400"/>
        <v>32029.029768144781</v>
      </c>
      <c r="AD396" s="5">
        <f t="shared" si="400"/>
        <v>32992.057416263138</v>
      </c>
      <c r="AE396" s="5">
        <f t="shared" si="400"/>
        <v>33955.085064381492</v>
      </c>
      <c r="AF396" s="5">
        <f t="shared" si="400"/>
        <v>34918.112712499846</v>
      </c>
      <c r="AG396" s="5">
        <f t="shared" si="400"/>
        <v>35881.140360618199</v>
      </c>
      <c r="AH396" s="5">
        <f t="shared" si="400"/>
        <v>36844.168008736553</v>
      </c>
    </row>
    <row r="397" spans="1:34" x14ac:dyDescent="0.35">
      <c r="A397" t="s">
        <v>417</v>
      </c>
      <c r="B397" s="3" t="s">
        <v>1264</v>
      </c>
      <c r="C397" s="4" t="s">
        <v>1263</v>
      </c>
      <c r="D397" s="2">
        <f t="shared" si="391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ref="W397:AH397" si="401">IF(OR((SLOPE($E397:$V397,$E$1:$V$1)*W$1+INTERCEPT($E397:$V397,$E$1:$V$1))&gt;(AVERAGE($E397:$V397)+_xlfn.STDEV.P($E397:$V397)),(SLOPE($E397:$V397,$E$1:$V$1)*W$1+INTERCEPT($E397:$V397,$E$1:$V$1))&lt;(AVERAGE($E397:$V397)-_xlfn.STDEV.P($E397:$V397))),V397,(SLOPE($E397:$V397,$E$1:$V$1)*W$1+INTERCEPT($E397:$V397,$E$1:$V$1)))</f>
        <v>17955.113171241828</v>
      </c>
      <c r="X397" s="5">
        <f t="shared" si="401"/>
        <v>18069.775537805297</v>
      </c>
      <c r="Y397" s="5">
        <f t="shared" si="401"/>
        <v>18184.437904368766</v>
      </c>
      <c r="Z397" s="5">
        <f t="shared" si="401"/>
        <v>18299.100270932235</v>
      </c>
      <c r="AA397" s="5">
        <f t="shared" si="401"/>
        <v>18413.7626374957</v>
      </c>
      <c r="AB397" s="5">
        <f t="shared" si="401"/>
        <v>18528.425004059169</v>
      </c>
      <c r="AC397" s="5">
        <f t="shared" si="401"/>
        <v>18643.087370622634</v>
      </c>
      <c r="AD397" s="5">
        <f t="shared" si="401"/>
        <v>18757.749737186103</v>
      </c>
      <c r="AE397" s="5">
        <f t="shared" si="401"/>
        <v>18872.412103749572</v>
      </c>
      <c r="AF397" s="5">
        <f t="shared" si="401"/>
        <v>18987.074470313037</v>
      </c>
      <c r="AG397" s="5">
        <f t="shared" si="401"/>
        <v>19101.736836876506</v>
      </c>
      <c r="AH397" s="5">
        <f t="shared" si="401"/>
        <v>19216.399203439974</v>
      </c>
    </row>
    <row r="398" spans="1:34" x14ac:dyDescent="0.35">
      <c r="A398" t="s">
        <v>418</v>
      </c>
      <c r="B398" s="3" t="s">
        <v>1265</v>
      </c>
      <c r="C398" s="4" t="s">
        <v>1263</v>
      </c>
      <c r="D398" s="2">
        <f t="shared" si="391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ref="W398:AH398" si="402">IF(OR((SLOPE($E398:$V398,$E$1:$V$1)*W$1+INTERCEPT($E398:$V398,$E$1:$V$1))&gt;(AVERAGE($E398:$V398)+_xlfn.STDEV.P($E398:$V398)),(SLOPE($E398:$V398,$E$1:$V$1)*W$1+INTERCEPT($E398:$V398,$E$1:$V$1))&lt;(AVERAGE($E398:$V398)-_xlfn.STDEV.P($E398:$V398))),V398,(SLOPE($E398:$V398,$E$1:$V$1)*W$1+INTERCEPT($E398:$V398,$E$1:$V$1)))</f>
        <v>24314.947176470589</v>
      </c>
      <c r="X398" s="5">
        <f t="shared" si="402"/>
        <v>25110.642247678017</v>
      </c>
      <c r="Y398" s="5">
        <f t="shared" si="402"/>
        <v>25906.337318885449</v>
      </c>
      <c r="Z398" s="5">
        <f t="shared" si="402"/>
        <v>26702.032390092878</v>
      </c>
      <c r="AA398" s="5">
        <f t="shared" si="402"/>
        <v>27497.727461300306</v>
      </c>
      <c r="AB398" s="5">
        <f t="shared" si="402"/>
        <v>27497.727461300306</v>
      </c>
      <c r="AC398" s="5">
        <f t="shared" si="402"/>
        <v>27497.727461300306</v>
      </c>
      <c r="AD398" s="5">
        <f t="shared" si="402"/>
        <v>27497.727461300306</v>
      </c>
      <c r="AE398" s="5">
        <f t="shared" si="402"/>
        <v>27497.727461300306</v>
      </c>
      <c r="AF398" s="5">
        <f t="shared" si="402"/>
        <v>27497.727461300306</v>
      </c>
      <c r="AG398" s="5">
        <f t="shared" si="402"/>
        <v>27497.727461300306</v>
      </c>
      <c r="AH398" s="5">
        <f t="shared" si="402"/>
        <v>27497.727461300306</v>
      </c>
    </row>
    <row r="399" spans="1:34" x14ac:dyDescent="0.35">
      <c r="A399" t="s">
        <v>419</v>
      </c>
      <c r="B399" s="3" t="s">
        <v>1265</v>
      </c>
      <c r="C399" s="4" t="s">
        <v>1263</v>
      </c>
      <c r="D399" s="2">
        <f t="shared" si="391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ref="W399:AH399" si="403">IF(OR((SLOPE($E399:$V399,$E$1:$V$1)*W$1+INTERCEPT($E399:$V399,$E$1:$V$1))&gt;(AVERAGE($E399:$V399)+_xlfn.STDEV.P($E399:$V399)),(SLOPE($E399:$V399,$E$1:$V$1)*W$1+INTERCEPT($E399:$V399,$E$1:$V$1))&lt;(AVERAGE($E399:$V399)-_xlfn.STDEV.P($E399:$V399))),V399,(SLOPE($E399:$V399,$E$1:$V$1)*W$1+INTERCEPT($E399:$V399,$E$1:$V$1)))</f>
        <v>27085.467705882351</v>
      </c>
      <c r="X399" s="5">
        <f t="shared" si="403"/>
        <v>28205.62909597523</v>
      </c>
      <c r="Y399" s="5">
        <f t="shared" si="403"/>
        <v>29325.790486068112</v>
      </c>
      <c r="Z399" s="5">
        <f t="shared" si="403"/>
        <v>30445.951876160991</v>
      </c>
      <c r="AA399" s="5">
        <f t="shared" si="403"/>
        <v>31566.113266253869</v>
      </c>
      <c r="AB399" s="5">
        <f t="shared" si="403"/>
        <v>32686.274656346748</v>
      </c>
      <c r="AC399" s="5">
        <f t="shared" si="403"/>
        <v>33806.43604643963</v>
      </c>
      <c r="AD399" s="5">
        <f t="shared" si="403"/>
        <v>33806.43604643963</v>
      </c>
      <c r="AE399" s="5">
        <f t="shared" si="403"/>
        <v>33806.43604643963</v>
      </c>
      <c r="AF399" s="5">
        <f t="shared" si="403"/>
        <v>33806.43604643963</v>
      </c>
      <c r="AG399" s="5">
        <f t="shared" si="403"/>
        <v>33806.43604643963</v>
      </c>
      <c r="AH399" s="5">
        <f t="shared" si="403"/>
        <v>33806.43604643963</v>
      </c>
    </row>
    <row r="400" spans="1:34" x14ac:dyDescent="0.35">
      <c r="A400" t="s">
        <v>420</v>
      </c>
      <c r="B400" s="3" t="s">
        <v>1265</v>
      </c>
      <c r="C400" s="4" t="s">
        <v>1263</v>
      </c>
      <c r="D400" s="2">
        <f t="shared" si="391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ref="W400:AH400" si="404">IF(OR((SLOPE($E400:$V400,$E$1:$V$1)*W$1+INTERCEPT($E400:$V400,$E$1:$V$1))&gt;(AVERAGE($E400:$V400)+_xlfn.STDEV.P($E400:$V400)),(SLOPE($E400:$V400,$E$1:$V$1)*W$1+INTERCEPT($E400:$V400,$E$1:$V$1))&lt;(AVERAGE($E400:$V400)-_xlfn.STDEV.P($E400:$V400))),V400,(SLOPE($E400:$V400,$E$1:$V$1)*W$1+INTERCEPT($E400:$V400,$E$1:$V$1)))</f>
        <v>14161.96981388659</v>
      </c>
      <c r="X400" s="5">
        <f t="shared" si="404"/>
        <v>13883.63302003434</v>
      </c>
      <c r="Y400" s="5">
        <f t="shared" si="404"/>
        <v>13605.296226182092</v>
      </c>
      <c r="Z400" s="5">
        <f t="shared" si="404"/>
        <v>13326.959432329844</v>
      </c>
      <c r="AA400" s="5">
        <f t="shared" si="404"/>
        <v>13048.622638477595</v>
      </c>
      <c r="AB400" s="5">
        <f t="shared" si="404"/>
        <v>12770.285844625347</v>
      </c>
      <c r="AC400" s="5">
        <f t="shared" si="404"/>
        <v>12491.949050773099</v>
      </c>
      <c r="AD400" s="5">
        <f t="shared" si="404"/>
        <v>12213.612256920849</v>
      </c>
      <c r="AE400" s="5">
        <f t="shared" si="404"/>
        <v>12213.612256920849</v>
      </c>
      <c r="AF400" s="5">
        <f t="shared" si="404"/>
        <v>12213.612256920849</v>
      </c>
      <c r="AG400" s="5">
        <f t="shared" si="404"/>
        <v>12213.612256920849</v>
      </c>
      <c r="AH400" s="5">
        <f t="shared" si="404"/>
        <v>12213.612256920849</v>
      </c>
    </row>
    <row r="401" spans="1:34" x14ac:dyDescent="0.35">
      <c r="A401" t="s">
        <v>421</v>
      </c>
      <c r="B401" s="3" t="s">
        <v>1266</v>
      </c>
      <c r="C401" s="4" t="s">
        <v>1267</v>
      </c>
      <c r="D401" s="2">
        <f t="shared" si="391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ref="W401:AH401" si="405">IF(OR((SLOPE($E401:$V401,$E$1:$V$1)*W$1+INTERCEPT($E401:$V401,$E$1:$V$1))&gt;(AVERAGE($E401:$V401)+_xlfn.STDEV.P($E401:$V401)),(SLOPE($E401:$V401,$E$1:$V$1)*W$1+INTERCEPT($E401:$V401,$E$1:$V$1))&lt;(AVERAGE($E401:$V401)-_xlfn.STDEV.P($E401:$V401))),V401,(SLOPE($E401:$V401,$E$1:$V$1)*W$1+INTERCEPT($E401:$V401,$E$1:$V$1)))</f>
        <v>47529.579820505023</v>
      </c>
      <c r="X401" s="5">
        <f t="shared" si="405"/>
        <v>50753.118266106321</v>
      </c>
      <c r="Y401" s="5">
        <f t="shared" si="405"/>
        <v>53976.656711707634</v>
      </c>
      <c r="Z401" s="5">
        <f t="shared" si="405"/>
        <v>57200.195157308932</v>
      </c>
      <c r="AA401" s="5">
        <f t="shared" si="405"/>
        <v>60423.73360291023</v>
      </c>
      <c r="AB401" s="5">
        <f t="shared" si="405"/>
        <v>63647.272048511542</v>
      </c>
      <c r="AC401" s="5">
        <f t="shared" si="405"/>
        <v>66870.81049411284</v>
      </c>
      <c r="AD401" s="5">
        <f t="shared" si="405"/>
        <v>66870.81049411284</v>
      </c>
      <c r="AE401" s="5">
        <f t="shared" si="405"/>
        <v>66870.81049411284</v>
      </c>
      <c r="AF401" s="5">
        <f t="shared" si="405"/>
        <v>66870.81049411284</v>
      </c>
      <c r="AG401" s="5">
        <f t="shared" si="405"/>
        <v>66870.81049411284</v>
      </c>
      <c r="AH401" s="5">
        <f t="shared" si="405"/>
        <v>66870.81049411284</v>
      </c>
    </row>
    <row r="402" spans="1:34" x14ac:dyDescent="0.35">
      <c r="A402" t="s">
        <v>422</v>
      </c>
      <c r="B402" s="3" t="s">
        <v>1266</v>
      </c>
      <c r="C402" s="4" t="s">
        <v>1267</v>
      </c>
      <c r="D402" s="2">
        <f t="shared" si="391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ref="W402:AH402" si="406">IF(OR((SLOPE($E402:$V402,$E$1:$V$1)*W$1+INTERCEPT($E402:$V402,$E$1:$V$1))&gt;(AVERAGE($E402:$V402)+_xlfn.STDEV.P($E402:$V402)),(SLOPE($E402:$V402,$E$1:$V$1)*W$1+INTERCEPT($E402:$V402,$E$1:$V$1))&lt;(AVERAGE($E402:$V402)-_xlfn.STDEV.P($E402:$V402))),V402,(SLOPE($E402:$V402,$E$1:$V$1)*W$1+INTERCEPT($E402:$V402,$E$1:$V$1)))</f>
        <v>9336.6441062864469</v>
      </c>
      <c r="X402" s="5">
        <f t="shared" si="406"/>
        <v>8573.4131203029065</v>
      </c>
      <c r="Y402" s="5">
        <f t="shared" si="406"/>
        <v>7810.1821343193678</v>
      </c>
      <c r="Z402" s="5">
        <f t="shared" si="406"/>
        <v>7046.9511483358256</v>
      </c>
      <c r="AA402" s="5">
        <f t="shared" si="406"/>
        <v>6283.7201623522851</v>
      </c>
      <c r="AB402" s="5">
        <f t="shared" si="406"/>
        <v>5520.4891763687483</v>
      </c>
      <c r="AC402" s="5">
        <f t="shared" si="406"/>
        <v>4757.2581903852079</v>
      </c>
      <c r="AD402" s="5">
        <f t="shared" si="406"/>
        <v>3994.0272044016674</v>
      </c>
      <c r="AE402" s="5">
        <f t="shared" si="406"/>
        <v>3230.796218418127</v>
      </c>
      <c r="AF402" s="5">
        <f t="shared" si="406"/>
        <v>2467.5652324345865</v>
      </c>
      <c r="AG402" s="5">
        <f t="shared" si="406"/>
        <v>1704.3342464510461</v>
      </c>
      <c r="AH402" s="5">
        <f t="shared" si="406"/>
        <v>941.10326046750561</v>
      </c>
    </row>
    <row r="403" spans="1:34" x14ac:dyDescent="0.35">
      <c r="A403" t="s">
        <v>423</v>
      </c>
      <c r="B403" s="3" t="s">
        <v>1262</v>
      </c>
      <c r="C403" s="4" t="s">
        <v>1263</v>
      </c>
      <c r="D403" s="2">
        <f t="shared" si="391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ref="W403:AH403" si="407">IF(OR((SLOPE($E403:$V403,$E$1:$V$1)*W$1+INTERCEPT($E403:$V403,$E$1:$V$1))&gt;(AVERAGE($E403:$V403)+_xlfn.STDEV.P($E403:$V403)),(SLOPE($E403:$V403,$E$1:$V$1)*W$1+INTERCEPT($E403:$V403,$E$1:$V$1))&lt;(AVERAGE($E403:$V403)-_xlfn.STDEV.P($E403:$V403))),V403,(SLOPE($E403:$V403,$E$1:$V$1)*W$1+INTERCEPT($E403:$V403,$E$1:$V$1)))</f>
        <v>37897.343065399997</v>
      </c>
      <c r="X403" s="5">
        <f t="shared" si="407"/>
        <v>40221.652503126315</v>
      </c>
      <c r="Y403" s="5">
        <f t="shared" si="407"/>
        <v>42545.961940852634</v>
      </c>
      <c r="Z403" s="5">
        <f t="shared" si="407"/>
        <v>44870.271378578953</v>
      </c>
      <c r="AA403" s="5">
        <f t="shared" si="407"/>
        <v>47194.580816305257</v>
      </c>
      <c r="AB403" s="5">
        <f t="shared" si="407"/>
        <v>47194.580816305257</v>
      </c>
      <c r="AC403" s="5">
        <f t="shared" si="407"/>
        <v>47194.580816305257</v>
      </c>
      <c r="AD403" s="5">
        <f t="shared" si="407"/>
        <v>47194.580816305257</v>
      </c>
      <c r="AE403" s="5">
        <f t="shared" si="407"/>
        <v>47194.580816305257</v>
      </c>
      <c r="AF403" s="5">
        <f t="shared" si="407"/>
        <v>47194.580816305257</v>
      </c>
      <c r="AG403" s="5">
        <f t="shared" si="407"/>
        <v>47194.580816305257</v>
      </c>
      <c r="AH403" s="5">
        <f t="shared" si="407"/>
        <v>47194.580816305257</v>
      </c>
    </row>
    <row r="404" spans="1:34" x14ac:dyDescent="0.35">
      <c r="A404" t="s">
        <v>424</v>
      </c>
      <c r="B404" s="3" t="s">
        <v>1264</v>
      </c>
      <c r="C404" s="4" t="s">
        <v>1263</v>
      </c>
      <c r="D404" s="2">
        <f t="shared" si="391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ref="W404:AH404" si="408">IF(OR((SLOPE($E404:$V404,$E$1:$V$1)*W$1+INTERCEPT($E404:$V404,$E$1:$V$1))&gt;(AVERAGE($E404:$V404)+_xlfn.STDEV.P($E404:$V404)),(SLOPE($E404:$V404,$E$1:$V$1)*W$1+INTERCEPT($E404:$V404,$E$1:$V$1))&lt;(AVERAGE($E404:$V404)-_xlfn.STDEV.P($E404:$V404))),V404,(SLOPE($E404:$V404,$E$1:$V$1)*W$1+INTERCEPT($E404:$V404,$E$1:$V$1)))</f>
        <v>29754.519163398698</v>
      </c>
      <c r="X404" s="5">
        <f t="shared" si="408"/>
        <v>31173.852455452361</v>
      </c>
      <c r="Y404" s="5">
        <f t="shared" si="408"/>
        <v>32593.185747506024</v>
      </c>
      <c r="Z404" s="5">
        <f t="shared" si="408"/>
        <v>34012.519039559687</v>
      </c>
      <c r="AA404" s="5">
        <f t="shared" si="408"/>
        <v>35431.852331613351</v>
      </c>
      <c r="AB404" s="5">
        <f t="shared" si="408"/>
        <v>36851.185623667014</v>
      </c>
      <c r="AC404" s="5">
        <f t="shared" si="408"/>
        <v>38270.518915720677</v>
      </c>
      <c r="AD404" s="5">
        <f t="shared" si="408"/>
        <v>39689.85220777434</v>
      </c>
      <c r="AE404" s="5">
        <f t="shared" si="408"/>
        <v>41109.185499828003</v>
      </c>
      <c r="AF404" s="5">
        <f t="shared" si="408"/>
        <v>42528.518791881674</v>
      </c>
      <c r="AG404" s="5">
        <f t="shared" si="408"/>
        <v>43947.852083935337</v>
      </c>
      <c r="AH404" s="5">
        <f t="shared" si="408"/>
        <v>45367.185375989</v>
      </c>
    </row>
    <row r="405" spans="1:34" x14ac:dyDescent="0.35">
      <c r="A405" t="s">
        <v>425</v>
      </c>
      <c r="B405" s="3" t="s">
        <v>1265</v>
      </c>
      <c r="C405" s="4" t="s">
        <v>1263</v>
      </c>
      <c r="D405" s="2">
        <f t="shared" si="391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H405" si="409">IF(OR((SLOPE($E405:$V405,$E$1:$V$1)*W$1+INTERCEPT($E405:$V405,$E$1:$V$1))&gt;(AVERAGE($E405:$V405)+_xlfn.STDEV.P($E405:$V405)),(SLOPE($E405:$V405,$E$1:$V$1)*W$1+INTERCEPT($E405:$V405,$E$1:$V$1))&lt;(AVERAGE($E405:$V405)-_xlfn.STDEV.P($E405:$V405))),V405,(SLOPE($E405:$V405,$E$1:$V$1)*W$1+INTERCEPT($E405:$V405,$E$1:$V$1)))</f>
        <v>16699.904938460309</v>
      </c>
      <c r="X405" s="5">
        <f t="shared" si="409"/>
        <v>16795.788448767275</v>
      </c>
      <c r="Y405" s="5">
        <f t="shared" si="409"/>
        <v>16891.67195907424</v>
      </c>
      <c r="Z405" s="5">
        <f t="shared" si="409"/>
        <v>16987.555469381201</v>
      </c>
      <c r="AA405" s="5">
        <f t="shared" si="409"/>
        <v>17083.438979688166</v>
      </c>
      <c r="AB405" s="5">
        <f t="shared" si="409"/>
        <v>17179.322489995131</v>
      </c>
      <c r="AC405" s="5">
        <f t="shared" si="409"/>
        <v>17275.206000302096</v>
      </c>
      <c r="AD405" s="5">
        <f t="shared" si="409"/>
        <v>17371.089510609061</v>
      </c>
      <c r="AE405" s="5">
        <f t="shared" si="409"/>
        <v>17466.973020916023</v>
      </c>
      <c r="AF405" s="5">
        <f t="shared" si="409"/>
        <v>17562.856531222988</v>
      </c>
      <c r="AG405" s="5">
        <f t="shared" si="409"/>
        <v>17658.740041529953</v>
      </c>
      <c r="AH405" s="5">
        <f t="shared" si="409"/>
        <v>17754.623551836914</v>
      </c>
    </row>
    <row r="406" spans="1:34" x14ac:dyDescent="0.35">
      <c r="A406" t="s">
        <v>426</v>
      </c>
      <c r="B406" s="3" t="s">
        <v>1266</v>
      </c>
      <c r="C406" s="4" t="s">
        <v>1263</v>
      </c>
      <c r="D406" s="2">
        <f t="shared" si="391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ref="W406:AH406" si="410">IF(OR((SLOPE($E406:$V406,$E$1:$V$1)*W$1+INTERCEPT($E406:$V406,$E$1:$V$1))&gt;(AVERAGE($E406:$V406)+_xlfn.STDEV.P($E406:$V406)),(SLOPE($E406:$V406,$E$1:$V$1)*W$1+INTERCEPT($E406:$V406,$E$1:$V$1))&lt;(AVERAGE($E406:$V406)-_xlfn.STDEV.P($E406:$V406))),V406,(SLOPE($E406:$V406,$E$1:$V$1)*W$1+INTERCEPT($E406:$V406,$E$1:$V$1)))</f>
        <v>31174.645465599991</v>
      </c>
      <c r="X406" s="5">
        <f t="shared" si="410"/>
        <v>32795.695476526307</v>
      </c>
      <c r="Y406" s="5">
        <f t="shared" si="410"/>
        <v>34416.745487452623</v>
      </c>
      <c r="Z406" s="5">
        <f t="shared" si="410"/>
        <v>36037.795498378939</v>
      </c>
      <c r="AA406" s="5">
        <f t="shared" si="410"/>
        <v>37658.845509305254</v>
      </c>
      <c r="AB406" s="5">
        <f t="shared" si="410"/>
        <v>39279.89552023157</v>
      </c>
      <c r="AC406" s="5">
        <f t="shared" si="410"/>
        <v>40900.945531157886</v>
      </c>
      <c r="AD406" s="5">
        <f t="shared" si="410"/>
        <v>40900.945531157886</v>
      </c>
      <c r="AE406" s="5">
        <f t="shared" si="410"/>
        <v>40900.945531157886</v>
      </c>
      <c r="AF406" s="5">
        <f t="shared" si="410"/>
        <v>40900.945531157886</v>
      </c>
      <c r="AG406" s="5">
        <f t="shared" si="410"/>
        <v>40900.945531157886</v>
      </c>
      <c r="AH406" s="5">
        <f t="shared" si="410"/>
        <v>40900.945531157886</v>
      </c>
    </row>
    <row r="407" spans="1:34" x14ac:dyDescent="0.35">
      <c r="A407" t="s">
        <v>427</v>
      </c>
      <c r="B407" s="3" t="s">
        <v>1266</v>
      </c>
      <c r="C407" s="4" t="s">
        <v>1267</v>
      </c>
      <c r="D407" s="2">
        <f t="shared" si="391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ref="W407:AH407" si="411">IF(OR((SLOPE($E407:$V407,$E$1:$V$1)*W$1+INTERCEPT($E407:$V407,$E$1:$V$1))&gt;(AVERAGE($E407:$V407)+_xlfn.STDEV.P($E407:$V407)),(SLOPE($E407:$V407,$E$1:$V$1)*W$1+INTERCEPT($E407:$V407,$E$1:$V$1))&lt;(AVERAGE($E407:$V407)-_xlfn.STDEV.P($E407:$V407))),V407,(SLOPE($E407:$V407,$E$1:$V$1)*W$1+INTERCEPT($E407:$V407,$E$1:$V$1)))</f>
        <v>34777.113042834826</v>
      </c>
      <c r="X407" s="5">
        <f t="shared" si="411"/>
        <v>36778.88402325692</v>
      </c>
      <c r="Y407" s="5">
        <f t="shared" si="411"/>
        <v>38780.655003679007</v>
      </c>
      <c r="Z407" s="5">
        <f t="shared" si="411"/>
        <v>40782.425984101101</v>
      </c>
      <c r="AA407" s="5">
        <f t="shared" si="411"/>
        <v>42784.196964523195</v>
      </c>
      <c r="AB407" s="5">
        <f t="shared" si="411"/>
        <v>44785.967944945289</v>
      </c>
      <c r="AC407" s="5">
        <f t="shared" si="411"/>
        <v>46787.738925367383</v>
      </c>
      <c r="AD407" s="5">
        <f t="shared" si="411"/>
        <v>48789.509905789469</v>
      </c>
      <c r="AE407" s="5">
        <f t="shared" si="411"/>
        <v>50791.280886211563</v>
      </c>
      <c r="AF407" s="5">
        <f t="shared" si="411"/>
        <v>52793.051866633657</v>
      </c>
      <c r="AG407" s="5">
        <f t="shared" si="411"/>
        <v>54794.822847055751</v>
      </c>
      <c r="AH407" s="5">
        <f t="shared" si="411"/>
        <v>56796.593827477838</v>
      </c>
    </row>
    <row r="408" spans="1:34" x14ac:dyDescent="0.35">
      <c r="A408" t="s">
        <v>428</v>
      </c>
      <c r="B408" s="3" t="s">
        <v>1265</v>
      </c>
      <c r="C408" s="4" t="s">
        <v>1263</v>
      </c>
      <c r="D408" s="2">
        <f t="shared" si="391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ref="W408:AH408" si="412">IF(OR((SLOPE($E408:$V408,$E$1:$V$1)*W$1+INTERCEPT($E408:$V408,$E$1:$V$1))&gt;(AVERAGE($E408:$V408)+_xlfn.STDEV.P($E408:$V408)),(SLOPE($E408:$V408,$E$1:$V$1)*W$1+INTERCEPT($E408:$V408,$E$1:$V$1))&lt;(AVERAGE($E408:$V408)-_xlfn.STDEV.P($E408:$V408))),V408,(SLOPE($E408:$V408,$E$1:$V$1)*W$1+INTERCEPT($E408:$V408,$E$1:$V$1)))</f>
        <v>29516.168660999982</v>
      </c>
      <c r="X408" s="5">
        <f t="shared" si="412"/>
        <v>30979.290530999977</v>
      </c>
      <c r="Y408" s="5">
        <f t="shared" si="412"/>
        <v>30979.290530999977</v>
      </c>
      <c r="Z408" s="5">
        <f t="shared" si="412"/>
        <v>30979.290530999977</v>
      </c>
      <c r="AA408" s="5">
        <f t="shared" si="412"/>
        <v>30979.290530999977</v>
      </c>
      <c r="AB408" s="5">
        <f t="shared" si="412"/>
        <v>30979.290530999977</v>
      </c>
      <c r="AC408" s="5">
        <f t="shared" si="412"/>
        <v>30979.290530999977</v>
      </c>
      <c r="AD408" s="5">
        <f t="shared" si="412"/>
        <v>30979.290530999977</v>
      </c>
      <c r="AE408" s="5">
        <f t="shared" si="412"/>
        <v>30979.290530999977</v>
      </c>
      <c r="AF408" s="5">
        <f t="shared" si="412"/>
        <v>30979.290530999977</v>
      </c>
      <c r="AG408" s="5">
        <f t="shared" si="412"/>
        <v>30979.290530999977</v>
      </c>
      <c r="AH408" s="5">
        <f t="shared" si="412"/>
        <v>30979.290530999977</v>
      </c>
    </row>
    <row r="409" spans="1:34" x14ac:dyDescent="0.35">
      <c r="A409" t="s">
        <v>429</v>
      </c>
      <c r="B409" s="3" t="s">
        <v>1266</v>
      </c>
      <c r="C409" s="4" t="s">
        <v>1266</v>
      </c>
      <c r="D409" s="2">
        <f t="shared" si="391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ref="W409:AH409" si="413">IF(OR((SLOPE($E409:$V409,$E$1:$V$1)*W$1+INTERCEPT($E409:$V409,$E$1:$V$1))&gt;(AVERAGE($E409:$V409)+_xlfn.STDEV.P($E409:$V409)),(SLOPE($E409:$V409,$E$1:$V$1)*W$1+INTERCEPT($E409:$V409,$E$1:$V$1))&lt;(AVERAGE($E409:$V409)-_xlfn.STDEV.P($E409:$V409))),V409,(SLOPE($E409:$V409,$E$1:$V$1)*W$1+INTERCEPT($E409:$V409,$E$1:$V$1)))</f>
        <v>21632.630237573852</v>
      </c>
      <c r="X409" s="5">
        <f t="shared" si="413"/>
        <v>22277.404587727826</v>
      </c>
      <c r="Y409" s="5">
        <f t="shared" si="413"/>
        <v>22922.178937881799</v>
      </c>
      <c r="Z409" s="5">
        <f t="shared" si="413"/>
        <v>23566.953288035773</v>
      </c>
      <c r="AA409" s="5">
        <f t="shared" si="413"/>
        <v>24211.727638189746</v>
      </c>
      <c r="AB409" s="5">
        <f t="shared" si="413"/>
        <v>24856.50198834372</v>
      </c>
      <c r="AC409" s="5">
        <f t="shared" si="413"/>
        <v>25501.276338497693</v>
      </c>
      <c r="AD409" s="5">
        <f t="shared" si="413"/>
        <v>26146.050688651667</v>
      </c>
      <c r="AE409" s="5">
        <f t="shared" si="413"/>
        <v>26790.82503880564</v>
      </c>
      <c r="AF409" s="5">
        <f t="shared" si="413"/>
        <v>27435.599388959614</v>
      </c>
      <c r="AG409" s="5">
        <f t="shared" si="413"/>
        <v>28080.373739113587</v>
      </c>
      <c r="AH409" s="5">
        <f t="shared" si="413"/>
        <v>28725.148089267561</v>
      </c>
    </row>
    <row r="410" spans="1:34" x14ac:dyDescent="0.35">
      <c r="A410" t="s">
        <v>430</v>
      </c>
      <c r="B410" s="3" t="s">
        <v>1265</v>
      </c>
      <c r="C410" s="4" t="s">
        <v>1263</v>
      </c>
      <c r="D410" s="2">
        <f t="shared" si="391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ref="W410:AH410" si="414">IF(OR((SLOPE($E410:$V410,$E$1:$V$1)*W$1+INTERCEPT($E410:$V410,$E$1:$V$1))&gt;(AVERAGE($E410:$V410)+_xlfn.STDEV.P($E410:$V410)),(SLOPE($E410:$V410,$E$1:$V$1)*W$1+INTERCEPT($E410:$V410,$E$1:$V$1))&lt;(AVERAGE($E410:$V410)-_xlfn.STDEV.P($E410:$V410))),V410,(SLOPE($E410:$V410,$E$1:$V$1)*W$1+INTERCEPT($E410:$V410,$E$1:$V$1)))</f>
        <v>96688.464873371544</v>
      </c>
      <c r="X410" s="5">
        <f t="shared" si="414"/>
        <v>96688.464873371544</v>
      </c>
      <c r="Y410" s="5">
        <f t="shared" si="414"/>
        <v>96688.464873371544</v>
      </c>
      <c r="Z410" s="5">
        <f t="shared" si="414"/>
        <v>96688.464873371544</v>
      </c>
      <c r="AA410" s="5">
        <f t="shared" si="414"/>
        <v>96688.464873371544</v>
      </c>
      <c r="AB410" s="5">
        <f t="shared" si="414"/>
        <v>96688.464873371544</v>
      </c>
      <c r="AC410" s="5">
        <f t="shared" si="414"/>
        <v>96688.464873371544</v>
      </c>
      <c r="AD410" s="5">
        <f t="shared" si="414"/>
        <v>96688.464873371544</v>
      </c>
      <c r="AE410" s="5">
        <f t="shared" si="414"/>
        <v>96688.464873371544</v>
      </c>
      <c r="AF410" s="5">
        <f t="shared" si="414"/>
        <v>96688.464873371544</v>
      </c>
      <c r="AG410" s="5">
        <f t="shared" si="414"/>
        <v>96688.464873371544</v>
      </c>
      <c r="AH410" s="5">
        <f t="shared" si="414"/>
        <v>96688.464873371544</v>
      </c>
    </row>
    <row r="411" spans="1:34" x14ac:dyDescent="0.35">
      <c r="A411" t="s">
        <v>431</v>
      </c>
      <c r="B411" s="3" t="s">
        <v>1264</v>
      </c>
      <c r="C411" s="4" t="s">
        <v>1263</v>
      </c>
      <c r="D411" s="2">
        <f t="shared" si="391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ref="W411:AH411" si="415">IF(OR((SLOPE($E411:$V411,$E$1:$V$1)*W$1+INTERCEPT($E411:$V411,$E$1:$V$1))&gt;(AVERAGE($E411:$V411)+_xlfn.STDEV.P($E411:$V411)),(SLOPE($E411:$V411,$E$1:$V$1)*W$1+INTERCEPT($E411:$V411,$E$1:$V$1))&lt;(AVERAGE($E411:$V411)-_xlfn.STDEV.P($E411:$V411))),V411,(SLOPE($E411:$V411,$E$1:$V$1)*W$1+INTERCEPT($E411:$V411,$E$1:$V$1)))</f>
        <v>15529.049853967012</v>
      </c>
      <c r="X411" s="5">
        <f t="shared" si="415"/>
        <v>15548.354835168899</v>
      </c>
      <c r="Y411" s="5">
        <f t="shared" si="415"/>
        <v>15567.659816370788</v>
      </c>
      <c r="Z411" s="5">
        <f t="shared" si="415"/>
        <v>15586.964797572675</v>
      </c>
      <c r="AA411" s="5">
        <f t="shared" si="415"/>
        <v>15606.269778774562</v>
      </c>
      <c r="AB411" s="5">
        <f t="shared" si="415"/>
        <v>15625.574759976449</v>
      </c>
      <c r="AC411" s="5">
        <f t="shared" si="415"/>
        <v>15644.879741178336</v>
      </c>
      <c r="AD411" s="5">
        <f t="shared" si="415"/>
        <v>15664.184722380225</v>
      </c>
      <c r="AE411" s="5">
        <f t="shared" si="415"/>
        <v>15683.489703582112</v>
      </c>
      <c r="AF411" s="5">
        <f t="shared" si="415"/>
        <v>15702.794684783999</v>
      </c>
      <c r="AG411" s="5">
        <f t="shared" si="415"/>
        <v>15722.099665985887</v>
      </c>
      <c r="AH411" s="5">
        <f t="shared" si="415"/>
        <v>15741.404647187774</v>
      </c>
    </row>
    <row r="412" spans="1:34" x14ac:dyDescent="0.35">
      <c r="A412" t="s">
        <v>432</v>
      </c>
      <c r="B412" s="3" t="s">
        <v>1266</v>
      </c>
      <c r="C412" s="4" t="s">
        <v>1268</v>
      </c>
      <c r="D412" s="2">
        <f t="shared" si="391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ref="W412:AH412" si="416">IF(OR((SLOPE($E412:$V412,$E$1:$V$1)*W$1+INTERCEPT($E412:$V412,$E$1:$V$1))&gt;(AVERAGE($E412:$V412)+_xlfn.STDEV.P($E412:$V412)),(SLOPE($E412:$V412,$E$1:$V$1)*W$1+INTERCEPT($E412:$V412,$E$1:$V$1))&lt;(AVERAGE($E412:$V412)-_xlfn.STDEV.P($E412:$V412))),V412,(SLOPE($E412:$V412,$E$1:$V$1)*W$1+INTERCEPT($E412:$V412,$E$1:$V$1)))</f>
        <v>9487.2784391334935</v>
      </c>
      <c r="X412" s="5">
        <f t="shared" si="416"/>
        <v>8880.5283357769258</v>
      </c>
      <c r="Y412" s="5">
        <f t="shared" si="416"/>
        <v>8273.7782324203581</v>
      </c>
      <c r="Z412" s="5">
        <f t="shared" si="416"/>
        <v>7667.0281290637922</v>
      </c>
      <c r="AA412" s="5">
        <f t="shared" si="416"/>
        <v>7060.2780257072263</v>
      </c>
      <c r="AB412" s="5">
        <f t="shared" si="416"/>
        <v>6453.5279223506586</v>
      </c>
      <c r="AC412" s="5">
        <f t="shared" si="416"/>
        <v>5846.7778189940909</v>
      </c>
      <c r="AD412" s="5">
        <f t="shared" si="416"/>
        <v>5240.027715637525</v>
      </c>
      <c r="AE412" s="5">
        <f t="shared" si="416"/>
        <v>4633.2776122809591</v>
      </c>
      <c r="AF412" s="5">
        <f t="shared" si="416"/>
        <v>4026.5275089243914</v>
      </c>
      <c r="AG412" s="5">
        <f t="shared" si="416"/>
        <v>3419.7774055678237</v>
      </c>
      <c r="AH412" s="5">
        <f t="shared" si="416"/>
        <v>2813.0273022112597</v>
      </c>
    </row>
    <row r="413" spans="1:34" x14ac:dyDescent="0.35">
      <c r="A413" t="s">
        <v>433</v>
      </c>
      <c r="B413" s="3" t="s">
        <v>1262</v>
      </c>
      <c r="C413" s="4" t="s">
        <v>1263</v>
      </c>
      <c r="D413" s="2">
        <f t="shared" si="391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ref="W413:AH413" si="417">IF(OR((SLOPE($E413:$V413,$E$1:$V$1)*W$1+INTERCEPT($E413:$V413,$E$1:$V$1))&gt;(AVERAGE($E413:$V413)+_xlfn.STDEV.P($E413:$V413)),(SLOPE($E413:$V413,$E$1:$V$1)*W$1+INTERCEPT($E413:$V413,$E$1:$V$1))&lt;(AVERAGE($E413:$V413)-_xlfn.STDEV.P($E413:$V413))),V413,(SLOPE($E413:$V413,$E$1:$V$1)*W$1+INTERCEPT($E413:$V413,$E$1:$V$1)))</f>
        <v>30716.669071895427</v>
      </c>
      <c r="X413" s="5">
        <f t="shared" si="417"/>
        <v>32345.153741451672</v>
      </c>
      <c r="Y413" s="5">
        <f t="shared" si="417"/>
        <v>33973.638411007916</v>
      </c>
      <c r="Z413" s="5">
        <f t="shared" si="417"/>
        <v>35602.123080564161</v>
      </c>
      <c r="AA413" s="5">
        <f t="shared" si="417"/>
        <v>37230.607750120405</v>
      </c>
      <c r="AB413" s="5">
        <f t="shared" si="417"/>
        <v>38859.09241967665</v>
      </c>
      <c r="AC413" s="5">
        <f t="shared" si="417"/>
        <v>40487.577089232895</v>
      </c>
      <c r="AD413" s="5">
        <f t="shared" si="417"/>
        <v>42116.061758789139</v>
      </c>
      <c r="AE413" s="5">
        <f t="shared" si="417"/>
        <v>43744.546428345377</v>
      </c>
      <c r="AF413" s="5">
        <f t="shared" si="417"/>
        <v>45373.031097901621</v>
      </c>
      <c r="AG413" s="5">
        <f t="shared" si="417"/>
        <v>47001.515767457866</v>
      </c>
      <c r="AH413" s="5">
        <f t="shared" si="417"/>
        <v>48630.000437014111</v>
      </c>
    </row>
    <row r="414" spans="1:34" x14ac:dyDescent="0.35">
      <c r="A414" t="s">
        <v>434</v>
      </c>
      <c r="B414" s="3" t="s">
        <v>1266</v>
      </c>
      <c r="C414" s="4" t="s">
        <v>1266</v>
      </c>
      <c r="D414" s="2">
        <f t="shared" si="391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ref="W414:AH414" si="418">IF(OR((SLOPE($E414:$V414,$E$1:$V$1)*W$1+INTERCEPT($E414:$V414,$E$1:$V$1))&gt;(AVERAGE($E414:$V414)+_xlfn.STDEV.P($E414:$V414)),(SLOPE($E414:$V414,$E$1:$V$1)*W$1+INTERCEPT($E414:$V414,$E$1:$V$1))&lt;(AVERAGE($E414:$V414)-_xlfn.STDEV.P($E414:$V414))),V414,(SLOPE($E414:$V414,$E$1:$V$1)*W$1+INTERCEPT($E414:$V414,$E$1:$V$1)))</f>
        <v>60848.646219178154</v>
      </c>
      <c r="X414" s="5">
        <f t="shared" si="418"/>
        <v>65652.486710165918</v>
      </c>
      <c r="Y414" s="5">
        <f t="shared" si="418"/>
        <v>70456.327201153646</v>
      </c>
      <c r="Z414" s="5">
        <f t="shared" si="418"/>
        <v>75260.167692141404</v>
      </c>
      <c r="AA414" s="5">
        <f t="shared" si="418"/>
        <v>75260.167692141404</v>
      </c>
      <c r="AB414" s="5">
        <f t="shared" si="418"/>
        <v>75260.167692141404</v>
      </c>
      <c r="AC414" s="5">
        <f t="shared" si="418"/>
        <v>75260.167692141404</v>
      </c>
      <c r="AD414" s="5">
        <f t="shared" si="418"/>
        <v>75260.167692141404</v>
      </c>
      <c r="AE414" s="5">
        <f t="shared" si="418"/>
        <v>75260.167692141404</v>
      </c>
      <c r="AF414" s="5">
        <f t="shared" si="418"/>
        <v>75260.167692141404</v>
      </c>
      <c r="AG414" s="5">
        <f t="shared" si="418"/>
        <v>75260.167692141404</v>
      </c>
      <c r="AH414" s="5">
        <f t="shared" si="418"/>
        <v>75260.167692141404</v>
      </c>
    </row>
    <row r="415" spans="1:34" x14ac:dyDescent="0.35">
      <c r="A415" t="s">
        <v>435</v>
      </c>
      <c r="B415" s="3" t="s">
        <v>1262</v>
      </c>
      <c r="C415" s="4" t="s">
        <v>1263</v>
      </c>
      <c r="D415" s="2">
        <f t="shared" si="391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ref="W415:AH415" si="419">IF(OR((SLOPE($E415:$V415,$E$1:$V$1)*W$1+INTERCEPT($E415:$V415,$E$1:$V$1))&gt;(AVERAGE($E415:$V415)+_xlfn.STDEV.P($E415:$V415)),(SLOPE($E415:$V415,$E$1:$V$1)*W$1+INTERCEPT($E415:$V415,$E$1:$V$1))&lt;(AVERAGE($E415:$V415)-_xlfn.STDEV.P($E415:$V415))),V415,(SLOPE($E415:$V415,$E$1:$V$1)*W$1+INTERCEPT($E415:$V415,$E$1:$V$1)))</f>
        <v>24962.89212704789</v>
      </c>
      <c r="X415" s="5">
        <f t="shared" si="419"/>
        <v>25989.773112179777</v>
      </c>
      <c r="Y415" s="5">
        <f t="shared" si="419"/>
        <v>27016.654097311661</v>
      </c>
      <c r="Z415" s="5">
        <f t="shared" si="419"/>
        <v>28043.535082443548</v>
      </c>
      <c r="AA415" s="5">
        <f t="shared" si="419"/>
        <v>29070.416067575436</v>
      </c>
      <c r="AB415" s="5">
        <f t="shared" si="419"/>
        <v>30097.297052707319</v>
      </c>
      <c r="AC415" s="5">
        <f t="shared" si="419"/>
        <v>31124.178037839207</v>
      </c>
      <c r="AD415" s="5">
        <f t="shared" si="419"/>
        <v>32151.059022971094</v>
      </c>
      <c r="AE415" s="5">
        <f t="shared" si="419"/>
        <v>33177.940008102982</v>
      </c>
      <c r="AF415" s="5">
        <f t="shared" si="419"/>
        <v>34204.820993234869</v>
      </c>
      <c r="AG415" s="5">
        <f t="shared" si="419"/>
        <v>35231.701978366749</v>
      </c>
      <c r="AH415" s="5">
        <f t="shared" si="419"/>
        <v>36258.582963498644</v>
      </c>
    </row>
    <row r="416" spans="1:34" x14ac:dyDescent="0.35">
      <c r="A416" t="s">
        <v>436</v>
      </c>
      <c r="B416" s="3" t="s">
        <v>1266</v>
      </c>
      <c r="C416" s="4" t="s">
        <v>1267</v>
      </c>
      <c r="D416" s="2">
        <f t="shared" si="391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ref="W416:AH416" si="420">IF(OR((SLOPE($E416:$V416,$E$1:$V$1)*W$1+INTERCEPT($E416:$V416,$E$1:$V$1))&gt;(AVERAGE($E416:$V416)+_xlfn.STDEV.P($E416:$V416)),(SLOPE($E416:$V416,$E$1:$V$1)*W$1+INTERCEPT($E416:$V416,$E$1:$V$1))&lt;(AVERAGE($E416:$V416)-_xlfn.STDEV.P($E416:$V416))),V416,(SLOPE($E416:$V416,$E$1:$V$1)*W$1+INTERCEPT($E416:$V416,$E$1:$V$1)))</f>
        <v>50941.495244001904</v>
      </c>
      <c r="X416" s="5">
        <f t="shared" si="420"/>
        <v>54712.39933260953</v>
      </c>
      <c r="Y416" s="5">
        <f t="shared" si="420"/>
        <v>58483.303421217155</v>
      </c>
      <c r="Z416" s="5">
        <f t="shared" si="420"/>
        <v>62254.207509824781</v>
      </c>
      <c r="AA416" s="5">
        <f t="shared" si="420"/>
        <v>62254.207509824781</v>
      </c>
      <c r="AB416" s="5">
        <f t="shared" si="420"/>
        <v>62254.207509824781</v>
      </c>
      <c r="AC416" s="5">
        <f t="shared" si="420"/>
        <v>62254.207509824781</v>
      </c>
      <c r="AD416" s="5">
        <f t="shared" si="420"/>
        <v>62254.207509824781</v>
      </c>
      <c r="AE416" s="5">
        <f t="shared" si="420"/>
        <v>62254.207509824781</v>
      </c>
      <c r="AF416" s="5">
        <f t="shared" si="420"/>
        <v>62254.207509824781</v>
      </c>
      <c r="AG416" s="5">
        <f t="shared" si="420"/>
        <v>62254.207509824781</v>
      </c>
      <c r="AH416" s="5">
        <f t="shared" si="420"/>
        <v>62254.207509824781</v>
      </c>
    </row>
    <row r="417" spans="1:34" x14ac:dyDescent="0.35">
      <c r="A417" t="s">
        <v>437</v>
      </c>
      <c r="B417" s="3" t="s">
        <v>1266</v>
      </c>
      <c r="C417" s="4" t="s">
        <v>1268</v>
      </c>
      <c r="D417" s="2">
        <f t="shared" si="391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ref="W417:AH417" si="421">IF(OR((SLOPE($E417:$V417,$E$1:$V$1)*W$1+INTERCEPT($E417:$V417,$E$1:$V$1))&gt;(AVERAGE($E417:$V417)+_xlfn.STDEV.P($E417:$V417)),(SLOPE($E417:$V417,$E$1:$V$1)*W$1+INTERCEPT($E417:$V417,$E$1:$V$1))&lt;(AVERAGE($E417:$V417)-_xlfn.STDEV.P($E417:$V417))),V417,(SLOPE($E417:$V417,$E$1:$V$1)*W$1+INTERCEPT($E417:$V417,$E$1:$V$1)))</f>
        <v>22751.490045804778</v>
      </c>
      <c r="X417" s="5">
        <f t="shared" si="421"/>
        <v>23564.750803242583</v>
      </c>
      <c r="Y417" s="5">
        <f t="shared" si="421"/>
        <v>24378.011560680388</v>
      </c>
      <c r="Z417" s="5">
        <f t="shared" si="421"/>
        <v>25191.272318118194</v>
      </c>
      <c r="AA417" s="5">
        <f t="shared" si="421"/>
        <v>26004.533075555999</v>
      </c>
      <c r="AB417" s="5">
        <f t="shared" si="421"/>
        <v>26817.793832993812</v>
      </c>
      <c r="AC417" s="5">
        <f t="shared" si="421"/>
        <v>27631.054590431617</v>
      </c>
      <c r="AD417" s="5">
        <f t="shared" si="421"/>
        <v>28444.315347869422</v>
      </c>
      <c r="AE417" s="5">
        <f t="shared" si="421"/>
        <v>29257.576105307227</v>
      </c>
      <c r="AF417" s="5">
        <f t="shared" si="421"/>
        <v>30070.836862745033</v>
      </c>
      <c r="AG417" s="5">
        <f t="shared" si="421"/>
        <v>30884.097620182838</v>
      </c>
      <c r="AH417" s="5">
        <f t="shared" si="421"/>
        <v>31697.358377620643</v>
      </c>
    </row>
    <row r="418" spans="1:34" x14ac:dyDescent="0.35">
      <c r="A418" t="s">
        <v>438</v>
      </c>
      <c r="B418" s="3" t="s">
        <v>1264</v>
      </c>
      <c r="C418" s="4" t="s">
        <v>1263</v>
      </c>
      <c r="D418" s="2">
        <f t="shared" si="391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ref="W418:AH418" si="422">IF(OR((SLOPE($E418:$V418,$E$1:$V$1)*W$1+INTERCEPT($E418:$V418,$E$1:$V$1))&gt;(AVERAGE($E418:$V418)+_xlfn.STDEV.P($E418:$V418)),(SLOPE($E418:$V418,$E$1:$V$1)*W$1+INTERCEPT($E418:$V418,$E$1:$V$1))&lt;(AVERAGE($E418:$V418)-_xlfn.STDEV.P($E418:$V418))),V418,(SLOPE($E418:$V418,$E$1:$V$1)*W$1+INTERCEPT($E418:$V418,$E$1:$V$1)))</f>
        <v>37255.68</v>
      </c>
      <c r="X418" s="5">
        <f t="shared" si="422"/>
        <v>37255.68</v>
      </c>
      <c r="Y418" s="5">
        <f t="shared" si="422"/>
        <v>37255.68</v>
      </c>
      <c r="Z418" s="5">
        <f t="shared" si="422"/>
        <v>37255.68</v>
      </c>
      <c r="AA418" s="5">
        <f t="shared" si="422"/>
        <v>37255.68</v>
      </c>
      <c r="AB418" s="5">
        <f t="shared" si="422"/>
        <v>37255.68</v>
      </c>
      <c r="AC418" s="5">
        <f t="shared" si="422"/>
        <v>37255.68</v>
      </c>
      <c r="AD418" s="5">
        <f t="shared" si="422"/>
        <v>37255.68</v>
      </c>
      <c r="AE418" s="5">
        <f t="shared" si="422"/>
        <v>37255.68</v>
      </c>
      <c r="AF418" s="5">
        <f t="shared" si="422"/>
        <v>37255.68</v>
      </c>
      <c r="AG418" s="5">
        <f t="shared" si="422"/>
        <v>37255.68</v>
      </c>
      <c r="AH418" s="5">
        <f t="shared" si="422"/>
        <v>37255.68</v>
      </c>
    </row>
    <row r="419" spans="1:34" x14ac:dyDescent="0.35">
      <c r="A419" t="s">
        <v>439</v>
      </c>
      <c r="B419" s="3" t="s">
        <v>1266</v>
      </c>
      <c r="C419" s="4" t="s">
        <v>1267</v>
      </c>
      <c r="D419" s="2">
        <f t="shared" si="391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ref="W419:AH419" si="423">IF(OR((SLOPE($E419:$V419,$E$1:$V$1)*W$1+INTERCEPT($E419:$V419,$E$1:$V$1))&gt;(AVERAGE($E419:$V419)+_xlfn.STDEV.P($E419:$V419)),(SLOPE($E419:$V419,$E$1:$V$1)*W$1+INTERCEPT($E419:$V419,$E$1:$V$1))&lt;(AVERAGE($E419:$V419)-_xlfn.STDEV.P($E419:$V419))),V419,(SLOPE($E419:$V419,$E$1:$V$1)*W$1+INTERCEPT($E419:$V419,$E$1:$V$1)))</f>
        <v>17648.296998014288</v>
      </c>
      <c r="X419" s="5">
        <f t="shared" si="423"/>
        <v>17926.954319035569</v>
      </c>
      <c r="Y419" s="5">
        <f t="shared" si="423"/>
        <v>18205.611640056846</v>
      </c>
      <c r="Z419" s="5">
        <f t="shared" si="423"/>
        <v>18484.268961078124</v>
      </c>
      <c r="AA419" s="5">
        <f t="shared" si="423"/>
        <v>18762.926282099401</v>
      </c>
      <c r="AB419" s="5">
        <f t="shared" si="423"/>
        <v>19041.583603120678</v>
      </c>
      <c r="AC419" s="5">
        <f t="shared" si="423"/>
        <v>19320.240924141959</v>
      </c>
      <c r="AD419" s="5">
        <f t="shared" si="423"/>
        <v>19598.898245163236</v>
      </c>
      <c r="AE419" s="5">
        <f t="shared" si="423"/>
        <v>19877.555566184514</v>
      </c>
      <c r="AF419" s="5">
        <f t="shared" si="423"/>
        <v>20156.212887205791</v>
      </c>
      <c r="AG419" s="5">
        <f t="shared" si="423"/>
        <v>20434.870208227068</v>
      </c>
      <c r="AH419" s="5">
        <f t="shared" si="423"/>
        <v>20713.527529248349</v>
      </c>
    </row>
    <row r="420" spans="1:34" x14ac:dyDescent="0.35">
      <c r="A420" t="s">
        <v>440</v>
      </c>
      <c r="B420" s="3" t="s">
        <v>1266</v>
      </c>
      <c r="C420" s="4" t="s">
        <v>1267</v>
      </c>
      <c r="D420" s="2">
        <f t="shared" si="391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ref="W420:AH420" si="424">IF(OR((SLOPE($E420:$V420,$E$1:$V$1)*W$1+INTERCEPT($E420:$V420,$E$1:$V$1))&gt;(AVERAGE($E420:$V420)+_xlfn.STDEV.P($E420:$V420)),(SLOPE($E420:$V420,$E$1:$V$1)*W$1+INTERCEPT($E420:$V420,$E$1:$V$1))&lt;(AVERAGE($E420:$V420)-_xlfn.STDEV.P($E420:$V420))),V420,(SLOPE($E420:$V420,$E$1:$V$1)*W$1+INTERCEPT($E420:$V420,$E$1:$V$1)))</f>
        <v>21717.026624371996</v>
      </c>
      <c r="X420" s="5">
        <f t="shared" si="424"/>
        <v>22435.101901767484</v>
      </c>
      <c r="Y420" s="5">
        <f t="shared" si="424"/>
        <v>23153.177179162976</v>
      </c>
      <c r="Z420" s="5">
        <f t="shared" si="424"/>
        <v>23871.252456558464</v>
      </c>
      <c r="AA420" s="5">
        <f t="shared" si="424"/>
        <v>24589.327733953953</v>
      </c>
      <c r="AB420" s="5">
        <f t="shared" si="424"/>
        <v>25307.403011349445</v>
      </c>
      <c r="AC420" s="5">
        <f t="shared" si="424"/>
        <v>26025.478288744933</v>
      </c>
      <c r="AD420" s="5">
        <f t="shared" si="424"/>
        <v>26743.553566140421</v>
      </c>
      <c r="AE420" s="5">
        <f t="shared" si="424"/>
        <v>27461.628843535913</v>
      </c>
      <c r="AF420" s="5">
        <f t="shared" si="424"/>
        <v>28179.704120931401</v>
      </c>
      <c r="AG420" s="5">
        <f t="shared" si="424"/>
        <v>28897.779398326889</v>
      </c>
      <c r="AH420" s="5">
        <f t="shared" si="424"/>
        <v>29615.854675722378</v>
      </c>
    </row>
    <row r="421" spans="1:34" x14ac:dyDescent="0.35">
      <c r="A421" t="s">
        <v>441</v>
      </c>
      <c r="B421" s="3" t="s">
        <v>1265</v>
      </c>
      <c r="C421" s="4" t="s">
        <v>1263</v>
      </c>
      <c r="D421" s="2">
        <f t="shared" si="391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H421" si="425">IF(OR((SLOPE($E421:$V421,$E$1:$V$1)*W$1+INTERCEPT($E421:$V421,$E$1:$V$1))&gt;(AVERAGE($E421:$V421)+_xlfn.STDEV.P($E421:$V421)),(SLOPE($E421:$V421,$E$1:$V$1)*W$1+INTERCEPT($E421:$V421,$E$1:$V$1))&lt;(AVERAGE($E421:$V421)-_xlfn.STDEV.P($E421:$V421))),V421,(SLOPE($E421:$V421,$E$1:$V$1)*W$1+INTERCEPT($E421:$V421,$E$1:$V$1)))</f>
        <v>7667.8831764705883</v>
      </c>
      <c r="X421" s="5">
        <f t="shared" si="425"/>
        <v>6935.1883003095973</v>
      </c>
      <c r="Y421" s="5">
        <f t="shared" si="425"/>
        <v>6202.4934241486062</v>
      </c>
      <c r="Z421" s="5">
        <f t="shared" si="425"/>
        <v>5469.7985479876152</v>
      </c>
      <c r="AA421" s="5">
        <f t="shared" si="425"/>
        <v>4737.1036718266259</v>
      </c>
      <c r="AB421" s="5">
        <f t="shared" si="425"/>
        <v>4004.4087956656331</v>
      </c>
      <c r="AC421" s="5">
        <f t="shared" si="425"/>
        <v>3271.7139195046439</v>
      </c>
      <c r="AD421" s="5">
        <f t="shared" si="425"/>
        <v>2539.019043343651</v>
      </c>
      <c r="AE421" s="5">
        <f t="shared" si="425"/>
        <v>1806.3241671826618</v>
      </c>
      <c r="AF421" s="5">
        <f t="shared" si="425"/>
        <v>1073.6292910216725</v>
      </c>
      <c r="AG421" s="5">
        <f t="shared" si="425"/>
        <v>340.93441486067968</v>
      </c>
      <c r="AH421" s="5">
        <f t="shared" si="425"/>
        <v>-391.76046130030954</v>
      </c>
    </row>
    <row r="422" spans="1:34" x14ac:dyDescent="0.35">
      <c r="A422" t="s">
        <v>442</v>
      </c>
      <c r="B422" s="3" t="s">
        <v>1264</v>
      </c>
      <c r="C422" s="4" t="s">
        <v>1263</v>
      </c>
      <c r="D422" s="2">
        <f t="shared" si="391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ref="W422:AH422" si="426">IF(OR((SLOPE($E422:$V422,$E$1:$V$1)*W$1+INTERCEPT($E422:$V422,$E$1:$V$1))&gt;(AVERAGE($E422:$V422)+_xlfn.STDEV.P($E422:$V422)),(SLOPE($E422:$V422,$E$1:$V$1)*W$1+INTERCEPT($E422:$V422,$E$1:$V$1))&lt;(AVERAGE($E422:$V422)-_xlfn.STDEV.P($E422:$V422))),V422,(SLOPE($E422:$V422,$E$1:$V$1)*W$1+INTERCEPT($E422:$V422,$E$1:$V$1)))</f>
        <v>8752.4259895424821</v>
      </c>
      <c r="X422" s="5">
        <f t="shared" si="426"/>
        <v>8112.6250504299951</v>
      </c>
      <c r="Y422" s="5">
        <f t="shared" si="426"/>
        <v>7472.8241113175081</v>
      </c>
      <c r="Z422" s="5">
        <f t="shared" si="426"/>
        <v>6833.0231722050212</v>
      </c>
      <c r="AA422" s="5">
        <f t="shared" si="426"/>
        <v>6193.2222330925342</v>
      </c>
      <c r="AB422" s="5">
        <f t="shared" si="426"/>
        <v>5553.4212939800454</v>
      </c>
      <c r="AC422" s="5">
        <f t="shared" si="426"/>
        <v>4913.6203548675585</v>
      </c>
      <c r="AD422" s="5">
        <f t="shared" si="426"/>
        <v>4273.8194157550715</v>
      </c>
      <c r="AE422" s="5">
        <f t="shared" si="426"/>
        <v>3634.0184766425846</v>
      </c>
      <c r="AF422" s="5">
        <f t="shared" si="426"/>
        <v>2994.2175375300976</v>
      </c>
      <c r="AG422" s="5">
        <f t="shared" si="426"/>
        <v>2354.4165984176107</v>
      </c>
      <c r="AH422" s="5">
        <f t="shared" si="426"/>
        <v>1714.6156593051237</v>
      </c>
    </row>
    <row r="423" spans="1:34" x14ac:dyDescent="0.35">
      <c r="A423" t="s">
        <v>443</v>
      </c>
      <c r="B423" s="3" t="s">
        <v>1265</v>
      </c>
      <c r="C423" s="4" t="s">
        <v>1263</v>
      </c>
      <c r="D423" s="2">
        <f t="shared" si="391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ref="W423:AH423" si="427">IF(OR((SLOPE($E423:$V423,$E$1:$V$1)*W$1+INTERCEPT($E423:$V423,$E$1:$V$1))&gt;(AVERAGE($E423:$V423)+_xlfn.STDEV.P($E423:$V423)),(SLOPE($E423:$V423,$E$1:$V$1)*W$1+INTERCEPT($E423:$V423,$E$1:$V$1))&lt;(AVERAGE($E423:$V423)-_xlfn.STDEV.P($E423:$V423))),V423,(SLOPE($E423:$V423,$E$1:$V$1)*W$1+INTERCEPT($E423:$V423,$E$1:$V$1)))</f>
        <v>27742.701776489357</v>
      </c>
      <c r="X423" s="5">
        <f t="shared" si="427"/>
        <v>29102.050759471782</v>
      </c>
      <c r="Y423" s="5">
        <f t="shared" si="427"/>
        <v>30461.399742454207</v>
      </c>
      <c r="Z423" s="5">
        <f t="shared" si="427"/>
        <v>31820.748725436632</v>
      </c>
      <c r="AA423" s="5">
        <f t="shared" si="427"/>
        <v>33180.097708419053</v>
      </c>
      <c r="AB423" s="5">
        <f t="shared" si="427"/>
        <v>34539.446691401477</v>
      </c>
      <c r="AC423" s="5">
        <f t="shared" si="427"/>
        <v>34539.446691401477</v>
      </c>
      <c r="AD423" s="5">
        <f t="shared" si="427"/>
        <v>34539.446691401477</v>
      </c>
      <c r="AE423" s="5">
        <f t="shared" si="427"/>
        <v>34539.446691401477</v>
      </c>
      <c r="AF423" s="5">
        <f t="shared" si="427"/>
        <v>34539.446691401477</v>
      </c>
      <c r="AG423" s="5">
        <f t="shared" si="427"/>
        <v>34539.446691401477</v>
      </c>
      <c r="AH423" s="5">
        <f t="shared" si="427"/>
        <v>34539.446691401477</v>
      </c>
    </row>
    <row r="424" spans="1:34" x14ac:dyDescent="0.35">
      <c r="A424" t="s">
        <v>444</v>
      </c>
      <c r="B424" s="3" t="s">
        <v>1266</v>
      </c>
      <c r="C424" s="4" t="s">
        <v>1263</v>
      </c>
      <c r="D424" s="2">
        <f t="shared" si="391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ref="W424:AH424" si="428">IF(OR((SLOPE($E424:$V424,$E$1:$V$1)*W$1+INTERCEPT($E424:$V424,$E$1:$V$1))&gt;(AVERAGE($E424:$V424)+_xlfn.STDEV.P($E424:$V424)),(SLOPE($E424:$V424,$E$1:$V$1)*W$1+INTERCEPT($E424:$V424,$E$1:$V$1))&lt;(AVERAGE($E424:$V424)-_xlfn.STDEV.P($E424:$V424))),V424,(SLOPE($E424:$V424,$E$1:$V$1)*W$1+INTERCEPT($E424:$V424,$E$1:$V$1)))</f>
        <v>9611.1699736430892</v>
      </c>
      <c r="X424" s="5">
        <f t="shared" si="428"/>
        <v>9062.1751218522841</v>
      </c>
      <c r="Y424" s="5">
        <f t="shared" si="428"/>
        <v>8513.180270061479</v>
      </c>
      <c r="Z424" s="5">
        <f t="shared" si="428"/>
        <v>7964.1854182706738</v>
      </c>
      <c r="AA424" s="5">
        <f t="shared" si="428"/>
        <v>7415.1905664798687</v>
      </c>
      <c r="AB424" s="5">
        <f t="shared" si="428"/>
        <v>6866.1957146890636</v>
      </c>
      <c r="AC424" s="5">
        <f t="shared" si="428"/>
        <v>6317.2008628982585</v>
      </c>
      <c r="AD424" s="5">
        <f t="shared" si="428"/>
        <v>5768.2060111074534</v>
      </c>
      <c r="AE424" s="5">
        <f t="shared" si="428"/>
        <v>5219.2111593166483</v>
      </c>
      <c r="AF424" s="5">
        <f t="shared" si="428"/>
        <v>4670.2163075258431</v>
      </c>
      <c r="AG424" s="5">
        <f t="shared" si="428"/>
        <v>4121.221455735038</v>
      </c>
      <c r="AH424" s="5">
        <f t="shared" si="428"/>
        <v>3572.2266039442329</v>
      </c>
    </row>
    <row r="425" spans="1:34" x14ac:dyDescent="0.35">
      <c r="A425" t="s">
        <v>445</v>
      </c>
      <c r="B425" s="3" t="s">
        <v>1266</v>
      </c>
      <c r="C425" s="4" t="s">
        <v>1267</v>
      </c>
      <c r="D425" s="2">
        <f t="shared" si="391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ref="W425:AH425" si="429">IF(OR((SLOPE($E425:$V425,$E$1:$V$1)*W$1+INTERCEPT($E425:$V425,$E$1:$V$1))&gt;(AVERAGE($E425:$V425)+_xlfn.STDEV.P($E425:$V425)),(SLOPE($E425:$V425,$E$1:$V$1)*W$1+INTERCEPT($E425:$V425,$E$1:$V$1))&lt;(AVERAGE($E425:$V425)-_xlfn.STDEV.P($E425:$V425))),V425,(SLOPE($E425:$V425,$E$1:$V$1)*W$1+INTERCEPT($E425:$V425,$E$1:$V$1)))</f>
        <v>9460.9962876778482</v>
      </c>
      <c r="X425" s="5">
        <f t="shared" si="429"/>
        <v>8898.1331508153889</v>
      </c>
      <c r="Y425" s="5">
        <f t="shared" si="429"/>
        <v>8335.2700139529297</v>
      </c>
      <c r="Z425" s="5">
        <f t="shared" si="429"/>
        <v>7772.4068770904705</v>
      </c>
      <c r="AA425" s="5">
        <f t="shared" si="429"/>
        <v>7209.5437402280113</v>
      </c>
      <c r="AB425" s="5">
        <f t="shared" si="429"/>
        <v>6646.6806033655521</v>
      </c>
      <c r="AC425" s="5">
        <f t="shared" si="429"/>
        <v>6083.8174665030929</v>
      </c>
      <c r="AD425" s="5">
        <f t="shared" si="429"/>
        <v>5520.9543296406337</v>
      </c>
      <c r="AE425" s="5">
        <f t="shared" si="429"/>
        <v>4958.0911927781744</v>
      </c>
      <c r="AF425" s="5">
        <f t="shared" si="429"/>
        <v>4395.2280559157152</v>
      </c>
      <c r="AG425" s="5">
        <f t="shared" si="429"/>
        <v>3832.364919053256</v>
      </c>
      <c r="AH425" s="5">
        <f t="shared" si="429"/>
        <v>3269.5017821907968</v>
      </c>
    </row>
    <row r="426" spans="1:34" x14ac:dyDescent="0.35">
      <c r="A426" t="s">
        <v>446</v>
      </c>
      <c r="B426" s="3" t="s">
        <v>1265</v>
      </c>
      <c r="C426" s="4" t="s">
        <v>1263</v>
      </c>
      <c r="D426" s="2">
        <f t="shared" si="391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ref="W426:AH426" si="430">IF(OR((SLOPE($E426:$V426,$E$1:$V$1)*W$1+INTERCEPT($E426:$V426,$E$1:$V$1))&gt;(AVERAGE($E426:$V426)+_xlfn.STDEV.P($E426:$V426)),(SLOPE($E426:$V426,$E$1:$V$1)*W$1+INTERCEPT($E426:$V426,$E$1:$V$1))&lt;(AVERAGE($E426:$V426)-_xlfn.STDEV.P($E426:$V426))),V426,(SLOPE($E426:$V426,$E$1:$V$1)*W$1+INTERCEPT($E426:$V426,$E$1:$V$1)))</f>
        <v>15503.796000000002</v>
      </c>
      <c r="X426" s="5">
        <f t="shared" si="430"/>
        <v>15606.262736842109</v>
      </c>
      <c r="Y426" s="5">
        <f t="shared" si="430"/>
        <v>15708.729473684214</v>
      </c>
      <c r="Z426" s="5">
        <f t="shared" si="430"/>
        <v>15811.196210526319</v>
      </c>
      <c r="AA426" s="5">
        <f t="shared" si="430"/>
        <v>15913.662947368424</v>
      </c>
      <c r="AB426" s="5">
        <f t="shared" si="430"/>
        <v>16016.129684210529</v>
      </c>
      <c r="AC426" s="5">
        <f t="shared" si="430"/>
        <v>16118.596421052634</v>
      </c>
      <c r="AD426" s="5">
        <f t="shared" si="430"/>
        <v>16221.06315789474</v>
      </c>
      <c r="AE426" s="5">
        <f t="shared" si="430"/>
        <v>16323.529894736845</v>
      </c>
      <c r="AF426" s="5">
        <f t="shared" si="430"/>
        <v>16425.99663157895</v>
      </c>
      <c r="AG426" s="5">
        <f t="shared" si="430"/>
        <v>16528.463368421057</v>
      </c>
      <c r="AH426" s="5">
        <f t="shared" si="430"/>
        <v>16630.93010526316</v>
      </c>
    </row>
    <row r="427" spans="1:34" x14ac:dyDescent="0.35">
      <c r="A427" t="s">
        <v>447</v>
      </c>
      <c r="B427" s="3" t="s">
        <v>1266</v>
      </c>
      <c r="C427" s="4" t="s">
        <v>1263</v>
      </c>
      <c r="D427" s="2">
        <f t="shared" si="391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ref="W427:AH427" si="431">IF(OR((SLOPE($E427:$V427,$E$1:$V$1)*W$1+INTERCEPT($E427:$V427,$E$1:$V$1))&gt;(AVERAGE($E427:$V427)+_xlfn.STDEV.P($E427:$V427)),(SLOPE($E427:$V427,$E$1:$V$1)*W$1+INTERCEPT($E427:$V427,$E$1:$V$1))&lt;(AVERAGE($E427:$V427)-_xlfn.STDEV.P($E427:$V427))),V427,(SLOPE($E427:$V427,$E$1:$V$1)*W$1+INTERCEPT($E427:$V427,$E$1:$V$1)))</f>
        <v>22251.930141213423</v>
      </c>
      <c r="X427" s="5">
        <f t="shared" si="431"/>
        <v>23040.597577006352</v>
      </c>
      <c r="Y427" s="5">
        <f t="shared" si="431"/>
        <v>23829.265012799286</v>
      </c>
      <c r="Z427" s="5">
        <f t="shared" si="431"/>
        <v>24617.932448592215</v>
      </c>
      <c r="AA427" s="5">
        <f t="shared" si="431"/>
        <v>25406.599884385148</v>
      </c>
      <c r="AB427" s="5">
        <f t="shared" si="431"/>
        <v>26195.267320178078</v>
      </c>
      <c r="AC427" s="5">
        <f t="shared" si="431"/>
        <v>26983.934755971008</v>
      </c>
      <c r="AD427" s="5">
        <f t="shared" si="431"/>
        <v>27772.602191763941</v>
      </c>
      <c r="AE427" s="5">
        <f t="shared" si="431"/>
        <v>28561.269627556871</v>
      </c>
      <c r="AF427" s="5">
        <f t="shared" si="431"/>
        <v>29349.9370633498</v>
      </c>
      <c r="AG427" s="5">
        <f t="shared" si="431"/>
        <v>30138.604499142733</v>
      </c>
      <c r="AH427" s="5">
        <f t="shared" si="431"/>
        <v>30927.271934935663</v>
      </c>
    </row>
    <row r="428" spans="1:34" x14ac:dyDescent="0.35">
      <c r="A428" t="s">
        <v>448</v>
      </c>
      <c r="B428" s="3" t="s">
        <v>1266</v>
      </c>
      <c r="C428" s="4" t="s">
        <v>1268</v>
      </c>
      <c r="D428" s="2">
        <f t="shared" si="391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ref="W428:AH428" si="432">IF(OR((SLOPE($E428:$V428,$E$1:$V$1)*W$1+INTERCEPT($E428:$V428,$E$1:$V$1))&gt;(AVERAGE($E428:$V428)+_xlfn.STDEV.P($E428:$V428)),(SLOPE($E428:$V428,$E$1:$V$1)*W$1+INTERCEPT($E428:$V428,$E$1:$V$1))&lt;(AVERAGE($E428:$V428)-_xlfn.STDEV.P($E428:$V428))),V428,(SLOPE($E428:$V428,$E$1:$V$1)*W$1+INTERCEPT($E428:$V428,$E$1:$V$1)))</f>
        <v>18185.479583744484</v>
      </c>
      <c r="X428" s="5">
        <f t="shared" si="432"/>
        <v>18546.968975621672</v>
      </c>
      <c r="Y428" s="5">
        <f t="shared" si="432"/>
        <v>18908.458367498861</v>
      </c>
      <c r="Z428" s="5">
        <f t="shared" si="432"/>
        <v>19269.947759376049</v>
      </c>
      <c r="AA428" s="5">
        <f t="shared" si="432"/>
        <v>19631.437151253238</v>
      </c>
      <c r="AB428" s="5">
        <f t="shared" si="432"/>
        <v>19992.926543130423</v>
      </c>
      <c r="AC428" s="5">
        <f t="shared" si="432"/>
        <v>20354.415935007615</v>
      </c>
      <c r="AD428" s="5">
        <f t="shared" si="432"/>
        <v>20715.9053268848</v>
      </c>
      <c r="AE428" s="5">
        <f t="shared" si="432"/>
        <v>21077.394718761989</v>
      </c>
      <c r="AF428" s="5">
        <f t="shared" si="432"/>
        <v>21438.884110639177</v>
      </c>
      <c r="AG428" s="5">
        <f t="shared" si="432"/>
        <v>21800.373502516366</v>
      </c>
      <c r="AH428" s="5">
        <f t="shared" si="432"/>
        <v>22161.862894393555</v>
      </c>
    </row>
    <row r="429" spans="1:34" x14ac:dyDescent="0.35">
      <c r="A429" t="s">
        <v>449</v>
      </c>
      <c r="B429" s="3" t="s">
        <v>1262</v>
      </c>
      <c r="C429" s="4" t="s">
        <v>1263</v>
      </c>
      <c r="D429" s="2">
        <f t="shared" si="391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ref="W429:AH429" si="433">IF(OR((SLOPE($E429:$V429,$E$1:$V$1)*W$1+INTERCEPT($E429:$V429,$E$1:$V$1))&gt;(AVERAGE($E429:$V429)+_xlfn.STDEV.P($E429:$V429)),(SLOPE($E429:$V429,$E$1:$V$1)*W$1+INTERCEPT($E429:$V429,$E$1:$V$1))&lt;(AVERAGE($E429:$V429)-_xlfn.STDEV.P($E429:$V429))),V429,(SLOPE($E429:$V429,$E$1:$V$1)*W$1+INTERCEPT($E429:$V429,$E$1:$V$1)))</f>
        <v>30595.697999999997</v>
      </c>
      <c r="X429" s="5">
        <f t="shared" si="433"/>
        <v>30595.697999999997</v>
      </c>
      <c r="Y429" s="5">
        <f t="shared" si="433"/>
        <v>30595.697999999997</v>
      </c>
      <c r="Z429" s="5">
        <f t="shared" si="433"/>
        <v>30595.697999999997</v>
      </c>
      <c r="AA429" s="5">
        <f t="shared" si="433"/>
        <v>30595.697999999997</v>
      </c>
      <c r="AB429" s="5">
        <f t="shared" si="433"/>
        <v>30595.697999999997</v>
      </c>
      <c r="AC429" s="5">
        <f t="shared" si="433"/>
        <v>30595.697999999997</v>
      </c>
      <c r="AD429" s="5">
        <f t="shared" si="433"/>
        <v>30595.697999999997</v>
      </c>
      <c r="AE429" s="5">
        <f t="shared" si="433"/>
        <v>30595.697999999997</v>
      </c>
      <c r="AF429" s="5">
        <f t="shared" si="433"/>
        <v>30595.697999999997</v>
      </c>
      <c r="AG429" s="5">
        <f t="shared" si="433"/>
        <v>30595.697999999997</v>
      </c>
      <c r="AH429" s="5">
        <f t="shared" si="433"/>
        <v>30595.697999999997</v>
      </c>
    </row>
    <row r="430" spans="1:34" x14ac:dyDescent="0.35">
      <c r="A430" t="s">
        <v>450</v>
      </c>
      <c r="B430" s="3" t="s">
        <v>1265</v>
      </c>
      <c r="C430" s="4" t="s">
        <v>1267</v>
      </c>
      <c r="D430" s="2">
        <f t="shared" si="391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ref="W430:AH430" si="434">IF(OR((SLOPE($E430:$V430,$E$1:$V$1)*W$1+INTERCEPT($E430:$V430,$E$1:$V$1))&gt;(AVERAGE($E430:$V430)+_xlfn.STDEV.P($E430:$V430)),(SLOPE($E430:$V430,$E$1:$V$1)*W$1+INTERCEPT($E430:$V430,$E$1:$V$1))&lt;(AVERAGE($E430:$V430)-_xlfn.STDEV.P($E430:$V430))),V430,(SLOPE($E430:$V430,$E$1:$V$1)*W$1+INTERCEPT($E430:$V430,$E$1:$V$1)))</f>
        <v>2761.5920014759504</v>
      </c>
      <c r="X430" s="5">
        <f t="shared" si="434"/>
        <v>1509.9315860408351</v>
      </c>
      <c r="Y430" s="5">
        <f t="shared" si="434"/>
        <v>258.27117060571982</v>
      </c>
      <c r="Z430" s="5">
        <f t="shared" si="434"/>
        <v>-993.3892448293991</v>
      </c>
      <c r="AA430" s="5">
        <f t="shared" si="434"/>
        <v>-2245.049660264518</v>
      </c>
      <c r="AB430" s="5">
        <f t="shared" si="434"/>
        <v>-3496.7100756996333</v>
      </c>
      <c r="AC430" s="5">
        <f t="shared" si="434"/>
        <v>-4748.3704911347486</v>
      </c>
      <c r="AD430" s="5">
        <f t="shared" si="434"/>
        <v>-6000.0309065698675</v>
      </c>
      <c r="AE430" s="5">
        <f t="shared" si="434"/>
        <v>-7251.6913220049864</v>
      </c>
      <c r="AF430" s="5">
        <f t="shared" si="434"/>
        <v>-8503.3517374401017</v>
      </c>
      <c r="AG430" s="5">
        <f t="shared" si="434"/>
        <v>-9755.012152875217</v>
      </c>
      <c r="AH430" s="5">
        <f t="shared" si="434"/>
        <v>-11006.67256831034</v>
      </c>
    </row>
    <row r="431" spans="1:34" x14ac:dyDescent="0.35">
      <c r="A431" t="s">
        <v>451</v>
      </c>
      <c r="B431" s="3" t="s">
        <v>1266</v>
      </c>
      <c r="C431" s="4" t="s">
        <v>1267</v>
      </c>
      <c r="D431" s="2">
        <f t="shared" si="391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ref="W431:AH431" si="435">IF(OR((SLOPE($E431:$V431,$E$1:$V$1)*W$1+INTERCEPT($E431:$V431,$E$1:$V$1))&gt;(AVERAGE($E431:$V431)+_xlfn.STDEV.P($E431:$V431)),(SLOPE($E431:$V431,$E$1:$V$1)*W$1+INTERCEPT($E431:$V431,$E$1:$V$1))&lt;(AVERAGE($E431:$V431)-_xlfn.STDEV.P($E431:$V431))),V431,(SLOPE($E431:$V431,$E$1:$V$1)*W$1+INTERCEPT($E431:$V431,$E$1:$V$1)))</f>
        <v>2470.7841401264996</v>
      </c>
      <c r="X431" s="5">
        <f t="shared" si="435"/>
        <v>1190.5583468289551</v>
      </c>
      <c r="Y431" s="5">
        <f t="shared" si="435"/>
        <v>-89.667446468585695</v>
      </c>
      <c r="Z431" s="5">
        <f t="shared" si="435"/>
        <v>-1369.8932397661301</v>
      </c>
      <c r="AA431" s="5">
        <f t="shared" si="435"/>
        <v>-2650.1190330636709</v>
      </c>
      <c r="AB431" s="5">
        <f t="shared" si="435"/>
        <v>-3930.3448263612117</v>
      </c>
      <c r="AC431" s="5">
        <f t="shared" si="435"/>
        <v>-5210.5706196587562</v>
      </c>
      <c r="AD431" s="5">
        <f t="shared" si="435"/>
        <v>-6490.7964129563006</v>
      </c>
      <c r="AE431" s="5">
        <f t="shared" si="435"/>
        <v>-7771.0222062538414</v>
      </c>
      <c r="AF431" s="5">
        <f t="shared" si="435"/>
        <v>-9051.2479995513822</v>
      </c>
      <c r="AG431" s="5">
        <f t="shared" si="435"/>
        <v>-10331.473792848923</v>
      </c>
      <c r="AH431" s="5">
        <f t="shared" si="435"/>
        <v>-11611.699586146471</v>
      </c>
    </row>
    <row r="432" spans="1:34" x14ac:dyDescent="0.35">
      <c r="A432" t="s">
        <v>452</v>
      </c>
      <c r="B432" s="3" t="s">
        <v>1264</v>
      </c>
      <c r="C432" s="4" t="s">
        <v>1263</v>
      </c>
      <c r="D432" s="2">
        <f t="shared" si="391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ref="W432:AH432" si="436">IF(OR((SLOPE($E432:$V432,$E$1:$V$1)*W$1+INTERCEPT($E432:$V432,$E$1:$V$1))&gt;(AVERAGE($E432:$V432)+_xlfn.STDEV.P($E432:$V432)),(SLOPE($E432:$V432,$E$1:$V$1)*W$1+INTERCEPT($E432:$V432,$E$1:$V$1))&lt;(AVERAGE($E432:$V432)-_xlfn.STDEV.P($E432:$V432))),V432,(SLOPE($E432:$V432,$E$1:$V$1)*W$1+INTERCEPT($E432:$V432,$E$1:$V$1)))</f>
        <v>22125.25623778491</v>
      </c>
      <c r="X432" s="5">
        <f t="shared" si="436"/>
        <v>22125.25623778491</v>
      </c>
      <c r="Y432" s="5">
        <f t="shared" si="436"/>
        <v>22125.25623778491</v>
      </c>
      <c r="Z432" s="5">
        <f t="shared" si="436"/>
        <v>22125.25623778491</v>
      </c>
      <c r="AA432" s="5">
        <f t="shared" si="436"/>
        <v>22125.25623778491</v>
      </c>
      <c r="AB432" s="5">
        <f t="shared" si="436"/>
        <v>22125.25623778491</v>
      </c>
      <c r="AC432" s="5">
        <f t="shared" si="436"/>
        <v>22125.25623778491</v>
      </c>
      <c r="AD432" s="5">
        <f t="shared" si="436"/>
        <v>22125.25623778491</v>
      </c>
      <c r="AE432" s="5">
        <f t="shared" si="436"/>
        <v>22125.25623778491</v>
      </c>
      <c r="AF432" s="5">
        <f t="shared" si="436"/>
        <v>22125.25623778491</v>
      </c>
      <c r="AG432" s="5">
        <f t="shared" si="436"/>
        <v>22125.25623778491</v>
      </c>
      <c r="AH432" s="5">
        <f t="shared" si="436"/>
        <v>22125.25623778491</v>
      </c>
    </row>
    <row r="433" spans="1:34" x14ac:dyDescent="0.35">
      <c r="A433" t="s">
        <v>453</v>
      </c>
      <c r="B433" s="3" t="s">
        <v>1264</v>
      </c>
      <c r="C433" s="4" t="s">
        <v>1263</v>
      </c>
      <c r="D433" s="2">
        <f t="shared" si="391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ref="W433:AH433" si="437">IF(OR((SLOPE($E433:$V433,$E$1:$V$1)*W$1+INTERCEPT($E433:$V433,$E$1:$V$1))&gt;(AVERAGE($E433:$V433)+_xlfn.STDEV.P($E433:$V433)),(SLOPE($E433:$V433,$E$1:$V$1)*W$1+INTERCEPT($E433:$V433,$E$1:$V$1))&lt;(AVERAGE($E433:$V433)-_xlfn.STDEV.P($E433:$V433))),V433,(SLOPE($E433:$V433,$E$1:$V$1)*W$1+INTERCEPT($E433:$V433,$E$1:$V$1)))</f>
        <v>2974.957176470587</v>
      </c>
      <c r="X433" s="5">
        <f t="shared" si="437"/>
        <v>1793.5589845201248</v>
      </c>
      <c r="Y433" s="5">
        <f t="shared" si="437"/>
        <v>612.16079256965895</v>
      </c>
      <c r="Z433" s="5">
        <f t="shared" si="437"/>
        <v>-569.23739938080689</v>
      </c>
      <c r="AA433" s="5">
        <f t="shared" si="437"/>
        <v>-1750.6355913312691</v>
      </c>
      <c r="AB433" s="5">
        <f t="shared" si="437"/>
        <v>-2932.0337832817349</v>
      </c>
      <c r="AC433" s="5">
        <f t="shared" si="437"/>
        <v>-4113.4319752322008</v>
      </c>
      <c r="AD433" s="5">
        <f t="shared" si="437"/>
        <v>-5294.830167182663</v>
      </c>
      <c r="AE433" s="5">
        <f t="shared" si="437"/>
        <v>-5294.830167182663</v>
      </c>
      <c r="AF433" s="5">
        <f t="shared" si="437"/>
        <v>-5294.830167182663</v>
      </c>
      <c r="AG433" s="5">
        <f t="shared" si="437"/>
        <v>-5294.830167182663</v>
      </c>
      <c r="AH433" s="5">
        <f t="shared" si="437"/>
        <v>-5294.830167182663</v>
      </c>
    </row>
    <row r="434" spans="1:34" x14ac:dyDescent="0.35">
      <c r="A434" t="s">
        <v>454</v>
      </c>
      <c r="B434" s="3" t="s">
        <v>1262</v>
      </c>
      <c r="C434" s="4" t="s">
        <v>1263</v>
      </c>
      <c r="D434" s="2">
        <f t="shared" si="391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ref="W434:AH434" si="438">IF(OR((SLOPE($E434:$V434,$E$1:$V$1)*W$1+INTERCEPT($E434:$V434,$E$1:$V$1))&gt;(AVERAGE($E434:$V434)+_xlfn.STDEV.P($E434:$V434)),(SLOPE($E434:$V434,$E$1:$V$1)*W$1+INTERCEPT($E434:$V434,$E$1:$V$1))&lt;(AVERAGE($E434:$V434)-_xlfn.STDEV.P($E434:$V434))),V434,(SLOPE($E434:$V434,$E$1:$V$1)*W$1+INTERCEPT($E434:$V434,$E$1:$V$1)))</f>
        <v>75914.269199999981</v>
      </c>
      <c r="X434" s="5">
        <f t="shared" si="438"/>
        <v>75914.269199999981</v>
      </c>
      <c r="Y434" s="5">
        <f t="shared" si="438"/>
        <v>75914.269199999981</v>
      </c>
      <c r="Z434" s="5">
        <f t="shared" si="438"/>
        <v>75914.269199999981</v>
      </c>
      <c r="AA434" s="5">
        <f t="shared" si="438"/>
        <v>75914.269199999981</v>
      </c>
      <c r="AB434" s="5">
        <f t="shared" si="438"/>
        <v>75914.269199999981</v>
      </c>
      <c r="AC434" s="5">
        <f t="shared" si="438"/>
        <v>75914.269199999981</v>
      </c>
      <c r="AD434" s="5">
        <f t="shared" si="438"/>
        <v>75914.269199999981</v>
      </c>
      <c r="AE434" s="5">
        <f t="shared" si="438"/>
        <v>75914.269199999981</v>
      </c>
      <c r="AF434" s="5">
        <f t="shared" si="438"/>
        <v>75914.269199999981</v>
      </c>
      <c r="AG434" s="5">
        <f t="shared" si="438"/>
        <v>75914.269199999981</v>
      </c>
      <c r="AH434" s="5">
        <f t="shared" si="438"/>
        <v>75914.269199999981</v>
      </c>
    </row>
    <row r="435" spans="1:34" x14ac:dyDescent="0.35">
      <c r="A435" t="s">
        <v>455</v>
      </c>
      <c r="B435" s="3" t="s">
        <v>1266</v>
      </c>
      <c r="C435" s="4" t="s">
        <v>1263</v>
      </c>
      <c r="D435" s="2">
        <f t="shared" si="391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ref="W435:AH435" si="439">IF(OR((SLOPE($E435:$V435,$E$1:$V$1)*W$1+INTERCEPT($E435:$V435,$E$1:$V$1))&gt;(AVERAGE($E435:$V435)+_xlfn.STDEV.P($E435:$V435)),(SLOPE($E435:$V435,$E$1:$V$1)*W$1+INTERCEPT($E435:$V435,$E$1:$V$1))&lt;(AVERAGE($E435:$V435)-_xlfn.STDEV.P($E435:$V435))),V435,(SLOPE($E435:$V435,$E$1:$V$1)*W$1+INTERCEPT($E435:$V435,$E$1:$V$1)))</f>
        <v>36478.065402533794</v>
      </c>
      <c r="X435" s="5">
        <f t="shared" si="439"/>
        <v>38832.17831932057</v>
      </c>
      <c r="Y435" s="5">
        <f t="shared" si="439"/>
        <v>41186.291236107347</v>
      </c>
      <c r="Z435" s="5">
        <f t="shared" si="439"/>
        <v>43540.404152894123</v>
      </c>
      <c r="AA435" s="5">
        <f t="shared" si="439"/>
        <v>43540.404152894123</v>
      </c>
      <c r="AB435" s="5">
        <f t="shared" si="439"/>
        <v>43540.404152894123</v>
      </c>
      <c r="AC435" s="5">
        <f t="shared" si="439"/>
        <v>43540.404152894123</v>
      </c>
      <c r="AD435" s="5">
        <f t="shared" si="439"/>
        <v>43540.404152894123</v>
      </c>
      <c r="AE435" s="5">
        <f t="shared" si="439"/>
        <v>43540.404152894123</v>
      </c>
      <c r="AF435" s="5">
        <f t="shared" si="439"/>
        <v>43540.404152894123</v>
      </c>
      <c r="AG435" s="5">
        <f t="shared" si="439"/>
        <v>43540.404152894123</v>
      </c>
      <c r="AH435" s="5">
        <f t="shared" si="439"/>
        <v>43540.404152894123</v>
      </c>
    </row>
    <row r="436" spans="1:34" x14ac:dyDescent="0.35">
      <c r="A436" t="s">
        <v>456</v>
      </c>
      <c r="B436" s="3" t="s">
        <v>1262</v>
      </c>
      <c r="C436" s="4" t="s">
        <v>1263</v>
      </c>
      <c r="D436" s="2">
        <f t="shared" si="391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ref="W436:AH436" si="440">IF(OR((SLOPE($E436:$V436,$E$1:$V$1)*W$1+INTERCEPT($E436:$V436,$E$1:$V$1))&gt;(AVERAGE($E436:$V436)+_xlfn.STDEV.P($E436:$V436)),(SLOPE($E436:$V436,$E$1:$V$1)*W$1+INTERCEPT($E436:$V436,$E$1:$V$1))&lt;(AVERAGE($E436:$V436)-_xlfn.STDEV.P($E436:$V436))),V436,(SLOPE($E436:$V436,$E$1:$V$1)*W$1+INTERCEPT($E436:$V436,$E$1:$V$1)))</f>
        <v>22737.469999999998</v>
      </c>
      <c r="X436" s="5">
        <f t="shared" si="440"/>
        <v>22737.469999999998</v>
      </c>
      <c r="Y436" s="5">
        <f t="shared" si="440"/>
        <v>22737.469999999998</v>
      </c>
      <c r="Z436" s="5">
        <f t="shared" si="440"/>
        <v>22737.469999999998</v>
      </c>
      <c r="AA436" s="5">
        <f t="shared" si="440"/>
        <v>22737.469999999998</v>
      </c>
      <c r="AB436" s="5">
        <f t="shared" si="440"/>
        <v>22737.469999999998</v>
      </c>
      <c r="AC436" s="5">
        <f t="shared" si="440"/>
        <v>22737.469999999998</v>
      </c>
      <c r="AD436" s="5">
        <f t="shared" si="440"/>
        <v>22737.469999999998</v>
      </c>
      <c r="AE436" s="5">
        <f t="shared" si="440"/>
        <v>22737.469999999998</v>
      </c>
      <c r="AF436" s="5">
        <f t="shared" si="440"/>
        <v>22737.469999999998</v>
      </c>
      <c r="AG436" s="5">
        <f t="shared" si="440"/>
        <v>22737.469999999998</v>
      </c>
      <c r="AH436" s="5">
        <f t="shared" si="440"/>
        <v>22737.469999999998</v>
      </c>
    </row>
    <row r="437" spans="1:34" x14ac:dyDescent="0.35">
      <c r="A437" t="s">
        <v>457</v>
      </c>
      <c r="B437" s="3" t="s">
        <v>1266</v>
      </c>
      <c r="C437" s="4" t="s">
        <v>1263</v>
      </c>
      <c r="D437" s="2">
        <f t="shared" si="391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H437" si="441">IF(OR((SLOPE($E437:$V437,$E$1:$V$1)*W$1+INTERCEPT($E437:$V437,$E$1:$V$1))&gt;(AVERAGE($E437:$V437)+_xlfn.STDEV.P($E437:$V437)),(SLOPE($E437:$V437,$E$1:$V$1)*W$1+INTERCEPT($E437:$V437,$E$1:$V$1))&lt;(AVERAGE($E437:$V437)-_xlfn.STDEV.P($E437:$V437))),V437,(SLOPE($E437:$V437,$E$1:$V$1)*W$1+INTERCEPT($E437:$V437,$E$1:$V$1)))</f>
        <v>41058.001163218803</v>
      </c>
      <c r="X437" s="5">
        <f t="shared" si="441"/>
        <v>43913.752655975899</v>
      </c>
      <c r="Y437" s="5">
        <f t="shared" si="441"/>
        <v>46769.504148732995</v>
      </c>
      <c r="Z437" s="5">
        <f t="shared" si="441"/>
        <v>49625.255641490083</v>
      </c>
      <c r="AA437" s="5">
        <f t="shared" si="441"/>
        <v>52481.007134247186</v>
      </c>
      <c r="AB437" s="5">
        <f t="shared" si="441"/>
        <v>52481.007134247186</v>
      </c>
      <c r="AC437" s="5">
        <f t="shared" si="441"/>
        <v>52481.007134247186</v>
      </c>
      <c r="AD437" s="5">
        <f t="shared" si="441"/>
        <v>52481.007134247186</v>
      </c>
      <c r="AE437" s="5">
        <f t="shared" si="441"/>
        <v>52481.007134247186</v>
      </c>
      <c r="AF437" s="5">
        <f t="shared" si="441"/>
        <v>52481.007134247186</v>
      </c>
      <c r="AG437" s="5">
        <f t="shared" si="441"/>
        <v>52481.007134247186</v>
      </c>
      <c r="AH437" s="5">
        <f t="shared" si="441"/>
        <v>52481.007134247186</v>
      </c>
    </row>
    <row r="438" spans="1:34" x14ac:dyDescent="0.35">
      <c r="A438" t="s">
        <v>458</v>
      </c>
      <c r="B438" s="3" t="s">
        <v>1265</v>
      </c>
      <c r="C438" s="4" t="s">
        <v>1263</v>
      </c>
      <c r="D438" s="2">
        <f t="shared" si="391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ref="W438:AH438" si="442">IF(OR((SLOPE($E438:$V438,$E$1:$V$1)*W$1+INTERCEPT($E438:$V438,$E$1:$V$1))&gt;(AVERAGE($E438:$V438)+_xlfn.STDEV.P($E438:$V438)),(SLOPE($E438:$V438,$E$1:$V$1)*W$1+INTERCEPT($E438:$V438,$E$1:$V$1))&lt;(AVERAGE($E438:$V438)-_xlfn.STDEV.P($E438:$V438))),V438,(SLOPE($E438:$V438,$E$1:$V$1)*W$1+INTERCEPT($E438:$V438,$E$1:$V$1)))</f>
        <v>10030.826509803923</v>
      </c>
      <c r="X438" s="5">
        <f t="shared" si="442"/>
        <v>9631.7860441692465</v>
      </c>
      <c r="Y438" s="5">
        <f t="shared" si="442"/>
        <v>9232.7455785345719</v>
      </c>
      <c r="Z438" s="5">
        <f t="shared" si="442"/>
        <v>8833.7051128998974</v>
      </c>
      <c r="AA438" s="5">
        <f t="shared" si="442"/>
        <v>8434.6646472652228</v>
      </c>
      <c r="AB438" s="5">
        <f t="shared" si="442"/>
        <v>8035.6241816305483</v>
      </c>
      <c r="AC438" s="5">
        <f t="shared" si="442"/>
        <v>7636.5837159958719</v>
      </c>
      <c r="AD438" s="5">
        <f t="shared" si="442"/>
        <v>7237.5432503611974</v>
      </c>
      <c r="AE438" s="5">
        <f t="shared" si="442"/>
        <v>6838.5027847265228</v>
      </c>
      <c r="AF438" s="5">
        <f t="shared" si="442"/>
        <v>6439.4623190918483</v>
      </c>
      <c r="AG438" s="5">
        <f t="shared" si="442"/>
        <v>6040.4218534571737</v>
      </c>
      <c r="AH438" s="5">
        <f t="shared" si="442"/>
        <v>5641.3813878224973</v>
      </c>
    </row>
    <row r="439" spans="1:34" x14ac:dyDescent="0.35">
      <c r="A439" t="s">
        <v>459</v>
      </c>
      <c r="B439" s="3" t="s">
        <v>1266</v>
      </c>
      <c r="C439" s="4" t="s">
        <v>1263</v>
      </c>
      <c r="D439" s="2">
        <f t="shared" si="391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ref="W439:AH439" si="443">IF(OR((SLOPE($E439:$V439,$E$1:$V$1)*W$1+INTERCEPT($E439:$V439,$E$1:$V$1))&gt;(AVERAGE($E439:$V439)+_xlfn.STDEV.P($E439:$V439)),(SLOPE($E439:$V439,$E$1:$V$1)*W$1+INTERCEPT($E439:$V439,$E$1:$V$1))&lt;(AVERAGE($E439:$V439)-_xlfn.STDEV.P($E439:$V439))),V439,(SLOPE($E439:$V439,$E$1:$V$1)*W$1+INTERCEPT($E439:$V439,$E$1:$V$1)))</f>
        <v>25642.472364486301</v>
      </c>
      <c r="X439" s="5">
        <f t="shared" si="443"/>
        <v>26892.845493766632</v>
      </c>
      <c r="Y439" s="5">
        <f t="shared" si="443"/>
        <v>28143.218623046963</v>
      </c>
      <c r="Z439" s="5">
        <f t="shared" si="443"/>
        <v>29393.591752327295</v>
      </c>
      <c r="AA439" s="5">
        <f t="shared" si="443"/>
        <v>30643.964881607626</v>
      </c>
      <c r="AB439" s="5">
        <f t="shared" si="443"/>
        <v>31894.338010887957</v>
      </c>
      <c r="AC439" s="5">
        <f t="shared" si="443"/>
        <v>33144.711140168292</v>
      </c>
      <c r="AD439" s="5">
        <f t="shared" si="443"/>
        <v>34395.08426944862</v>
      </c>
      <c r="AE439" s="5">
        <f t="shared" si="443"/>
        <v>35645.457398728955</v>
      </c>
      <c r="AF439" s="5">
        <f t="shared" si="443"/>
        <v>36895.830528009283</v>
      </c>
      <c r="AG439" s="5">
        <f t="shared" si="443"/>
        <v>38146.20365728961</v>
      </c>
      <c r="AH439" s="5">
        <f t="shared" si="443"/>
        <v>39396.576786569945</v>
      </c>
    </row>
    <row r="440" spans="1:34" x14ac:dyDescent="0.35">
      <c r="A440" t="s">
        <v>460</v>
      </c>
      <c r="B440" s="3" t="s">
        <v>1265</v>
      </c>
      <c r="C440" s="4" t="s">
        <v>1263</v>
      </c>
      <c r="D440" s="2">
        <f t="shared" si="391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ref="W440:AH440" si="444">IF(OR((SLOPE($E440:$V440,$E$1:$V$1)*W$1+INTERCEPT($E440:$V440,$E$1:$V$1))&gt;(AVERAGE($E440:$V440)+_xlfn.STDEV.P($E440:$V440)),(SLOPE($E440:$V440,$E$1:$V$1)*W$1+INTERCEPT($E440:$V440,$E$1:$V$1))&lt;(AVERAGE($E440:$V440)-_xlfn.STDEV.P($E440:$V440))),V440,(SLOPE($E440:$V440,$E$1:$V$1)*W$1+INTERCEPT($E440:$V440,$E$1:$V$1)))</f>
        <v>16658.809588235301</v>
      </c>
      <c r="X440" s="5">
        <f t="shared" si="444"/>
        <v>16990.08933436533</v>
      </c>
      <c r="Y440" s="5">
        <f t="shared" si="444"/>
        <v>17321.369080495362</v>
      </c>
      <c r="Z440" s="5">
        <f t="shared" si="444"/>
        <v>17321.369080495362</v>
      </c>
      <c r="AA440" s="5">
        <f t="shared" si="444"/>
        <v>17321.369080495362</v>
      </c>
      <c r="AB440" s="5">
        <f t="shared" si="444"/>
        <v>17321.369080495362</v>
      </c>
      <c r="AC440" s="5">
        <f t="shared" si="444"/>
        <v>17321.369080495362</v>
      </c>
      <c r="AD440" s="5">
        <f t="shared" si="444"/>
        <v>17321.369080495362</v>
      </c>
      <c r="AE440" s="5">
        <f t="shared" si="444"/>
        <v>17321.369080495362</v>
      </c>
      <c r="AF440" s="5">
        <f t="shared" si="444"/>
        <v>17321.369080495362</v>
      </c>
      <c r="AG440" s="5">
        <f t="shared" si="444"/>
        <v>17321.369080495362</v>
      </c>
      <c r="AH440" s="5">
        <f t="shared" si="444"/>
        <v>17321.369080495362</v>
      </c>
    </row>
    <row r="441" spans="1:34" x14ac:dyDescent="0.35">
      <c r="A441" t="s">
        <v>461</v>
      </c>
      <c r="B441" s="3" t="s">
        <v>1264</v>
      </c>
      <c r="C441" s="4" t="s">
        <v>1267</v>
      </c>
      <c r="D441" s="2">
        <f t="shared" si="391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ref="W441:AH441" si="445">IF(OR((SLOPE($E441:$V441,$E$1:$V$1)*W$1+INTERCEPT($E441:$V441,$E$1:$V$1))&gt;(AVERAGE($E441:$V441)+_xlfn.STDEV.P($E441:$V441)),(SLOPE($E441:$V441,$E$1:$V$1)*W$1+INTERCEPT($E441:$V441,$E$1:$V$1))&lt;(AVERAGE($E441:$V441)-_xlfn.STDEV.P($E441:$V441))),V441,(SLOPE($E441:$V441,$E$1:$V$1)*W$1+INTERCEPT($E441:$V441,$E$1:$V$1)))</f>
        <v>25821.783006535952</v>
      </c>
      <c r="X441" s="5">
        <f t="shared" si="445"/>
        <v>27095.88414172687</v>
      </c>
      <c r="Y441" s="5">
        <f t="shared" si="445"/>
        <v>28369.985276917789</v>
      </c>
      <c r="Z441" s="5">
        <f t="shared" si="445"/>
        <v>29644.086412108707</v>
      </c>
      <c r="AA441" s="5">
        <f t="shared" si="445"/>
        <v>30918.187547299625</v>
      </c>
      <c r="AB441" s="5">
        <f t="shared" si="445"/>
        <v>32192.288682490544</v>
      </c>
      <c r="AC441" s="5">
        <f t="shared" si="445"/>
        <v>33466.389817681469</v>
      </c>
      <c r="AD441" s="5">
        <f t="shared" si="445"/>
        <v>34740.49095287238</v>
      </c>
      <c r="AE441" s="5">
        <f t="shared" si="445"/>
        <v>36014.592088063306</v>
      </c>
      <c r="AF441" s="5">
        <f t="shared" si="445"/>
        <v>37288.693223254224</v>
      </c>
      <c r="AG441" s="5">
        <f t="shared" si="445"/>
        <v>38562.794358445142</v>
      </c>
      <c r="AH441" s="5">
        <f t="shared" si="445"/>
        <v>39836.895493636061</v>
      </c>
    </row>
    <row r="442" spans="1:34" x14ac:dyDescent="0.35">
      <c r="A442" t="s">
        <v>462</v>
      </c>
      <c r="B442" s="3" t="s">
        <v>1266</v>
      </c>
      <c r="C442" s="4" t="s">
        <v>1267</v>
      </c>
      <c r="D442" s="2">
        <f t="shared" si="391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ref="W442:AH442" si="446">IF(OR((SLOPE($E442:$V442,$E$1:$V$1)*W$1+INTERCEPT($E442:$V442,$E$1:$V$1))&gt;(AVERAGE($E442:$V442)+_xlfn.STDEV.P($E442:$V442)),(SLOPE($E442:$V442,$E$1:$V$1)*W$1+INTERCEPT($E442:$V442,$E$1:$V$1))&lt;(AVERAGE($E442:$V442)-_xlfn.STDEV.P($E442:$V442))),V442,(SLOPE($E442:$V442,$E$1:$V$1)*W$1+INTERCEPT($E442:$V442,$E$1:$V$1)))</f>
        <v>30483.083518994434</v>
      </c>
      <c r="X442" s="5">
        <f t="shared" si="446"/>
        <v>32251.120109902724</v>
      </c>
      <c r="Y442" s="5">
        <f t="shared" si="446"/>
        <v>34019.156700811014</v>
      </c>
      <c r="Z442" s="5">
        <f t="shared" si="446"/>
        <v>35787.193291719304</v>
      </c>
      <c r="AA442" s="5">
        <f t="shared" si="446"/>
        <v>37555.229882627595</v>
      </c>
      <c r="AB442" s="5">
        <f t="shared" si="446"/>
        <v>39323.266473535885</v>
      </c>
      <c r="AC442" s="5">
        <f t="shared" si="446"/>
        <v>41091.303064444182</v>
      </c>
      <c r="AD442" s="5">
        <f t="shared" si="446"/>
        <v>42859.339655352473</v>
      </c>
      <c r="AE442" s="5">
        <f t="shared" si="446"/>
        <v>42859.339655352473</v>
      </c>
      <c r="AF442" s="5">
        <f t="shared" si="446"/>
        <v>42859.339655352473</v>
      </c>
      <c r="AG442" s="5">
        <f t="shared" si="446"/>
        <v>42859.339655352473</v>
      </c>
      <c r="AH442" s="5">
        <f t="shared" si="446"/>
        <v>42859.339655352473</v>
      </c>
    </row>
    <row r="443" spans="1:34" x14ac:dyDescent="0.35">
      <c r="A443" t="s">
        <v>463</v>
      </c>
      <c r="B443" s="3" t="s">
        <v>1265</v>
      </c>
      <c r="C443" s="4" t="s">
        <v>1263</v>
      </c>
      <c r="D443" s="2">
        <f t="shared" si="391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ref="W443:AH443" si="447">IF(OR((SLOPE($E443:$V443,$E$1:$V$1)*W$1+INTERCEPT($E443:$V443,$E$1:$V$1))&gt;(AVERAGE($E443:$V443)+_xlfn.STDEV.P($E443:$V443)),(SLOPE($E443:$V443,$E$1:$V$1)*W$1+INTERCEPT($E443:$V443,$E$1:$V$1))&lt;(AVERAGE($E443:$V443)-_xlfn.STDEV.P($E443:$V443))),V443,(SLOPE($E443:$V443,$E$1:$V$1)*W$1+INTERCEPT($E443:$V443,$E$1:$V$1)))</f>
        <v>11207.56655849392</v>
      </c>
      <c r="X443" s="5">
        <f t="shared" si="447"/>
        <v>10968.162240013167</v>
      </c>
      <c r="Y443" s="5">
        <f t="shared" si="447"/>
        <v>10728.757921532417</v>
      </c>
      <c r="Z443" s="5">
        <f t="shared" si="447"/>
        <v>10489.353603051666</v>
      </c>
      <c r="AA443" s="5">
        <f t="shared" si="447"/>
        <v>10249.949284570914</v>
      </c>
      <c r="AB443" s="5">
        <f t="shared" si="447"/>
        <v>10010.544966090163</v>
      </c>
      <c r="AC443" s="5">
        <f t="shared" si="447"/>
        <v>9771.1406476094126</v>
      </c>
      <c r="AD443" s="5">
        <f t="shared" si="447"/>
        <v>9531.7363291286601</v>
      </c>
      <c r="AE443" s="5">
        <f t="shared" si="447"/>
        <v>9292.3320106479114</v>
      </c>
      <c r="AF443" s="5">
        <f t="shared" si="447"/>
        <v>9052.927692167159</v>
      </c>
      <c r="AG443" s="5">
        <f t="shared" si="447"/>
        <v>8813.5233736864084</v>
      </c>
      <c r="AH443" s="5">
        <f t="shared" si="447"/>
        <v>8574.1190552056578</v>
      </c>
    </row>
    <row r="444" spans="1:34" x14ac:dyDescent="0.35">
      <c r="A444" t="s">
        <v>464</v>
      </c>
      <c r="B444" s="3" t="s">
        <v>1262</v>
      </c>
      <c r="C444" s="4" t="s">
        <v>1263</v>
      </c>
      <c r="D444" s="2">
        <f t="shared" si="391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ref="W444:AH444" si="448">IF(OR((SLOPE($E444:$V444,$E$1:$V$1)*W$1+INTERCEPT($E444:$V444,$E$1:$V$1))&gt;(AVERAGE($E444:$V444)+_xlfn.STDEV.P($E444:$V444)),(SLOPE($E444:$V444,$E$1:$V$1)*W$1+INTERCEPT($E444:$V444,$E$1:$V$1))&lt;(AVERAGE($E444:$V444)-_xlfn.STDEV.P($E444:$V444))),V444,(SLOPE($E444:$V444,$E$1:$V$1)*W$1+INTERCEPT($E444:$V444,$E$1:$V$1)))</f>
        <v>13477.925716079662</v>
      </c>
      <c r="X444" s="5">
        <f t="shared" si="448"/>
        <v>13475.53728338144</v>
      </c>
      <c r="Y444" s="5">
        <f t="shared" si="448"/>
        <v>13473.148850683216</v>
      </c>
      <c r="Z444" s="5">
        <f t="shared" si="448"/>
        <v>13470.760417984991</v>
      </c>
      <c r="AA444" s="5">
        <f t="shared" si="448"/>
        <v>13468.371985286767</v>
      </c>
      <c r="AB444" s="5">
        <f t="shared" si="448"/>
        <v>13465.983552588543</v>
      </c>
      <c r="AC444" s="5">
        <f t="shared" si="448"/>
        <v>13463.595119890319</v>
      </c>
      <c r="AD444" s="5">
        <f t="shared" si="448"/>
        <v>13461.206687192094</v>
      </c>
      <c r="AE444" s="5">
        <f t="shared" si="448"/>
        <v>13458.81825449387</v>
      </c>
      <c r="AF444" s="5">
        <f t="shared" si="448"/>
        <v>13456.429821795646</v>
      </c>
      <c r="AG444" s="5">
        <f t="shared" si="448"/>
        <v>13454.041389097421</v>
      </c>
      <c r="AH444" s="5">
        <f t="shared" si="448"/>
        <v>13451.652956399197</v>
      </c>
    </row>
    <row r="445" spans="1:34" x14ac:dyDescent="0.35">
      <c r="A445" t="s">
        <v>465</v>
      </c>
      <c r="B445" s="3" t="s">
        <v>1262</v>
      </c>
      <c r="C445" s="4" t="s">
        <v>1268</v>
      </c>
      <c r="D445" s="2">
        <f t="shared" si="391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ref="W445:AH445" si="449">IF(OR((SLOPE($E445:$V445,$E$1:$V$1)*W$1+INTERCEPT($E445:$V445,$E$1:$V$1))&gt;(AVERAGE($E445:$V445)+_xlfn.STDEV.P($E445:$V445)),(SLOPE($E445:$V445,$E$1:$V$1)*W$1+INTERCEPT($E445:$V445,$E$1:$V$1))&lt;(AVERAGE($E445:$V445)-_xlfn.STDEV.P($E445:$V445))),V445,(SLOPE($E445:$V445,$E$1:$V$1)*W$1+INTERCEPT($E445:$V445,$E$1:$V$1)))</f>
        <v>-9630.1826254117623</v>
      </c>
      <c r="X445" s="5">
        <f t="shared" si="449"/>
        <v>-12065.009044507737</v>
      </c>
      <c r="Y445" s="5">
        <f t="shared" si="449"/>
        <v>-14499.835463603711</v>
      </c>
      <c r="Z445" s="5">
        <f t="shared" si="449"/>
        <v>-16934.661882699686</v>
      </c>
      <c r="AA445" s="5">
        <f t="shared" si="449"/>
        <v>-19369.48830179566</v>
      </c>
      <c r="AB445" s="5">
        <f t="shared" si="449"/>
        <v>-21804.314720891642</v>
      </c>
      <c r="AC445" s="5">
        <f t="shared" si="449"/>
        <v>-24239.141139987616</v>
      </c>
      <c r="AD445" s="5">
        <f t="shared" si="449"/>
        <v>-26673.96755908359</v>
      </c>
      <c r="AE445" s="5">
        <f t="shared" si="449"/>
        <v>-29108.793978179565</v>
      </c>
      <c r="AF445" s="5">
        <f t="shared" si="449"/>
        <v>-29108.793978179565</v>
      </c>
      <c r="AG445" s="5">
        <f t="shared" si="449"/>
        <v>-29108.793978179565</v>
      </c>
      <c r="AH445" s="5">
        <f t="shared" si="449"/>
        <v>-29108.793978179565</v>
      </c>
    </row>
    <row r="446" spans="1:34" x14ac:dyDescent="0.35">
      <c r="A446" t="s">
        <v>466</v>
      </c>
      <c r="B446" s="3" t="s">
        <v>1265</v>
      </c>
      <c r="C446" s="4" t="s">
        <v>1267</v>
      </c>
      <c r="D446" s="2">
        <f t="shared" si="391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ref="W446:AH446" si="450">IF(OR((SLOPE($E446:$V446,$E$1:$V$1)*W$1+INTERCEPT($E446:$V446,$E$1:$V$1))&gt;(AVERAGE($E446:$V446)+_xlfn.STDEV.P($E446:$V446)),(SLOPE($E446:$V446,$E$1:$V$1)*W$1+INTERCEPT($E446:$V446,$E$1:$V$1))&lt;(AVERAGE($E446:$V446)-_xlfn.STDEV.P($E446:$V446))),V446,(SLOPE($E446:$V446,$E$1:$V$1)*W$1+INTERCEPT($E446:$V446,$E$1:$V$1)))</f>
        <v>53625.599999999999</v>
      </c>
      <c r="X446" s="5">
        <f t="shared" si="450"/>
        <v>57859.19999999999</v>
      </c>
      <c r="Y446" s="5">
        <f t="shared" si="450"/>
        <v>62092.799999999996</v>
      </c>
      <c r="Z446" s="5">
        <f t="shared" si="450"/>
        <v>66326.399999999994</v>
      </c>
      <c r="AA446" s="5">
        <f t="shared" si="450"/>
        <v>66326.399999999994</v>
      </c>
      <c r="AB446" s="5">
        <f t="shared" si="450"/>
        <v>66326.399999999994</v>
      </c>
      <c r="AC446" s="5">
        <f t="shared" si="450"/>
        <v>66326.399999999994</v>
      </c>
      <c r="AD446" s="5">
        <f t="shared" si="450"/>
        <v>66326.399999999994</v>
      </c>
      <c r="AE446" s="5">
        <f t="shared" si="450"/>
        <v>66326.399999999994</v>
      </c>
      <c r="AF446" s="5">
        <f t="shared" si="450"/>
        <v>66326.399999999994</v>
      </c>
      <c r="AG446" s="5">
        <f t="shared" si="450"/>
        <v>66326.399999999994</v>
      </c>
      <c r="AH446" s="5">
        <f t="shared" si="450"/>
        <v>66326.399999999994</v>
      </c>
    </row>
    <row r="447" spans="1:34" x14ac:dyDescent="0.35">
      <c r="A447" t="s">
        <v>467</v>
      </c>
      <c r="B447" s="3" t="s">
        <v>1266</v>
      </c>
      <c r="C447" s="4" t="s">
        <v>1267</v>
      </c>
      <c r="D447" s="2">
        <f t="shared" si="391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ref="W447:AH447" si="451">IF(OR((SLOPE($E447:$V447,$E$1:$V$1)*W$1+INTERCEPT($E447:$V447,$E$1:$V$1))&gt;(AVERAGE($E447:$V447)+_xlfn.STDEV.P($E447:$V447)),(SLOPE($E447:$V447,$E$1:$V$1)*W$1+INTERCEPT($E447:$V447,$E$1:$V$1))&lt;(AVERAGE($E447:$V447)-_xlfn.STDEV.P($E447:$V447))),V447,(SLOPE($E447:$V447,$E$1:$V$1)*W$1+INTERCEPT($E447:$V447,$E$1:$V$1)))</f>
        <v>12777.03999476655</v>
      </c>
      <c r="X447" s="5">
        <f t="shared" si="451"/>
        <v>12711.529628274029</v>
      </c>
      <c r="Y447" s="5">
        <f t="shared" si="451"/>
        <v>12646.019261781508</v>
      </c>
      <c r="Z447" s="5">
        <f t="shared" si="451"/>
        <v>12580.508895288987</v>
      </c>
      <c r="AA447" s="5">
        <f t="shared" si="451"/>
        <v>12514.998528796466</v>
      </c>
      <c r="AB447" s="5">
        <f t="shared" si="451"/>
        <v>12449.488162303946</v>
      </c>
      <c r="AC447" s="5">
        <f t="shared" si="451"/>
        <v>12383.977795811425</v>
      </c>
      <c r="AD447" s="5">
        <f t="shared" si="451"/>
        <v>12318.467429318904</v>
      </c>
      <c r="AE447" s="5">
        <f t="shared" si="451"/>
        <v>12252.957062826383</v>
      </c>
      <c r="AF447" s="5">
        <f t="shared" si="451"/>
        <v>12187.446696333862</v>
      </c>
      <c r="AG447" s="5">
        <f t="shared" si="451"/>
        <v>12121.936329841341</v>
      </c>
      <c r="AH447" s="5">
        <f t="shared" si="451"/>
        <v>12056.42596334882</v>
      </c>
    </row>
    <row r="448" spans="1:34" x14ac:dyDescent="0.35">
      <c r="A448" t="s">
        <v>468</v>
      </c>
      <c r="B448" s="3" t="s">
        <v>1264</v>
      </c>
      <c r="C448" s="4" t="s">
        <v>1263</v>
      </c>
      <c r="D448" s="2">
        <f t="shared" si="391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ref="W448:AH448" si="452">IF(OR((SLOPE($E448:$V448,$E$1:$V$1)*W$1+INTERCEPT($E448:$V448,$E$1:$V$1))&gt;(AVERAGE($E448:$V448)+_xlfn.STDEV.P($E448:$V448)),(SLOPE($E448:$V448,$E$1:$V$1)*W$1+INTERCEPT($E448:$V448,$E$1:$V$1))&lt;(AVERAGE($E448:$V448)-_xlfn.STDEV.P($E448:$V448))),V448,(SLOPE($E448:$V448,$E$1:$V$1)*W$1+INTERCEPT($E448:$V448,$E$1:$V$1)))</f>
        <v>0</v>
      </c>
      <c r="X448" s="5">
        <f t="shared" si="452"/>
        <v>0</v>
      </c>
      <c r="Y448" s="5">
        <f t="shared" si="452"/>
        <v>0</v>
      </c>
      <c r="Z448" s="5">
        <f t="shared" si="452"/>
        <v>0</v>
      </c>
      <c r="AA448" s="5">
        <f t="shared" si="452"/>
        <v>0</v>
      </c>
      <c r="AB448" s="5">
        <f t="shared" si="452"/>
        <v>0</v>
      </c>
      <c r="AC448" s="5">
        <f t="shared" si="452"/>
        <v>0</v>
      </c>
      <c r="AD448" s="5">
        <f t="shared" si="452"/>
        <v>0</v>
      </c>
      <c r="AE448" s="5">
        <f t="shared" si="452"/>
        <v>0</v>
      </c>
      <c r="AF448" s="5">
        <f t="shared" si="452"/>
        <v>0</v>
      </c>
      <c r="AG448" s="5">
        <f t="shared" si="452"/>
        <v>0</v>
      </c>
      <c r="AH448" s="5">
        <f t="shared" si="452"/>
        <v>0</v>
      </c>
    </row>
    <row r="449" spans="1:34" x14ac:dyDescent="0.35">
      <c r="A449" t="s">
        <v>469</v>
      </c>
      <c r="B449" s="3" t="s">
        <v>1264</v>
      </c>
      <c r="C449" s="4" t="s">
        <v>1263</v>
      </c>
      <c r="D449" s="2">
        <f t="shared" si="391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ref="W449:AH449" si="453">IF(OR((SLOPE($E449:$V449,$E$1:$V$1)*W$1+INTERCEPT($E449:$V449,$E$1:$V$1))&gt;(AVERAGE($E449:$V449)+_xlfn.STDEV.P($E449:$V449)),(SLOPE($E449:$V449,$E$1:$V$1)*W$1+INTERCEPT($E449:$V449,$E$1:$V$1))&lt;(AVERAGE($E449:$V449)-_xlfn.STDEV.P($E449:$V449))),V449,(SLOPE($E449:$V449,$E$1:$V$1)*W$1+INTERCEPT($E449:$V449,$E$1:$V$1)))</f>
        <v>28200.48</v>
      </c>
      <c r="X449" s="5">
        <f t="shared" si="453"/>
        <v>28200.48</v>
      </c>
      <c r="Y449" s="5">
        <f t="shared" si="453"/>
        <v>28200.48</v>
      </c>
      <c r="Z449" s="5">
        <f t="shared" si="453"/>
        <v>28200.48</v>
      </c>
      <c r="AA449" s="5">
        <f t="shared" si="453"/>
        <v>28200.48</v>
      </c>
      <c r="AB449" s="5">
        <f t="shared" si="453"/>
        <v>28200.48</v>
      </c>
      <c r="AC449" s="5">
        <f t="shared" si="453"/>
        <v>28200.48</v>
      </c>
      <c r="AD449" s="5">
        <f t="shared" si="453"/>
        <v>28200.48</v>
      </c>
      <c r="AE449" s="5">
        <f t="shared" si="453"/>
        <v>28200.48</v>
      </c>
      <c r="AF449" s="5">
        <f t="shared" si="453"/>
        <v>28200.48</v>
      </c>
      <c r="AG449" s="5">
        <f t="shared" si="453"/>
        <v>28200.48</v>
      </c>
      <c r="AH449" s="5">
        <f t="shared" si="453"/>
        <v>28200.48</v>
      </c>
    </row>
    <row r="450" spans="1:34" x14ac:dyDescent="0.35">
      <c r="A450" t="s">
        <v>470</v>
      </c>
      <c r="B450" s="3" t="s">
        <v>1266</v>
      </c>
      <c r="C450" s="4" t="s">
        <v>1267</v>
      </c>
      <c r="D450" s="2">
        <f t="shared" si="391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ref="W450:AH450" si="454">IF(OR((SLOPE($E450:$V450,$E$1:$V$1)*W$1+INTERCEPT($E450:$V450,$E$1:$V$1))&gt;(AVERAGE($E450:$V450)+_xlfn.STDEV.P($E450:$V450)),(SLOPE($E450:$V450,$E$1:$V$1)*W$1+INTERCEPT($E450:$V450,$E$1:$V$1))&lt;(AVERAGE($E450:$V450)-_xlfn.STDEV.P($E450:$V450))),V450,(SLOPE($E450:$V450,$E$1:$V$1)*W$1+INTERCEPT($E450:$V450,$E$1:$V$1)))</f>
        <v>219.58857539090241</v>
      </c>
      <c r="X450" s="5">
        <f t="shared" si="454"/>
        <v>-1149.8275534311906</v>
      </c>
      <c r="Y450" s="5">
        <f t="shared" si="454"/>
        <v>-2519.24368225328</v>
      </c>
      <c r="Z450" s="5">
        <f t="shared" si="454"/>
        <v>-3888.659811075373</v>
      </c>
      <c r="AA450" s="5">
        <f t="shared" si="454"/>
        <v>-5258.075939897466</v>
      </c>
      <c r="AB450" s="5">
        <f t="shared" si="454"/>
        <v>-6627.4920687195554</v>
      </c>
      <c r="AC450" s="5">
        <f t="shared" si="454"/>
        <v>-7996.9081975416484</v>
      </c>
      <c r="AD450" s="5">
        <f t="shared" si="454"/>
        <v>-9366.3243263637414</v>
      </c>
      <c r="AE450" s="5">
        <f t="shared" si="454"/>
        <v>-10735.740455185834</v>
      </c>
      <c r="AF450" s="5">
        <f t="shared" si="454"/>
        <v>-12105.156584007927</v>
      </c>
      <c r="AG450" s="5">
        <f t="shared" si="454"/>
        <v>-13474.572712830013</v>
      </c>
      <c r="AH450" s="5">
        <f t="shared" si="454"/>
        <v>-14843.988841652106</v>
      </c>
    </row>
    <row r="451" spans="1:34" x14ac:dyDescent="0.35">
      <c r="A451" t="s">
        <v>471</v>
      </c>
      <c r="B451" s="3" t="s">
        <v>1264</v>
      </c>
      <c r="C451" s="4" t="s">
        <v>1263</v>
      </c>
      <c r="D451" s="2">
        <f t="shared" si="391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ref="W451:AH451" si="455">IF(OR((SLOPE($E451:$V451,$E$1:$V$1)*W$1+INTERCEPT($E451:$V451,$E$1:$V$1))&gt;(AVERAGE($E451:$V451)+_xlfn.STDEV.P($E451:$V451)),(SLOPE($E451:$V451,$E$1:$V$1)*W$1+INTERCEPT($E451:$V451,$E$1:$V$1))&lt;(AVERAGE($E451:$V451)-_xlfn.STDEV.P($E451:$V451))),V451,(SLOPE($E451:$V451,$E$1:$V$1)*W$1+INTERCEPT($E451:$V451,$E$1:$V$1)))</f>
        <v>12033.973411764709</v>
      </c>
      <c r="X451" s="5">
        <f t="shared" si="455"/>
        <v>11916.276928792573</v>
      </c>
      <c r="Y451" s="5">
        <f t="shared" si="455"/>
        <v>11798.580445820437</v>
      </c>
      <c r="Z451" s="5">
        <f t="shared" si="455"/>
        <v>11680.883962848302</v>
      </c>
      <c r="AA451" s="5">
        <f t="shared" si="455"/>
        <v>11563.187479876166</v>
      </c>
      <c r="AB451" s="5">
        <f t="shared" si="455"/>
        <v>11445.490996904029</v>
      </c>
      <c r="AC451" s="5">
        <f t="shared" si="455"/>
        <v>11327.794513931894</v>
      </c>
      <c r="AD451" s="5">
        <f t="shared" si="455"/>
        <v>11210.098030959758</v>
      </c>
      <c r="AE451" s="5">
        <f t="shared" si="455"/>
        <v>11092.401547987622</v>
      </c>
      <c r="AF451" s="5">
        <f t="shared" si="455"/>
        <v>10974.705065015485</v>
      </c>
      <c r="AG451" s="5">
        <f t="shared" si="455"/>
        <v>10857.008582043349</v>
      </c>
      <c r="AH451" s="5">
        <f t="shared" si="455"/>
        <v>10739.312099071212</v>
      </c>
    </row>
    <row r="452" spans="1:34" x14ac:dyDescent="0.35">
      <c r="A452" t="s">
        <v>472</v>
      </c>
      <c r="B452" s="3" t="s">
        <v>1266</v>
      </c>
      <c r="C452" s="4" t="s">
        <v>1263</v>
      </c>
      <c r="D452" s="2">
        <f t="shared" ref="D452:D515" si="456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ref="W452:AH452" si="457">IF(OR((SLOPE($E452:$V452,$E$1:$V$1)*W$1+INTERCEPT($E452:$V452,$E$1:$V$1))&gt;(AVERAGE($E452:$V452)+_xlfn.STDEV.P($E452:$V452)),(SLOPE($E452:$V452,$E$1:$V$1)*W$1+INTERCEPT($E452:$V452,$E$1:$V$1))&lt;(AVERAGE($E452:$V452)-_xlfn.STDEV.P($E452:$V452))),V452,(SLOPE($E452:$V452,$E$1:$V$1)*W$1+INTERCEPT($E452:$V452,$E$1:$V$1)))</f>
        <v>25846.49888263645</v>
      </c>
      <c r="X452" s="5">
        <f t="shared" si="457"/>
        <v>27183.455827994403</v>
      </c>
      <c r="Y452" s="5">
        <f t="shared" si="457"/>
        <v>28520.412773352349</v>
      </c>
      <c r="Z452" s="5">
        <f t="shared" si="457"/>
        <v>29857.369718710295</v>
      </c>
      <c r="AA452" s="5">
        <f t="shared" si="457"/>
        <v>31194.326664068249</v>
      </c>
      <c r="AB452" s="5">
        <f t="shared" si="457"/>
        <v>32531.283609426195</v>
      </c>
      <c r="AC452" s="5">
        <f t="shared" si="457"/>
        <v>33868.240554784141</v>
      </c>
      <c r="AD452" s="5">
        <f t="shared" si="457"/>
        <v>35205.197500142094</v>
      </c>
      <c r="AE452" s="5">
        <f t="shared" si="457"/>
        <v>36542.15444550004</v>
      </c>
      <c r="AF452" s="5">
        <f t="shared" si="457"/>
        <v>36542.15444550004</v>
      </c>
      <c r="AG452" s="5">
        <f t="shared" si="457"/>
        <v>36542.15444550004</v>
      </c>
      <c r="AH452" s="5">
        <f t="shared" si="457"/>
        <v>36542.15444550004</v>
      </c>
    </row>
    <row r="453" spans="1:34" x14ac:dyDescent="0.35">
      <c r="A453" t="s">
        <v>473</v>
      </c>
      <c r="B453" s="3" t="s">
        <v>1266</v>
      </c>
      <c r="C453" s="4" t="s">
        <v>1266</v>
      </c>
      <c r="D453" s="2">
        <f t="shared" si="456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H453" si="458">IF(OR((SLOPE($E453:$V453,$E$1:$V$1)*W$1+INTERCEPT($E453:$V453,$E$1:$V$1))&gt;(AVERAGE($E453:$V453)+_xlfn.STDEV.P($E453:$V453)),(SLOPE($E453:$V453,$E$1:$V$1)*W$1+INTERCEPT($E453:$V453,$E$1:$V$1))&lt;(AVERAGE($E453:$V453)-_xlfn.STDEV.P($E453:$V453))),V453,(SLOPE($E453:$V453,$E$1:$V$1)*W$1+INTERCEPT($E453:$V453,$E$1:$V$1)))</f>
        <v>-19215.686274509804</v>
      </c>
      <c r="X453" s="5">
        <f t="shared" si="458"/>
        <v>-22613.828689370486</v>
      </c>
      <c r="Y453" s="5">
        <f t="shared" si="458"/>
        <v>-22613.828689370486</v>
      </c>
      <c r="Z453" s="5">
        <f t="shared" si="458"/>
        <v>-22613.828689370486</v>
      </c>
      <c r="AA453" s="5">
        <f t="shared" si="458"/>
        <v>-22613.828689370486</v>
      </c>
      <c r="AB453" s="5">
        <f t="shared" si="458"/>
        <v>-22613.828689370486</v>
      </c>
      <c r="AC453" s="5">
        <f t="shared" si="458"/>
        <v>-22613.828689370486</v>
      </c>
      <c r="AD453" s="5">
        <f t="shared" si="458"/>
        <v>-22613.828689370486</v>
      </c>
      <c r="AE453" s="5">
        <f t="shared" si="458"/>
        <v>-22613.828689370486</v>
      </c>
      <c r="AF453" s="5">
        <f t="shared" si="458"/>
        <v>-22613.828689370486</v>
      </c>
      <c r="AG453" s="5">
        <f t="shared" si="458"/>
        <v>-22613.828689370486</v>
      </c>
      <c r="AH453" s="5">
        <f t="shared" si="458"/>
        <v>-22613.828689370486</v>
      </c>
    </row>
    <row r="454" spans="1:34" x14ac:dyDescent="0.35">
      <c r="A454" t="s">
        <v>474</v>
      </c>
      <c r="B454" s="3" t="s">
        <v>1266</v>
      </c>
      <c r="C454" s="4" t="s">
        <v>1263</v>
      </c>
      <c r="D454" s="2">
        <f t="shared" si="456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ref="W454:AH454" si="459">IF(OR((SLOPE($E454:$V454,$E$1:$V$1)*W$1+INTERCEPT($E454:$V454,$E$1:$V$1))&gt;(AVERAGE($E454:$V454)+_xlfn.STDEV.P($E454:$V454)),(SLOPE($E454:$V454,$E$1:$V$1)*W$1+INTERCEPT($E454:$V454,$E$1:$V$1))&lt;(AVERAGE($E454:$V454)-_xlfn.STDEV.P($E454:$V454))),V454,(SLOPE($E454:$V454,$E$1:$V$1)*W$1+INTERCEPT($E454:$V454,$E$1:$V$1)))</f>
        <v>23523.178021111074</v>
      </c>
      <c r="X454" s="5">
        <f t="shared" si="459"/>
        <v>24625.97282545604</v>
      </c>
      <c r="Y454" s="5">
        <f t="shared" si="459"/>
        <v>25728.767629800997</v>
      </c>
      <c r="Z454" s="5">
        <f t="shared" si="459"/>
        <v>26831.562434145962</v>
      </c>
      <c r="AA454" s="5">
        <f t="shared" si="459"/>
        <v>27934.35723849092</v>
      </c>
      <c r="AB454" s="5">
        <f t="shared" si="459"/>
        <v>29037.152042835885</v>
      </c>
      <c r="AC454" s="5">
        <f t="shared" si="459"/>
        <v>30139.94684718085</v>
      </c>
      <c r="AD454" s="5">
        <f t="shared" si="459"/>
        <v>31242.741651525808</v>
      </c>
      <c r="AE454" s="5">
        <f t="shared" si="459"/>
        <v>32345.536455870773</v>
      </c>
      <c r="AF454" s="5">
        <f t="shared" si="459"/>
        <v>33448.331260215731</v>
      </c>
      <c r="AG454" s="5">
        <f t="shared" si="459"/>
        <v>34551.126064560696</v>
      </c>
      <c r="AH454" s="5">
        <f t="shared" si="459"/>
        <v>34551.126064560696</v>
      </c>
    </row>
    <row r="455" spans="1:34" x14ac:dyDescent="0.35">
      <c r="A455" t="s">
        <v>475</v>
      </c>
      <c r="B455" s="3" t="s">
        <v>1266</v>
      </c>
      <c r="C455" s="4" t="s">
        <v>1267</v>
      </c>
      <c r="D455" s="2">
        <f t="shared" si="456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ref="W455:AH455" si="460">IF(OR((SLOPE($E455:$V455,$E$1:$V$1)*W$1+INTERCEPT($E455:$V455,$E$1:$V$1))&gt;(AVERAGE($E455:$V455)+_xlfn.STDEV.P($E455:$V455)),(SLOPE($E455:$V455,$E$1:$V$1)*W$1+INTERCEPT($E455:$V455,$E$1:$V$1))&lt;(AVERAGE($E455:$V455)-_xlfn.STDEV.P($E455:$V455))),V455,(SLOPE($E455:$V455,$E$1:$V$1)*W$1+INTERCEPT($E455:$V455,$E$1:$V$1)))</f>
        <v>14093.980437719361</v>
      </c>
      <c r="X455" s="5">
        <f t="shared" si="460"/>
        <v>14208.483864148979</v>
      </c>
      <c r="Y455" s="5">
        <f t="shared" si="460"/>
        <v>14322.987290578598</v>
      </c>
      <c r="Z455" s="5">
        <f t="shared" si="460"/>
        <v>14437.490717008215</v>
      </c>
      <c r="AA455" s="5">
        <f t="shared" si="460"/>
        <v>14551.994143437834</v>
      </c>
      <c r="AB455" s="5">
        <f t="shared" si="460"/>
        <v>14666.497569867453</v>
      </c>
      <c r="AC455" s="5">
        <f t="shared" si="460"/>
        <v>14781.000996297073</v>
      </c>
      <c r="AD455" s="5">
        <f t="shared" si="460"/>
        <v>14895.50442272669</v>
      </c>
      <c r="AE455" s="5">
        <f t="shared" si="460"/>
        <v>15010.007849156309</v>
      </c>
      <c r="AF455" s="5">
        <f t="shared" si="460"/>
        <v>15124.511275585926</v>
      </c>
      <c r="AG455" s="5">
        <f t="shared" si="460"/>
        <v>15239.014702015545</v>
      </c>
      <c r="AH455" s="5">
        <f t="shared" si="460"/>
        <v>15353.518128445165</v>
      </c>
    </row>
    <row r="456" spans="1:34" x14ac:dyDescent="0.35">
      <c r="A456" t="s">
        <v>476</v>
      </c>
      <c r="B456" s="3" t="s">
        <v>1265</v>
      </c>
      <c r="C456" s="4" t="s">
        <v>1263</v>
      </c>
      <c r="D456" s="2">
        <f t="shared" si="456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ref="W456:AH456" si="461">IF(OR((SLOPE($E456:$V456,$E$1:$V$1)*W$1+INTERCEPT($E456:$V456,$E$1:$V$1))&gt;(AVERAGE($E456:$V456)+_xlfn.STDEV.P($E456:$V456)),(SLOPE($E456:$V456,$E$1:$V$1)*W$1+INTERCEPT($E456:$V456,$E$1:$V$1))&lt;(AVERAGE($E456:$V456)-_xlfn.STDEV.P($E456:$V456))),V456,(SLOPE($E456:$V456,$E$1:$V$1)*W$1+INTERCEPT($E456:$V456,$E$1:$V$1)))</f>
        <v>14393.055055512288</v>
      </c>
      <c r="X456" s="5">
        <f t="shared" si="461"/>
        <v>14567.072473384738</v>
      </c>
      <c r="Y456" s="5">
        <f t="shared" si="461"/>
        <v>14741.089891257188</v>
      </c>
      <c r="Z456" s="5">
        <f t="shared" si="461"/>
        <v>14915.107309129638</v>
      </c>
      <c r="AA456" s="5">
        <f t="shared" si="461"/>
        <v>15089.12472700209</v>
      </c>
      <c r="AB456" s="5">
        <f t="shared" si="461"/>
        <v>15263.14214487454</v>
      </c>
      <c r="AC456" s="5">
        <f t="shared" si="461"/>
        <v>15437.159562746991</v>
      </c>
      <c r="AD456" s="5">
        <f t="shared" si="461"/>
        <v>15611.176980619442</v>
      </c>
      <c r="AE456" s="5">
        <f t="shared" si="461"/>
        <v>15785.194398491893</v>
      </c>
      <c r="AF456" s="5">
        <f t="shared" si="461"/>
        <v>15959.211816364343</v>
      </c>
      <c r="AG456" s="5">
        <f t="shared" si="461"/>
        <v>16133.229234236795</v>
      </c>
      <c r="AH456" s="5">
        <f t="shared" si="461"/>
        <v>16307.246652109245</v>
      </c>
    </row>
    <row r="457" spans="1:34" x14ac:dyDescent="0.35">
      <c r="A457" t="s">
        <v>477</v>
      </c>
      <c r="B457" s="3" t="s">
        <v>1264</v>
      </c>
      <c r="C457" s="4" t="s">
        <v>1263</v>
      </c>
      <c r="D457" s="2">
        <f t="shared" si="456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ref="W457:AH457" si="462">IF(OR((SLOPE($E457:$V457,$E$1:$V$1)*W$1+INTERCEPT($E457:$V457,$E$1:$V$1))&gt;(AVERAGE($E457:$V457)+_xlfn.STDEV.P($E457:$V457)),(SLOPE($E457:$V457,$E$1:$V$1)*W$1+INTERCEPT($E457:$V457,$E$1:$V$1))&lt;(AVERAGE($E457:$V457)-_xlfn.STDEV.P($E457:$V457))),V457,(SLOPE($E457:$V457,$E$1:$V$1)*W$1+INTERCEPT($E457:$V457,$E$1:$V$1)))</f>
        <v>13658.779855099328</v>
      </c>
      <c r="X457" s="5">
        <f t="shared" si="462"/>
        <v>13757.709523845157</v>
      </c>
      <c r="Y457" s="5">
        <f t="shared" si="462"/>
        <v>13856.639192590985</v>
      </c>
      <c r="Z457" s="5">
        <f t="shared" si="462"/>
        <v>13955.568861336815</v>
      </c>
      <c r="AA457" s="5">
        <f t="shared" si="462"/>
        <v>14054.498530082641</v>
      </c>
      <c r="AB457" s="5">
        <f t="shared" si="462"/>
        <v>14153.428198828471</v>
      </c>
      <c r="AC457" s="5">
        <f t="shared" si="462"/>
        <v>14252.357867574299</v>
      </c>
      <c r="AD457" s="5">
        <f t="shared" si="462"/>
        <v>14351.287536320127</v>
      </c>
      <c r="AE457" s="5">
        <f t="shared" si="462"/>
        <v>14450.217205065956</v>
      </c>
      <c r="AF457" s="5">
        <f t="shared" si="462"/>
        <v>14549.146873811784</v>
      </c>
      <c r="AG457" s="5">
        <f t="shared" si="462"/>
        <v>14648.076542557612</v>
      </c>
      <c r="AH457" s="5">
        <f t="shared" si="462"/>
        <v>14747.00621130344</v>
      </c>
    </row>
    <row r="458" spans="1:34" x14ac:dyDescent="0.35">
      <c r="A458" t="s">
        <v>478</v>
      </c>
      <c r="B458" s="3" t="s">
        <v>1264</v>
      </c>
      <c r="C458" s="4" t="s">
        <v>1263</v>
      </c>
      <c r="D458" s="2">
        <f t="shared" si="456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ref="W458:AH458" si="463">IF(OR((SLOPE($E458:$V458,$E$1:$V$1)*W$1+INTERCEPT($E458:$V458,$E$1:$V$1))&gt;(AVERAGE($E458:$V458)+_xlfn.STDEV.P($E458:$V458)),(SLOPE($E458:$V458,$E$1:$V$1)*W$1+INTERCEPT($E458:$V458,$E$1:$V$1))&lt;(AVERAGE($E458:$V458)-_xlfn.STDEV.P($E458:$V458))),V458,(SLOPE($E458:$V458,$E$1:$V$1)*W$1+INTERCEPT($E458:$V458,$E$1:$V$1)))</f>
        <v>12209.323722875819</v>
      </c>
      <c r="X458" s="5">
        <f t="shared" si="463"/>
        <v>12157.917878500173</v>
      </c>
      <c r="Y458" s="5">
        <f t="shared" si="463"/>
        <v>12106.512034124529</v>
      </c>
      <c r="Z458" s="5">
        <f t="shared" si="463"/>
        <v>12055.106189748883</v>
      </c>
      <c r="AA458" s="5">
        <f t="shared" si="463"/>
        <v>12003.70034537324</v>
      </c>
      <c r="AB458" s="5">
        <f t="shared" si="463"/>
        <v>11952.294500997596</v>
      </c>
      <c r="AC458" s="5">
        <f t="shared" si="463"/>
        <v>11900.88865662195</v>
      </c>
      <c r="AD458" s="5">
        <f t="shared" si="463"/>
        <v>11849.482812246304</v>
      </c>
      <c r="AE458" s="5">
        <f t="shared" si="463"/>
        <v>11798.07696787066</v>
      </c>
      <c r="AF458" s="5">
        <f t="shared" si="463"/>
        <v>11746.671123495016</v>
      </c>
      <c r="AG458" s="5">
        <f t="shared" si="463"/>
        <v>11695.26527911937</v>
      </c>
      <c r="AH458" s="5">
        <f t="shared" si="463"/>
        <v>11643.859434743727</v>
      </c>
    </row>
    <row r="459" spans="1:34" x14ac:dyDescent="0.35">
      <c r="A459" t="s">
        <v>479</v>
      </c>
      <c r="B459" s="3" t="s">
        <v>1266</v>
      </c>
      <c r="C459" s="4" t="s">
        <v>1267</v>
      </c>
      <c r="D459" s="2">
        <f t="shared" si="456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ref="W459:AH459" si="464">IF(OR((SLOPE($E459:$V459,$E$1:$V$1)*W$1+INTERCEPT($E459:$V459,$E$1:$V$1))&gt;(AVERAGE($E459:$V459)+_xlfn.STDEV.P($E459:$V459)),(SLOPE($E459:$V459,$E$1:$V$1)*W$1+INTERCEPT($E459:$V459,$E$1:$V$1))&lt;(AVERAGE($E459:$V459)-_xlfn.STDEV.P($E459:$V459))),V459,(SLOPE($E459:$V459,$E$1:$V$1)*W$1+INTERCEPT($E459:$V459,$E$1:$V$1)))</f>
        <v>12933.439536344185</v>
      </c>
      <c r="X459" s="5">
        <f t="shared" si="464"/>
        <v>12975.909402138428</v>
      </c>
      <c r="Y459" s="5">
        <f t="shared" si="464"/>
        <v>13018.379267932673</v>
      </c>
      <c r="Z459" s="5">
        <f t="shared" si="464"/>
        <v>13060.849133726917</v>
      </c>
      <c r="AA459" s="5">
        <f t="shared" si="464"/>
        <v>13103.318999521161</v>
      </c>
      <c r="AB459" s="5">
        <f t="shared" si="464"/>
        <v>13145.788865315404</v>
      </c>
      <c r="AC459" s="5">
        <f t="shared" si="464"/>
        <v>13188.258731109649</v>
      </c>
      <c r="AD459" s="5">
        <f t="shared" si="464"/>
        <v>13230.728596903893</v>
      </c>
      <c r="AE459" s="5">
        <f t="shared" si="464"/>
        <v>13273.198462698136</v>
      </c>
      <c r="AF459" s="5">
        <f t="shared" si="464"/>
        <v>13315.66832849238</v>
      </c>
      <c r="AG459" s="5">
        <f t="shared" si="464"/>
        <v>13358.138194286625</v>
      </c>
      <c r="AH459" s="5">
        <f t="shared" si="464"/>
        <v>13400.608060080869</v>
      </c>
    </row>
    <row r="460" spans="1:34" x14ac:dyDescent="0.35">
      <c r="A460" t="s">
        <v>480</v>
      </c>
      <c r="B460" s="3" t="s">
        <v>1262</v>
      </c>
      <c r="C460" s="4" t="s">
        <v>1268</v>
      </c>
      <c r="D460" s="2">
        <f t="shared" si="456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ref="W460:AH460" si="465">IF(OR((SLOPE($E460:$V460,$E$1:$V$1)*W$1+INTERCEPT($E460:$V460,$E$1:$V$1))&gt;(AVERAGE($E460:$V460)+_xlfn.STDEV.P($E460:$V460)),(SLOPE($E460:$V460,$E$1:$V$1)*W$1+INTERCEPT($E460:$V460,$E$1:$V$1))&lt;(AVERAGE($E460:$V460)-_xlfn.STDEV.P($E460:$V460))),V460,(SLOPE($E460:$V460,$E$1:$V$1)*W$1+INTERCEPT($E460:$V460,$E$1:$V$1)))</f>
        <v>43454.641176470584</v>
      </c>
      <c r="X460" s="5">
        <f t="shared" si="465"/>
        <v>43454.641176470584</v>
      </c>
      <c r="Y460" s="5">
        <f t="shared" si="465"/>
        <v>43454.641176470584</v>
      </c>
      <c r="Z460" s="5">
        <f t="shared" si="465"/>
        <v>43454.641176470584</v>
      </c>
      <c r="AA460" s="5">
        <f t="shared" si="465"/>
        <v>43454.641176470584</v>
      </c>
      <c r="AB460" s="5">
        <f t="shared" si="465"/>
        <v>43454.641176470584</v>
      </c>
      <c r="AC460" s="5">
        <f t="shared" si="465"/>
        <v>43454.641176470584</v>
      </c>
      <c r="AD460" s="5">
        <f t="shared" si="465"/>
        <v>43454.641176470584</v>
      </c>
      <c r="AE460" s="5">
        <f t="shared" si="465"/>
        <v>43454.641176470584</v>
      </c>
      <c r="AF460" s="5">
        <f t="shared" si="465"/>
        <v>43454.641176470584</v>
      </c>
      <c r="AG460" s="5">
        <f t="shared" si="465"/>
        <v>43454.641176470584</v>
      </c>
      <c r="AH460" s="5">
        <f t="shared" si="465"/>
        <v>43454.641176470584</v>
      </c>
    </row>
    <row r="461" spans="1:34" x14ac:dyDescent="0.35">
      <c r="A461" t="s">
        <v>481</v>
      </c>
      <c r="B461" s="3" t="s">
        <v>1262</v>
      </c>
      <c r="C461" s="4" t="s">
        <v>1263</v>
      </c>
      <c r="D461" s="2">
        <f t="shared" si="456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ref="W461:AH461" si="466">IF(OR((SLOPE($E461:$V461,$E$1:$V$1)*W$1+INTERCEPT($E461:$V461,$E$1:$V$1))&gt;(AVERAGE($E461:$V461)+_xlfn.STDEV.P($E461:$V461)),(SLOPE($E461:$V461,$E$1:$V$1)*W$1+INTERCEPT($E461:$V461,$E$1:$V$1))&lt;(AVERAGE($E461:$V461)-_xlfn.STDEV.P($E461:$V461))),V461,(SLOPE($E461:$V461,$E$1:$V$1)*W$1+INTERCEPT($E461:$V461,$E$1:$V$1)))</f>
        <v>15068.750428758171</v>
      </c>
      <c r="X461" s="5">
        <f t="shared" si="466"/>
        <v>15356.140111317509</v>
      </c>
      <c r="Y461" s="5">
        <f t="shared" si="466"/>
        <v>15643.529793876849</v>
      </c>
      <c r="Z461" s="5">
        <f t="shared" si="466"/>
        <v>15930.919476436189</v>
      </c>
      <c r="AA461" s="5">
        <f t="shared" si="466"/>
        <v>16218.309158995529</v>
      </c>
      <c r="AB461" s="5">
        <f t="shared" si="466"/>
        <v>16505.698841554869</v>
      </c>
      <c r="AC461" s="5">
        <f t="shared" si="466"/>
        <v>16793.088524114206</v>
      </c>
      <c r="AD461" s="5">
        <f t="shared" si="466"/>
        <v>17080.478206673546</v>
      </c>
      <c r="AE461" s="5">
        <f t="shared" si="466"/>
        <v>17367.867889232886</v>
      </c>
      <c r="AF461" s="5">
        <f t="shared" si="466"/>
        <v>17655.257571792226</v>
      </c>
      <c r="AG461" s="5">
        <f t="shared" si="466"/>
        <v>17942.647254351563</v>
      </c>
      <c r="AH461" s="5">
        <f t="shared" si="466"/>
        <v>18230.036936910903</v>
      </c>
    </row>
    <row r="462" spans="1:34" x14ac:dyDescent="0.35">
      <c r="A462" t="s">
        <v>482</v>
      </c>
      <c r="B462" s="3" t="s">
        <v>1264</v>
      </c>
      <c r="C462" s="4" t="s">
        <v>1263</v>
      </c>
      <c r="D462" s="2">
        <f t="shared" si="456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ref="W462:AH462" si="467">IF(OR((SLOPE($E462:$V462,$E$1:$V$1)*W$1+INTERCEPT($E462:$V462,$E$1:$V$1))&gt;(AVERAGE($E462:$V462)+_xlfn.STDEV.P($E462:$V462)),(SLOPE($E462:$V462,$E$1:$V$1)*W$1+INTERCEPT($E462:$V462,$E$1:$V$1))&lt;(AVERAGE($E462:$V462)-_xlfn.STDEV.P($E462:$V462))),V462,(SLOPE($E462:$V462,$E$1:$V$1)*W$1+INTERCEPT($E462:$V462,$E$1:$V$1)))</f>
        <v>28452.026143790848</v>
      </c>
      <c r="X462" s="5">
        <f t="shared" si="467"/>
        <v>30154.63708290334</v>
      </c>
      <c r="Y462" s="5">
        <f t="shared" si="467"/>
        <v>31857.248022015825</v>
      </c>
      <c r="Z462" s="5">
        <f t="shared" si="467"/>
        <v>33559.858961128317</v>
      </c>
      <c r="AA462" s="5">
        <f t="shared" si="467"/>
        <v>35262.469900240802</v>
      </c>
      <c r="AB462" s="5">
        <f t="shared" si="467"/>
        <v>35262.469900240802</v>
      </c>
      <c r="AC462" s="5">
        <f t="shared" si="467"/>
        <v>35262.469900240802</v>
      </c>
      <c r="AD462" s="5">
        <f t="shared" si="467"/>
        <v>35262.469900240802</v>
      </c>
      <c r="AE462" s="5">
        <f t="shared" si="467"/>
        <v>35262.469900240802</v>
      </c>
      <c r="AF462" s="5">
        <f t="shared" si="467"/>
        <v>35262.469900240802</v>
      </c>
      <c r="AG462" s="5">
        <f t="shared" si="467"/>
        <v>35262.469900240802</v>
      </c>
      <c r="AH462" s="5">
        <f t="shared" si="467"/>
        <v>35262.469900240802</v>
      </c>
    </row>
    <row r="463" spans="1:34" x14ac:dyDescent="0.35">
      <c r="A463" t="s">
        <v>483</v>
      </c>
      <c r="B463" s="3" t="s">
        <v>1265</v>
      </c>
      <c r="C463" s="4" t="s">
        <v>1263</v>
      </c>
      <c r="D463" s="2">
        <f t="shared" si="456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ref="W463:AH463" si="468">IF(OR((SLOPE($E463:$V463,$E$1:$V$1)*W$1+INTERCEPT($E463:$V463,$E$1:$V$1))&gt;(AVERAGE($E463:$V463)+_xlfn.STDEV.P($E463:$V463)),(SLOPE($E463:$V463,$E$1:$V$1)*W$1+INTERCEPT($E463:$V463,$E$1:$V$1))&lt;(AVERAGE($E463:$V463)-_xlfn.STDEV.P($E463:$V463))),V463,(SLOPE($E463:$V463,$E$1:$V$1)*W$1+INTERCEPT($E463:$V463,$E$1:$V$1)))</f>
        <v>8576.1388932081391</v>
      </c>
      <c r="X463" s="5">
        <f t="shared" si="468"/>
        <v>8187.6012928502305</v>
      </c>
      <c r="Y463" s="5">
        <f t="shared" si="468"/>
        <v>7799.063692492321</v>
      </c>
      <c r="Z463" s="5">
        <f t="shared" si="468"/>
        <v>7410.5260921344125</v>
      </c>
      <c r="AA463" s="5">
        <f t="shared" si="468"/>
        <v>7410.5260921344125</v>
      </c>
      <c r="AB463" s="5">
        <f t="shared" si="468"/>
        <v>7410.5260921344125</v>
      </c>
      <c r="AC463" s="5">
        <f t="shared" si="468"/>
        <v>7410.5260921344125</v>
      </c>
      <c r="AD463" s="5">
        <f t="shared" si="468"/>
        <v>7410.5260921344125</v>
      </c>
      <c r="AE463" s="5">
        <f t="shared" si="468"/>
        <v>7410.5260921344125</v>
      </c>
      <c r="AF463" s="5">
        <f t="shared" si="468"/>
        <v>7410.5260921344125</v>
      </c>
      <c r="AG463" s="5">
        <f t="shared" si="468"/>
        <v>7410.5260921344125</v>
      </c>
      <c r="AH463" s="5">
        <f t="shared" si="468"/>
        <v>7410.5260921344125</v>
      </c>
    </row>
    <row r="464" spans="1:34" x14ac:dyDescent="0.35">
      <c r="A464" t="s">
        <v>484</v>
      </c>
      <c r="B464" s="3" t="s">
        <v>1266</v>
      </c>
      <c r="C464" s="4" t="s">
        <v>1263</v>
      </c>
      <c r="D464" s="2">
        <f t="shared" si="456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ref="W464:AH464" si="469">IF(OR((SLOPE($E464:$V464,$E$1:$V$1)*W$1+INTERCEPT($E464:$V464,$E$1:$V$1))&gt;(AVERAGE($E464:$V464)+_xlfn.STDEV.P($E464:$V464)),(SLOPE($E464:$V464,$E$1:$V$1)*W$1+INTERCEPT($E464:$V464,$E$1:$V$1))&lt;(AVERAGE($E464:$V464)-_xlfn.STDEV.P($E464:$V464))),V464,(SLOPE($E464:$V464,$E$1:$V$1)*W$1+INTERCEPT($E464:$V464,$E$1:$V$1)))</f>
        <v>0</v>
      </c>
      <c r="X464" s="5">
        <f t="shared" si="469"/>
        <v>0</v>
      </c>
      <c r="Y464" s="5">
        <f t="shared" si="469"/>
        <v>0</v>
      </c>
      <c r="Z464" s="5">
        <f t="shared" si="469"/>
        <v>0</v>
      </c>
      <c r="AA464" s="5">
        <f t="shared" si="469"/>
        <v>0</v>
      </c>
      <c r="AB464" s="5">
        <f t="shared" si="469"/>
        <v>0</v>
      </c>
      <c r="AC464" s="5">
        <f t="shared" si="469"/>
        <v>0</v>
      </c>
      <c r="AD464" s="5">
        <f t="shared" si="469"/>
        <v>0</v>
      </c>
      <c r="AE464" s="5">
        <f t="shared" si="469"/>
        <v>0</v>
      </c>
      <c r="AF464" s="5">
        <f t="shared" si="469"/>
        <v>0</v>
      </c>
      <c r="AG464" s="5">
        <f t="shared" si="469"/>
        <v>0</v>
      </c>
      <c r="AH464" s="5">
        <f t="shared" si="469"/>
        <v>0</v>
      </c>
    </row>
    <row r="465" spans="1:34" x14ac:dyDescent="0.35">
      <c r="A465" t="s">
        <v>485</v>
      </c>
      <c r="B465" s="3" t="s">
        <v>1262</v>
      </c>
      <c r="C465" s="4" t="s">
        <v>1263</v>
      </c>
      <c r="D465" s="2">
        <f t="shared" si="456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ref="W465:AH465" si="470">IF(OR((SLOPE($E465:$V465,$E$1:$V$1)*W$1+INTERCEPT($E465:$V465,$E$1:$V$1))&gt;(AVERAGE($E465:$V465)+_xlfn.STDEV.P($E465:$V465)),(SLOPE($E465:$V465,$E$1:$V$1)*W$1+INTERCEPT($E465:$V465,$E$1:$V$1))&lt;(AVERAGE($E465:$V465)-_xlfn.STDEV.P($E465:$V465))),V465,(SLOPE($E465:$V465,$E$1:$V$1)*W$1+INTERCEPT($E465:$V465,$E$1:$V$1)))</f>
        <v>31087.02298640554</v>
      </c>
      <c r="X465" s="5">
        <f t="shared" si="470"/>
        <v>33099.135517253788</v>
      </c>
      <c r="Y465" s="5">
        <f t="shared" si="470"/>
        <v>35111.248048102032</v>
      </c>
      <c r="Z465" s="5">
        <f t="shared" si="470"/>
        <v>37123.360578950276</v>
      </c>
      <c r="AA465" s="5">
        <f t="shared" si="470"/>
        <v>37123.360578950276</v>
      </c>
      <c r="AB465" s="5">
        <f t="shared" si="470"/>
        <v>37123.360578950276</v>
      </c>
      <c r="AC465" s="5">
        <f t="shared" si="470"/>
        <v>37123.360578950276</v>
      </c>
      <c r="AD465" s="5">
        <f t="shared" si="470"/>
        <v>37123.360578950276</v>
      </c>
      <c r="AE465" s="5">
        <f t="shared" si="470"/>
        <v>37123.360578950276</v>
      </c>
      <c r="AF465" s="5">
        <f t="shared" si="470"/>
        <v>37123.360578950276</v>
      </c>
      <c r="AG465" s="5">
        <f t="shared" si="470"/>
        <v>37123.360578950276</v>
      </c>
      <c r="AH465" s="5">
        <f t="shared" si="470"/>
        <v>37123.360578950276</v>
      </c>
    </row>
    <row r="466" spans="1:34" x14ac:dyDescent="0.35">
      <c r="A466" t="s">
        <v>486</v>
      </c>
      <c r="B466" s="3" t="s">
        <v>1266</v>
      </c>
      <c r="C466" s="4" t="s">
        <v>1267</v>
      </c>
      <c r="D466" s="2">
        <f t="shared" si="456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ref="W466:AH466" si="471">IF(OR((SLOPE($E466:$V466,$E$1:$V$1)*W$1+INTERCEPT($E466:$V466,$E$1:$V$1))&gt;(AVERAGE($E466:$V466)+_xlfn.STDEV.P($E466:$V466)),(SLOPE($E466:$V466,$E$1:$V$1)*W$1+INTERCEPT($E466:$V466,$E$1:$V$1))&lt;(AVERAGE($E466:$V466)-_xlfn.STDEV.P($E466:$V466))),V466,(SLOPE($E466:$V466,$E$1:$V$1)*W$1+INTERCEPT($E466:$V466,$E$1:$V$1)))</f>
        <v>33648.585071961788</v>
      </c>
      <c r="X466" s="5">
        <f t="shared" si="471"/>
        <v>35908.963944870811</v>
      </c>
      <c r="Y466" s="5">
        <f t="shared" si="471"/>
        <v>38169.342817779841</v>
      </c>
      <c r="Z466" s="5">
        <f t="shared" si="471"/>
        <v>40429.721690688864</v>
      </c>
      <c r="AA466" s="5">
        <f t="shared" si="471"/>
        <v>42690.100563597887</v>
      </c>
      <c r="AB466" s="5">
        <f t="shared" si="471"/>
        <v>44950.479436506917</v>
      </c>
      <c r="AC466" s="5">
        <f t="shared" si="471"/>
        <v>44950.479436506917</v>
      </c>
      <c r="AD466" s="5">
        <f t="shared" si="471"/>
        <v>44950.479436506917</v>
      </c>
      <c r="AE466" s="5">
        <f t="shared" si="471"/>
        <v>44950.479436506917</v>
      </c>
      <c r="AF466" s="5">
        <f t="shared" si="471"/>
        <v>44950.479436506917</v>
      </c>
      <c r="AG466" s="5">
        <f t="shared" si="471"/>
        <v>44950.479436506917</v>
      </c>
      <c r="AH466" s="5">
        <f t="shared" si="471"/>
        <v>44950.479436506917</v>
      </c>
    </row>
    <row r="467" spans="1:34" x14ac:dyDescent="0.35">
      <c r="A467" t="s">
        <v>487</v>
      </c>
      <c r="B467" s="3" t="s">
        <v>1265</v>
      </c>
      <c r="C467" s="4" t="s">
        <v>1263</v>
      </c>
      <c r="D467" s="2">
        <f t="shared" si="456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ref="W467:AH467" si="472">IF(OR((SLOPE($E467:$V467,$E$1:$V$1)*W$1+INTERCEPT($E467:$V467,$E$1:$V$1))&gt;(AVERAGE($E467:$V467)+_xlfn.STDEV.P($E467:$V467)),(SLOPE($E467:$V467,$E$1:$V$1)*W$1+INTERCEPT($E467:$V467,$E$1:$V$1))&lt;(AVERAGE($E467:$V467)-_xlfn.STDEV.P($E467:$V467))),V467,(SLOPE($E467:$V467,$E$1:$V$1)*W$1+INTERCEPT($E467:$V467,$E$1:$V$1)))</f>
        <v>11084.40580653595</v>
      </c>
      <c r="X467" s="5">
        <f t="shared" si="472"/>
        <v>10971.286338218097</v>
      </c>
      <c r="Y467" s="5">
        <f t="shared" si="472"/>
        <v>10858.166869900244</v>
      </c>
      <c r="Z467" s="5">
        <f t="shared" si="472"/>
        <v>10745.047401582389</v>
      </c>
      <c r="AA467" s="5">
        <f t="shared" si="472"/>
        <v>10631.927933264536</v>
      </c>
      <c r="AB467" s="5">
        <f t="shared" si="472"/>
        <v>10518.808464946684</v>
      </c>
      <c r="AC467" s="5">
        <f t="shared" si="472"/>
        <v>10405.688996628829</v>
      </c>
      <c r="AD467" s="5">
        <f t="shared" si="472"/>
        <v>10292.569528310976</v>
      </c>
      <c r="AE467" s="5">
        <f t="shared" si="472"/>
        <v>10179.450059993122</v>
      </c>
      <c r="AF467" s="5">
        <f t="shared" si="472"/>
        <v>10066.330591675269</v>
      </c>
      <c r="AG467" s="5">
        <f t="shared" si="472"/>
        <v>9953.2111233574142</v>
      </c>
      <c r="AH467" s="5">
        <f t="shared" si="472"/>
        <v>9840.0916550395614</v>
      </c>
    </row>
    <row r="468" spans="1:34" x14ac:dyDescent="0.35">
      <c r="A468" t="s">
        <v>488</v>
      </c>
      <c r="B468" s="3" t="s">
        <v>1266</v>
      </c>
      <c r="C468" s="4" t="s">
        <v>1266</v>
      </c>
      <c r="D468" s="2">
        <f t="shared" si="456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ref="W468:AH468" si="473">IF(OR((SLOPE($E468:$V468,$E$1:$V$1)*W$1+INTERCEPT($E468:$V468,$E$1:$V$1))&gt;(AVERAGE($E468:$V468)+_xlfn.STDEV.P($E468:$V468)),(SLOPE($E468:$V468,$E$1:$V$1)*W$1+INTERCEPT($E468:$V468,$E$1:$V$1))&lt;(AVERAGE($E468:$V468)-_xlfn.STDEV.P($E468:$V468))),V468,(SLOPE($E468:$V468,$E$1:$V$1)*W$1+INTERCEPT($E468:$V468,$E$1:$V$1)))</f>
        <v>22877.306153683814</v>
      </c>
      <c r="X468" s="5">
        <f t="shared" si="473"/>
        <v>24006.12060205637</v>
      </c>
      <c r="Y468" s="5">
        <f t="shared" si="473"/>
        <v>25134.935050428925</v>
      </c>
      <c r="Z468" s="5">
        <f t="shared" si="473"/>
        <v>26263.749498801481</v>
      </c>
      <c r="AA468" s="5">
        <f t="shared" si="473"/>
        <v>27392.563947174036</v>
      </c>
      <c r="AB468" s="5">
        <f t="shared" si="473"/>
        <v>28521.378395546599</v>
      </c>
      <c r="AC468" s="5">
        <f t="shared" si="473"/>
        <v>29650.192843919154</v>
      </c>
      <c r="AD468" s="5">
        <f t="shared" si="473"/>
        <v>30779.00729229171</v>
      </c>
      <c r="AE468" s="5">
        <f t="shared" si="473"/>
        <v>31907.821740664265</v>
      </c>
      <c r="AF468" s="5">
        <f t="shared" si="473"/>
        <v>33036.636189036821</v>
      </c>
      <c r="AG468" s="5">
        <f t="shared" si="473"/>
        <v>34165.450637409376</v>
      </c>
      <c r="AH468" s="5">
        <f t="shared" si="473"/>
        <v>35294.265085781939</v>
      </c>
    </row>
    <row r="469" spans="1:34" x14ac:dyDescent="0.35">
      <c r="A469" t="s">
        <v>489</v>
      </c>
      <c r="B469" s="3" t="s">
        <v>1266</v>
      </c>
      <c r="C469" s="4" t="s">
        <v>1267</v>
      </c>
      <c r="D469" s="2">
        <f t="shared" si="456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H469" si="474">IF(OR((SLOPE($E469:$V469,$E$1:$V$1)*W$1+INTERCEPT($E469:$V469,$E$1:$V$1))&gt;(AVERAGE($E469:$V469)+_xlfn.STDEV.P($E469:$V469)),(SLOPE($E469:$V469,$E$1:$V$1)*W$1+INTERCEPT($E469:$V469,$E$1:$V$1))&lt;(AVERAGE($E469:$V469)-_xlfn.STDEV.P($E469:$V469))),V469,(SLOPE($E469:$V469,$E$1:$V$1)*W$1+INTERCEPT($E469:$V469,$E$1:$V$1)))</f>
        <v>31288.273740396398</v>
      </c>
      <c r="X469" s="5">
        <f t="shared" si="474"/>
        <v>33314.468555854233</v>
      </c>
      <c r="Y469" s="5">
        <f t="shared" si="474"/>
        <v>35340.663371312061</v>
      </c>
      <c r="Z469" s="5">
        <f t="shared" si="474"/>
        <v>37366.858186769896</v>
      </c>
      <c r="AA469" s="5">
        <f t="shared" si="474"/>
        <v>39393.053002227731</v>
      </c>
      <c r="AB469" s="5">
        <f t="shared" si="474"/>
        <v>41419.247817685558</v>
      </c>
      <c r="AC469" s="5">
        <f t="shared" si="474"/>
        <v>43445.442633143393</v>
      </c>
      <c r="AD469" s="5">
        <f t="shared" si="474"/>
        <v>45471.637448601228</v>
      </c>
      <c r="AE469" s="5">
        <f t="shared" si="474"/>
        <v>45471.637448601228</v>
      </c>
      <c r="AF469" s="5">
        <f t="shared" si="474"/>
        <v>45471.637448601228</v>
      </c>
      <c r="AG469" s="5">
        <f t="shared" si="474"/>
        <v>45471.637448601228</v>
      </c>
      <c r="AH469" s="5">
        <f t="shared" si="474"/>
        <v>45471.637448601228</v>
      </c>
    </row>
    <row r="470" spans="1:34" x14ac:dyDescent="0.35">
      <c r="A470" t="s">
        <v>490</v>
      </c>
      <c r="B470" s="3" t="s">
        <v>1266</v>
      </c>
      <c r="C470" s="4" t="s">
        <v>1263</v>
      </c>
      <c r="D470" s="2">
        <f t="shared" si="456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ref="W470:AH470" si="475">IF(OR((SLOPE($E470:$V470,$E$1:$V$1)*W$1+INTERCEPT($E470:$V470,$E$1:$V$1))&gt;(AVERAGE($E470:$V470)+_xlfn.STDEV.P($E470:$V470)),(SLOPE($E470:$V470,$E$1:$V$1)*W$1+INTERCEPT($E470:$V470,$E$1:$V$1))&lt;(AVERAGE($E470:$V470)-_xlfn.STDEV.P($E470:$V470))),V470,(SLOPE($E470:$V470,$E$1:$V$1)*W$1+INTERCEPT($E470:$V470,$E$1:$V$1)))</f>
        <v>14606.456037148146</v>
      </c>
      <c r="X470" s="5">
        <f t="shared" si="475"/>
        <v>14914.07760903266</v>
      </c>
      <c r="Y470" s="5">
        <f t="shared" si="475"/>
        <v>15221.699180917174</v>
      </c>
      <c r="Z470" s="5">
        <f t="shared" si="475"/>
        <v>15529.320752801686</v>
      </c>
      <c r="AA470" s="5">
        <f t="shared" si="475"/>
        <v>15836.942324686199</v>
      </c>
      <c r="AB470" s="5">
        <f t="shared" si="475"/>
        <v>16144.563896570713</v>
      </c>
      <c r="AC470" s="5">
        <f t="shared" si="475"/>
        <v>16452.185468455227</v>
      </c>
      <c r="AD470" s="5">
        <f t="shared" si="475"/>
        <v>16759.80704033974</v>
      </c>
      <c r="AE470" s="5">
        <f t="shared" si="475"/>
        <v>17067.428612224256</v>
      </c>
      <c r="AF470" s="5">
        <f t="shared" si="475"/>
        <v>17375.050184108768</v>
      </c>
      <c r="AG470" s="5">
        <f t="shared" si="475"/>
        <v>17682.67175599328</v>
      </c>
      <c r="AH470" s="5">
        <f t="shared" si="475"/>
        <v>17990.293327877793</v>
      </c>
    </row>
    <row r="471" spans="1:34" x14ac:dyDescent="0.35">
      <c r="A471" t="s">
        <v>491</v>
      </c>
      <c r="B471" s="3" t="s">
        <v>1264</v>
      </c>
      <c r="C471" s="4" t="s">
        <v>1263</v>
      </c>
      <c r="D471" s="2">
        <f t="shared" si="456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ref="W471:AH471" si="476">IF(OR((SLOPE($E471:$V471,$E$1:$V$1)*W$1+INTERCEPT($E471:$V471,$E$1:$V$1))&gt;(AVERAGE($E471:$V471)+_xlfn.STDEV.P($E471:$V471)),(SLOPE($E471:$V471,$E$1:$V$1)*W$1+INTERCEPT($E471:$V471,$E$1:$V$1))&lt;(AVERAGE($E471:$V471)-_xlfn.STDEV.P($E471:$V471))),V471,(SLOPE($E471:$V471,$E$1:$V$1)*W$1+INTERCEPT($E471:$V471,$E$1:$V$1)))</f>
        <v>21701.910681283116</v>
      </c>
      <c r="X471" s="5">
        <f t="shared" si="476"/>
        <v>22772.728642530637</v>
      </c>
      <c r="Y471" s="5">
        <f t="shared" si="476"/>
        <v>23843.546603778159</v>
      </c>
      <c r="Z471" s="5">
        <f t="shared" si="476"/>
        <v>24914.364565025688</v>
      </c>
      <c r="AA471" s="5">
        <f t="shared" si="476"/>
        <v>25985.182526273209</v>
      </c>
      <c r="AB471" s="5">
        <f t="shared" si="476"/>
        <v>27056.000487520731</v>
      </c>
      <c r="AC471" s="5">
        <f t="shared" si="476"/>
        <v>28126.818448768252</v>
      </c>
      <c r="AD471" s="5">
        <f t="shared" si="476"/>
        <v>29197.636410015773</v>
      </c>
      <c r="AE471" s="5">
        <f t="shared" si="476"/>
        <v>30268.454371263295</v>
      </c>
      <c r="AF471" s="5">
        <f t="shared" si="476"/>
        <v>31339.272332510816</v>
      </c>
      <c r="AG471" s="5">
        <f t="shared" si="476"/>
        <v>32410.090293758338</v>
      </c>
      <c r="AH471" s="5">
        <f t="shared" si="476"/>
        <v>33480.908255005867</v>
      </c>
    </row>
    <row r="472" spans="1:34" x14ac:dyDescent="0.35">
      <c r="A472" t="s">
        <v>492</v>
      </c>
      <c r="B472" s="3" t="s">
        <v>1266</v>
      </c>
      <c r="C472" s="4" t="s">
        <v>1267</v>
      </c>
      <c r="D472" s="2">
        <f t="shared" si="456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ref="W472:AH472" si="477">IF(OR((SLOPE($E472:$V472,$E$1:$V$1)*W$1+INTERCEPT($E472:$V472,$E$1:$V$1))&gt;(AVERAGE($E472:$V472)+_xlfn.STDEV.P($E472:$V472)),(SLOPE($E472:$V472,$E$1:$V$1)*W$1+INTERCEPT($E472:$V472,$E$1:$V$1))&lt;(AVERAGE($E472:$V472)-_xlfn.STDEV.P($E472:$V472))),V472,(SLOPE($E472:$V472,$E$1:$V$1)*W$1+INTERCEPT($E472:$V472,$E$1:$V$1)))</f>
        <v>21635.099090019477</v>
      </c>
      <c r="X472" s="5">
        <f t="shared" si="477"/>
        <v>22702.620426698071</v>
      </c>
      <c r="Y472" s="5">
        <f t="shared" si="477"/>
        <v>23770.141763376661</v>
      </c>
      <c r="Z472" s="5">
        <f t="shared" si="477"/>
        <v>24837.663100055255</v>
      </c>
      <c r="AA472" s="5">
        <f t="shared" si="477"/>
        <v>25905.184436733849</v>
      </c>
      <c r="AB472" s="5">
        <f t="shared" si="477"/>
        <v>26972.705773412439</v>
      </c>
      <c r="AC472" s="5">
        <f t="shared" si="477"/>
        <v>28040.227110091033</v>
      </c>
      <c r="AD472" s="5">
        <f t="shared" si="477"/>
        <v>29107.748446769627</v>
      </c>
      <c r="AE472" s="5">
        <f t="shared" si="477"/>
        <v>30175.269783448221</v>
      </c>
      <c r="AF472" s="5">
        <f t="shared" si="477"/>
        <v>31242.791120126811</v>
      </c>
      <c r="AG472" s="5">
        <f t="shared" si="477"/>
        <v>32310.312456805405</v>
      </c>
      <c r="AH472" s="5">
        <f t="shared" si="477"/>
        <v>33377.833793483995</v>
      </c>
    </row>
    <row r="473" spans="1:34" x14ac:dyDescent="0.35">
      <c r="A473" t="s">
        <v>493</v>
      </c>
      <c r="B473" s="3" t="s">
        <v>1264</v>
      </c>
      <c r="C473" s="4" t="s">
        <v>1263</v>
      </c>
      <c r="D473" s="2">
        <f t="shared" si="456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ref="W473:AH473" si="478">IF(OR((SLOPE($E473:$V473,$E$1:$V$1)*W$1+INTERCEPT($E473:$V473,$E$1:$V$1))&gt;(AVERAGE($E473:$V473)+_xlfn.STDEV.P($E473:$V473)),(SLOPE($E473:$V473,$E$1:$V$1)*W$1+INTERCEPT($E473:$V473,$E$1:$V$1))&lt;(AVERAGE($E473:$V473)-_xlfn.STDEV.P($E473:$V473))),V473,(SLOPE($E473:$V473,$E$1:$V$1)*W$1+INTERCEPT($E473:$V473,$E$1:$V$1)))</f>
        <v>-15744.810666666664</v>
      </c>
      <c r="X473" s="5">
        <f t="shared" si="478"/>
        <v>-15744.810666666664</v>
      </c>
      <c r="Y473" s="5">
        <f t="shared" si="478"/>
        <v>-15744.810666666664</v>
      </c>
      <c r="Z473" s="5">
        <f t="shared" si="478"/>
        <v>-15744.810666666664</v>
      </c>
      <c r="AA473" s="5">
        <f t="shared" si="478"/>
        <v>-15744.810666666664</v>
      </c>
      <c r="AB473" s="5">
        <f t="shared" si="478"/>
        <v>-15744.810666666664</v>
      </c>
      <c r="AC473" s="5">
        <f t="shared" si="478"/>
        <v>-15744.810666666664</v>
      </c>
      <c r="AD473" s="5">
        <f t="shared" si="478"/>
        <v>-15744.810666666664</v>
      </c>
      <c r="AE473" s="5">
        <f t="shared" si="478"/>
        <v>-15744.810666666664</v>
      </c>
      <c r="AF473" s="5">
        <f t="shared" si="478"/>
        <v>-15744.810666666664</v>
      </c>
      <c r="AG473" s="5">
        <f t="shared" si="478"/>
        <v>-15744.810666666664</v>
      </c>
      <c r="AH473" s="5">
        <f t="shared" si="478"/>
        <v>-15744.810666666664</v>
      </c>
    </row>
    <row r="474" spans="1:34" x14ac:dyDescent="0.35">
      <c r="A474" t="s">
        <v>494</v>
      </c>
      <c r="B474" s="3" t="s">
        <v>1265</v>
      </c>
      <c r="C474" s="4" t="s">
        <v>1263</v>
      </c>
      <c r="D474" s="2">
        <f t="shared" si="456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ref="W474:AH474" si="479">IF(OR((SLOPE($E474:$V474,$E$1:$V$1)*W$1+INTERCEPT($E474:$V474,$E$1:$V$1))&gt;(AVERAGE($E474:$V474)+_xlfn.STDEV.P($E474:$V474)),(SLOPE($E474:$V474,$E$1:$V$1)*W$1+INTERCEPT($E474:$V474,$E$1:$V$1))&lt;(AVERAGE($E474:$V474)-_xlfn.STDEV.P($E474:$V474))),V474,(SLOPE($E474:$V474,$E$1:$V$1)*W$1+INTERCEPT($E474:$V474,$E$1:$V$1)))</f>
        <v>10696.6608</v>
      </c>
      <c r="X474" s="5">
        <f t="shared" si="479"/>
        <v>10630.154905263158</v>
      </c>
      <c r="Y474" s="5">
        <f t="shared" si="479"/>
        <v>10563.649010526316</v>
      </c>
      <c r="Z474" s="5">
        <f t="shared" si="479"/>
        <v>10497.143115789473</v>
      </c>
      <c r="AA474" s="5">
        <f t="shared" si="479"/>
        <v>10430.637221052632</v>
      </c>
      <c r="AB474" s="5">
        <f t="shared" si="479"/>
        <v>10364.13132631579</v>
      </c>
      <c r="AC474" s="5">
        <f t="shared" si="479"/>
        <v>10297.625431578947</v>
      </c>
      <c r="AD474" s="5">
        <f t="shared" si="479"/>
        <v>10231.119536842105</v>
      </c>
      <c r="AE474" s="5">
        <f t="shared" si="479"/>
        <v>10164.613642105263</v>
      </c>
      <c r="AF474" s="5">
        <f t="shared" si="479"/>
        <v>10098.10774736842</v>
      </c>
      <c r="AG474" s="5">
        <f t="shared" si="479"/>
        <v>10031.601852631578</v>
      </c>
      <c r="AH474" s="5">
        <f t="shared" si="479"/>
        <v>9965.0959578947368</v>
      </c>
    </row>
    <row r="475" spans="1:34" x14ac:dyDescent="0.35">
      <c r="A475" t="s">
        <v>495</v>
      </c>
      <c r="B475" s="3" t="s">
        <v>1262</v>
      </c>
      <c r="C475" s="4" t="s">
        <v>1263</v>
      </c>
      <c r="D475" s="2">
        <f t="shared" si="456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ref="W475:AH475" si="480">IF(OR((SLOPE($E475:$V475,$E$1:$V$1)*W$1+INTERCEPT($E475:$V475,$E$1:$V$1))&gt;(AVERAGE($E475:$V475)+_xlfn.STDEV.P($E475:$V475)),(SLOPE($E475:$V475,$E$1:$V$1)*W$1+INTERCEPT($E475:$V475,$E$1:$V$1))&lt;(AVERAGE($E475:$V475)-_xlfn.STDEV.P($E475:$V475))),V475,(SLOPE($E475:$V475,$E$1:$V$1)*W$1+INTERCEPT($E475:$V475,$E$1:$V$1)))</f>
        <v>-1169.8582574527645</v>
      </c>
      <c r="X475" s="5">
        <f t="shared" si="480"/>
        <v>-2472.8308586355852</v>
      </c>
      <c r="Y475" s="5">
        <f t="shared" si="480"/>
        <v>-3775.8034598184095</v>
      </c>
      <c r="Z475" s="5">
        <f t="shared" si="480"/>
        <v>-5078.7760610012301</v>
      </c>
      <c r="AA475" s="5">
        <f t="shared" si="480"/>
        <v>-6381.7486621840544</v>
      </c>
      <c r="AB475" s="5">
        <f t="shared" si="480"/>
        <v>-7684.7212633668787</v>
      </c>
      <c r="AC475" s="5">
        <f t="shared" si="480"/>
        <v>-8987.6938645496994</v>
      </c>
      <c r="AD475" s="5">
        <f t="shared" si="480"/>
        <v>-10290.66646573252</v>
      </c>
      <c r="AE475" s="5">
        <f t="shared" si="480"/>
        <v>-11593.639066915344</v>
      </c>
      <c r="AF475" s="5">
        <f t="shared" si="480"/>
        <v>-12896.611668098169</v>
      </c>
      <c r="AG475" s="5">
        <f t="shared" si="480"/>
        <v>-14199.584269280993</v>
      </c>
      <c r="AH475" s="5">
        <f t="shared" si="480"/>
        <v>-15502.55687046381</v>
      </c>
    </row>
    <row r="476" spans="1:34" x14ac:dyDescent="0.35">
      <c r="A476" t="s">
        <v>496</v>
      </c>
      <c r="B476" s="3" t="s">
        <v>1265</v>
      </c>
      <c r="C476" s="4" t="s">
        <v>1263</v>
      </c>
      <c r="D476" s="2">
        <f t="shared" si="456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ref="W476:AH476" si="481">IF(OR((SLOPE($E476:$V476,$E$1:$V$1)*W$1+INTERCEPT($E476:$V476,$E$1:$V$1))&gt;(AVERAGE($E476:$V476)+_xlfn.STDEV.P($E476:$V476)),(SLOPE($E476:$V476,$E$1:$V$1)*W$1+INTERCEPT($E476:$V476,$E$1:$V$1))&lt;(AVERAGE($E476:$V476)-_xlfn.STDEV.P($E476:$V476))),V476,(SLOPE($E476:$V476,$E$1:$V$1)*W$1+INTERCEPT($E476:$V476,$E$1:$V$1)))</f>
        <v>14224.867128182534</v>
      </c>
      <c r="X476" s="5">
        <f t="shared" si="481"/>
        <v>14564.858456564529</v>
      </c>
      <c r="Y476" s="5">
        <f t="shared" si="481"/>
        <v>14904.849784946524</v>
      </c>
      <c r="Z476" s="5">
        <f t="shared" si="481"/>
        <v>15244.841113328519</v>
      </c>
      <c r="AA476" s="5">
        <f t="shared" si="481"/>
        <v>15584.832441710514</v>
      </c>
      <c r="AB476" s="5">
        <f t="shared" si="481"/>
        <v>15924.823770092509</v>
      </c>
      <c r="AC476" s="5">
        <f t="shared" si="481"/>
        <v>16264.815098474504</v>
      </c>
      <c r="AD476" s="5">
        <f t="shared" si="481"/>
        <v>16604.806426856499</v>
      </c>
      <c r="AE476" s="5">
        <f t="shared" si="481"/>
        <v>16944.797755238491</v>
      </c>
      <c r="AF476" s="5">
        <f t="shared" si="481"/>
        <v>17284.789083620486</v>
      </c>
      <c r="AG476" s="5">
        <f t="shared" si="481"/>
        <v>17624.780412002481</v>
      </c>
      <c r="AH476" s="5">
        <f t="shared" si="481"/>
        <v>17964.771740384476</v>
      </c>
    </row>
    <row r="477" spans="1:34" x14ac:dyDescent="0.35">
      <c r="A477" t="s">
        <v>497</v>
      </c>
      <c r="B477" s="3" t="s">
        <v>1266</v>
      </c>
      <c r="C477" s="4" t="s">
        <v>1267</v>
      </c>
      <c r="D477" s="2">
        <f t="shared" si="456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ref="W477:AH477" si="482">IF(OR((SLOPE($E477:$V477,$E$1:$V$1)*W$1+INTERCEPT($E477:$V477,$E$1:$V$1))&gt;(AVERAGE($E477:$V477)+_xlfn.STDEV.P($E477:$V477)),(SLOPE($E477:$V477,$E$1:$V$1)*W$1+INTERCEPT($E477:$V477,$E$1:$V$1))&lt;(AVERAGE($E477:$V477)-_xlfn.STDEV.P($E477:$V477))),V477,(SLOPE($E477:$V477,$E$1:$V$1)*W$1+INTERCEPT($E477:$V477,$E$1:$V$1)))</f>
        <v>9078.9188818053372</v>
      </c>
      <c r="X477" s="5">
        <f t="shared" si="482"/>
        <v>8874.1312378548391</v>
      </c>
      <c r="Y477" s="5">
        <f t="shared" si="482"/>
        <v>8669.3435939043447</v>
      </c>
      <c r="Z477" s="5">
        <f t="shared" si="482"/>
        <v>8464.5559499538467</v>
      </c>
      <c r="AA477" s="5">
        <f t="shared" si="482"/>
        <v>8259.7683060033505</v>
      </c>
      <c r="AB477" s="5">
        <f t="shared" si="482"/>
        <v>8054.9806620528543</v>
      </c>
      <c r="AC477" s="5">
        <f t="shared" si="482"/>
        <v>7850.1930181023581</v>
      </c>
      <c r="AD477" s="5">
        <f t="shared" si="482"/>
        <v>7645.4053741518619</v>
      </c>
      <c r="AE477" s="5">
        <f t="shared" si="482"/>
        <v>7440.6177302013648</v>
      </c>
      <c r="AF477" s="5">
        <f t="shared" si="482"/>
        <v>7235.8300862508686</v>
      </c>
      <c r="AG477" s="5">
        <f t="shared" si="482"/>
        <v>7031.0424423003724</v>
      </c>
      <c r="AH477" s="5">
        <f t="shared" si="482"/>
        <v>6826.2547983498753</v>
      </c>
    </row>
    <row r="478" spans="1:34" x14ac:dyDescent="0.35">
      <c r="A478" t="s">
        <v>498</v>
      </c>
      <c r="B478" s="3" t="s">
        <v>1266</v>
      </c>
      <c r="C478" s="4" t="s">
        <v>1267</v>
      </c>
      <c r="D478" s="2">
        <f t="shared" si="456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ref="W478:AH478" si="483">IF(OR((SLOPE($E478:$V478,$E$1:$V$1)*W$1+INTERCEPT($E478:$V478,$E$1:$V$1))&gt;(AVERAGE($E478:$V478)+_xlfn.STDEV.P($E478:$V478)),(SLOPE($E478:$V478,$E$1:$V$1)*W$1+INTERCEPT($E478:$V478,$E$1:$V$1))&lt;(AVERAGE($E478:$V478)-_xlfn.STDEV.P($E478:$V478))),V478,(SLOPE($E478:$V478,$E$1:$V$1)*W$1+INTERCEPT($E478:$V478,$E$1:$V$1)))</f>
        <v>32350.611801164312</v>
      </c>
      <c r="X478" s="5">
        <f t="shared" si="483"/>
        <v>34597.724393227334</v>
      </c>
      <c r="Y478" s="5">
        <f t="shared" si="483"/>
        <v>36844.836985290356</v>
      </c>
      <c r="Z478" s="5">
        <f t="shared" si="483"/>
        <v>39091.949577353378</v>
      </c>
      <c r="AA478" s="5">
        <f t="shared" si="483"/>
        <v>41339.0621694164</v>
      </c>
      <c r="AB478" s="5">
        <f t="shared" si="483"/>
        <v>41339.0621694164</v>
      </c>
      <c r="AC478" s="5">
        <f t="shared" si="483"/>
        <v>41339.0621694164</v>
      </c>
      <c r="AD478" s="5">
        <f t="shared" si="483"/>
        <v>41339.0621694164</v>
      </c>
      <c r="AE478" s="5">
        <f t="shared" si="483"/>
        <v>41339.0621694164</v>
      </c>
      <c r="AF478" s="5">
        <f t="shared" si="483"/>
        <v>41339.0621694164</v>
      </c>
      <c r="AG478" s="5">
        <f t="shared" si="483"/>
        <v>41339.0621694164</v>
      </c>
      <c r="AH478" s="5">
        <f t="shared" si="483"/>
        <v>41339.0621694164</v>
      </c>
    </row>
    <row r="479" spans="1:34" x14ac:dyDescent="0.35">
      <c r="A479" t="s">
        <v>499</v>
      </c>
      <c r="B479" s="3" t="s">
        <v>1265</v>
      </c>
      <c r="C479" s="4" t="s">
        <v>1263</v>
      </c>
      <c r="D479" s="2">
        <f t="shared" si="456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ref="W479:AH479" si="484">IF(OR((SLOPE($E479:$V479,$E$1:$V$1)*W$1+INTERCEPT($E479:$V479,$E$1:$V$1))&gt;(AVERAGE($E479:$V479)+_xlfn.STDEV.P($E479:$V479)),(SLOPE($E479:$V479,$E$1:$V$1)*W$1+INTERCEPT($E479:$V479,$E$1:$V$1))&lt;(AVERAGE($E479:$V479)-_xlfn.STDEV.P($E479:$V479))),V479,(SLOPE($E479:$V479,$E$1:$V$1)*W$1+INTERCEPT($E479:$V479,$E$1:$V$1)))</f>
        <v>30695.808488016006</v>
      </c>
      <c r="X479" s="5">
        <f t="shared" si="484"/>
        <v>30695.808488016006</v>
      </c>
      <c r="Y479" s="5">
        <f t="shared" si="484"/>
        <v>30695.808488016006</v>
      </c>
      <c r="Z479" s="5">
        <f t="shared" si="484"/>
        <v>30695.808488016006</v>
      </c>
      <c r="AA479" s="5">
        <f t="shared" si="484"/>
        <v>30695.808488016006</v>
      </c>
      <c r="AB479" s="5">
        <f t="shared" si="484"/>
        <v>30695.808488016006</v>
      </c>
      <c r="AC479" s="5">
        <f t="shared" si="484"/>
        <v>30695.808488016006</v>
      </c>
      <c r="AD479" s="5">
        <f t="shared" si="484"/>
        <v>30695.808488016006</v>
      </c>
      <c r="AE479" s="5">
        <f t="shared" si="484"/>
        <v>30695.808488016006</v>
      </c>
      <c r="AF479" s="5">
        <f t="shared" si="484"/>
        <v>30695.808488016006</v>
      </c>
      <c r="AG479" s="5">
        <f t="shared" si="484"/>
        <v>30695.808488016006</v>
      </c>
      <c r="AH479" s="5">
        <f t="shared" si="484"/>
        <v>30695.808488016006</v>
      </c>
    </row>
    <row r="480" spans="1:34" x14ac:dyDescent="0.35">
      <c r="A480" t="s">
        <v>500</v>
      </c>
      <c r="B480" s="3" t="s">
        <v>1264</v>
      </c>
      <c r="C480" s="4" t="s">
        <v>1263</v>
      </c>
      <c r="D480" s="2">
        <f t="shared" si="456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ref="W480:AH480" si="485">IF(OR((SLOPE($E480:$V480,$E$1:$V$1)*W$1+INTERCEPT($E480:$V480,$E$1:$V$1))&gt;(AVERAGE($E480:$V480)+_xlfn.STDEV.P($E480:$V480)),(SLOPE($E480:$V480,$E$1:$V$1)*W$1+INTERCEPT($E480:$V480,$E$1:$V$1))&lt;(AVERAGE($E480:$V480)-_xlfn.STDEV.P($E480:$V480))),V480,(SLOPE($E480:$V480,$E$1:$V$1)*W$1+INTERCEPT($E480:$V480,$E$1:$V$1)))</f>
        <v>4595.311693720374</v>
      </c>
      <c r="X480" s="5">
        <f t="shared" si="485"/>
        <v>3930.8788347815425</v>
      </c>
      <c r="Y480" s="5">
        <f t="shared" si="485"/>
        <v>3266.4459758427129</v>
      </c>
      <c r="Z480" s="5">
        <f t="shared" si="485"/>
        <v>2602.0131169038832</v>
      </c>
      <c r="AA480" s="5">
        <f t="shared" si="485"/>
        <v>1937.5802579650517</v>
      </c>
      <c r="AB480" s="5">
        <f t="shared" si="485"/>
        <v>1273.147399026222</v>
      </c>
      <c r="AC480" s="5">
        <f t="shared" si="485"/>
        <v>608.71454008739238</v>
      </c>
      <c r="AD480" s="5">
        <f t="shared" si="485"/>
        <v>-55.718318851439108</v>
      </c>
      <c r="AE480" s="5">
        <f t="shared" si="485"/>
        <v>-720.15117779027059</v>
      </c>
      <c r="AF480" s="5">
        <f t="shared" si="485"/>
        <v>-1384.5840367290984</v>
      </c>
      <c r="AG480" s="5">
        <f t="shared" si="485"/>
        <v>-2049.0168956679299</v>
      </c>
      <c r="AH480" s="5">
        <f t="shared" si="485"/>
        <v>-2713.4497546067614</v>
      </c>
    </row>
    <row r="481" spans="1:34" x14ac:dyDescent="0.35">
      <c r="A481" t="s">
        <v>501</v>
      </c>
      <c r="B481" s="3" t="s">
        <v>1262</v>
      </c>
      <c r="C481" s="4" t="s">
        <v>1268</v>
      </c>
      <c r="D481" s="2">
        <f t="shared" si="456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ref="W481:AH481" si="486">IF(OR((SLOPE($E481:$V481,$E$1:$V$1)*W$1+INTERCEPT($E481:$V481,$E$1:$V$1))&gt;(AVERAGE($E481:$V481)+_xlfn.STDEV.P($E481:$V481)),(SLOPE($E481:$V481,$E$1:$V$1)*W$1+INTERCEPT($E481:$V481,$E$1:$V$1))&lt;(AVERAGE($E481:$V481)-_xlfn.STDEV.P($E481:$V481))),V481,(SLOPE($E481:$V481,$E$1:$V$1)*W$1+INTERCEPT($E481:$V481,$E$1:$V$1)))</f>
        <v>37952.067999999999</v>
      </c>
      <c r="X481" s="5">
        <f t="shared" si="486"/>
        <v>40806.931789473681</v>
      </c>
      <c r="Y481" s="5">
        <f t="shared" si="486"/>
        <v>40806.931789473681</v>
      </c>
      <c r="Z481" s="5">
        <f t="shared" si="486"/>
        <v>40806.931789473681</v>
      </c>
      <c r="AA481" s="5">
        <f t="shared" si="486"/>
        <v>40806.931789473681</v>
      </c>
      <c r="AB481" s="5">
        <f t="shared" si="486"/>
        <v>40806.931789473681</v>
      </c>
      <c r="AC481" s="5">
        <f t="shared" si="486"/>
        <v>40806.931789473681</v>
      </c>
      <c r="AD481" s="5">
        <f t="shared" si="486"/>
        <v>40806.931789473681</v>
      </c>
      <c r="AE481" s="5">
        <f t="shared" si="486"/>
        <v>40806.931789473681</v>
      </c>
      <c r="AF481" s="5">
        <f t="shared" si="486"/>
        <v>40806.931789473681</v>
      </c>
      <c r="AG481" s="5">
        <f t="shared" si="486"/>
        <v>40806.931789473681</v>
      </c>
      <c r="AH481" s="5">
        <f t="shared" si="486"/>
        <v>40806.931789473681</v>
      </c>
    </row>
    <row r="482" spans="1:34" x14ac:dyDescent="0.35">
      <c r="A482" t="s">
        <v>502</v>
      </c>
      <c r="B482" s="3" t="s">
        <v>1265</v>
      </c>
      <c r="C482" s="4" t="s">
        <v>1263</v>
      </c>
      <c r="D482" s="2">
        <f t="shared" si="456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ref="W482:AH482" si="487">IF(OR((SLOPE($E482:$V482,$E$1:$V$1)*W$1+INTERCEPT($E482:$V482,$E$1:$V$1))&gt;(AVERAGE($E482:$V482)+_xlfn.STDEV.P($E482:$V482)),(SLOPE($E482:$V482,$E$1:$V$1)*W$1+INTERCEPT($E482:$V482,$E$1:$V$1))&lt;(AVERAGE($E482:$V482)-_xlfn.STDEV.P($E482:$V482))),V482,(SLOPE($E482:$V482,$E$1:$V$1)*W$1+INTERCEPT($E482:$V482,$E$1:$V$1)))</f>
        <v>13069.583593429799</v>
      </c>
      <c r="X482" s="5">
        <f t="shared" si="487"/>
        <v>13340.157350019384</v>
      </c>
      <c r="Y482" s="5">
        <f t="shared" si="487"/>
        <v>13610.73110660897</v>
      </c>
      <c r="Z482" s="5">
        <f t="shared" si="487"/>
        <v>13881.304863198555</v>
      </c>
      <c r="AA482" s="5">
        <f t="shared" si="487"/>
        <v>14151.878619788142</v>
      </c>
      <c r="AB482" s="5">
        <f t="shared" si="487"/>
        <v>14422.452376377727</v>
      </c>
      <c r="AC482" s="5">
        <f t="shared" si="487"/>
        <v>14693.026132967312</v>
      </c>
      <c r="AD482" s="5">
        <f t="shared" si="487"/>
        <v>14963.599889556899</v>
      </c>
      <c r="AE482" s="5">
        <f t="shared" si="487"/>
        <v>15234.173646146484</v>
      </c>
      <c r="AF482" s="5">
        <f t="shared" si="487"/>
        <v>15504.747402736069</v>
      </c>
      <c r="AG482" s="5">
        <f t="shared" si="487"/>
        <v>15775.321159325655</v>
      </c>
      <c r="AH482" s="5">
        <f t="shared" si="487"/>
        <v>16045.89491591524</v>
      </c>
    </row>
    <row r="483" spans="1:34" x14ac:dyDescent="0.35">
      <c r="A483" t="s">
        <v>503</v>
      </c>
      <c r="B483" s="3" t="s">
        <v>1265</v>
      </c>
      <c r="C483" s="4" t="s">
        <v>1263</v>
      </c>
      <c r="D483" s="2">
        <f t="shared" si="456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ref="W483:AH483" si="488">IF(OR((SLOPE($E483:$V483,$E$1:$V$1)*W$1+INTERCEPT($E483:$V483,$E$1:$V$1))&gt;(AVERAGE($E483:$V483)+_xlfn.STDEV.P($E483:$V483)),(SLOPE($E483:$V483,$E$1:$V$1)*W$1+INTERCEPT($E483:$V483,$E$1:$V$1))&lt;(AVERAGE($E483:$V483)-_xlfn.STDEV.P($E483:$V483))),V483,(SLOPE($E483:$V483,$E$1:$V$1)*W$1+INTERCEPT($E483:$V483,$E$1:$V$1)))</f>
        <v>9303.3382731391466</v>
      </c>
      <c r="X483" s="5">
        <f t="shared" si="488"/>
        <v>9172.6562301221202</v>
      </c>
      <c r="Y483" s="5">
        <f t="shared" si="488"/>
        <v>9041.9741871050937</v>
      </c>
      <c r="Z483" s="5">
        <f t="shared" si="488"/>
        <v>8911.2921440880673</v>
      </c>
      <c r="AA483" s="5">
        <f t="shared" si="488"/>
        <v>8780.6101010710408</v>
      </c>
      <c r="AB483" s="5">
        <f t="shared" si="488"/>
        <v>8649.9280580540144</v>
      </c>
      <c r="AC483" s="5">
        <f t="shared" si="488"/>
        <v>8519.246015036988</v>
      </c>
      <c r="AD483" s="5">
        <f t="shared" si="488"/>
        <v>8388.5639720199615</v>
      </c>
      <c r="AE483" s="5">
        <f t="shared" si="488"/>
        <v>8257.8819290029351</v>
      </c>
      <c r="AF483" s="5">
        <f t="shared" si="488"/>
        <v>8127.1998859859086</v>
      </c>
      <c r="AG483" s="5">
        <f t="shared" si="488"/>
        <v>7996.5178429688822</v>
      </c>
      <c r="AH483" s="5">
        <f t="shared" si="488"/>
        <v>7865.8357999518557</v>
      </c>
    </row>
    <row r="484" spans="1:34" x14ac:dyDescent="0.35">
      <c r="A484" t="s">
        <v>504</v>
      </c>
      <c r="B484" s="3" t="s">
        <v>1266</v>
      </c>
      <c r="C484" s="4" t="s">
        <v>1267</v>
      </c>
      <c r="D484" s="2">
        <f t="shared" si="456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ref="W484:AH484" si="489">IF(OR((SLOPE($E484:$V484,$E$1:$V$1)*W$1+INTERCEPT($E484:$V484,$E$1:$V$1))&gt;(AVERAGE($E484:$V484)+_xlfn.STDEV.P($E484:$V484)),(SLOPE($E484:$V484,$E$1:$V$1)*W$1+INTERCEPT($E484:$V484,$E$1:$V$1))&lt;(AVERAGE($E484:$V484)-_xlfn.STDEV.P($E484:$V484))),V484,(SLOPE($E484:$V484,$E$1:$V$1)*W$1+INTERCEPT($E484:$V484,$E$1:$V$1)))</f>
        <v>-13823.308794335462</v>
      </c>
      <c r="X484" s="5">
        <f t="shared" si="489"/>
        <v>-16402.777899498535</v>
      </c>
      <c r="Y484" s="5">
        <f t="shared" si="489"/>
        <v>-18982.247004661614</v>
      </c>
      <c r="Z484" s="5">
        <f t="shared" si="489"/>
        <v>-21561.716109824687</v>
      </c>
      <c r="AA484" s="5">
        <f t="shared" si="489"/>
        <v>-24141.185214987767</v>
      </c>
      <c r="AB484" s="5">
        <f t="shared" si="489"/>
        <v>-26720.654320150847</v>
      </c>
      <c r="AC484" s="5">
        <f t="shared" si="489"/>
        <v>-29300.123425313919</v>
      </c>
      <c r="AD484" s="5">
        <f t="shared" si="489"/>
        <v>-31879.592530476992</v>
      </c>
      <c r="AE484" s="5">
        <f t="shared" si="489"/>
        <v>-31879.592530476992</v>
      </c>
      <c r="AF484" s="5">
        <f t="shared" si="489"/>
        <v>-31879.592530476992</v>
      </c>
      <c r="AG484" s="5">
        <f t="shared" si="489"/>
        <v>-31879.592530476992</v>
      </c>
      <c r="AH484" s="5">
        <f t="shared" si="489"/>
        <v>-31879.592530476992</v>
      </c>
    </row>
    <row r="485" spans="1:34" x14ac:dyDescent="0.35">
      <c r="A485" t="s">
        <v>505</v>
      </c>
      <c r="B485" s="3" t="s">
        <v>1266</v>
      </c>
      <c r="C485" s="4" t="s">
        <v>1267</v>
      </c>
      <c r="D485" s="2">
        <f t="shared" si="456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H485" si="490">IF(OR((SLOPE($E485:$V485,$E$1:$V$1)*W$1+INTERCEPT($E485:$V485,$E$1:$V$1))&gt;(AVERAGE($E485:$V485)+_xlfn.STDEV.P($E485:$V485)),(SLOPE($E485:$V485,$E$1:$V$1)*W$1+INTERCEPT($E485:$V485,$E$1:$V$1))&lt;(AVERAGE($E485:$V485)-_xlfn.STDEV.P($E485:$V485))),V485,(SLOPE($E485:$V485,$E$1:$V$1)*W$1+INTERCEPT($E485:$V485,$E$1:$V$1)))</f>
        <v>12529.57472119343</v>
      </c>
      <c r="X485" s="5">
        <f t="shared" si="490"/>
        <v>12727.410111528063</v>
      </c>
      <c r="Y485" s="5">
        <f t="shared" si="490"/>
        <v>12925.245501862697</v>
      </c>
      <c r="Z485" s="5">
        <f t="shared" si="490"/>
        <v>13123.080892197329</v>
      </c>
      <c r="AA485" s="5">
        <f t="shared" si="490"/>
        <v>13320.916282531962</v>
      </c>
      <c r="AB485" s="5">
        <f t="shared" si="490"/>
        <v>13518.751672866594</v>
      </c>
      <c r="AC485" s="5">
        <f t="shared" si="490"/>
        <v>13716.587063201228</v>
      </c>
      <c r="AD485" s="5">
        <f t="shared" si="490"/>
        <v>13914.422453535863</v>
      </c>
      <c r="AE485" s="5">
        <f t="shared" si="490"/>
        <v>14112.257843870495</v>
      </c>
      <c r="AF485" s="5">
        <f t="shared" si="490"/>
        <v>14310.093234205127</v>
      </c>
      <c r="AG485" s="5">
        <f t="shared" si="490"/>
        <v>14507.92862453976</v>
      </c>
      <c r="AH485" s="5">
        <f t="shared" si="490"/>
        <v>14705.764014874394</v>
      </c>
    </row>
    <row r="486" spans="1:34" x14ac:dyDescent="0.35">
      <c r="A486" t="s">
        <v>506</v>
      </c>
      <c r="B486" s="3" t="s">
        <v>1266</v>
      </c>
      <c r="C486" s="4" t="s">
        <v>1263</v>
      </c>
      <c r="D486" s="2">
        <f t="shared" si="456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ref="W486:AH486" si="491">IF(OR((SLOPE($E486:$V486,$E$1:$V$1)*W$1+INTERCEPT($E486:$V486,$E$1:$V$1))&gt;(AVERAGE($E486:$V486)+_xlfn.STDEV.P($E486:$V486)),(SLOPE($E486:$V486,$E$1:$V$1)*W$1+INTERCEPT($E486:$V486,$E$1:$V$1))&lt;(AVERAGE($E486:$V486)-_xlfn.STDEV.P($E486:$V486))),V486,(SLOPE($E486:$V486,$E$1:$V$1)*W$1+INTERCEPT($E486:$V486,$E$1:$V$1)))</f>
        <v>11379.484341036057</v>
      </c>
      <c r="X486" s="5">
        <f t="shared" si="491"/>
        <v>11458.556621558488</v>
      </c>
      <c r="Y486" s="5">
        <f t="shared" si="491"/>
        <v>11537.628902080918</v>
      </c>
      <c r="Z486" s="5">
        <f t="shared" si="491"/>
        <v>11616.701182603349</v>
      </c>
      <c r="AA486" s="5">
        <f t="shared" si="491"/>
        <v>11695.773463125779</v>
      </c>
      <c r="AB486" s="5">
        <f t="shared" si="491"/>
        <v>11774.845743648209</v>
      </c>
      <c r="AC486" s="5">
        <f t="shared" si="491"/>
        <v>11853.918024170638</v>
      </c>
      <c r="AD486" s="5">
        <f t="shared" si="491"/>
        <v>11932.990304693069</v>
      </c>
      <c r="AE486" s="5">
        <f t="shared" si="491"/>
        <v>12012.062585215499</v>
      </c>
      <c r="AF486" s="5">
        <f t="shared" si="491"/>
        <v>12091.134865737929</v>
      </c>
      <c r="AG486" s="5">
        <f t="shared" si="491"/>
        <v>12170.20714626036</v>
      </c>
      <c r="AH486" s="5">
        <f t="shared" si="491"/>
        <v>12249.27942678279</v>
      </c>
    </row>
    <row r="487" spans="1:34" x14ac:dyDescent="0.35">
      <c r="A487" t="s">
        <v>507</v>
      </c>
      <c r="B487" s="3" t="s">
        <v>1266</v>
      </c>
      <c r="C487" s="4" t="s">
        <v>1266</v>
      </c>
      <c r="D487" s="2">
        <f t="shared" si="456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ref="W487:AH487" si="492">IF(OR((SLOPE($E487:$V487,$E$1:$V$1)*W$1+INTERCEPT($E487:$V487,$E$1:$V$1))&gt;(AVERAGE($E487:$V487)+_xlfn.STDEV.P($E487:$V487)),(SLOPE($E487:$V487,$E$1:$V$1)*W$1+INTERCEPT($E487:$V487,$E$1:$V$1))&lt;(AVERAGE($E487:$V487)-_xlfn.STDEV.P($E487:$V487))),V487,(SLOPE($E487:$V487,$E$1:$V$1)*W$1+INTERCEPT($E487:$V487,$E$1:$V$1)))</f>
        <v>12460.002409185685</v>
      </c>
      <c r="X487" s="5">
        <f t="shared" si="492"/>
        <v>12656.739289330722</v>
      </c>
      <c r="Y487" s="5">
        <f t="shared" si="492"/>
        <v>12853.476169475758</v>
      </c>
      <c r="Z487" s="5">
        <f t="shared" si="492"/>
        <v>13050.213049620796</v>
      </c>
      <c r="AA487" s="5">
        <f t="shared" si="492"/>
        <v>13246.949929765833</v>
      </c>
      <c r="AB487" s="5">
        <f t="shared" si="492"/>
        <v>13443.686809910871</v>
      </c>
      <c r="AC487" s="5">
        <f t="shared" si="492"/>
        <v>13640.423690055908</v>
      </c>
      <c r="AD487" s="5">
        <f t="shared" si="492"/>
        <v>13837.160570200944</v>
      </c>
      <c r="AE487" s="5">
        <f t="shared" si="492"/>
        <v>14033.897450345983</v>
      </c>
      <c r="AF487" s="5">
        <f t="shared" si="492"/>
        <v>14230.634330491019</v>
      </c>
      <c r="AG487" s="5">
        <f t="shared" si="492"/>
        <v>14427.371210636056</v>
      </c>
      <c r="AH487" s="5">
        <f t="shared" si="492"/>
        <v>14624.108090781094</v>
      </c>
    </row>
    <row r="488" spans="1:34" x14ac:dyDescent="0.35">
      <c r="A488" t="s">
        <v>508</v>
      </c>
      <c r="B488" s="3" t="s">
        <v>1266</v>
      </c>
      <c r="C488" s="4" t="s">
        <v>1263</v>
      </c>
      <c r="D488" s="2">
        <f t="shared" si="456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ref="W488:AH488" si="493">IF(OR((SLOPE($E488:$V488,$E$1:$V$1)*W$1+INTERCEPT($E488:$V488,$E$1:$V$1))&gt;(AVERAGE($E488:$V488)+_xlfn.STDEV.P($E488:$V488)),(SLOPE($E488:$V488,$E$1:$V$1)*W$1+INTERCEPT($E488:$V488,$E$1:$V$1))&lt;(AVERAGE($E488:$V488)-_xlfn.STDEV.P($E488:$V488))),V488,(SLOPE($E488:$V488,$E$1:$V$1)*W$1+INTERCEPT($E488:$V488,$E$1:$V$1)))</f>
        <v>-5808.8850894117641</v>
      </c>
      <c r="X488" s="5">
        <f t="shared" si="493"/>
        <v>-5808.8850894117641</v>
      </c>
      <c r="Y488" s="5">
        <f t="shared" si="493"/>
        <v>-5808.8850894117641</v>
      </c>
      <c r="Z488" s="5">
        <f t="shared" si="493"/>
        <v>-5808.8850894117641</v>
      </c>
      <c r="AA488" s="5">
        <f t="shared" si="493"/>
        <v>-5808.8850894117641</v>
      </c>
      <c r="AB488" s="5">
        <f t="shared" si="493"/>
        <v>-5808.8850894117641</v>
      </c>
      <c r="AC488" s="5">
        <f t="shared" si="493"/>
        <v>-5808.8850894117641</v>
      </c>
      <c r="AD488" s="5">
        <f t="shared" si="493"/>
        <v>-5808.8850894117641</v>
      </c>
      <c r="AE488" s="5">
        <f t="shared" si="493"/>
        <v>-5808.8850894117641</v>
      </c>
      <c r="AF488" s="5">
        <f t="shared" si="493"/>
        <v>-5808.8850894117641</v>
      </c>
      <c r="AG488" s="5">
        <f t="shared" si="493"/>
        <v>-5808.8850894117641</v>
      </c>
      <c r="AH488" s="5">
        <f t="shared" si="493"/>
        <v>-5808.8850894117641</v>
      </c>
    </row>
    <row r="489" spans="1:34" x14ac:dyDescent="0.35">
      <c r="A489" t="s">
        <v>509</v>
      </c>
      <c r="B489" s="3" t="s">
        <v>1264</v>
      </c>
      <c r="C489" s="4" t="s">
        <v>1263</v>
      </c>
      <c r="D489" s="2">
        <f t="shared" si="456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ref="W489:AH489" si="494">IF(OR((SLOPE($E489:$V489,$E$1:$V$1)*W$1+INTERCEPT($E489:$V489,$E$1:$V$1))&gt;(AVERAGE($E489:$V489)+_xlfn.STDEV.P($E489:$V489)),(SLOPE($E489:$V489,$E$1:$V$1)*W$1+INTERCEPT($E489:$V489,$E$1:$V$1))&lt;(AVERAGE($E489:$V489)-_xlfn.STDEV.P($E489:$V489))),V489,(SLOPE($E489:$V489,$E$1:$V$1)*W$1+INTERCEPT($E489:$V489,$E$1:$V$1)))</f>
        <v>10868.691266245869</v>
      </c>
      <c r="X489" s="5">
        <f t="shared" si="494"/>
        <v>10941.098671823369</v>
      </c>
      <c r="Y489" s="5">
        <f t="shared" si="494"/>
        <v>11013.506077400867</v>
      </c>
      <c r="Z489" s="5">
        <f t="shared" si="494"/>
        <v>11085.913482978367</v>
      </c>
      <c r="AA489" s="5">
        <f t="shared" si="494"/>
        <v>11158.320888555867</v>
      </c>
      <c r="AB489" s="5">
        <f t="shared" si="494"/>
        <v>11230.728294133367</v>
      </c>
      <c r="AC489" s="5">
        <f t="shared" si="494"/>
        <v>11303.135699710865</v>
      </c>
      <c r="AD489" s="5">
        <f t="shared" si="494"/>
        <v>11375.543105288365</v>
      </c>
      <c r="AE489" s="5">
        <f t="shared" si="494"/>
        <v>11447.950510865865</v>
      </c>
      <c r="AF489" s="5">
        <f t="shared" si="494"/>
        <v>11520.357916443365</v>
      </c>
      <c r="AG489" s="5">
        <f t="shared" si="494"/>
        <v>11592.765322020863</v>
      </c>
      <c r="AH489" s="5">
        <f t="shared" si="494"/>
        <v>11665.172727598363</v>
      </c>
    </row>
    <row r="490" spans="1:34" x14ac:dyDescent="0.35">
      <c r="A490" t="s">
        <v>510</v>
      </c>
      <c r="B490" s="3" t="s">
        <v>1266</v>
      </c>
      <c r="C490" s="4" t="s">
        <v>1263</v>
      </c>
      <c r="D490" s="2">
        <f t="shared" si="456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ref="W490:AH490" si="495">IF(OR((SLOPE($E490:$V490,$E$1:$V$1)*W$1+INTERCEPT($E490:$V490,$E$1:$V$1))&gt;(AVERAGE($E490:$V490)+_xlfn.STDEV.P($E490:$V490)),(SLOPE($E490:$V490,$E$1:$V$1)*W$1+INTERCEPT($E490:$V490,$E$1:$V$1))&lt;(AVERAGE($E490:$V490)-_xlfn.STDEV.P($E490:$V490))),V490,(SLOPE($E490:$V490,$E$1:$V$1)*W$1+INTERCEPT($E490:$V490,$E$1:$V$1)))</f>
        <v>15350.804175244091</v>
      </c>
      <c r="X490" s="5">
        <f t="shared" si="495"/>
        <v>15885.788713833244</v>
      </c>
      <c r="Y490" s="5">
        <f t="shared" si="495"/>
        <v>16420.773252422397</v>
      </c>
      <c r="Z490" s="5">
        <f t="shared" si="495"/>
        <v>16955.757791011551</v>
      </c>
      <c r="AA490" s="5">
        <f t="shared" si="495"/>
        <v>17490.742329600704</v>
      </c>
      <c r="AB490" s="5">
        <f t="shared" si="495"/>
        <v>18025.726868189853</v>
      </c>
      <c r="AC490" s="5">
        <f t="shared" si="495"/>
        <v>18560.711406779006</v>
      </c>
      <c r="AD490" s="5">
        <f t="shared" si="495"/>
        <v>19095.695945368159</v>
      </c>
      <c r="AE490" s="5">
        <f t="shared" si="495"/>
        <v>19630.680483957312</v>
      </c>
      <c r="AF490" s="5">
        <f t="shared" si="495"/>
        <v>20165.665022546465</v>
      </c>
      <c r="AG490" s="5">
        <f t="shared" si="495"/>
        <v>20700.649561135619</v>
      </c>
      <c r="AH490" s="5">
        <f t="shared" si="495"/>
        <v>21235.634099724772</v>
      </c>
    </row>
    <row r="491" spans="1:34" x14ac:dyDescent="0.35">
      <c r="A491" t="s">
        <v>511</v>
      </c>
      <c r="B491" s="3" t="s">
        <v>1265</v>
      </c>
      <c r="C491" s="4" t="s">
        <v>1263</v>
      </c>
      <c r="D491" s="2">
        <f t="shared" si="456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ref="W491:AH491" si="496">IF(OR((SLOPE($E491:$V491,$E$1:$V$1)*W$1+INTERCEPT($E491:$V491,$E$1:$V$1))&gt;(AVERAGE($E491:$V491)+_xlfn.STDEV.P($E491:$V491)),(SLOPE($E491:$V491,$E$1:$V$1)*W$1+INTERCEPT($E491:$V491,$E$1:$V$1))&lt;(AVERAGE($E491:$V491)-_xlfn.STDEV.P($E491:$V491))),V491,(SLOPE($E491:$V491,$E$1:$V$1)*W$1+INTERCEPT($E491:$V491,$E$1:$V$1)))</f>
        <v>16170.859841433037</v>
      </c>
      <c r="X491" s="5">
        <f t="shared" si="496"/>
        <v>16794.329316042786</v>
      </c>
      <c r="Y491" s="5">
        <f t="shared" si="496"/>
        <v>17417.798790652538</v>
      </c>
      <c r="Z491" s="5">
        <f t="shared" si="496"/>
        <v>18041.26826526229</v>
      </c>
      <c r="AA491" s="5">
        <f t="shared" si="496"/>
        <v>18664.737739872038</v>
      </c>
      <c r="AB491" s="5">
        <f t="shared" si="496"/>
        <v>19288.207214481787</v>
      </c>
      <c r="AC491" s="5">
        <f t="shared" si="496"/>
        <v>19911.676689091539</v>
      </c>
      <c r="AD491" s="5">
        <f t="shared" si="496"/>
        <v>20535.146163701287</v>
      </c>
      <c r="AE491" s="5">
        <f t="shared" si="496"/>
        <v>21158.615638311039</v>
      </c>
      <c r="AF491" s="5">
        <f t="shared" si="496"/>
        <v>21782.085112920788</v>
      </c>
      <c r="AG491" s="5">
        <f t="shared" si="496"/>
        <v>22405.55458753054</v>
      </c>
      <c r="AH491" s="5">
        <f t="shared" si="496"/>
        <v>23029.024062140288</v>
      </c>
    </row>
    <row r="492" spans="1:34" x14ac:dyDescent="0.35">
      <c r="A492" t="s">
        <v>512</v>
      </c>
      <c r="B492" s="3" t="s">
        <v>1266</v>
      </c>
      <c r="C492" s="4" t="s">
        <v>1266</v>
      </c>
      <c r="D492" s="2">
        <f t="shared" si="456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ref="W492:AH492" si="497">IF(OR((SLOPE($E492:$V492,$E$1:$V$1)*W$1+INTERCEPT($E492:$V492,$E$1:$V$1))&gt;(AVERAGE($E492:$V492)+_xlfn.STDEV.P($E492:$V492)),(SLOPE($E492:$V492,$E$1:$V$1)*W$1+INTERCEPT($E492:$V492,$E$1:$V$1))&lt;(AVERAGE($E492:$V492)-_xlfn.STDEV.P($E492:$V492))),V492,(SLOPE($E492:$V492,$E$1:$V$1)*W$1+INTERCEPT($E492:$V492,$E$1:$V$1)))</f>
        <v>19125.354034191325</v>
      </c>
      <c r="X492" s="5">
        <f t="shared" si="497"/>
        <v>20069.039266141561</v>
      </c>
      <c r="Y492" s="5">
        <f t="shared" si="497"/>
        <v>21012.724498091789</v>
      </c>
      <c r="Z492" s="5">
        <f t="shared" si="497"/>
        <v>21956.409730042018</v>
      </c>
      <c r="AA492" s="5">
        <f t="shared" si="497"/>
        <v>22900.094961992247</v>
      </c>
      <c r="AB492" s="5">
        <f t="shared" si="497"/>
        <v>23843.780193942475</v>
      </c>
      <c r="AC492" s="5">
        <f t="shared" si="497"/>
        <v>24787.465425892711</v>
      </c>
      <c r="AD492" s="5">
        <f t="shared" si="497"/>
        <v>25731.15065784294</v>
      </c>
      <c r="AE492" s="5">
        <f t="shared" si="497"/>
        <v>26674.835889793168</v>
      </c>
      <c r="AF492" s="5">
        <f t="shared" si="497"/>
        <v>27618.521121743397</v>
      </c>
      <c r="AG492" s="5">
        <f t="shared" si="497"/>
        <v>28562.206353693633</v>
      </c>
      <c r="AH492" s="5">
        <f t="shared" si="497"/>
        <v>29505.891585643862</v>
      </c>
    </row>
    <row r="493" spans="1:34" x14ac:dyDescent="0.35">
      <c r="A493" t="s">
        <v>513</v>
      </c>
      <c r="B493" s="3" t="s">
        <v>1265</v>
      </c>
      <c r="C493" s="4" t="s">
        <v>1263</v>
      </c>
      <c r="D493" s="2">
        <f t="shared" si="456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ref="W493:AH493" si="498">IF(OR((SLOPE($E493:$V493,$E$1:$V$1)*W$1+INTERCEPT($E493:$V493,$E$1:$V$1))&gt;(AVERAGE($E493:$V493)+_xlfn.STDEV.P($E493:$V493)),(SLOPE($E493:$V493,$E$1:$V$1)*W$1+INTERCEPT($E493:$V493,$E$1:$V$1))&lt;(AVERAGE($E493:$V493)-_xlfn.STDEV.P($E493:$V493))),V493,(SLOPE($E493:$V493,$E$1:$V$1)*W$1+INTERCEPT($E493:$V493,$E$1:$V$1)))</f>
        <v>11465.311138324827</v>
      </c>
      <c r="X493" s="5">
        <f t="shared" si="498"/>
        <v>11611.524799752533</v>
      </c>
      <c r="Y493" s="5">
        <f t="shared" si="498"/>
        <v>11757.738461180241</v>
      </c>
      <c r="Z493" s="5">
        <f t="shared" si="498"/>
        <v>11903.952122607947</v>
      </c>
      <c r="AA493" s="5">
        <f t="shared" si="498"/>
        <v>12050.165784035653</v>
      </c>
      <c r="AB493" s="5">
        <f t="shared" si="498"/>
        <v>12196.379445463361</v>
      </c>
      <c r="AC493" s="5">
        <f t="shared" si="498"/>
        <v>12342.593106891067</v>
      </c>
      <c r="AD493" s="5">
        <f t="shared" si="498"/>
        <v>12488.806768318773</v>
      </c>
      <c r="AE493" s="5">
        <f t="shared" si="498"/>
        <v>12635.020429746479</v>
      </c>
      <c r="AF493" s="5">
        <f t="shared" si="498"/>
        <v>12635.020429746479</v>
      </c>
      <c r="AG493" s="5">
        <f t="shared" si="498"/>
        <v>12635.020429746479</v>
      </c>
      <c r="AH493" s="5">
        <f t="shared" si="498"/>
        <v>12635.020429746479</v>
      </c>
    </row>
    <row r="494" spans="1:34" x14ac:dyDescent="0.35">
      <c r="A494" t="s">
        <v>514</v>
      </c>
      <c r="B494" s="3" t="s">
        <v>1264</v>
      </c>
      <c r="C494" s="4" t="s">
        <v>1263</v>
      </c>
      <c r="D494" s="2">
        <f t="shared" si="456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ref="W494:AH494" si="499">IF(OR((SLOPE($E494:$V494,$E$1:$V$1)*W$1+INTERCEPT($E494:$V494,$E$1:$V$1))&gt;(AVERAGE($E494:$V494)+_xlfn.STDEV.P($E494:$V494)),(SLOPE($E494:$V494,$E$1:$V$1)*W$1+INTERCEPT($E494:$V494,$E$1:$V$1))&lt;(AVERAGE($E494:$V494)-_xlfn.STDEV.P($E494:$V494))),V494,(SLOPE($E494:$V494,$E$1:$V$1)*W$1+INTERCEPT($E494:$V494,$E$1:$V$1)))</f>
        <v>11980.084172549021</v>
      </c>
      <c r="X494" s="5">
        <f t="shared" si="499"/>
        <v>12244.632836326113</v>
      </c>
      <c r="Y494" s="5">
        <f t="shared" si="499"/>
        <v>12509.181500103201</v>
      </c>
      <c r="Z494" s="5">
        <f t="shared" si="499"/>
        <v>12773.730163880293</v>
      </c>
      <c r="AA494" s="5">
        <f t="shared" si="499"/>
        <v>13038.278827657381</v>
      </c>
      <c r="AB494" s="5">
        <f t="shared" si="499"/>
        <v>13302.827491434473</v>
      </c>
      <c r="AC494" s="5">
        <f t="shared" si="499"/>
        <v>13567.376155211561</v>
      </c>
      <c r="AD494" s="5">
        <f t="shared" si="499"/>
        <v>13831.924818988651</v>
      </c>
      <c r="AE494" s="5">
        <f t="shared" si="499"/>
        <v>14096.473482765741</v>
      </c>
      <c r="AF494" s="5">
        <f t="shared" si="499"/>
        <v>14361.022146542831</v>
      </c>
      <c r="AG494" s="5">
        <f t="shared" si="499"/>
        <v>14625.570810319921</v>
      </c>
      <c r="AH494" s="5">
        <f t="shared" si="499"/>
        <v>14890.11947409701</v>
      </c>
    </row>
    <row r="495" spans="1:34" x14ac:dyDescent="0.35">
      <c r="A495" t="s">
        <v>515</v>
      </c>
      <c r="B495" s="3" t="s">
        <v>1264</v>
      </c>
      <c r="C495" s="4" t="s">
        <v>1263</v>
      </c>
      <c r="D495" s="2">
        <f t="shared" si="456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ref="W495:AH495" si="500">IF(OR((SLOPE($E495:$V495,$E$1:$V$1)*W$1+INTERCEPT($E495:$V495,$E$1:$V$1))&gt;(AVERAGE($E495:$V495)+_xlfn.STDEV.P($E495:$V495)),(SLOPE($E495:$V495,$E$1:$V$1)*W$1+INTERCEPT($E495:$V495,$E$1:$V$1))&lt;(AVERAGE($E495:$V495)-_xlfn.STDEV.P($E495:$V495))),V495,(SLOPE($E495:$V495,$E$1:$V$1)*W$1+INTERCEPT($E495:$V495,$E$1:$V$1)))</f>
        <v>19394.591999999997</v>
      </c>
      <c r="X495" s="5">
        <f t="shared" si="500"/>
        <v>19394.591999999997</v>
      </c>
      <c r="Y495" s="5">
        <f t="shared" si="500"/>
        <v>19394.591999999997</v>
      </c>
      <c r="Z495" s="5">
        <f t="shared" si="500"/>
        <v>19394.591999999997</v>
      </c>
      <c r="AA495" s="5">
        <f t="shared" si="500"/>
        <v>19394.591999999997</v>
      </c>
      <c r="AB495" s="5">
        <f t="shared" si="500"/>
        <v>19394.591999999997</v>
      </c>
      <c r="AC495" s="5">
        <f t="shared" si="500"/>
        <v>19394.591999999997</v>
      </c>
      <c r="AD495" s="5">
        <f t="shared" si="500"/>
        <v>19394.591999999997</v>
      </c>
      <c r="AE495" s="5">
        <f t="shared" si="500"/>
        <v>19394.591999999997</v>
      </c>
      <c r="AF495" s="5">
        <f t="shared" si="500"/>
        <v>19394.591999999997</v>
      </c>
      <c r="AG495" s="5">
        <f t="shared" si="500"/>
        <v>19394.591999999997</v>
      </c>
      <c r="AH495" s="5">
        <f t="shared" si="500"/>
        <v>19394.591999999997</v>
      </c>
    </row>
    <row r="496" spans="1:34" x14ac:dyDescent="0.35">
      <c r="A496" t="s">
        <v>516</v>
      </c>
      <c r="B496" s="3" t="s">
        <v>1266</v>
      </c>
      <c r="C496" s="4" t="s">
        <v>1267</v>
      </c>
      <c r="D496" s="2">
        <f t="shared" si="456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ref="W496:AH496" si="501">IF(OR((SLOPE($E496:$V496,$E$1:$V$1)*W$1+INTERCEPT($E496:$V496,$E$1:$V$1))&gt;(AVERAGE($E496:$V496)+_xlfn.STDEV.P($E496:$V496)),(SLOPE($E496:$V496,$E$1:$V$1)*W$1+INTERCEPT($E496:$V496,$E$1:$V$1))&lt;(AVERAGE($E496:$V496)-_xlfn.STDEV.P($E496:$V496))),V496,(SLOPE($E496:$V496,$E$1:$V$1)*W$1+INTERCEPT($E496:$V496,$E$1:$V$1)))</f>
        <v>40210.303103011567</v>
      </c>
      <c r="X496" s="5">
        <f t="shared" si="501"/>
        <v>43384.800716407219</v>
      </c>
      <c r="Y496" s="5">
        <f t="shared" si="501"/>
        <v>46559.29832980287</v>
      </c>
      <c r="Z496" s="5">
        <f t="shared" si="501"/>
        <v>49733.795943198522</v>
      </c>
      <c r="AA496" s="5">
        <f t="shared" si="501"/>
        <v>49733.795943198522</v>
      </c>
      <c r="AB496" s="5">
        <f t="shared" si="501"/>
        <v>49733.795943198522</v>
      </c>
      <c r="AC496" s="5">
        <f t="shared" si="501"/>
        <v>49733.795943198522</v>
      </c>
      <c r="AD496" s="5">
        <f t="shared" si="501"/>
        <v>49733.795943198522</v>
      </c>
      <c r="AE496" s="5">
        <f t="shared" si="501"/>
        <v>49733.795943198522</v>
      </c>
      <c r="AF496" s="5">
        <f t="shared" si="501"/>
        <v>49733.795943198522</v>
      </c>
      <c r="AG496" s="5">
        <f t="shared" si="501"/>
        <v>49733.795943198522</v>
      </c>
      <c r="AH496" s="5">
        <f t="shared" si="501"/>
        <v>49733.795943198522</v>
      </c>
    </row>
    <row r="497" spans="1:34" x14ac:dyDescent="0.35">
      <c r="A497" t="s">
        <v>517</v>
      </c>
      <c r="B497" s="3" t="s">
        <v>1262</v>
      </c>
      <c r="C497" s="4" t="s">
        <v>1263</v>
      </c>
      <c r="D497" s="2">
        <f t="shared" si="456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ref="W497:AH497" si="502">IF(OR((SLOPE($E497:$V497,$E$1:$V$1)*W$1+INTERCEPT($E497:$V497,$E$1:$V$1))&gt;(AVERAGE($E497:$V497)+_xlfn.STDEV.P($E497:$V497)),(SLOPE($E497:$V497,$E$1:$V$1)*W$1+INTERCEPT($E497:$V497,$E$1:$V$1))&lt;(AVERAGE($E497:$V497)-_xlfn.STDEV.P($E497:$V497))),V497,(SLOPE($E497:$V497,$E$1:$V$1)*W$1+INTERCEPT($E497:$V497,$E$1:$V$1)))</f>
        <v>4439.9432915032667</v>
      </c>
      <c r="X497" s="5">
        <f t="shared" si="502"/>
        <v>3853.977443825248</v>
      </c>
      <c r="Y497" s="5">
        <f t="shared" si="502"/>
        <v>3268.0115961472293</v>
      </c>
      <c r="Z497" s="5">
        <f t="shared" si="502"/>
        <v>2682.0457484692106</v>
      </c>
      <c r="AA497" s="5">
        <f t="shared" si="502"/>
        <v>2096.0799007911919</v>
      </c>
      <c r="AB497" s="5">
        <f t="shared" si="502"/>
        <v>1510.114053113175</v>
      </c>
      <c r="AC497" s="5">
        <f t="shared" si="502"/>
        <v>924.14820543515634</v>
      </c>
      <c r="AD497" s="5">
        <f t="shared" si="502"/>
        <v>338.18235775713765</v>
      </c>
      <c r="AE497" s="5">
        <f t="shared" si="502"/>
        <v>-247.78348992088104</v>
      </c>
      <c r="AF497" s="5">
        <f t="shared" si="502"/>
        <v>-833.74933759889973</v>
      </c>
      <c r="AG497" s="5">
        <f t="shared" si="502"/>
        <v>-1419.7151852769202</v>
      </c>
      <c r="AH497" s="5">
        <f t="shared" si="502"/>
        <v>-2005.6810329549371</v>
      </c>
    </row>
    <row r="498" spans="1:34" x14ac:dyDescent="0.35">
      <c r="A498" t="s">
        <v>518</v>
      </c>
      <c r="B498" s="3" t="s">
        <v>1266</v>
      </c>
      <c r="C498" s="4" t="s">
        <v>1267</v>
      </c>
      <c r="D498" s="2">
        <f t="shared" si="456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ref="W498:AH498" si="503">IF(OR((SLOPE($E498:$V498,$E$1:$V$1)*W$1+INTERCEPT($E498:$V498,$E$1:$V$1))&gt;(AVERAGE($E498:$V498)+_xlfn.STDEV.P($E498:$V498)),(SLOPE($E498:$V498,$E$1:$V$1)*W$1+INTERCEPT($E498:$V498,$E$1:$V$1))&lt;(AVERAGE($E498:$V498)-_xlfn.STDEV.P($E498:$V498))),V498,(SLOPE($E498:$V498,$E$1:$V$1)*W$1+INTERCEPT($E498:$V498,$E$1:$V$1)))</f>
        <v>39705.84822961333</v>
      </c>
      <c r="X498" s="5">
        <f t="shared" si="503"/>
        <v>42840.520458267012</v>
      </c>
      <c r="Y498" s="5">
        <f t="shared" si="503"/>
        <v>45975.192686920702</v>
      </c>
      <c r="Z498" s="5">
        <f t="shared" si="503"/>
        <v>49109.864915574384</v>
      </c>
      <c r="AA498" s="5">
        <f t="shared" si="503"/>
        <v>49109.864915574384</v>
      </c>
      <c r="AB498" s="5">
        <f t="shared" si="503"/>
        <v>49109.864915574384</v>
      </c>
      <c r="AC498" s="5">
        <f t="shared" si="503"/>
        <v>49109.864915574384</v>
      </c>
      <c r="AD498" s="5">
        <f t="shared" si="503"/>
        <v>49109.864915574384</v>
      </c>
      <c r="AE498" s="5">
        <f t="shared" si="503"/>
        <v>49109.864915574384</v>
      </c>
      <c r="AF498" s="5">
        <f t="shared" si="503"/>
        <v>49109.864915574384</v>
      </c>
      <c r="AG498" s="5">
        <f t="shared" si="503"/>
        <v>49109.864915574384</v>
      </c>
      <c r="AH498" s="5">
        <f t="shared" si="503"/>
        <v>49109.864915574384</v>
      </c>
    </row>
    <row r="499" spans="1:34" x14ac:dyDescent="0.35">
      <c r="A499" t="s">
        <v>519</v>
      </c>
      <c r="B499" s="3" t="s">
        <v>1265</v>
      </c>
      <c r="C499" s="4" t="s">
        <v>1263</v>
      </c>
      <c r="D499" s="2">
        <f t="shared" si="456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ref="W499:AH499" si="504">IF(OR((SLOPE($E499:$V499,$E$1:$V$1)*W$1+INTERCEPT($E499:$V499,$E$1:$V$1))&gt;(AVERAGE($E499:$V499)+_xlfn.STDEV.P($E499:$V499)),(SLOPE($E499:$V499,$E$1:$V$1)*W$1+INTERCEPT($E499:$V499,$E$1:$V$1))&lt;(AVERAGE($E499:$V499)-_xlfn.STDEV.P($E499:$V499))),V499,(SLOPE($E499:$V499,$E$1:$V$1)*W$1+INTERCEPT($E499:$V499,$E$1:$V$1)))</f>
        <v>9200.0919413895626</v>
      </c>
      <c r="X499" s="5">
        <f t="shared" si="504"/>
        <v>9144.3267196351735</v>
      </c>
      <c r="Y499" s="5">
        <f t="shared" si="504"/>
        <v>9088.5614978807862</v>
      </c>
      <c r="Z499" s="5">
        <f t="shared" si="504"/>
        <v>9032.7962761263971</v>
      </c>
      <c r="AA499" s="5">
        <f t="shared" si="504"/>
        <v>8977.0310543720079</v>
      </c>
      <c r="AB499" s="5">
        <f t="shared" si="504"/>
        <v>8921.2658326176206</v>
      </c>
      <c r="AC499" s="5">
        <f t="shared" si="504"/>
        <v>8865.5006108632315</v>
      </c>
      <c r="AD499" s="5">
        <f t="shared" si="504"/>
        <v>8809.7353891088424</v>
      </c>
      <c r="AE499" s="5">
        <f t="shared" si="504"/>
        <v>8753.9701673544532</v>
      </c>
      <c r="AF499" s="5">
        <f t="shared" si="504"/>
        <v>8698.2049456000641</v>
      </c>
      <c r="AG499" s="5">
        <f t="shared" si="504"/>
        <v>8642.4397238456768</v>
      </c>
      <c r="AH499" s="5">
        <f t="shared" si="504"/>
        <v>8586.6745020912876</v>
      </c>
    </row>
    <row r="500" spans="1:34" x14ac:dyDescent="0.35">
      <c r="A500" t="s">
        <v>520</v>
      </c>
      <c r="B500" s="3" t="s">
        <v>1266</v>
      </c>
      <c r="C500" s="4" t="s">
        <v>1267</v>
      </c>
      <c r="D500" s="2">
        <f t="shared" si="456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ref="W500:AH500" si="505">IF(OR((SLOPE($E500:$V500,$E$1:$V$1)*W$1+INTERCEPT($E500:$V500,$E$1:$V$1))&gt;(AVERAGE($E500:$V500)+_xlfn.STDEV.P($E500:$V500)),(SLOPE($E500:$V500,$E$1:$V$1)*W$1+INTERCEPT($E500:$V500,$E$1:$V$1))&lt;(AVERAGE($E500:$V500)-_xlfn.STDEV.P($E500:$V500))),V500,(SLOPE($E500:$V500,$E$1:$V$1)*W$1+INTERCEPT($E500:$V500,$E$1:$V$1)))</f>
        <v>-16108.410347948404</v>
      </c>
      <c r="X500" s="5">
        <f t="shared" si="505"/>
        <v>-18833.517361699072</v>
      </c>
      <c r="Y500" s="5">
        <f t="shared" si="505"/>
        <v>-21558.624375449748</v>
      </c>
      <c r="Z500" s="5">
        <f t="shared" si="505"/>
        <v>-24283.731389200417</v>
      </c>
      <c r="AA500" s="5">
        <f t="shared" si="505"/>
        <v>-27008.838402951085</v>
      </c>
      <c r="AB500" s="5">
        <f t="shared" si="505"/>
        <v>-29733.945416701754</v>
      </c>
      <c r="AC500" s="5">
        <f t="shared" si="505"/>
        <v>-29733.945416701754</v>
      </c>
      <c r="AD500" s="5">
        <f t="shared" si="505"/>
        <v>-29733.945416701754</v>
      </c>
      <c r="AE500" s="5">
        <f t="shared" si="505"/>
        <v>-29733.945416701754</v>
      </c>
      <c r="AF500" s="5">
        <f t="shared" si="505"/>
        <v>-29733.945416701754</v>
      </c>
      <c r="AG500" s="5">
        <f t="shared" si="505"/>
        <v>-29733.945416701754</v>
      </c>
      <c r="AH500" s="5">
        <f t="shared" si="505"/>
        <v>-29733.945416701754</v>
      </c>
    </row>
    <row r="501" spans="1:34" x14ac:dyDescent="0.35">
      <c r="A501" t="s">
        <v>521</v>
      </c>
      <c r="B501" s="3" t="s">
        <v>1265</v>
      </c>
      <c r="C501" s="4" t="s">
        <v>1267</v>
      </c>
      <c r="D501" s="2">
        <f t="shared" si="456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H501" si="506">IF(OR((SLOPE($E501:$V501,$E$1:$V$1)*W$1+INTERCEPT($E501:$V501,$E$1:$V$1))&gt;(AVERAGE($E501:$V501)+_xlfn.STDEV.P($E501:$V501)),(SLOPE($E501:$V501,$E$1:$V$1)*W$1+INTERCEPT($E501:$V501,$E$1:$V$1))&lt;(AVERAGE($E501:$V501)-_xlfn.STDEV.P($E501:$V501))),V501,(SLOPE($E501:$V501,$E$1:$V$1)*W$1+INTERCEPT($E501:$V501,$E$1:$V$1)))</f>
        <v>33290.593015666309</v>
      </c>
      <c r="X501" s="5">
        <f t="shared" si="506"/>
        <v>35765.421297612302</v>
      </c>
      <c r="Y501" s="5">
        <f t="shared" si="506"/>
        <v>38240.249579558294</v>
      </c>
      <c r="Z501" s="5">
        <f t="shared" si="506"/>
        <v>38240.249579558294</v>
      </c>
      <c r="AA501" s="5">
        <f t="shared" si="506"/>
        <v>38240.249579558294</v>
      </c>
      <c r="AB501" s="5">
        <f t="shared" si="506"/>
        <v>38240.249579558294</v>
      </c>
      <c r="AC501" s="5">
        <f t="shared" si="506"/>
        <v>38240.249579558294</v>
      </c>
      <c r="AD501" s="5">
        <f t="shared" si="506"/>
        <v>38240.249579558294</v>
      </c>
      <c r="AE501" s="5">
        <f t="shared" si="506"/>
        <v>38240.249579558294</v>
      </c>
      <c r="AF501" s="5">
        <f t="shared" si="506"/>
        <v>38240.249579558294</v>
      </c>
      <c r="AG501" s="5">
        <f t="shared" si="506"/>
        <v>38240.249579558294</v>
      </c>
      <c r="AH501" s="5">
        <f t="shared" si="506"/>
        <v>38240.249579558294</v>
      </c>
    </row>
    <row r="502" spans="1:34" x14ac:dyDescent="0.35">
      <c r="A502" t="s">
        <v>522</v>
      </c>
      <c r="B502" s="3" t="s">
        <v>1262</v>
      </c>
      <c r="C502" s="4" t="s">
        <v>1263</v>
      </c>
      <c r="D502" s="2">
        <f t="shared" si="456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ref="W502:AH502" si="507">IF(OR((SLOPE($E502:$V502,$E$1:$V$1)*W$1+INTERCEPT($E502:$V502,$E$1:$V$1))&gt;(AVERAGE($E502:$V502)+_xlfn.STDEV.P($E502:$V502)),(SLOPE($E502:$V502,$E$1:$V$1)*W$1+INTERCEPT($E502:$V502,$E$1:$V$1))&lt;(AVERAGE($E502:$V502)-_xlfn.STDEV.P($E502:$V502))),V502,(SLOPE($E502:$V502,$E$1:$V$1)*W$1+INTERCEPT($E502:$V502,$E$1:$V$1)))</f>
        <v>3484.0754170690434</v>
      </c>
      <c r="X502" s="5">
        <f t="shared" si="507"/>
        <v>2822.2340230342961</v>
      </c>
      <c r="Y502" s="5">
        <f t="shared" si="507"/>
        <v>2160.3926289995507</v>
      </c>
      <c r="Z502" s="5">
        <f t="shared" si="507"/>
        <v>1498.5512349648052</v>
      </c>
      <c r="AA502" s="5">
        <f t="shared" si="507"/>
        <v>836.70984093005791</v>
      </c>
      <c r="AB502" s="5">
        <f t="shared" si="507"/>
        <v>174.86844689531245</v>
      </c>
      <c r="AC502" s="5">
        <f t="shared" si="507"/>
        <v>-486.97294713943484</v>
      </c>
      <c r="AD502" s="5">
        <f t="shared" si="507"/>
        <v>-1148.8143411741803</v>
      </c>
      <c r="AE502" s="5">
        <f t="shared" si="507"/>
        <v>-1810.6557352089258</v>
      </c>
      <c r="AF502" s="5">
        <f t="shared" si="507"/>
        <v>-2472.4971292436712</v>
      </c>
      <c r="AG502" s="5">
        <f t="shared" si="507"/>
        <v>-3134.3385232784167</v>
      </c>
      <c r="AH502" s="5">
        <f t="shared" si="507"/>
        <v>-3796.1799173131658</v>
      </c>
    </row>
    <row r="503" spans="1:34" x14ac:dyDescent="0.35">
      <c r="A503" t="s">
        <v>523</v>
      </c>
      <c r="B503" s="3" t="s">
        <v>1262</v>
      </c>
      <c r="C503" s="4" t="s">
        <v>1263</v>
      </c>
      <c r="D503" s="2">
        <f t="shared" si="456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ref="W503:AH503" si="508">IF(OR((SLOPE($E503:$V503,$E$1:$V$1)*W$1+INTERCEPT($E503:$V503,$E$1:$V$1))&gt;(AVERAGE($E503:$V503)+_xlfn.STDEV.P($E503:$V503)),(SLOPE($E503:$V503,$E$1:$V$1)*W$1+INTERCEPT($E503:$V503,$E$1:$V$1))&lt;(AVERAGE($E503:$V503)-_xlfn.STDEV.P($E503:$V503))),V503,(SLOPE($E503:$V503,$E$1:$V$1)*W$1+INTERCEPT($E503:$V503,$E$1:$V$1)))</f>
        <v>13844.394666666665</v>
      </c>
      <c r="X503" s="5">
        <f t="shared" si="508"/>
        <v>14281.58607719298</v>
      </c>
      <c r="Y503" s="5">
        <f t="shared" si="508"/>
        <v>14718.777487719297</v>
      </c>
      <c r="Z503" s="5">
        <f t="shared" si="508"/>
        <v>15155.968898245612</v>
      </c>
      <c r="AA503" s="5">
        <f t="shared" si="508"/>
        <v>15593.160308771929</v>
      </c>
      <c r="AB503" s="5">
        <f t="shared" si="508"/>
        <v>16030.351719298244</v>
      </c>
      <c r="AC503" s="5">
        <f t="shared" si="508"/>
        <v>16467.54312982456</v>
      </c>
      <c r="AD503" s="5">
        <f t="shared" si="508"/>
        <v>16904.734540350873</v>
      </c>
      <c r="AE503" s="5">
        <f t="shared" si="508"/>
        <v>17341.925950877194</v>
      </c>
      <c r="AF503" s="5">
        <f t="shared" si="508"/>
        <v>17779.117361403507</v>
      </c>
      <c r="AG503" s="5">
        <f t="shared" si="508"/>
        <v>18216.308771929824</v>
      </c>
      <c r="AH503" s="5">
        <f t="shared" si="508"/>
        <v>18653.50018245614</v>
      </c>
    </row>
    <row r="504" spans="1:34" x14ac:dyDescent="0.35">
      <c r="A504" t="s">
        <v>524</v>
      </c>
      <c r="B504" s="3" t="s">
        <v>1264</v>
      </c>
      <c r="C504" s="4" t="s">
        <v>1263</v>
      </c>
      <c r="D504" s="2">
        <f t="shared" si="456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ref="W504:AH504" si="509">IF(OR((SLOPE($E504:$V504,$E$1:$V$1)*W$1+INTERCEPT($E504:$V504,$E$1:$V$1))&gt;(AVERAGE($E504:$V504)+_xlfn.STDEV.P($E504:$V504)),(SLOPE($E504:$V504,$E$1:$V$1)*W$1+INTERCEPT($E504:$V504,$E$1:$V$1))&lt;(AVERAGE($E504:$V504)-_xlfn.STDEV.P($E504:$V504))),V504,(SLOPE($E504:$V504,$E$1:$V$1)*W$1+INTERCEPT($E504:$V504,$E$1:$V$1)))</f>
        <v>6483.7645490196101</v>
      </c>
      <c r="X504" s="5">
        <f t="shared" si="509"/>
        <v>6151.8629226006215</v>
      </c>
      <c r="Y504" s="5">
        <f t="shared" si="509"/>
        <v>5819.9612961816329</v>
      </c>
      <c r="Z504" s="5">
        <f t="shared" si="509"/>
        <v>5488.0596697626443</v>
      </c>
      <c r="AA504" s="5">
        <f t="shared" si="509"/>
        <v>5156.1580433436557</v>
      </c>
      <c r="AB504" s="5">
        <f t="shared" si="509"/>
        <v>4824.2564169246671</v>
      </c>
      <c r="AC504" s="5">
        <f t="shared" si="509"/>
        <v>4492.3547905056785</v>
      </c>
      <c r="AD504" s="5">
        <f t="shared" si="509"/>
        <v>4160.4531640866899</v>
      </c>
      <c r="AE504" s="5">
        <f t="shared" si="509"/>
        <v>4160.4531640866899</v>
      </c>
      <c r="AF504" s="5">
        <f t="shared" si="509"/>
        <v>4160.4531640866899</v>
      </c>
      <c r="AG504" s="5">
        <f t="shared" si="509"/>
        <v>4160.4531640866899</v>
      </c>
      <c r="AH504" s="5">
        <f t="shared" si="509"/>
        <v>4160.4531640866899</v>
      </c>
    </row>
    <row r="505" spans="1:34" x14ac:dyDescent="0.35">
      <c r="A505" t="s">
        <v>525</v>
      </c>
      <c r="B505" s="3" t="s">
        <v>1266</v>
      </c>
      <c r="C505" s="4" t="s">
        <v>1267</v>
      </c>
      <c r="D505" s="2">
        <f t="shared" si="456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ref="W505:AH505" si="510">IF(OR((SLOPE($E505:$V505,$E$1:$V$1)*W$1+INTERCEPT($E505:$V505,$E$1:$V$1))&gt;(AVERAGE($E505:$V505)+_xlfn.STDEV.P($E505:$V505)),(SLOPE($E505:$V505,$E$1:$V$1)*W$1+INTERCEPT($E505:$V505,$E$1:$V$1))&lt;(AVERAGE($E505:$V505)-_xlfn.STDEV.P($E505:$V505))),V505,(SLOPE($E505:$V505,$E$1:$V$1)*W$1+INTERCEPT($E505:$V505,$E$1:$V$1)))</f>
        <v>4330.0145777777798</v>
      </c>
      <c r="X505" s="5">
        <f t="shared" si="510"/>
        <v>3773.1737637426922</v>
      </c>
      <c r="Y505" s="5">
        <f t="shared" si="510"/>
        <v>3216.3329497076047</v>
      </c>
      <c r="Z505" s="5">
        <f t="shared" si="510"/>
        <v>2659.4921356725172</v>
      </c>
      <c r="AA505" s="5">
        <f t="shared" si="510"/>
        <v>2102.6513216374296</v>
      </c>
      <c r="AB505" s="5">
        <f t="shared" si="510"/>
        <v>1545.8105076023421</v>
      </c>
      <c r="AC505" s="5">
        <f t="shared" si="510"/>
        <v>988.96969356725458</v>
      </c>
      <c r="AD505" s="5">
        <f t="shared" si="510"/>
        <v>432.12887953216705</v>
      </c>
      <c r="AE505" s="5">
        <f t="shared" si="510"/>
        <v>-124.71193450292049</v>
      </c>
      <c r="AF505" s="5">
        <f t="shared" si="510"/>
        <v>-681.55274853800802</v>
      </c>
      <c r="AG505" s="5">
        <f t="shared" si="510"/>
        <v>-1238.3935625730956</v>
      </c>
      <c r="AH505" s="5">
        <f t="shared" si="510"/>
        <v>-1795.2343766081831</v>
      </c>
    </row>
    <row r="506" spans="1:34" x14ac:dyDescent="0.35">
      <c r="A506" t="s">
        <v>526</v>
      </c>
      <c r="B506" s="3" t="s">
        <v>1264</v>
      </c>
      <c r="C506" s="4" t="s">
        <v>1268</v>
      </c>
      <c r="D506" s="2">
        <f t="shared" si="456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ref="W506:AH506" si="511">IF(OR((SLOPE($E506:$V506,$E$1:$V$1)*W$1+INTERCEPT($E506:$V506,$E$1:$V$1))&gt;(AVERAGE($E506:$V506)+_xlfn.STDEV.P($E506:$V506)),(SLOPE($E506:$V506,$E$1:$V$1)*W$1+INTERCEPT($E506:$V506,$E$1:$V$1))&lt;(AVERAGE($E506:$V506)-_xlfn.STDEV.P($E506:$V506))),V506,(SLOPE($E506:$V506,$E$1:$V$1)*W$1+INTERCEPT($E506:$V506,$E$1:$V$1)))</f>
        <v>29372.099406730922</v>
      </c>
      <c r="X506" s="5">
        <f t="shared" si="511"/>
        <v>29372.099406730922</v>
      </c>
      <c r="Y506" s="5">
        <f t="shared" si="511"/>
        <v>29372.099406730922</v>
      </c>
      <c r="Z506" s="5">
        <f t="shared" si="511"/>
        <v>29372.099406730922</v>
      </c>
      <c r="AA506" s="5">
        <f t="shared" si="511"/>
        <v>29372.099406730922</v>
      </c>
      <c r="AB506" s="5">
        <f t="shared" si="511"/>
        <v>29372.099406730922</v>
      </c>
      <c r="AC506" s="5">
        <f t="shared" si="511"/>
        <v>29372.099406730922</v>
      </c>
      <c r="AD506" s="5">
        <f t="shared" si="511"/>
        <v>29372.099406730922</v>
      </c>
      <c r="AE506" s="5">
        <f t="shared" si="511"/>
        <v>29372.099406730922</v>
      </c>
      <c r="AF506" s="5">
        <f t="shared" si="511"/>
        <v>29372.099406730922</v>
      </c>
      <c r="AG506" s="5">
        <f t="shared" si="511"/>
        <v>29372.099406730922</v>
      </c>
      <c r="AH506" s="5">
        <f t="shared" si="511"/>
        <v>29372.099406730922</v>
      </c>
    </row>
    <row r="507" spans="1:34" x14ac:dyDescent="0.35">
      <c r="A507" t="s">
        <v>527</v>
      </c>
      <c r="B507" s="3" t="s">
        <v>1266</v>
      </c>
      <c r="C507" s="4" t="s">
        <v>1263</v>
      </c>
      <c r="D507" s="2">
        <f t="shared" si="456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ref="W507:AH507" si="512">IF(OR((SLOPE($E507:$V507,$E$1:$V$1)*W$1+INTERCEPT($E507:$V507,$E$1:$V$1))&gt;(AVERAGE($E507:$V507)+_xlfn.STDEV.P($E507:$V507)),(SLOPE($E507:$V507,$E$1:$V$1)*W$1+INTERCEPT($E507:$V507,$E$1:$V$1))&lt;(AVERAGE($E507:$V507)-_xlfn.STDEV.P($E507:$V507))),V507,(SLOPE($E507:$V507,$E$1:$V$1)*W$1+INTERCEPT($E507:$V507,$E$1:$V$1)))</f>
        <v>6310.6136346120338</v>
      </c>
      <c r="X507" s="5">
        <f t="shared" si="512"/>
        <v>5968.5018527375614</v>
      </c>
      <c r="Y507" s="5">
        <f t="shared" si="512"/>
        <v>5626.390070863089</v>
      </c>
      <c r="Z507" s="5">
        <f t="shared" si="512"/>
        <v>5284.2782889886166</v>
      </c>
      <c r="AA507" s="5">
        <f t="shared" si="512"/>
        <v>4942.1665071141442</v>
      </c>
      <c r="AB507" s="5">
        <f t="shared" si="512"/>
        <v>4600.0547252396718</v>
      </c>
      <c r="AC507" s="5">
        <f t="shared" si="512"/>
        <v>4257.9429433652003</v>
      </c>
      <c r="AD507" s="5">
        <f t="shared" si="512"/>
        <v>3915.831161490727</v>
      </c>
      <c r="AE507" s="5">
        <f t="shared" si="512"/>
        <v>3573.7193796162537</v>
      </c>
      <c r="AF507" s="5">
        <f t="shared" si="512"/>
        <v>3231.6075977417822</v>
      </c>
      <c r="AG507" s="5">
        <f t="shared" si="512"/>
        <v>2889.4958158673107</v>
      </c>
      <c r="AH507" s="5">
        <f t="shared" si="512"/>
        <v>2547.3840339928374</v>
      </c>
    </row>
    <row r="508" spans="1:34" x14ac:dyDescent="0.35">
      <c r="A508" t="s">
        <v>528</v>
      </c>
      <c r="B508" s="3" t="s">
        <v>1265</v>
      </c>
      <c r="C508" s="4" t="s">
        <v>1267</v>
      </c>
      <c r="D508" s="2">
        <f t="shared" si="456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ref="W508:AH508" si="513">IF(OR((SLOPE($E508:$V508,$E$1:$V$1)*W$1+INTERCEPT($E508:$V508,$E$1:$V$1))&gt;(AVERAGE($E508:$V508)+_xlfn.STDEV.P($E508:$V508)),(SLOPE($E508:$V508,$E$1:$V$1)*W$1+INTERCEPT($E508:$V508,$E$1:$V$1))&lt;(AVERAGE($E508:$V508)-_xlfn.STDEV.P($E508:$V508))),V508,(SLOPE($E508:$V508,$E$1:$V$1)*W$1+INTERCEPT($E508:$V508,$E$1:$V$1)))</f>
        <v>37837.799999999996</v>
      </c>
      <c r="X508" s="5">
        <f t="shared" si="513"/>
        <v>40824.994736842098</v>
      </c>
      <c r="Y508" s="5">
        <f t="shared" si="513"/>
        <v>43812.189473684208</v>
      </c>
      <c r="Z508" s="5">
        <f t="shared" si="513"/>
        <v>46799.384210526303</v>
      </c>
      <c r="AA508" s="5">
        <f t="shared" si="513"/>
        <v>46799.384210526303</v>
      </c>
      <c r="AB508" s="5">
        <f t="shared" si="513"/>
        <v>46799.384210526303</v>
      </c>
      <c r="AC508" s="5">
        <f t="shared" si="513"/>
        <v>46799.384210526303</v>
      </c>
      <c r="AD508" s="5">
        <f t="shared" si="513"/>
        <v>46799.384210526303</v>
      </c>
      <c r="AE508" s="5">
        <f t="shared" si="513"/>
        <v>46799.384210526303</v>
      </c>
      <c r="AF508" s="5">
        <f t="shared" si="513"/>
        <v>46799.384210526303</v>
      </c>
      <c r="AG508" s="5">
        <f t="shared" si="513"/>
        <v>46799.384210526303</v>
      </c>
      <c r="AH508" s="5">
        <f t="shared" si="513"/>
        <v>46799.384210526303</v>
      </c>
    </row>
    <row r="509" spans="1:34" x14ac:dyDescent="0.35">
      <c r="A509" t="s">
        <v>529</v>
      </c>
      <c r="B509" s="3" t="s">
        <v>1266</v>
      </c>
      <c r="C509" s="4" t="s">
        <v>1267</v>
      </c>
      <c r="D509" s="2">
        <f t="shared" si="456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ref="W509:AH509" si="514">IF(OR((SLOPE($E509:$V509,$E$1:$V$1)*W$1+INTERCEPT($E509:$V509,$E$1:$V$1))&gt;(AVERAGE($E509:$V509)+_xlfn.STDEV.P($E509:$V509)),(SLOPE($E509:$V509,$E$1:$V$1)*W$1+INTERCEPT($E509:$V509,$E$1:$V$1))&lt;(AVERAGE($E509:$V509)-_xlfn.STDEV.P($E509:$V509))),V509,(SLOPE($E509:$V509,$E$1:$V$1)*W$1+INTERCEPT($E509:$V509,$E$1:$V$1)))</f>
        <v>14569.835820004881</v>
      </c>
      <c r="X509" s="5">
        <f t="shared" si="514"/>
        <v>15100.720525996961</v>
      </c>
      <c r="Y509" s="5">
        <f t="shared" si="514"/>
        <v>15631.60523198904</v>
      </c>
      <c r="Z509" s="5">
        <f t="shared" si="514"/>
        <v>16162.489937981121</v>
      </c>
      <c r="AA509" s="5">
        <f t="shared" si="514"/>
        <v>16693.374643973202</v>
      </c>
      <c r="AB509" s="5">
        <f t="shared" si="514"/>
        <v>17224.259349965283</v>
      </c>
      <c r="AC509" s="5">
        <f t="shared" si="514"/>
        <v>17755.144055957364</v>
      </c>
      <c r="AD509" s="5">
        <f t="shared" si="514"/>
        <v>18286.028761949445</v>
      </c>
      <c r="AE509" s="5">
        <f t="shared" si="514"/>
        <v>18816.913467941526</v>
      </c>
      <c r="AF509" s="5">
        <f t="shared" si="514"/>
        <v>19347.798173933603</v>
      </c>
      <c r="AG509" s="5">
        <f t="shared" si="514"/>
        <v>19878.682879925684</v>
      </c>
      <c r="AH509" s="5">
        <f t="shared" si="514"/>
        <v>20409.567585917765</v>
      </c>
    </row>
    <row r="510" spans="1:34" x14ac:dyDescent="0.35">
      <c r="A510" t="s">
        <v>530</v>
      </c>
      <c r="B510" s="3" t="s">
        <v>1265</v>
      </c>
      <c r="C510" s="4" t="s">
        <v>1263</v>
      </c>
      <c r="D510" s="2">
        <f t="shared" si="456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ref="W510:AH510" si="515">IF(OR((SLOPE($E510:$V510,$E$1:$V$1)*W$1+INTERCEPT($E510:$V510,$E$1:$V$1))&gt;(AVERAGE($E510:$V510)+_xlfn.STDEV.P($E510:$V510)),(SLOPE($E510:$V510,$E$1:$V$1)*W$1+INTERCEPT($E510:$V510,$E$1:$V$1))&lt;(AVERAGE($E510:$V510)-_xlfn.STDEV.P($E510:$V510))),V510,(SLOPE($E510:$V510,$E$1:$V$1)*W$1+INTERCEPT($E510:$V510,$E$1:$V$1)))</f>
        <v>6697.7004705882309</v>
      </c>
      <c r="X510" s="5">
        <f t="shared" si="515"/>
        <v>6405.5664148606766</v>
      </c>
      <c r="Y510" s="5">
        <f t="shared" si="515"/>
        <v>6113.4323591331222</v>
      </c>
      <c r="Z510" s="5">
        <f t="shared" si="515"/>
        <v>6113.4323591331222</v>
      </c>
      <c r="AA510" s="5">
        <f t="shared" si="515"/>
        <v>6113.4323591331222</v>
      </c>
      <c r="AB510" s="5">
        <f t="shared" si="515"/>
        <v>6113.4323591331222</v>
      </c>
      <c r="AC510" s="5">
        <f t="shared" si="515"/>
        <v>6113.4323591331222</v>
      </c>
      <c r="AD510" s="5">
        <f t="shared" si="515"/>
        <v>6113.4323591331222</v>
      </c>
      <c r="AE510" s="5">
        <f t="shared" si="515"/>
        <v>6113.4323591331222</v>
      </c>
      <c r="AF510" s="5">
        <f t="shared" si="515"/>
        <v>6113.4323591331222</v>
      </c>
      <c r="AG510" s="5">
        <f t="shared" si="515"/>
        <v>6113.4323591331222</v>
      </c>
      <c r="AH510" s="5">
        <f t="shared" si="515"/>
        <v>6113.4323591331222</v>
      </c>
    </row>
    <row r="511" spans="1:34" x14ac:dyDescent="0.35">
      <c r="A511" t="s">
        <v>531</v>
      </c>
      <c r="B511" s="3" t="s">
        <v>1266</v>
      </c>
      <c r="C511" s="4" t="s">
        <v>1263</v>
      </c>
      <c r="D511" s="2">
        <f t="shared" si="456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ref="W511:AH511" si="516">IF(OR((SLOPE($E511:$V511,$E$1:$V$1)*W$1+INTERCEPT($E511:$V511,$E$1:$V$1))&gt;(AVERAGE($E511:$V511)+_xlfn.STDEV.P($E511:$V511)),(SLOPE($E511:$V511,$E$1:$V$1)*W$1+INTERCEPT($E511:$V511,$E$1:$V$1))&lt;(AVERAGE($E511:$V511)-_xlfn.STDEV.P($E511:$V511))),V511,(SLOPE($E511:$V511,$E$1:$V$1)*W$1+INTERCEPT($E511:$V511,$E$1:$V$1)))</f>
        <v>4455.9298977255839</v>
      </c>
      <c r="X511" s="5">
        <f t="shared" si="516"/>
        <v>3928.2539887843959</v>
      </c>
      <c r="Y511" s="5">
        <f t="shared" si="516"/>
        <v>3400.5780798432097</v>
      </c>
      <c r="Z511" s="5">
        <f t="shared" si="516"/>
        <v>2872.9021709020217</v>
      </c>
      <c r="AA511" s="5">
        <f t="shared" si="516"/>
        <v>2345.2262619608337</v>
      </c>
      <c r="AB511" s="5">
        <f t="shared" si="516"/>
        <v>1817.5503530196456</v>
      </c>
      <c r="AC511" s="5">
        <f t="shared" si="516"/>
        <v>1289.8744440784576</v>
      </c>
      <c r="AD511" s="5">
        <f t="shared" si="516"/>
        <v>762.19853513726957</v>
      </c>
      <c r="AE511" s="5">
        <f t="shared" si="516"/>
        <v>234.52262619608155</v>
      </c>
      <c r="AF511" s="5">
        <f t="shared" si="516"/>
        <v>-293.15328274510466</v>
      </c>
      <c r="AG511" s="5">
        <f t="shared" si="516"/>
        <v>-820.82919168629269</v>
      </c>
      <c r="AH511" s="5">
        <f t="shared" si="516"/>
        <v>-1348.5051006274807</v>
      </c>
    </row>
    <row r="512" spans="1:34" x14ac:dyDescent="0.35">
      <c r="A512" t="s">
        <v>532</v>
      </c>
      <c r="B512" s="3" t="s">
        <v>1265</v>
      </c>
      <c r="C512" s="4" t="s">
        <v>1263</v>
      </c>
      <c r="D512" s="2">
        <f t="shared" si="456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ref="W512:AH512" si="517">IF(OR((SLOPE($E512:$V512,$E$1:$V$1)*W$1+INTERCEPT($E512:$V512,$E$1:$V$1))&gt;(AVERAGE($E512:$V512)+_xlfn.STDEV.P($E512:$V512)),(SLOPE($E512:$V512,$E$1:$V$1)*W$1+INTERCEPT($E512:$V512,$E$1:$V$1))&lt;(AVERAGE($E512:$V512)-_xlfn.STDEV.P($E512:$V512))),V512,(SLOPE($E512:$V512,$E$1:$V$1)*W$1+INTERCEPT($E512:$V512,$E$1:$V$1)))</f>
        <v>19844.098386293314</v>
      </c>
      <c r="X512" s="5">
        <f t="shared" si="517"/>
        <v>19844.098386293314</v>
      </c>
      <c r="Y512" s="5">
        <f t="shared" si="517"/>
        <v>19844.098386293314</v>
      </c>
      <c r="Z512" s="5">
        <f t="shared" si="517"/>
        <v>19844.098386293314</v>
      </c>
      <c r="AA512" s="5">
        <f t="shared" si="517"/>
        <v>19844.098386293314</v>
      </c>
      <c r="AB512" s="5">
        <f t="shared" si="517"/>
        <v>19844.098386293314</v>
      </c>
      <c r="AC512" s="5">
        <f t="shared" si="517"/>
        <v>19844.098386293314</v>
      </c>
      <c r="AD512" s="5">
        <f t="shared" si="517"/>
        <v>19844.098386293314</v>
      </c>
      <c r="AE512" s="5">
        <f t="shared" si="517"/>
        <v>19844.098386293314</v>
      </c>
      <c r="AF512" s="5">
        <f t="shared" si="517"/>
        <v>19844.098386293314</v>
      </c>
      <c r="AG512" s="5">
        <f t="shared" si="517"/>
        <v>19844.098386293314</v>
      </c>
      <c r="AH512" s="5">
        <f t="shared" si="517"/>
        <v>19844.098386293314</v>
      </c>
    </row>
    <row r="513" spans="1:34" x14ac:dyDescent="0.35">
      <c r="A513" t="s">
        <v>533</v>
      </c>
      <c r="B513" s="3" t="s">
        <v>1262</v>
      </c>
      <c r="C513" s="4" t="s">
        <v>1263</v>
      </c>
      <c r="D513" s="2">
        <f t="shared" si="456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ref="W513:AH513" si="518">IF(OR((SLOPE($E513:$V513,$E$1:$V$1)*W$1+INTERCEPT($E513:$V513,$E$1:$V$1))&gt;(AVERAGE($E513:$V513)+_xlfn.STDEV.P($E513:$V513)),(SLOPE($E513:$V513,$E$1:$V$1)*W$1+INTERCEPT($E513:$V513,$E$1:$V$1))&lt;(AVERAGE($E513:$V513)-_xlfn.STDEV.P($E513:$V513))),V513,(SLOPE($E513:$V513,$E$1:$V$1)*W$1+INTERCEPT($E513:$V513,$E$1:$V$1)))</f>
        <v>29403.320470588238</v>
      </c>
      <c r="X513" s="5">
        <f t="shared" si="518"/>
        <v>31598.024099071212</v>
      </c>
      <c r="Y513" s="5">
        <f t="shared" si="518"/>
        <v>31598.024099071212</v>
      </c>
      <c r="Z513" s="5">
        <f t="shared" si="518"/>
        <v>31598.024099071212</v>
      </c>
      <c r="AA513" s="5">
        <f t="shared" si="518"/>
        <v>31598.024099071212</v>
      </c>
      <c r="AB513" s="5">
        <f t="shared" si="518"/>
        <v>31598.024099071212</v>
      </c>
      <c r="AC513" s="5">
        <f t="shared" si="518"/>
        <v>31598.024099071212</v>
      </c>
      <c r="AD513" s="5">
        <f t="shared" si="518"/>
        <v>31598.024099071212</v>
      </c>
      <c r="AE513" s="5">
        <f t="shared" si="518"/>
        <v>31598.024099071212</v>
      </c>
      <c r="AF513" s="5">
        <f t="shared" si="518"/>
        <v>31598.024099071212</v>
      </c>
      <c r="AG513" s="5">
        <f t="shared" si="518"/>
        <v>31598.024099071212</v>
      </c>
      <c r="AH513" s="5">
        <f t="shared" si="518"/>
        <v>31598.024099071212</v>
      </c>
    </row>
    <row r="514" spans="1:34" x14ac:dyDescent="0.35">
      <c r="A514" t="s">
        <v>534</v>
      </c>
      <c r="B514" s="3" t="s">
        <v>1265</v>
      </c>
      <c r="C514" s="4" t="s">
        <v>1263</v>
      </c>
      <c r="D514" s="2">
        <f t="shared" si="456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ref="W514:AH514" si="519">IF(OR((SLOPE($E514:$V514,$E$1:$V$1)*W$1+INTERCEPT($E514:$V514,$E$1:$V$1))&gt;(AVERAGE($E514:$V514)+_xlfn.STDEV.P($E514:$V514)),(SLOPE($E514:$V514,$E$1:$V$1)*W$1+INTERCEPT($E514:$V514,$E$1:$V$1))&lt;(AVERAGE($E514:$V514)-_xlfn.STDEV.P($E514:$V514))),V514,(SLOPE($E514:$V514,$E$1:$V$1)*W$1+INTERCEPT($E514:$V514,$E$1:$V$1)))</f>
        <v>7858.1703529411761</v>
      </c>
      <c r="X514" s="5">
        <f t="shared" si="519"/>
        <v>7707.0379690402478</v>
      </c>
      <c r="Y514" s="5">
        <f t="shared" si="519"/>
        <v>7555.9055851393186</v>
      </c>
      <c r="Z514" s="5">
        <f t="shared" si="519"/>
        <v>7404.7732012383894</v>
      </c>
      <c r="AA514" s="5">
        <f t="shared" si="519"/>
        <v>7253.6408173374612</v>
      </c>
      <c r="AB514" s="5">
        <f t="shared" si="519"/>
        <v>7102.508433436532</v>
      </c>
      <c r="AC514" s="5">
        <f t="shared" si="519"/>
        <v>6951.3760495356037</v>
      </c>
      <c r="AD514" s="5">
        <f t="shared" si="519"/>
        <v>6800.2436656346745</v>
      </c>
      <c r="AE514" s="5">
        <f t="shared" si="519"/>
        <v>6649.1112817337453</v>
      </c>
      <c r="AF514" s="5">
        <f t="shared" si="519"/>
        <v>6497.978897832817</v>
      </c>
      <c r="AG514" s="5">
        <f t="shared" si="519"/>
        <v>6346.8465139318887</v>
      </c>
      <c r="AH514" s="5">
        <f t="shared" si="519"/>
        <v>6195.7141300309595</v>
      </c>
    </row>
    <row r="515" spans="1:34" x14ac:dyDescent="0.35">
      <c r="A515" t="s">
        <v>535</v>
      </c>
      <c r="B515" s="3" t="s">
        <v>1264</v>
      </c>
      <c r="C515" s="4" t="s">
        <v>1263</v>
      </c>
      <c r="D515" s="2">
        <f t="shared" si="456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ref="W515:AH515" si="520">IF(OR((SLOPE($E515:$V515,$E$1:$V$1)*W$1+INTERCEPT($E515:$V515,$E$1:$V$1))&gt;(AVERAGE($E515:$V515)+_xlfn.STDEV.P($E515:$V515)),(SLOPE($E515:$V515,$E$1:$V$1)*W$1+INTERCEPT($E515:$V515,$E$1:$V$1))&lt;(AVERAGE($E515:$V515)-_xlfn.STDEV.P($E515:$V515))),V515,(SLOPE($E515:$V515,$E$1:$V$1)*W$1+INTERCEPT($E515:$V515,$E$1:$V$1)))</f>
        <v>0</v>
      </c>
      <c r="X515" s="5">
        <f t="shared" si="520"/>
        <v>0</v>
      </c>
      <c r="Y515" s="5">
        <f t="shared" si="520"/>
        <v>0</v>
      </c>
      <c r="Z515" s="5">
        <f t="shared" si="520"/>
        <v>0</v>
      </c>
      <c r="AA515" s="5">
        <f t="shared" si="520"/>
        <v>0</v>
      </c>
      <c r="AB515" s="5">
        <f t="shared" si="520"/>
        <v>0</v>
      </c>
      <c r="AC515" s="5">
        <f t="shared" si="520"/>
        <v>0</v>
      </c>
      <c r="AD515" s="5">
        <f t="shared" si="520"/>
        <v>0</v>
      </c>
      <c r="AE515" s="5">
        <f t="shared" si="520"/>
        <v>0</v>
      </c>
      <c r="AF515" s="5">
        <f t="shared" si="520"/>
        <v>0</v>
      </c>
      <c r="AG515" s="5">
        <f t="shared" si="520"/>
        <v>0</v>
      </c>
      <c r="AH515" s="5">
        <f t="shared" si="520"/>
        <v>0</v>
      </c>
    </row>
    <row r="516" spans="1:34" x14ac:dyDescent="0.35">
      <c r="A516" t="s">
        <v>536</v>
      </c>
      <c r="B516" s="3" t="s">
        <v>1266</v>
      </c>
      <c r="C516" s="4" t="s">
        <v>1267</v>
      </c>
      <c r="D516" s="2">
        <f t="shared" ref="D516:D579" si="521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ref="W516:AH516" si="522">IF(OR((SLOPE($E516:$V516,$E$1:$V$1)*W$1+INTERCEPT($E516:$V516,$E$1:$V$1))&gt;(AVERAGE($E516:$V516)+_xlfn.STDEV.P($E516:$V516)),(SLOPE($E516:$V516,$E$1:$V$1)*W$1+INTERCEPT($E516:$V516,$E$1:$V$1))&lt;(AVERAGE($E516:$V516)-_xlfn.STDEV.P($E516:$V516))),V516,(SLOPE($E516:$V516,$E$1:$V$1)*W$1+INTERCEPT($E516:$V516,$E$1:$V$1)))</f>
        <v>-11944.851737596611</v>
      </c>
      <c r="X516" s="5">
        <f t="shared" si="522"/>
        <v>-14173.795363272533</v>
      </c>
      <c r="Y516" s="5">
        <f t="shared" si="522"/>
        <v>-16402.738988948462</v>
      </c>
      <c r="Z516" s="5">
        <f t="shared" si="522"/>
        <v>-18631.682614624384</v>
      </c>
      <c r="AA516" s="5">
        <f t="shared" si="522"/>
        <v>-20860.626240300306</v>
      </c>
      <c r="AB516" s="5">
        <f t="shared" si="522"/>
        <v>-23089.569865976227</v>
      </c>
      <c r="AC516" s="5">
        <f t="shared" si="522"/>
        <v>-25318.513491652149</v>
      </c>
      <c r="AD516" s="5">
        <f t="shared" si="522"/>
        <v>-27547.457117328071</v>
      </c>
      <c r="AE516" s="5">
        <f t="shared" si="522"/>
        <v>-27547.457117328071</v>
      </c>
      <c r="AF516" s="5">
        <f t="shared" si="522"/>
        <v>-27547.457117328071</v>
      </c>
      <c r="AG516" s="5">
        <f t="shared" si="522"/>
        <v>-27547.457117328071</v>
      </c>
      <c r="AH516" s="5">
        <f t="shared" si="522"/>
        <v>-27547.457117328071</v>
      </c>
    </row>
    <row r="517" spans="1:34" x14ac:dyDescent="0.35">
      <c r="A517" t="s">
        <v>537</v>
      </c>
      <c r="B517" s="3" t="s">
        <v>1264</v>
      </c>
      <c r="C517" s="4" t="s">
        <v>1263</v>
      </c>
      <c r="D517" s="2">
        <f t="shared" si="521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H517" si="523">IF(OR((SLOPE($E517:$V517,$E$1:$V$1)*W$1+INTERCEPT($E517:$V517,$E$1:$V$1))&gt;(AVERAGE($E517:$V517)+_xlfn.STDEV.P($E517:$V517)),(SLOPE($E517:$V517,$E$1:$V$1)*W$1+INTERCEPT($E517:$V517,$E$1:$V$1))&lt;(AVERAGE($E517:$V517)-_xlfn.STDEV.P($E517:$V517))),V517,(SLOPE($E517:$V517,$E$1:$V$1)*W$1+INTERCEPT($E517:$V517,$E$1:$V$1)))</f>
        <v>18470.470720320387</v>
      </c>
      <c r="X517" s="5">
        <f t="shared" si="523"/>
        <v>19444.339994448565</v>
      </c>
      <c r="Y517" s="5">
        <f t="shared" si="523"/>
        <v>20418.209268576742</v>
      </c>
      <c r="Z517" s="5">
        <f t="shared" si="523"/>
        <v>21392.078542704923</v>
      </c>
      <c r="AA517" s="5">
        <f t="shared" si="523"/>
        <v>22365.947816833101</v>
      </c>
      <c r="AB517" s="5">
        <f t="shared" si="523"/>
        <v>23339.817090961278</v>
      </c>
      <c r="AC517" s="5">
        <f t="shared" si="523"/>
        <v>24313.686365089459</v>
      </c>
      <c r="AD517" s="5">
        <f t="shared" si="523"/>
        <v>25287.555639217637</v>
      </c>
      <c r="AE517" s="5">
        <f t="shared" si="523"/>
        <v>26261.424913345814</v>
      </c>
      <c r="AF517" s="5">
        <f t="shared" si="523"/>
        <v>27235.294187473995</v>
      </c>
      <c r="AG517" s="5">
        <f t="shared" si="523"/>
        <v>28209.163461602173</v>
      </c>
      <c r="AH517" s="5">
        <f t="shared" si="523"/>
        <v>29183.03273573035</v>
      </c>
    </row>
    <row r="518" spans="1:34" x14ac:dyDescent="0.35">
      <c r="A518" t="s">
        <v>538</v>
      </c>
      <c r="B518" s="3" t="s">
        <v>1266</v>
      </c>
      <c r="C518" s="4" t="s">
        <v>1266</v>
      </c>
      <c r="D518" s="2">
        <f t="shared" si="521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ref="W518:AH518" si="524">IF(OR((SLOPE($E518:$V518,$E$1:$V$1)*W$1+INTERCEPT($E518:$V518,$E$1:$V$1))&gt;(AVERAGE($E518:$V518)+_xlfn.STDEV.P($E518:$V518)),(SLOPE($E518:$V518,$E$1:$V$1)*W$1+INTERCEPT($E518:$V518,$E$1:$V$1))&lt;(AVERAGE($E518:$V518)-_xlfn.STDEV.P($E518:$V518))),V518,(SLOPE($E518:$V518,$E$1:$V$1)*W$1+INTERCEPT($E518:$V518,$E$1:$V$1)))</f>
        <v>17307.773303055415</v>
      </c>
      <c r="X518" s="5">
        <f t="shared" si="524"/>
        <v>18161.775275245651</v>
      </c>
      <c r="Y518" s="5">
        <f t="shared" si="524"/>
        <v>19015.777247435886</v>
      </c>
      <c r="Z518" s="5">
        <f t="shared" si="524"/>
        <v>19869.779219626122</v>
      </c>
      <c r="AA518" s="5">
        <f t="shared" si="524"/>
        <v>20723.781191816357</v>
      </c>
      <c r="AB518" s="5">
        <f t="shared" si="524"/>
        <v>21577.783164006592</v>
      </c>
      <c r="AC518" s="5">
        <f t="shared" si="524"/>
        <v>22431.785136196828</v>
      </c>
      <c r="AD518" s="5">
        <f t="shared" si="524"/>
        <v>23285.787108387063</v>
      </c>
      <c r="AE518" s="5">
        <f t="shared" si="524"/>
        <v>24139.789080577291</v>
      </c>
      <c r="AF518" s="5">
        <f t="shared" si="524"/>
        <v>24993.791052767527</v>
      </c>
      <c r="AG518" s="5">
        <f t="shared" si="524"/>
        <v>25847.793024957762</v>
      </c>
      <c r="AH518" s="5">
        <f t="shared" si="524"/>
        <v>26701.794997147997</v>
      </c>
    </row>
    <row r="519" spans="1:34" x14ac:dyDescent="0.35">
      <c r="A519" t="s">
        <v>539</v>
      </c>
      <c r="B519" s="3" t="s">
        <v>1265</v>
      </c>
      <c r="C519" s="4" t="s">
        <v>1263</v>
      </c>
      <c r="D519" s="2">
        <f t="shared" si="521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ref="W519:AH519" si="525">IF(OR((SLOPE($E519:$V519,$E$1:$V$1)*W$1+INTERCEPT($E519:$V519,$E$1:$V$1))&gt;(AVERAGE($E519:$V519)+_xlfn.STDEV.P($E519:$V519)),(SLOPE($E519:$V519,$E$1:$V$1)*W$1+INTERCEPT($E519:$V519,$E$1:$V$1))&lt;(AVERAGE($E519:$V519)-_xlfn.STDEV.P($E519:$V519))),V519,(SLOPE($E519:$V519,$E$1:$V$1)*W$1+INTERCEPT($E519:$V519,$E$1:$V$1)))</f>
        <v>8724.2770588235271</v>
      </c>
      <c r="X519" s="5">
        <f t="shared" si="525"/>
        <v>8693.1567492260037</v>
      </c>
      <c r="Y519" s="5">
        <f t="shared" si="525"/>
        <v>8662.0364396284822</v>
      </c>
      <c r="Z519" s="5">
        <f t="shared" si="525"/>
        <v>8630.9161300309588</v>
      </c>
      <c r="AA519" s="5">
        <f t="shared" si="525"/>
        <v>8599.7958204334354</v>
      </c>
      <c r="AB519" s="5">
        <f t="shared" si="525"/>
        <v>8568.6755108359121</v>
      </c>
      <c r="AC519" s="5">
        <f t="shared" si="525"/>
        <v>8537.5552012383887</v>
      </c>
      <c r="AD519" s="5">
        <f t="shared" si="525"/>
        <v>8506.4348916408653</v>
      </c>
      <c r="AE519" s="5">
        <f t="shared" si="525"/>
        <v>8475.3145820433419</v>
      </c>
      <c r="AF519" s="5">
        <f t="shared" si="525"/>
        <v>8444.1942724458186</v>
      </c>
      <c r="AG519" s="5">
        <f t="shared" si="525"/>
        <v>8413.0739628482952</v>
      </c>
      <c r="AH519" s="5">
        <f t="shared" si="525"/>
        <v>8381.9536532507718</v>
      </c>
    </row>
    <row r="520" spans="1:34" x14ac:dyDescent="0.35">
      <c r="A520" t="s">
        <v>540</v>
      </c>
      <c r="B520" s="3" t="s">
        <v>1266</v>
      </c>
      <c r="C520" s="4" t="s">
        <v>1263</v>
      </c>
      <c r="D520" s="2">
        <f t="shared" si="521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ref="W520:AH520" si="526">IF(OR((SLOPE($E520:$V520,$E$1:$V$1)*W$1+INTERCEPT($E520:$V520,$E$1:$V$1))&gt;(AVERAGE($E520:$V520)+_xlfn.STDEV.P($E520:$V520)),(SLOPE($E520:$V520,$E$1:$V$1)*W$1+INTERCEPT($E520:$V520,$E$1:$V$1))&lt;(AVERAGE($E520:$V520)-_xlfn.STDEV.P($E520:$V520))),V520,(SLOPE($E520:$V520,$E$1:$V$1)*W$1+INTERCEPT($E520:$V520,$E$1:$V$1)))</f>
        <v>5513.4556888911475</v>
      </c>
      <c r="X520" s="5">
        <f t="shared" si="526"/>
        <v>5132.4434886608351</v>
      </c>
      <c r="Y520" s="5">
        <f t="shared" si="526"/>
        <v>4751.4312884305227</v>
      </c>
      <c r="Z520" s="5">
        <f t="shared" si="526"/>
        <v>4370.4190882002094</v>
      </c>
      <c r="AA520" s="5">
        <f t="shared" si="526"/>
        <v>3989.4068879698971</v>
      </c>
      <c r="AB520" s="5">
        <f t="shared" si="526"/>
        <v>3608.3946877395847</v>
      </c>
      <c r="AC520" s="5">
        <f t="shared" si="526"/>
        <v>3227.3824875092723</v>
      </c>
      <c r="AD520" s="5">
        <f t="shared" si="526"/>
        <v>2846.3702872789599</v>
      </c>
      <c r="AE520" s="5">
        <f t="shared" si="526"/>
        <v>2465.3580870486476</v>
      </c>
      <c r="AF520" s="5">
        <f t="shared" si="526"/>
        <v>2084.3458868183352</v>
      </c>
      <c r="AG520" s="5">
        <f t="shared" si="526"/>
        <v>1703.3336865880228</v>
      </c>
      <c r="AH520" s="5">
        <f t="shared" si="526"/>
        <v>1322.3214863577105</v>
      </c>
    </row>
    <row r="521" spans="1:34" x14ac:dyDescent="0.35">
      <c r="A521" t="s">
        <v>541</v>
      </c>
      <c r="B521" s="3" t="s">
        <v>1262</v>
      </c>
      <c r="C521" s="4" t="s">
        <v>1263</v>
      </c>
      <c r="D521" s="2">
        <f t="shared" si="521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ref="W521:AH521" si="527">IF(OR((SLOPE($E521:$V521,$E$1:$V$1)*W$1+INTERCEPT($E521:$V521,$E$1:$V$1))&gt;(AVERAGE($E521:$V521)+_xlfn.STDEV.P($E521:$V521)),(SLOPE($E521:$V521,$E$1:$V$1)*W$1+INTERCEPT($E521:$V521,$E$1:$V$1))&lt;(AVERAGE($E521:$V521)-_xlfn.STDEV.P($E521:$V521))),V521,(SLOPE($E521:$V521,$E$1:$V$1)*W$1+INTERCEPT($E521:$V521,$E$1:$V$1)))</f>
        <v>26535.038535947704</v>
      </c>
      <c r="X521" s="5">
        <f t="shared" si="527"/>
        <v>28388.743832129334</v>
      </c>
      <c r="Y521" s="5">
        <f t="shared" si="527"/>
        <v>28388.743832129334</v>
      </c>
      <c r="Z521" s="5">
        <f t="shared" si="527"/>
        <v>28388.743832129334</v>
      </c>
      <c r="AA521" s="5">
        <f t="shared" si="527"/>
        <v>28388.743832129334</v>
      </c>
      <c r="AB521" s="5">
        <f t="shared" si="527"/>
        <v>28388.743832129334</v>
      </c>
      <c r="AC521" s="5">
        <f t="shared" si="527"/>
        <v>28388.743832129334</v>
      </c>
      <c r="AD521" s="5">
        <f t="shared" si="527"/>
        <v>28388.743832129334</v>
      </c>
      <c r="AE521" s="5">
        <f t="shared" si="527"/>
        <v>28388.743832129334</v>
      </c>
      <c r="AF521" s="5">
        <f t="shared" si="527"/>
        <v>28388.743832129334</v>
      </c>
      <c r="AG521" s="5">
        <f t="shared" si="527"/>
        <v>28388.743832129334</v>
      </c>
      <c r="AH521" s="5">
        <f t="shared" si="527"/>
        <v>28388.743832129334</v>
      </c>
    </row>
    <row r="522" spans="1:34" x14ac:dyDescent="0.35">
      <c r="A522" t="s">
        <v>542</v>
      </c>
      <c r="B522" s="3" t="s">
        <v>1266</v>
      </c>
      <c r="C522" s="4" t="s">
        <v>1263</v>
      </c>
      <c r="D522" s="2">
        <f t="shared" si="521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ref="W522:AH522" si="528">IF(OR((SLOPE($E522:$V522,$E$1:$V$1)*W$1+INTERCEPT($E522:$V522,$E$1:$V$1))&gt;(AVERAGE($E522:$V522)+_xlfn.STDEV.P($E522:$V522)),(SLOPE($E522:$V522,$E$1:$V$1)*W$1+INTERCEPT($E522:$V522,$E$1:$V$1))&lt;(AVERAGE($E522:$V522)-_xlfn.STDEV.P($E522:$V522))),V522,(SLOPE($E522:$V522,$E$1:$V$1)*W$1+INTERCEPT($E522:$V522,$E$1:$V$1)))</f>
        <v>881.51884415507448</v>
      </c>
      <c r="X522" s="5">
        <f t="shared" si="528"/>
        <v>15.302938981621992</v>
      </c>
      <c r="Y522" s="5">
        <f t="shared" si="528"/>
        <v>-850.91296619183413</v>
      </c>
      <c r="Z522" s="5">
        <f t="shared" si="528"/>
        <v>-1717.1288713652866</v>
      </c>
      <c r="AA522" s="5">
        <f t="shared" si="528"/>
        <v>-2583.3447765387391</v>
      </c>
      <c r="AB522" s="5">
        <f t="shared" si="528"/>
        <v>-3449.5606817121952</v>
      </c>
      <c r="AC522" s="5">
        <f t="shared" si="528"/>
        <v>-4315.7765868856477</v>
      </c>
      <c r="AD522" s="5">
        <f t="shared" si="528"/>
        <v>-5181.9924920591002</v>
      </c>
      <c r="AE522" s="5">
        <f t="shared" si="528"/>
        <v>-6048.2083972325527</v>
      </c>
      <c r="AF522" s="5">
        <f t="shared" si="528"/>
        <v>-6914.4243024060088</v>
      </c>
      <c r="AG522" s="5">
        <f t="shared" si="528"/>
        <v>-7780.6402075794613</v>
      </c>
      <c r="AH522" s="5">
        <f t="shared" si="528"/>
        <v>-8646.8561127529138</v>
      </c>
    </row>
    <row r="523" spans="1:34" x14ac:dyDescent="0.35">
      <c r="A523" t="s">
        <v>543</v>
      </c>
      <c r="B523" s="3" t="s">
        <v>1264</v>
      </c>
      <c r="C523" s="4" t="s">
        <v>1263</v>
      </c>
      <c r="D523" s="2">
        <f t="shared" si="521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ref="W523:AH523" si="529">IF(OR((SLOPE($E523:$V523,$E$1:$V$1)*W$1+INTERCEPT($E523:$V523,$E$1:$V$1))&gt;(AVERAGE($E523:$V523)+_xlfn.STDEV.P($E523:$V523)),(SLOPE($E523:$V523,$E$1:$V$1)*W$1+INTERCEPT($E523:$V523,$E$1:$V$1))&lt;(AVERAGE($E523:$V523)-_xlfn.STDEV.P($E523:$V523))),V523,(SLOPE($E523:$V523,$E$1:$V$1)*W$1+INTERCEPT($E523:$V523,$E$1:$V$1)))</f>
        <v>17428.929726351678</v>
      </c>
      <c r="X523" s="5">
        <f t="shared" si="529"/>
        <v>18305.900704005624</v>
      </c>
      <c r="Y523" s="5">
        <f t="shared" si="529"/>
        <v>19182.871681659562</v>
      </c>
      <c r="Z523" s="5">
        <f t="shared" si="529"/>
        <v>20059.842659313508</v>
      </c>
      <c r="AA523" s="5">
        <f t="shared" si="529"/>
        <v>20936.813636967447</v>
      </c>
      <c r="AB523" s="5">
        <f t="shared" si="529"/>
        <v>21813.784614621392</v>
      </c>
      <c r="AC523" s="5">
        <f t="shared" si="529"/>
        <v>22690.755592275331</v>
      </c>
      <c r="AD523" s="5">
        <f t="shared" si="529"/>
        <v>23567.726569929277</v>
      </c>
      <c r="AE523" s="5">
        <f t="shared" si="529"/>
        <v>23567.726569929277</v>
      </c>
      <c r="AF523" s="5">
        <f t="shared" si="529"/>
        <v>23567.726569929277</v>
      </c>
      <c r="AG523" s="5">
        <f t="shared" si="529"/>
        <v>23567.726569929277</v>
      </c>
      <c r="AH523" s="5">
        <f t="shared" si="529"/>
        <v>23567.726569929277</v>
      </c>
    </row>
    <row r="524" spans="1:34" x14ac:dyDescent="0.35">
      <c r="A524" t="s">
        <v>544</v>
      </c>
      <c r="B524" s="3" t="s">
        <v>1266</v>
      </c>
      <c r="C524" s="4" t="s">
        <v>1267</v>
      </c>
      <c r="D524" s="2">
        <f t="shared" si="521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ref="W524:AH524" si="530">IF(OR((SLOPE($E524:$V524,$E$1:$V$1)*W$1+INTERCEPT($E524:$V524,$E$1:$V$1))&gt;(AVERAGE($E524:$V524)+_xlfn.STDEV.P($E524:$V524)),(SLOPE($E524:$V524,$E$1:$V$1)*W$1+INTERCEPT($E524:$V524,$E$1:$V$1))&lt;(AVERAGE($E524:$V524)-_xlfn.STDEV.P($E524:$V524))),V524,(SLOPE($E524:$V524,$E$1:$V$1)*W$1+INTERCEPT($E524:$V524,$E$1:$V$1)))</f>
        <v>4356.3986111467184</v>
      </c>
      <c r="X524" s="5">
        <f t="shared" si="530"/>
        <v>3861.1123721309996</v>
      </c>
      <c r="Y524" s="5">
        <f t="shared" si="530"/>
        <v>3365.8261331152826</v>
      </c>
      <c r="Z524" s="5">
        <f t="shared" si="530"/>
        <v>2870.5398940995638</v>
      </c>
      <c r="AA524" s="5">
        <f t="shared" si="530"/>
        <v>2375.2536550838449</v>
      </c>
      <c r="AB524" s="5">
        <f t="shared" si="530"/>
        <v>1879.9674160681261</v>
      </c>
      <c r="AC524" s="5">
        <f t="shared" si="530"/>
        <v>1384.6811770524073</v>
      </c>
      <c r="AD524" s="5">
        <f t="shared" si="530"/>
        <v>889.39493803669029</v>
      </c>
      <c r="AE524" s="5">
        <f t="shared" si="530"/>
        <v>394.10869902097147</v>
      </c>
      <c r="AF524" s="5">
        <f t="shared" si="530"/>
        <v>-101.17753999474735</v>
      </c>
      <c r="AG524" s="5">
        <f t="shared" si="530"/>
        <v>-596.46377901046617</v>
      </c>
      <c r="AH524" s="5">
        <f t="shared" si="530"/>
        <v>-1091.7500180261832</v>
      </c>
    </row>
    <row r="525" spans="1:34" x14ac:dyDescent="0.35">
      <c r="A525" t="s">
        <v>545</v>
      </c>
      <c r="B525" s="3" t="s">
        <v>1262</v>
      </c>
      <c r="C525" s="4" t="s">
        <v>1263</v>
      </c>
      <c r="D525" s="2">
        <f t="shared" si="521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ref="W525:AH525" si="531">IF(OR((SLOPE($E525:$V525,$E$1:$V$1)*W$1+INTERCEPT($E525:$V525,$E$1:$V$1))&gt;(AVERAGE($E525:$V525)+_xlfn.STDEV.P($E525:$V525)),(SLOPE($E525:$V525,$E$1:$V$1)*W$1+INTERCEPT($E525:$V525,$E$1:$V$1))&lt;(AVERAGE($E525:$V525)-_xlfn.STDEV.P($E525:$V525))),V525,(SLOPE($E525:$V525,$E$1:$V$1)*W$1+INTERCEPT($E525:$V525,$E$1:$V$1)))</f>
        <v>29707.567267202117</v>
      </c>
      <c r="X525" s="5">
        <f t="shared" si="531"/>
        <v>31885.377649572198</v>
      </c>
      <c r="Y525" s="5">
        <f t="shared" si="531"/>
        <v>34063.188031942278</v>
      </c>
      <c r="Z525" s="5">
        <f t="shared" si="531"/>
        <v>36240.998414312358</v>
      </c>
      <c r="AA525" s="5">
        <f t="shared" si="531"/>
        <v>38418.808796682439</v>
      </c>
      <c r="AB525" s="5">
        <f t="shared" si="531"/>
        <v>40596.619179052512</v>
      </c>
      <c r="AC525" s="5">
        <f t="shared" si="531"/>
        <v>42774.429561422592</v>
      </c>
      <c r="AD525" s="5">
        <f t="shared" si="531"/>
        <v>44952.239943792672</v>
      </c>
      <c r="AE525" s="5">
        <f t="shared" si="531"/>
        <v>44952.239943792672</v>
      </c>
      <c r="AF525" s="5">
        <f t="shared" si="531"/>
        <v>44952.239943792672</v>
      </c>
      <c r="AG525" s="5">
        <f t="shared" si="531"/>
        <v>44952.239943792672</v>
      </c>
      <c r="AH525" s="5">
        <f t="shared" si="531"/>
        <v>44952.239943792672</v>
      </c>
    </row>
    <row r="526" spans="1:34" x14ac:dyDescent="0.35">
      <c r="A526" t="s">
        <v>546</v>
      </c>
      <c r="B526" s="3" t="s">
        <v>1265</v>
      </c>
      <c r="C526" s="4" t="s">
        <v>1263</v>
      </c>
      <c r="D526" s="2">
        <f t="shared" si="521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ref="W526:AH526" si="532">IF(OR((SLOPE($E526:$V526,$E$1:$V$1)*W$1+INTERCEPT($E526:$V526,$E$1:$V$1))&gt;(AVERAGE($E526:$V526)+_xlfn.STDEV.P($E526:$V526)),(SLOPE($E526:$V526,$E$1:$V$1)*W$1+INTERCEPT($E526:$V526,$E$1:$V$1))&lt;(AVERAGE($E526:$V526)-_xlfn.STDEV.P($E526:$V526))),V526,(SLOPE($E526:$V526,$E$1:$V$1)*W$1+INTERCEPT($E526:$V526,$E$1:$V$1)))</f>
        <v>13594.4424</v>
      </c>
      <c r="X526" s="5">
        <f t="shared" si="532"/>
        <v>13594.4424</v>
      </c>
      <c r="Y526" s="5">
        <f t="shared" si="532"/>
        <v>13594.4424</v>
      </c>
      <c r="Z526" s="5">
        <f t="shared" si="532"/>
        <v>13594.4424</v>
      </c>
      <c r="AA526" s="5">
        <f t="shared" si="532"/>
        <v>13594.4424</v>
      </c>
      <c r="AB526" s="5">
        <f t="shared" si="532"/>
        <v>13594.4424</v>
      </c>
      <c r="AC526" s="5">
        <f t="shared" si="532"/>
        <v>13594.4424</v>
      </c>
      <c r="AD526" s="5">
        <f t="shared" si="532"/>
        <v>13594.4424</v>
      </c>
      <c r="AE526" s="5">
        <f t="shared" si="532"/>
        <v>13594.4424</v>
      </c>
      <c r="AF526" s="5">
        <f t="shared" si="532"/>
        <v>13594.4424</v>
      </c>
      <c r="AG526" s="5">
        <f t="shared" si="532"/>
        <v>13594.4424</v>
      </c>
      <c r="AH526" s="5">
        <f t="shared" si="532"/>
        <v>13594.4424</v>
      </c>
    </row>
    <row r="527" spans="1:34" x14ac:dyDescent="0.35">
      <c r="A527" t="s">
        <v>547</v>
      </c>
      <c r="B527" s="3" t="s">
        <v>1266</v>
      </c>
      <c r="C527" s="4" t="s">
        <v>1263</v>
      </c>
      <c r="D527" s="2">
        <f t="shared" si="521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ref="W527:AH527" si="533">IF(OR((SLOPE($E527:$V527,$E$1:$V$1)*W$1+INTERCEPT($E527:$V527,$E$1:$V$1))&gt;(AVERAGE($E527:$V527)+_xlfn.STDEV.P($E527:$V527)),(SLOPE($E527:$V527,$E$1:$V$1)*W$1+INTERCEPT($E527:$V527,$E$1:$V$1))&lt;(AVERAGE($E527:$V527)-_xlfn.STDEV.P($E527:$V527))),V527,(SLOPE($E527:$V527,$E$1:$V$1)*W$1+INTERCEPT($E527:$V527,$E$1:$V$1)))</f>
        <v>7768.7955964614575</v>
      </c>
      <c r="X527" s="5">
        <f t="shared" si="533"/>
        <v>7649.0394588084946</v>
      </c>
      <c r="Y527" s="5">
        <f t="shared" si="533"/>
        <v>7529.2833211555308</v>
      </c>
      <c r="Z527" s="5">
        <f t="shared" si="533"/>
        <v>7409.5271835025669</v>
      </c>
      <c r="AA527" s="5">
        <f t="shared" si="533"/>
        <v>7289.771045849604</v>
      </c>
      <c r="AB527" s="5">
        <f t="shared" si="533"/>
        <v>7170.014908196641</v>
      </c>
      <c r="AC527" s="5">
        <f t="shared" si="533"/>
        <v>7050.2587705436781</v>
      </c>
      <c r="AD527" s="5">
        <f t="shared" si="533"/>
        <v>6930.5026328907143</v>
      </c>
      <c r="AE527" s="5">
        <f t="shared" si="533"/>
        <v>6810.7464952377504</v>
      </c>
      <c r="AF527" s="5">
        <f t="shared" si="533"/>
        <v>6690.9903575847875</v>
      </c>
      <c r="AG527" s="5">
        <f t="shared" si="533"/>
        <v>6571.2342199318246</v>
      </c>
      <c r="AH527" s="5">
        <f t="shared" si="533"/>
        <v>6451.4780822788616</v>
      </c>
    </row>
    <row r="528" spans="1:34" x14ac:dyDescent="0.35">
      <c r="A528" t="s">
        <v>548</v>
      </c>
      <c r="B528" s="3" t="s">
        <v>1262</v>
      </c>
      <c r="C528" s="4" t="s">
        <v>1263</v>
      </c>
      <c r="D528" s="2">
        <f t="shared" si="521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ref="W528:AH528" si="534">IF(OR((SLOPE($E528:$V528,$E$1:$V$1)*W$1+INTERCEPT($E528:$V528,$E$1:$V$1))&gt;(AVERAGE($E528:$V528)+_xlfn.STDEV.P($E528:$V528)),(SLOPE($E528:$V528,$E$1:$V$1)*W$1+INTERCEPT($E528:$V528,$E$1:$V$1))&lt;(AVERAGE($E528:$V528)-_xlfn.STDEV.P($E528:$V528))),V528,(SLOPE($E528:$V528,$E$1:$V$1)*W$1+INTERCEPT($E528:$V528,$E$1:$V$1)))</f>
        <v>21555.170815028538</v>
      </c>
      <c r="X528" s="5">
        <f t="shared" si="534"/>
        <v>22887.3776127694</v>
      </c>
      <c r="Y528" s="5">
        <f t="shared" si="534"/>
        <v>24219.584410510262</v>
      </c>
      <c r="Z528" s="5">
        <f t="shared" si="534"/>
        <v>25551.791208251125</v>
      </c>
      <c r="AA528" s="5">
        <f t="shared" si="534"/>
        <v>26883.998005991987</v>
      </c>
      <c r="AB528" s="5">
        <f t="shared" si="534"/>
        <v>28216.20480373285</v>
      </c>
      <c r="AC528" s="5">
        <f t="shared" si="534"/>
        <v>29548.411601473708</v>
      </c>
      <c r="AD528" s="5">
        <f t="shared" si="534"/>
        <v>30880.618399214574</v>
      </c>
      <c r="AE528" s="5">
        <f t="shared" si="534"/>
        <v>32212.825196955433</v>
      </c>
      <c r="AF528" s="5">
        <f t="shared" si="534"/>
        <v>33545.031994696292</v>
      </c>
      <c r="AG528" s="5">
        <f t="shared" si="534"/>
        <v>33545.031994696292</v>
      </c>
      <c r="AH528" s="5">
        <f t="shared" si="534"/>
        <v>33545.031994696292</v>
      </c>
    </row>
    <row r="529" spans="1:34" x14ac:dyDescent="0.35">
      <c r="A529" t="s">
        <v>549</v>
      </c>
      <c r="B529" s="3" t="s">
        <v>1265</v>
      </c>
      <c r="C529" s="4" t="s">
        <v>1263</v>
      </c>
      <c r="D529" s="2">
        <f t="shared" si="521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ref="W529:AH529" si="535">IF(OR((SLOPE($E529:$V529,$E$1:$V$1)*W$1+INTERCEPT($E529:$V529,$E$1:$V$1))&gt;(AVERAGE($E529:$V529)+_xlfn.STDEV.P($E529:$V529)),(SLOPE($E529:$V529,$E$1:$V$1)*W$1+INTERCEPT($E529:$V529,$E$1:$V$1))&lt;(AVERAGE($E529:$V529)-_xlfn.STDEV.P($E529:$V529))),V529,(SLOPE($E529:$V529,$E$1:$V$1)*W$1+INTERCEPT($E529:$V529,$E$1:$V$1)))</f>
        <v>27498.171781584006</v>
      </c>
      <c r="X529" s="5">
        <f t="shared" si="535"/>
        <v>27498.171781584006</v>
      </c>
      <c r="Y529" s="5">
        <f t="shared" si="535"/>
        <v>27498.171781584006</v>
      </c>
      <c r="Z529" s="5">
        <f t="shared" si="535"/>
        <v>27498.171781584006</v>
      </c>
      <c r="AA529" s="5">
        <f t="shared" si="535"/>
        <v>27498.171781584006</v>
      </c>
      <c r="AB529" s="5">
        <f t="shared" si="535"/>
        <v>27498.171781584006</v>
      </c>
      <c r="AC529" s="5">
        <f t="shared" si="535"/>
        <v>27498.171781584006</v>
      </c>
      <c r="AD529" s="5">
        <f t="shared" si="535"/>
        <v>27498.171781584006</v>
      </c>
      <c r="AE529" s="5">
        <f t="shared" si="535"/>
        <v>27498.171781584006</v>
      </c>
      <c r="AF529" s="5">
        <f t="shared" si="535"/>
        <v>27498.171781584006</v>
      </c>
      <c r="AG529" s="5">
        <f t="shared" si="535"/>
        <v>27498.171781584006</v>
      </c>
      <c r="AH529" s="5">
        <f t="shared" si="535"/>
        <v>27498.171781584006</v>
      </c>
    </row>
    <row r="530" spans="1:34" x14ac:dyDescent="0.35">
      <c r="A530" t="s">
        <v>550</v>
      </c>
      <c r="B530" s="3" t="s">
        <v>1265</v>
      </c>
      <c r="C530" s="4" t="s">
        <v>1263</v>
      </c>
      <c r="D530" s="2">
        <f t="shared" si="521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ref="W530:AH530" si="536">IF(OR((SLOPE($E530:$V530,$E$1:$V$1)*W$1+INTERCEPT($E530:$V530,$E$1:$V$1))&gt;(AVERAGE($E530:$V530)+_xlfn.STDEV.P($E530:$V530)),(SLOPE($E530:$V530,$E$1:$V$1)*W$1+INTERCEPT($E530:$V530,$E$1:$V$1))&lt;(AVERAGE($E530:$V530)-_xlfn.STDEV.P($E530:$V530))),V530,(SLOPE($E530:$V530,$E$1:$V$1)*W$1+INTERCEPT($E530:$V530,$E$1:$V$1)))</f>
        <v>10526.010989136688</v>
      </c>
      <c r="X530" s="5">
        <f t="shared" si="536"/>
        <v>10734.436607600828</v>
      </c>
      <c r="Y530" s="5">
        <f t="shared" si="536"/>
        <v>10942.862226064966</v>
      </c>
      <c r="Z530" s="5">
        <f t="shared" si="536"/>
        <v>11151.287844529106</v>
      </c>
      <c r="AA530" s="5">
        <f t="shared" si="536"/>
        <v>11359.713462993244</v>
      </c>
      <c r="AB530" s="5">
        <f t="shared" si="536"/>
        <v>11568.139081457382</v>
      </c>
      <c r="AC530" s="5">
        <f t="shared" si="536"/>
        <v>11776.564699921521</v>
      </c>
      <c r="AD530" s="5">
        <f t="shared" si="536"/>
        <v>11984.99031838566</v>
      </c>
      <c r="AE530" s="5">
        <f t="shared" si="536"/>
        <v>12193.4159368498</v>
      </c>
      <c r="AF530" s="5">
        <f t="shared" si="536"/>
        <v>12401.841555313938</v>
      </c>
      <c r="AG530" s="5">
        <f t="shared" si="536"/>
        <v>12610.267173778077</v>
      </c>
      <c r="AH530" s="5">
        <f t="shared" si="536"/>
        <v>12818.692792242215</v>
      </c>
    </row>
    <row r="531" spans="1:34" x14ac:dyDescent="0.35">
      <c r="A531" t="s">
        <v>551</v>
      </c>
      <c r="B531" s="3" t="s">
        <v>1266</v>
      </c>
      <c r="C531" s="4" t="s">
        <v>1263</v>
      </c>
      <c r="D531" s="2">
        <f t="shared" si="521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ref="W531:AH531" si="537">IF(OR((SLOPE($E531:$V531,$E$1:$V$1)*W$1+INTERCEPT($E531:$V531,$E$1:$V$1))&gt;(AVERAGE($E531:$V531)+_xlfn.STDEV.P($E531:$V531)),(SLOPE($E531:$V531,$E$1:$V$1)*W$1+INTERCEPT($E531:$V531,$E$1:$V$1))&lt;(AVERAGE($E531:$V531)-_xlfn.STDEV.P($E531:$V531))),V531,(SLOPE($E531:$V531,$E$1:$V$1)*W$1+INTERCEPT($E531:$V531,$E$1:$V$1)))</f>
        <v>5662.0279247478593</v>
      </c>
      <c r="X531" s="5">
        <f t="shared" si="537"/>
        <v>5343.1151847112587</v>
      </c>
      <c r="Y531" s="5">
        <f t="shared" si="537"/>
        <v>5024.2024446746573</v>
      </c>
      <c r="Z531" s="5">
        <f t="shared" si="537"/>
        <v>4705.2897046380567</v>
      </c>
      <c r="AA531" s="5">
        <f t="shared" si="537"/>
        <v>4386.3769646014553</v>
      </c>
      <c r="AB531" s="5">
        <f t="shared" si="537"/>
        <v>4067.4642245648538</v>
      </c>
      <c r="AC531" s="5">
        <f t="shared" si="537"/>
        <v>3748.5514845282532</v>
      </c>
      <c r="AD531" s="5">
        <f t="shared" si="537"/>
        <v>3429.6387444916527</v>
      </c>
      <c r="AE531" s="5">
        <f t="shared" si="537"/>
        <v>3110.7260044550512</v>
      </c>
      <c r="AF531" s="5">
        <f t="shared" si="537"/>
        <v>2791.8132644184498</v>
      </c>
      <c r="AG531" s="5">
        <f t="shared" si="537"/>
        <v>2472.9005243818483</v>
      </c>
      <c r="AH531" s="5">
        <f t="shared" si="537"/>
        <v>2153.9877843452487</v>
      </c>
    </row>
    <row r="532" spans="1:34" x14ac:dyDescent="0.35">
      <c r="A532" t="s">
        <v>552</v>
      </c>
      <c r="B532" s="3" t="s">
        <v>1266</v>
      </c>
      <c r="C532" s="4" t="s">
        <v>1263</v>
      </c>
      <c r="D532" s="2">
        <f t="shared" si="521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ref="W532:AH532" si="538">IF(OR((SLOPE($E532:$V532,$E$1:$V$1)*W$1+INTERCEPT($E532:$V532,$E$1:$V$1))&gt;(AVERAGE($E532:$V532)+_xlfn.STDEV.P($E532:$V532)),(SLOPE($E532:$V532,$E$1:$V$1)*W$1+INTERCEPT($E532:$V532,$E$1:$V$1))&lt;(AVERAGE($E532:$V532)-_xlfn.STDEV.P($E532:$V532))),V532,(SLOPE($E532:$V532,$E$1:$V$1)*W$1+INTERCEPT($E532:$V532,$E$1:$V$1)))</f>
        <v>-8129.3787073821877</v>
      </c>
      <c r="X532" s="5">
        <f t="shared" si="538"/>
        <v>-9894.3096109585822</v>
      </c>
      <c r="Y532" s="5">
        <f t="shared" si="538"/>
        <v>-11659.240514534977</v>
      </c>
      <c r="Z532" s="5">
        <f t="shared" si="538"/>
        <v>-13424.171418111378</v>
      </c>
      <c r="AA532" s="5">
        <f t="shared" si="538"/>
        <v>-15189.102321687773</v>
      </c>
      <c r="AB532" s="5">
        <f t="shared" si="538"/>
        <v>-16954.033225264167</v>
      </c>
      <c r="AC532" s="5">
        <f t="shared" si="538"/>
        <v>-18718.964128840562</v>
      </c>
      <c r="AD532" s="5">
        <f t="shared" si="538"/>
        <v>-20483.895032416956</v>
      </c>
      <c r="AE532" s="5">
        <f t="shared" si="538"/>
        <v>-22248.825935993358</v>
      </c>
      <c r="AF532" s="5">
        <f t="shared" si="538"/>
        <v>-24013.756839569753</v>
      </c>
      <c r="AG532" s="5">
        <f t="shared" si="538"/>
        <v>-25778.687743146147</v>
      </c>
      <c r="AH532" s="5">
        <f t="shared" si="538"/>
        <v>-25778.687743146147</v>
      </c>
    </row>
    <row r="533" spans="1:34" x14ac:dyDescent="0.35">
      <c r="A533" t="s">
        <v>553</v>
      </c>
      <c r="B533" s="3" t="s">
        <v>1266</v>
      </c>
      <c r="C533" s="4" t="s">
        <v>1263</v>
      </c>
      <c r="D533" s="2">
        <f t="shared" si="521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H533" si="539">IF(OR((SLOPE($E533:$V533,$E$1:$V$1)*W$1+INTERCEPT($E533:$V533,$E$1:$V$1))&gt;(AVERAGE($E533:$V533)+_xlfn.STDEV.P($E533:$V533)),(SLOPE($E533:$V533,$E$1:$V$1)*W$1+INTERCEPT($E533:$V533,$E$1:$V$1))&lt;(AVERAGE($E533:$V533)-_xlfn.STDEV.P($E533:$V533))),V533,(SLOPE($E533:$V533,$E$1:$V$1)*W$1+INTERCEPT($E533:$V533,$E$1:$V$1)))</f>
        <v>11398.045379963982</v>
      </c>
      <c r="X533" s="5">
        <f t="shared" si="539"/>
        <v>11689.274140016974</v>
      </c>
      <c r="Y533" s="5">
        <f t="shared" si="539"/>
        <v>11980.502900069967</v>
      </c>
      <c r="Z533" s="5">
        <f t="shared" si="539"/>
        <v>12271.73166012296</v>
      </c>
      <c r="AA533" s="5">
        <f t="shared" si="539"/>
        <v>12562.960420175952</v>
      </c>
      <c r="AB533" s="5">
        <f t="shared" si="539"/>
        <v>12854.189180228945</v>
      </c>
      <c r="AC533" s="5">
        <f t="shared" si="539"/>
        <v>13145.417940281937</v>
      </c>
      <c r="AD533" s="5">
        <f t="shared" si="539"/>
        <v>13436.64670033493</v>
      </c>
      <c r="AE533" s="5">
        <f t="shared" si="539"/>
        <v>13727.875460387922</v>
      </c>
      <c r="AF533" s="5">
        <f t="shared" si="539"/>
        <v>14019.104220440915</v>
      </c>
      <c r="AG533" s="5">
        <f t="shared" si="539"/>
        <v>14310.332980493908</v>
      </c>
      <c r="AH533" s="5">
        <f t="shared" si="539"/>
        <v>14601.5617405469</v>
      </c>
    </row>
    <row r="534" spans="1:34" x14ac:dyDescent="0.35">
      <c r="A534" t="s">
        <v>554</v>
      </c>
      <c r="B534" s="3" t="s">
        <v>1266</v>
      </c>
      <c r="C534" s="4" t="s">
        <v>1267</v>
      </c>
      <c r="D534" s="2">
        <f t="shared" si="521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ref="W534:AH534" si="540">IF(OR((SLOPE($E534:$V534,$E$1:$V$1)*W$1+INTERCEPT($E534:$V534,$E$1:$V$1))&gt;(AVERAGE($E534:$V534)+_xlfn.STDEV.P($E534:$V534)),(SLOPE($E534:$V534,$E$1:$V$1)*W$1+INTERCEPT($E534:$V534,$E$1:$V$1))&lt;(AVERAGE($E534:$V534)-_xlfn.STDEV.P($E534:$V534))),V534,(SLOPE($E534:$V534,$E$1:$V$1)*W$1+INTERCEPT($E534:$V534,$E$1:$V$1)))</f>
        <v>13190.095261745113</v>
      </c>
      <c r="X534" s="5">
        <f t="shared" si="540"/>
        <v>13670.706020270238</v>
      </c>
      <c r="Y534" s="5">
        <f t="shared" si="540"/>
        <v>14151.316778795363</v>
      </c>
      <c r="Z534" s="5">
        <f t="shared" si="540"/>
        <v>14631.927537320489</v>
      </c>
      <c r="AA534" s="5">
        <f t="shared" si="540"/>
        <v>15112.538295845614</v>
      </c>
      <c r="AB534" s="5">
        <f t="shared" si="540"/>
        <v>15593.149054370739</v>
      </c>
      <c r="AC534" s="5">
        <f t="shared" si="540"/>
        <v>16073.759812895865</v>
      </c>
      <c r="AD534" s="5">
        <f t="shared" si="540"/>
        <v>16554.37057142099</v>
      </c>
      <c r="AE534" s="5">
        <f t="shared" si="540"/>
        <v>17034.981329946117</v>
      </c>
      <c r="AF534" s="5">
        <f t="shared" si="540"/>
        <v>17515.59208847124</v>
      </c>
      <c r="AG534" s="5">
        <f t="shared" si="540"/>
        <v>17996.202846996366</v>
      </c>
      <c r="AH534" s="5">
        <f t="shared" si="540"/>
        <v>18476.813605521493</v>
      </c>
    </row>
    <row r="535" spans="1:34" x14ac:dyDescent="0.35">
      <c r="A535" t="s">
        <v>555</v>
      </c>
      <c r="B535" s="3" t="s">
        <v>1264</v>
      </c>
      <c r="C535" s="4" t="s">
        <v>1263</v>
      </c>
      <c r="D535" s="2">
        <f t="shared" si="521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ref="W535:AH535" si="541">IF(OR((SLOPE($E535:$V535,$E$1:$V$1)*W$1+INTERCEPT($E535:$V535,$E$1:$V$1))&gt;(AVERAGE($E535:$V535)+_xlfn.STDEV.P($E535:$V535)),(SLOPE($E535:$V535,$E$1:$V$1)*W$1+INTERCEPT($E535:$V535,$E$1:$V$1))&lt;(AVERAGE($E535:$V535)-_xlfn.STDEV.P($E535:$V535))),V535,(SLOPE($E535:$V535,$E$1:$V$1)*W$1+INTERCEPT($E535:$V535,$E$1:$V$1)))</f>
        <v>0</v>
      </c>
      <c r="X535" s="5">
        <f t="shared" si="541"/>
        <v>0</v>
      </c>
      <c r="Y535" s="5">
        <f t="shared" si="541"/>
        <v>0</v>
      </c>
      <c r="Z535" s="5">
        <f t="shared" si="541"/>
        <v>0</v>
      </c>
      <c r="AA535" s="5">
        <f t="shared" si="541"/>
        <v>0</v>
      </c>
      <c r="AB535" s="5">
        <f t="shared" si="541"/>
        <v>0</v>
      </c>
      <c r="AC535" s="5">
        <f t="shared" si="541"/>
        <v>0</v>
      </c>
      <c r="AD535" s="5">
        <f t="shared" si="541"/>
        <v>0</v>
      </c>
      <c r="AE535" s="5">
        <f t="shared" si="541"/>
        <v>0</v>
      </c>
      <c r="AF535" s="5">
        <f t="shared" si="541"/>
        <v>0</v>
      </c>
      <c r="AG535" s="5">
        <f t="shared" si="541"/>
        <v>0</v>
      </c>
      <c r="AH535" s="5">
        <f t="shared" si="541"/>
        <v>0</v>
      </c>
    </row>
    <row r="536" spans="1:34" x14ac:dyDescent="0.35">
      <c r="A536" t="s">
        <v>556</v>
      </c>
      <c r="B536" s="3" t="s">
        <v>1265</v>
      </c>
      <c r="C536" s="4" t="s">
        <v>1263</v>
      </c>
      <c r="D536" s="2">
        <f t="shared" si="521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ref="W536:AH536" si="542">IF(OR((SLOPE($E536:$V536,$E$1:$V$1)*W$1+INTERCEPT($E536:$V536,$E$1:$V$1))&gt;(AVERAGE($E536:$V536)+_xlfn.STDEV.P($E536:$V536)),(SLOPE($E536:$V536,$E$1:$V$1)*W$1+INTERCEPT($E536:$V536,$E$1:$V$1))&lt;(AVERAGE($E536:$V536)-_xlfn.STDEV.P($E536:$V536))),V536,(SLOPE($E536:$V536,$E$1:$V$1)*W$1+INTERCEPT($E536:$V536,$E$1:$V$1)))</f>
        <v>25506.129490196079</v>
      </c>
      <c r="X536" s="5">
        <f t="shared" si="542"/>
        <v>27309.377226006189</v>
      </c>
      <c r="Y536" s="5">
        <f t="shared" si="542"/>
        <v>29112.624961816306</v>
      </c>
      <c r="Z536" s="5">
        <f t="shared" si="542"/>
        <v>29112.624961816306</v>
      </c>
      <c r="AA536" s="5">
        <f t="shared" si="542"/>
        <v>29112.624961816306</v>
      </c>
      <c r="AB536" s="5">
        <f t="shared" si="542"/>
        <v>29112.624961816306</v>
      </c>
      <c r="AC536" s="5">
        <f t="shared" si="542"/>
        <v>29112.624961816306</v>
      </c>
      <c r="AD536" s="5">
        <f t="shared" si="542"/>
        <v>29112.624961816306</v>
      </c>
      <c r="AE536" s="5">
        <f t="shared" si="542"/>
        <v>29112.624961816306</v>
      </c>
      <c r="AF536" s="5">
        <f t="shared" si="542"/>
        <v>29112.624961816306</v>
      </c>
      <c r="AG536" s="5">
        <f t="shared" si="542"/>
        <v>29112.624961816306</v>
      </c>
      <c r="AH536" s="5">
        <f t="shared" si="542"/>
        <v>29112.624961816306</v>
      </c>
    </row>
    <row r="537" spans="1:34" x14ac:dyDescent="0.35">
      <c r="A537" t="s">
        <v>557</v>
      </c>
      <c r="B537" s="3" t="s">
        <v>1266</v>
      </c>
      <c r="C537" s="4" t="s">
        <v>1267</v>
      </c>
      <c r="D537" s="2">
        <f t="shared" si="521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ref="W537:AH537" si="543">IF(OR((SLOPE($E537:$V537,$E$1:$V$1)*W$1+INTERCEPT($E537:$V537,$E$1:$V$1))&gt;(AVERAGE($E537:$V537)+_xlfn.STDEV.P($E537:$V537)),(SLOPE($E537:$V537,$E$1:$V$1)*W$1+INTERCEPT($E537:$V537,$E$1:$V$1))&lt;(AVERAGE($E537:$V537)-_xlfn.STDEV.P($E537:$V537))),V537,(SLOPE($E537:$V537,$E$1:$V$1)*W$1+INTERCEPT($E537:$V537,$E$1:$V$1)))</f>
        <v>22062.113671019713</v>
      </c>
      <c r="X537" s="5">
        <f t="shared" si="543"/>
        <v>23487.178429674099</v>
      </c>
      <c r="Y537" s="5">
        <f t="shared" si="543"/>
        <v>24912.243188328481</v>
      </c>
      <c r="Z537" s="5">
        <f t="shared" si="543"/>
        <v>26337.307946982866</v>
      </c>
      <c r="AA537" s="5">
        <f t="shared" si="543"/>
        <v>27762.372705637252</v>
      </c>
      <c r="AB537" s="5">
        <f t="shared" si="543"/>
        <v>29187.43746429163</v>
      </c>
      <c r="AC537" s="5">
        <f t="shared" si="543"/>
        <v>30612.502222946016</v>
      </c>
      <c r="AD537" s="5">
        <f t="shared" si="543"/>
        <v>32037.566981600401</v>
      </c>
      <c r="AE537" s="5">
        <f t="shared" si="543"/>
        <v>33462.631740254779</v>
      </c>
      <c r="AF537" s="5">
        <f t="shared" si="543"/>
        <v>34887.696498909165</v>
      </c>
      <c r="AG537" s="5">
        <f t="shared" si="543"/>
        <v>36312.76125756355</v>
      </c>
      <c r="AH537" s="5">
        <f t="shared" si="543"/>
        <v>37737.826016217936</v>
      </c>
    </row>
    <row r="538" spans="1:34" x14ac:dyDescent="0.35">
      <c r="A538" t="s">
        <v>558</v>
      </c>
      <c r="B538" s="3" t="s">
        <v>1266</v>
      </c>
      <c r="C538" s="4" t="s">
        <v>1267</v>
      </c>
      <c r="D538" s="2">
        <f t="shared" si="521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ref="W538:AH538" si="544">IF(OR((SLOPE($E538:$V538,$E$1:$V$1)*W$1+INTERCEPT($E538:$V538,$E$1:$V$1))&gt;(AVERAGE($E538:$V538)+_xlfn.STDEV.P($E538:$V538)),(SLOPE($E538:$V538,$E$1:$V$1)*W$1+INTERCEPT($E538:$V538,$E$1:$V$1))&lt;(AVERAGE($E538:$V538)-_xlfn.STDEV.P($E538:$V538))),V538,(SLOPE($E538:$V538,$E$1:$V$1)*W$1+INTERCEPT($E538:$V538,$E$1:$V$1)))</f>
        <v>7850.4614160166047</v>
      </c>
      <c r="X538" s="5">
        <f t="shared" si="544"/>
        <v>7785.9840011066226</v>
      </c>
      <c r="Y538" s="5">
        <f t="shared" si="544"/>
        <v>7721.5065861966414</v>
      </c>
      <c r="Z538" s="5">
        <f t="shared" si="544"/>
        <v>7657.0291712866601</v>
      </c>
      <c r="AA538" s="5">
        <f t="shared" si="544"/>
        <v>7592.5517563766789</v>
      </c>
      <c r="AB538" s="5">
        <f t="shared" si="544"/>
        <v>7528.0743414666968</v>
      </c>
      <c r="AC538" s="5">
        <f t="shared" si="544"/>
        <v>7463.5969265567146</v>
      </c>
      <c r="AD538" s="5">
        <f t="shared" si="544"/>
        <v>7399.1195116467334</v>
      </c>
      <c r="AE538" s="5">
        <f t="shared" si="544"/>
        <v>7334.6420967367521</v>
      </c>
      <c r="AF538" s="5">
        <f t="shared" si="544"/>
        <v>7270.1646818267709</v>
      </c>
      <c r="AG538" s="5">
        <f t="shared" si="544"/>
        <v>7205.6872669167888</v>
      </c>
      <c r="AH538" s="5">
        <f t="shared" si="544"/>
        <v>7141.2098520068075</v>
      </c>
    </row>
    <row r="539" spans="1:34" x14ac:dyDescent="0.35">
      <c r="A539" t="s">
        <v>559</v>
      </c>
      <c r="B539" s="3" t="s">
        <v>1266</v>
      </c>
      <c r="C539" s="4" t="s">
        <v>1263</v>
      </c>
      <c r="D539" s="2">
        <f t="shared" si="521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ref="W539:AH539" si="545">IF(OR((SLOPE($E539:$V539,$E$1:$V$1)*W$1+INTERCEPT($E539:$V539,$E$1:$V$1))&gt;(AVERAGE($E539:$V539)+_xlfn.STDEV.P($E539:$V539)),(SLOPE($E539:$V539,$E$1:$V$1)*W$1+INTERCEPT($E539:$V539,$E$1:$V$1))&lt;(AVERAGE($E539:$V539)-_xlfn.STDEV.P($E539:$V539))),V539,(SLOPE($E539:$V539,$E$1:$V$1)*W$1+INTERCEPT($E539:$V539,$E$1:$V$1)))</f>
        <v>-15807.482243137252</v>
      </c>
      <c r="X539" s="5">
        <f t="shared" si="545"/>
        <v>-15807.482243137252</v>
      </c>
      <c r="Y539" s="5">
        <f t="shared" si="545"/>
        <v>-15807.482243137252</v>
      </c>
      <c r="Z539" s="5">
        <f t="shared" si="545"/>
        <v>-15807.482243137252</v>
      </c>
      <c r="AA539" s="5">
        <f t="shared" si="545"/>
        <v>-15807.482243137252</v>
      </c>
      <c r="AB539" s="5">
        <f t="shared" si="545"/>
        <v>-15807.482243137252</v>
      </c>
      <c r="AC539" s="5">
        <f t="shared" si="545"/>
        <v>-15807.482243137252</v>
      </c>
      <c r="AD539" s="5">
        <f t="shared" si="545"/>
        <v>-15807.482243137252</v>
      </c>
      <c r="AE539" s="5">
        <f t="shared" si="545"/>
        <v>-15807.482243137252</v>
      </c>
      <c r="AF539" s="5">
        <f t="shared" si="545"/>
        <v>-15807.482243137252</v>
      </c>
      <c r="AG539" s="5">
        <f t="shared" si="545"/>
        <v>-15807.482243137252</v>
      </c>
      <c r="AH539" s="5">
        <f t="shared" si="545"/>
        <v>-15807.482243137252</v>
      </c>
    </row>
    <row r="540" spans="1:34" x14ac:dyDescent="0.35">
      <c r="A540" t="s">
        <v>560</v>
      </c>
      <c r="B540" s="3" t="s">
        <v>1266</v>
      </c>
      <c r="C540" s="4" t="s">
        <v>1263</v>
      </c>
      <c r="D540" s="2">
        <f t="shared" si="521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ref="W540:AH540" si="546">IF(OR((SLOPE($E540:$V540,$E$1:$V$1)*W$1+INTERCEPT($E540:$V540,$E$1:$V$1))&gt;(AVERAGE($E540:$V540)+_xlfn.STDEV.P($E540:$V540)),(SLOPE($E540:$V540,$E$1:$V$1)*W$1+INTERCEPT($E540:$V540,$E$1:$V$1))&lt;(AVERAGE($E540:$V540)-_xlfn.STDEV.P($E540:$V540))),V540,(SLOPE($E540:$V540,$E$1:$V$1)*W$1+INTERCEPT($E540:$V540,$E$1:$V$1)))</f>
        <v>23310.937297822813</v>
      </c>
      <c r="X540" s="5">
        <f t="shared" si="546"/>
        <v>24877.610979986195</v>
      </c>
      <c r="Y540" s="5">
        <f t="shared" si="546"/>
        <v>26444.28466214957</v>
      </c>
      <c r="Z540" s="5">
        <f t="shared" si="546"/>
        <v>28010.958344312952</v>
      </c>
      <c r="AA540" s="5">
        <f t="shared" si="546"/>
        <v>29577.632026476334</v>
      </c>
      <c r="AB540" s="5">
        <f t="shared" si="546"/>
        <v>31144.305708639709</v>
      </c>
      <c r="AC540" s="5">
        <f t="shared" si="546"/>
        <v>31144.305708639709</v>
      </c>
      <c r="AD540" s="5">
        <f t="shared" si="546"/>
        <v>31144.305708639709</v>
      </c>
      <c r="AE540" s="5">
        <f t="shared" si="546"/>
        <v>31144.305708639709</v>
      </c>
      <c r="AF540" s="5">
        <f t="shared" si="546"/>
        <v>31144.305708639709</v>
      </c>
      <c r="AG540" s="5">
        <f t="shared" si="546"/>
        <v>31144.305708639709</v>
      </c>
      <c r="AH540" s="5">
        <f t="shared" si="546"/>
        <v>31144.305708639709</v>
      </c>
    </row>
    <row r="541" spans="1:34" x14ac:dyDescent="0.35">
      <c r="A541" t="s">
        <v>561</v>
      </c>
      <c r="B541" s="3" t="s">
        <v>1265</v>
      </c>
      <c r="C541" s="4" t="s">
        <v>1263</v>
      </c>
      <c r="D541" s="2">
        <f t="shared" si="521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ref="W541:AH541" si="547">IF(OR((SLOPE($E541:$V541,$E$1:$V$1)*W$1+INTERCEPT($E541:$V541,$E$1:$V$1))&gt;(AVERAGE($E541:$V541)+_xlfn.STDEV.P($E541:$V541)),(SLOPE($E541:$V541,$E$1:$V$1)*W$1+INTERCEPT($E541:$V541,$E$1:$V$1))&lt;(AVERAGE($E541:$V541)-_xlfn.STDEV.P($E541:$V541))),V541,(SLOPE($E541:$V541,$E$1:$V$1)*W$1+INTERCEPT($E541:$V541,$E$1:$V$1)))</f>
        <v>19380.448178917432</v>
      </c>
      <c r="X541" s="5">
        <f t="shared" si="547"/>
        <v>19380.448178917432</v>
      </c>
      <c r="Y541" s="5">
        <f t="shared" si="547"/>
        <v>19380.448178917432</v>
      </c>
      <c r="Z541" s="5">
        <f t="shared" si="547"/>
        <v>19380.448178917432</v>
      </c>
      <c r="AA541" s="5">
        <f t="shared" si="547"/>
        <v>19380.448178917432</v>
      </c>
      <c r="AB541" s="5">
        <f t="shared" si="547"/>
        <v>19380.448178917432</v>
      </c>
      <c r="AC541" s="5">
        <f t="shared" si="547"/>
        <v>19380.448178917432</v>
      </c>
      <c r="AD541" s="5">
        <f t="shared" si="547"/>
        <v>19380.448178917432</v>
      </c>
      <c r="AE541" s="5">
        <f t="shared" si="547"/>
        <v>19380.448178917432</v>
      </c>
      <c r="AF541" s="5">
        <f t="shared" si="547"/>
        <v>19380.448178917432</v>
      </c>
      <c r="AG541" s="5">
        <f t="shared" si="547"/>
        <v>19380.448178917432</v>
      </c>
      <c r="AH541" s="5">
        <f t="shared" si="547"/>
        <v>19380.448178917432</v>
      </c>
    </row>
    <row r="542" spans="1:34" x14ac:dyDescent="0.35">
      <c r="A542" t="s">
        <v>562</v>
      </c>
      <c r="B542" s="3" t="s">
        <v>1265</v>
      </c>
      <c r="C542" s="4" t="s">
        <v>1263</v>
      </c>
      <c r="D542" s="2">
        <f t="shared" si="521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ref="W542:AH542" si="548">IF(OR((SLOPE($E542:$V542,$E$1:$V$1)*W$1+INTERCEPT($E542:$V542,$E$1:$V$1))&gt;(AVERAGE($E542:$V542)+_xlfn.STDEV.P($E542:$V542)),(SLOPE($E542:$V542,$E$1:$V$1)*W$1+INTERCEPT($E542:$V542,$E$1:$V$1))&lt;(AVERAGE($E542:$V542)-_xlfn.STDEV.P($E542:$V542))),V542,(SLOPE($E542:$V542,$E$1:$V$1)*W$1+INTERCEPT($E542:$V542,$E$1:$V$1)))</f>
        <v>11146.399940989881</v>
      </c>
      <c r="X542" s="5">
        <f t="shared" si="548"/>
        <v>11453.666887742937</v>
      </c>
      <c r="Y542" s="5">
        <f t="shared" si="548"/>
        <v>11760.933834495991</v>
      </c>
      <c r="Z542" s="5">
        <f t="shared" si="548"/>
        <v>11760.933834495991</v>
      </c>
      <c r="AA542" s="5">
        <f t="shared" si="548"/>
        <v>11760.933834495991</v>
      </c>
      <c r="AB542" s="5">
        <f t="shared" si="548"/>
        <v>11760.933834495991</v>
      </c>
      <c r="AC542" s="5">
        <f t="shared" si="548"/>
        <v>11760.933834495991</v>
      </c>
      <c r="AD542" s="5">
        <f t="shared" si="548"/>
        <v>11760.933834495991</v>
      </c>
      <c r="AE542" s="5">
        <f t="shared" si="548"/>
        <v>11760.933834495991</v>
      </c>
      <c r="AF542" s="5">
        <f t="shared" si="548"/>
        <v>11760.933834495991</v>
      </c>
      <c r="AG542" s="5">
        <f t="shared" si="548"/>
        <v>11760.933834495991</v>
      </c>
      <c r="AH542" s="5">
        <f t="shared" si="548"/>
        <v>11760.933834495991</v>
      </c>
    </row>
    <row r="543" spans="1:34" x14ac:dyDescent="0.35">
      <c r="A543" t="s">
        <v>563</v>
      </c>
      <c r="B543" s="3" t="s">
        <v>1266</v>
      </c>
      <c r="C543" s="4" t="s">
        <v>1267</v>
      </c>
      <c r="D543" s="2">
        <f t="shared" si="521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ref="W543:AH543" si="549">IF(OR((SLOPE($E543:$V543,$E$1:$V$1)*W$1+INTERCEPT($E543:$V543,$E$1:$V$1))&gt;(AVERAGE($E543:$V543)+_xlfn.STDEV.P($E543:$V543)),(SLOPE($E543:$V543,$E$1:$V$1)*W$1+INTERCEPT($E543:$V543,$E$1:$V$1))&lt;(AVERAGE($E543:$V543)-_xlfn.STDEV.P($E543:$V543))),V543,(SLOPE($E543:$V543,$E$1:$V$1)*W$1+INTERCEPT($E543:$V543,$E$1:$V$1)))</f>
        <v>14343.144732213637</v>
      </c>
      <c r="X543" s="5">
        <f t="shared" si="549"/>
        <v>14968.303752998749</v>
      </c>
      <c r="Y543" s="5">
        <f t="shared" si="549"/>
        <v>15593.46277378386</v>
      </c>
      <c r="Z543" s="5">
        <f t="shared" si="549"/>
        <v>16218.621794568971</v>
      </c>
      <c r="AA543" s="5">
        <f t="shared" si="549"/>
        <v>16843.780815354083</v>
      </c>
      <c r="AB543" s="5">
        <f t="shared" si="549"/>
        <v>17468.939836139194</v>
      </c>
      <c r="AC543" s="5">
        <f t="shared" si="549"/>
        <v>18094.098856924305</v>
      </c>
      <c r="AD543" s="5">
        <f t="shared" si="549"/>
        <v>18719.257877709417</v>
      </c>
      <c r="AE543" s="5">
        <f t="shared" si="549"/>
        <v>19344.416898494528</v>
      </c>
      <c r="AF543" s="5">
        <f t="shared" si="549"/>
        <v>19969.575919279639</v>
      </c>
      <c r="AG543" s="5">
        <f t="shared" si="549"/>
        <v>20594.734940064751</v>
      </c>
      <c r="AH543" s="5">
        <f t="shared" si="549"/>
        <v>21219.893960849862</v>
      </c>
    </row>
    <row r="544" spans="1:34" x14ac:dyDescent="0.35">
      <c r="A544" t="s">
        <v>564</v>
      </c>
      <c r="B544" s="3" t="s">
        <v>1266</v>
      </c>
      <c r="C544" s="4" t="s">
        <v>1267</v>
      </c>
      <c r="D544" s="2">
        <f t="shared" si="521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ref="W544:AH544" si="550">IF(OR((SLOPE($E544:$V544,$E$1:$V$1)*W$1+INTERCEPT($E544:$V544,$E$1:$V$1))&gt;(AVERAGE($E544:$V544)+_xlfn.STDEV.P($E544:$V544)),(SLOPE($E544:$V544,$E$1:$V$1)*W$1+INTERCEPT($E544:$V544,$E$1:$V$1))&lt;(AVERAGE($E544:$V544)-_xlfn.STDEV.P($E544:$V544))),V544,(SLOPE($E544:$V544,$E$1:$V$1)*W$1+INTERCEPT($E544:$V544,$E$1:$V$1)))</f>
        <v>23192.078329980828</v>
      </c>
      <c r="X544" s="5">
        <f t="shared" si="550"/>
        <v>24750.925669405613</v>
      </c>
      <c r="Y544" s="5">
        <f t="shared" si="550"/>
        <v>26309.773008830398</v>
      </c>
      <c r="Z544" s="5">
        <f t="shared" si="550"/>
        <v>27868.620348255179</v>
      </c>
      <c r="AA544" s="5">
        <f t="shared" si="550"/>
        <v>29427.467687679964</v>
      </c>
      <c r="AB544" s="5">
        <f t="shared" si="550"/>
        <v>30986.315027104749</v>
      </c>
      <c r="AC544" s="5">
        <f t="shared" si="550"/>
        <v>30986.315027104749</v>
      </c>
      <c r="AD544" s="5">
        <f t="shared" si="550"/>
        <v>30986.315027104749</v>
      </c>
      <c r="AE544" s="5">
        <f t="shared" si="550"/>
        <v>30986.315027104749</v>
      </c>
      <c r="AF544" s="5">
        <f t="shared" si="550"/>
        <v>30986.315027104749</v>
      </c>
      <c r="AG544" s="5">
        <f t="shared" si="550"/>
        <v>30986.315027104749</v>
      </c>
      <c r="AH544" s="5">
        <f t="shared" si="550"/>
        <v>30986.315027104749</v>
      </c>
    </row>
    <row r="545" spans="1:34" x14ac:dyDescent="0.35">
      <c r="A545" t="s">
        <v>565</v>
      </c>
      <c r="B545" s="3" t="s">
        <v>1266</v>
      </c>
      <c r="C545" s="4" t="s">
        <v>1263</v>
      </c>
      <c r="D545" s="2">
        <f t="shared" si="521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ref="W545:AH545" si="551">IF(OR((SLOPE($E545:$V545,$E$1:$V$1)*W$1+INTERCEPT($E545:$V545,$E$1:$V$1))&gt;(AVERAGE($E545:$V545)+_xlfn.STDEV.P($E545:$V545)),(SLOPE($E545:$V545,$E$1:$V$1)*W$1+INTERCEPT($E545:$V545,$E$1:$V$1))&lt;(AVERAGE($E545:$V545)-_xlfn.STDEV.P($E545:$V545))),V545,(SLOPE($E545:$V545,$E$1:$V$1)*W$1+INTERCEPT($E545:$V545,$E$1:$V$1)))</f>
        <v>26061.95252597324</v>
      </c>
      <c r="X545" s="5">
        <f t="shared" si="551"/>
        <v>27925.028283266896</v>
      </c>
      <c r="Y545" s="5">
        <f t="shared" si="551"/>
        <v>27925.028283266896</v>
      </c>
      <c r="Z545" s="5">
        <f t="shared" si="551"/>
        <v>27925.028283266896</v>
      </c>
      <c r="AA545" s="5">
        <f t="shared" si="551"/>
        <v>27925.028283266896</v>
      </c>
      <c r="AB545" s="5">
        <f t="shared" si="551"/>
        <v>27925.028283266896</v>
      </c>
      <c r="AC545" s="5">
        <f t="shared" si="551"/>
        <v>27925.028283266896</v>
      </c>
      <c r="AD545" s="5">
        <f t="shared" si="551"/>
        <v>27925.028283266896</v>
      </c>
      <c r="AE545" s="5">
        <f t="shared" si="551"/>
        <v>27925.028283266896</v>
      </c>
      <c r="AF545" s="5">
        <f t="shared" si="551"/>
        <v>27925.028283266896</v>
      </c>
      <c r="AG545" s="5">
        <f t="shared" si="551"/>
        <v>27925.028283266896</v>
      </c>
      <c r="AH545" s="5">
        <f t="shared" si="551"/>
        <v>27925.028283266896</v>
      </c>
    </row>
    <row r="546" spans="1:34" x14ac:dyDescent="0.35">
      <c r="A546" t="s">
        <v>566</v>
      </c>
      <c r="B546" s="3" t="s">
        <v>1266</v>
      </c>
      <c r="C546" s="4" t="s">
        <v>1267</v>
      </c>
      <c r="D546" s="2">
        <f t="shared" si="521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ref="W546:AH546" si="552">IF(OR((SLOPE($E546:$V546,$E$1:$V$1)*W$1+INTERCEPT($E546:$V546,$E$1:$V$1))&gt;(AVERAGE($E546:$V546)+_xlfn.STDEV.P($E546:$V546)),(SLOPE($E546:$V546,$E$1:$V$1)*W$1+INTERCEPT($E546:$V546,$E$1:$V$1))&lt;(AVERAGE($E546:$V546)-_xlfn.STDEV.P($E546:$V546))),V546,(SLOPE($E546:$V546,$E$1:$V$1)*W$1+INTERCEPT($E546:$V546,$E$1:$V$1)))</f>
        <v>9598.083756281816</v>
      </c>
      <c r="X546" s="5">
        <f t="shared" si="552"/>
        <v>9730.492180742629</v>
      </c>
      <c r="Y546" s="5">
        <f t="shared" si="552"/>
        <v>9862.9006052034401</v>
      </c>
      <c r="Z546" s="5">
        <f t="shared" si="552"/>
        <v>9995.3090296642513</v>
      </c>
      <c r="AA546" s="5">
        <f t="shared" si="552"/>
        <v>10127.717454125064</v>
      </c>
      <c r="AB546" s="5">
        <f t="shared" si="552"/>
        <v>10260.125878585874</v>
      </c>
      <c r="AC546" s="5">
        <f t="shared" si="552"/>
        <v>10392.534303046687</v>
      </c>
      <c r="AD546" s="5">
        <f t="shared" si="552"/>
        <v>10524.942727507498</v>
      </c>
      <c r="AE546" s="5">
        <f t="shared" si="552"/>
        <v>10657.351151968309</v>
      </c>
      <c r="AF546" s="5">
        <f t="shared" si="552"/>
        <v>10789.759576429122</v>
      </c>
      <c r="AG546" s="5">
        <f t="shared" si="552"/>
        <v>10922.168000889933</v>
      </c>
      <c r="AH546" s="5">
        <f t="shared" si="552"/>
        <v>11054.576425350744</v>
      </c>
    </row>
    <row r="547" spans="1:34" x14ac:dyDescent="0.35">
      <c r="A547" t="s">
        <v>567</v>
      </c>
      <c r="B547" s="3" t="s">
        <v>1264</v>
      </c>
      <c r="C547" s="4" t="s">
        <v>1263</v>
      </c>
      <c r="D547" s="2">
        <f t="shared" si="521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ref="W547:AH547" si="553">IF(OR((SLOPE($E547:$V547,$E$1:$V$1)*W$1+INTERCEPT($E547:$V547,$E$1:$V$1))&gt;(AVERAGE($E547:$V547)+_xlfn.STDEV.P($E547:$V547)),(SLOPE($E547:$V547,$E$1:$V$1)*W$1+INTERCEPT($E547:$V547,$E$1:$V$1))&lt;(AVERAGE($E547:$V547)-_xlfn.STDEV.P($E547:$V547))),V547,(SLOPE($E547:$V547,$E$1:$V$1)*W$1+INTERCEPT($E547:$V547,$E$1:$V$1)))</f>
        <v>6202.397325490193</v>
      </c>
      <c r="X547" s="5">
        <f t="shared" si="553"/>
        <v>5986.5841527347748</v>
      </c>
      <c r="Y547" s="5">
        <f t="shared" si="553"/>
        <v>5770.7709799793565</v>
      </c>
      <c r="Z547" s="5">
        <f t="shared" si="553"/>
        <v>5554.9578072239383</v>
      </c>
      <c r="AA547" s="5">
        <f t="shared" si="553"/>
        <v>5339.1446344685201</v>
      </c>
      <c r="AB547" s="5">
        <f t="shared" si="553"/>
        <v>5123.3314617131018</v>
      </c>
      <c r="AC547" s="5">
        <f t="shared" si="553"/>
        <v>4907.5182889576845</v>
      </c>
      <c r="AD547" s="5">
        <f t="shared" si="553"/>
        <v>4691.7051162022663</v>
      </c>
      <c r="AE547" s="5">
        <f t="shared" si="553"/>
        <v>4475.891943446848</v>
      </c>
      <c r="AF547" s="5">
        <f t="shared" si="553"/>
        <v>4475.891943446848</v>
      </c>
      <c r="AG547" s="5">
        <f t="shared" si="553"/>
        <v>4475.891943446848</v>
      </c>
      <c r="AH547" s="5">
        <f t="shared" si="553"/>
        <v>4475.891943446848</v>
      </c>
    </row>
    <row r="548" spans="1:34" x14ac:dyDescent="0.35">
      <c r="A548" t="s">
        <v>568</v>
      </c>
      <c r="B548" s="3" t="s">
        <v>1264</v>
      </c>
      <c r="C548" s="4" t="s">
        <v>1263</v>
      </c>
      <c r="D548" s="2">
        <f t="shared" si="521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ref="W548:AH548" si="554">IF(OR((SLOPE($E548:$V548,$E$1:$V$1)*W$1+INTERCEPT($E548:$V548,$E$1:$V$1))&gt;(AVERAGE($E548:$V548)+_xlfn.STDEV.P($E548:$V548)),(SLOPE($E548:$V548,$E$1:$V$1)*W$1+INTERCEPT($E548:$V548,$E$1:$V$1))&lt;(AVERAGE($E548:$V548)-_xlfn.STDEV.P($E548:$V548))),V548,(SLOPE($E548:$V548,$E$1:$V$1)*W$1+INTERCEPT($E548:$V548,$E$1:$V$1)))</f>
        <v>5483.7243816993478</v>
      </c>
      <c r="X548" s="5">
        <f t="shared" si="554"/>
        <v>5189.7245435156528</v>
      </c>
      <c r="Y548" s="5">
        <f t="shared" si="554"/>
        <v>4895.7247053319588</v>
      </c>
      <c r="Z548" s="5">
        <f t="shared" si="554"/>
        <v>4601.7248671482648</v>
      </c>
      <c r="AA548" s="5">
        <f t="shared" si="554"/>
        <v>4307.7250289645699</v>
      </c>
      <c r="AB548" s="5">
        <f t="shared" si="554"/>
        <v>4013.7251907808759</v>
      </c>
      <c r="AC548" s="5">
        <f t="shared" si="554"/>
        <v>3719.7253525971819</v>
      </c>
      <c r="AD548" s="5">
        <f t="shared" si="554"/>
        <v>3425.725514413487</v>
      </c>
      <c r="AE548" s="5">
        <f t="shared" si="554"/>
        <v>3131.725676229793</v>
      </c>
      <c r="AF548" s="5">
        <f t="shared" si="554"/>
        <v>2837.7258380460989</v>
      </c>
      <c r="AG548" s="5">
        <f t="shared" si="554"/>
        <v>2543.7259998624049</v>
      </c>
      <c r="AH548" s="5">
        <f t="shared" si="554"/>
        <v>2249.7261616787091</v>
      </c>
    </row>
    <row r="549" spans="1:34" x14ac:dyDescent="0.35">
      <c r="A549" t="s">
        <v>569</v>
      </c>
      <c r="B549" s="3" t="s">
        <v>1265</v>
      </c>
      <c r="C549" s="4" t="s">
        <v>1263</v>
      </c>
      <c r="D549" s="2">
        <f t="shared" si="521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H549" si="555">IF(OR((SLOPE($E549:$V549,$E$1:$V$1)*W$1+INTERCEPT($E549:$V549,$E$1:$V$1))&gt;(AVERAGE($E549:$V549)+_xlfn.STDEV.P($E549:$V549)),(SLOPE($E549:$V549,$E$1:$V$1)*W$1+INTERCEPT($E549:$V549,$E$1:$V$1))&lt;(AVERAGE($E549:$V549)-_xlfn.STDEV.P($E549:$V549))),V549,(SLOPE($E549:$V549,$E$1:$V$1)*W$1+INTERCEPT($E549:$V549,$E$1:$V$1)))</f>
        <v>7658.3569999999991</v>
      </c>
      <c r="X549" s="5">
        <f t="shared" si="555"/>
        <v>7602.783263157894</v>
      </c>
      <c r="Y549" s="5">
        <f t="shared" si="555"/>
        <v>7547.2095263157889</v>
      </c>
      <c r="Z549" s="5">
        <f t="shared" si="555"/>
        <v>7491.635789473683</v>
      </c>
      <c r="AA549" s="5">
        <f t="shared" si="555"/>
        <v>7436.0620526315779</v>
      </c>
      <c r="AB549" s="5">
        <f t="shared" si="555"/>
        <v>7380.4883157894728</v>
      </c>
      <c r="AC549" s="5">
        <f t="shared" si="555"/>
        <v>7324.9145789473678</v>
      </c>
      <c r="AD549" s="5">
        <f t="shared" si="555"/>
        <v>7269.3408421052627</v>
      </c>
      <c r="AE549" s="5">
        <f t="shared" si="555"/>
        <v>7213.7671052631567</v>
      </c>
      <c r="AF549" s="5">
        <f t="shared" si="555"/>
        <v>7158.1933684210517</v>
      </c>
      <c r="AG549" s="5">
        <f t="shared" si="555"/>
        <v>7102.6196315789466</v>
      </c>
      <c r="AH549" s="5">
        <f t="shared" si="555"/>
        <v>7047.0458947368406</v>
      </c>
    </row>
    <row r="550" spans="1:34" x14ac:dyDescent="0.35">
      <c r="A550" t="s">
        <v>570</v>
      </c>
      <c r="B550" s="3" t="s">
        <v>1266</v>
      </c>
      <c r="C550" s="4" t="s">
        <v>1267</v>
      </c>
      <c r="D550" s="2">
        <f t="shared" si="521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ref="W550:AH550" si="556">IF(OR((SLOPE($E550:$V550,$E$1:$V$1)*W$1+INTERCEPT($E550:$V550,$E$1:$V$1))&gt;(AVERAGE($E550:$V550)+_xlfn.STDEV.P($E550:$V550)),(SLOPE($E550:$V550,$E$1:$V$1)*W$1+INTERCEPT($E550:$V550,$E$1:$V$1))&lt;(AVERAGE($E550:$V550)-_xlfn.STDEV.P($E550:$V550))),V550,(SLOPE($E550:$V550,$E$1:$V$1)*W$1+INTERCEPT($E550:$V550,$E$1:$V$1)))</f>
        <v>14649.303423747308</v>
      </c>
      <c r="X550" s="5">
        <f t="shared" si="556"/>
        <v>15321.012536524606</v>
      </c>
      <c r="Y550" s="5">
        <f t="shared" si="556"/>
        <v>15992.721649301904</v>
      </c>
      <c r="Z550" s="5">
        <f t="shared" si="556"/>
        <v>16664.430762079202</v>
      </c>
      <c r="AA550" s="5">
        <f t="shared" si="556"/>
        <v>17336.139874856501</v>
      </c>
      <c r="AB550" s="5">
        <f t="shared" si="556"/>
        <v>18007.848987633799</v>
      </c>
      <c r="AC550" s="5">
        <f t="shared" si="556"/>
        <v>18679.558100411097</v>
      </c>
      <c r="AD550" s="5">
        <f t="shared" si="556"/>
        <v>19351.267213188396</v>
      </c>
      <c r="AE550" s="5">
        <f t="shared" si="556"/>
        <v>20022.976325965694</v>
      </c>
      <c r="AF550" s="5">
        <f t="shared" si="556"/>
        <v>20694.685438742988</v>
      </c>
      <c r="AG550" s="5">
        <f t="shared" si="556"/>
        <v>21366.394551520287</v>
      </c>
      <c r="AH550" s="5">
        <f t="shared" si="556"/>
        <v>22038.103664297585</v>
      </c>
    </row>
    <row r="551" spans="1:34" x14ac:dyDescent="0.35">
      <c r="A551" t="s">
        <v>571</v>
      </c>
      <c r="B551" s="3" t="s">
        <v>1265</v>
      </c>
      <c r="C551" s="4" t="s">
        <v>1263</v>
      </c>
      <c r="D551" s="2">
        <f t="shared" si="521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ref="W551:AH551" si="557">IF(OR((SLOPE($E551:$V551,$E$1:$V$1)*W$1+INTERCEPT($E551:$V551,$E$1:$V$1))&gt;(AVERAGE($E551:$V551)+_xlfn.STDEV.P($E551:$V551)),(SLOPE($E551:$V551,$E$1:$V$1)*W$1+INTERCEPT($E551:$V551,$E$1:$V$1))&lt;(AVERAGE($E551:$V551)-_xlfn.STDEV.P($E551:$V551))),V551,(SLOPE($E551:$V551,$E$1:$V$1)*W$1+INTERCEPT($E551:$V551,$E$1:$V$1)))</f>
        <v>16456.682666666668</v>
      </c>
      <c r="X551" s="5">
        <f t="shared" si="557"/>
        <v>17324.364350877193</v>
      </c>
      <c r="Y551" s="5">
        <f t="shared" si="557"/>
        <v>18192.046035087718</v>
      </c>
      <c r="Z551" s="5">
        <f t="shared" si="557"/>
        <v>19059.727719298244</v>
      </c>
      <c r="AA551" s="5">
        <f t="shared" si="557"/>
        <v>19927.409403508769</v>
      </c>
      <c r="AB551" s="5">
        <f t="shared" si="557"/>
        <v>19927.409403508769</v>
      </c>
      <c r="AC551" s="5">
        <f t="shared" si="557"/>
        <v>19927.409403508769</v>
      </c>
      <c r="AD551" s="5">
        <f t="shared" si="557"/>
        <v>19927.409403508769</v>
      </c>
      <c r="AE551" s="5">
        <f t="shared" si="557"/>
        <v>19927.409403508769</v>
      </c>
      <c r="AF551" s="5">
        <f t="shared" si="557"/>
        <v>19927.409403508769</v>
      </c>
      <c r="AG551" s="5">
        <f t="shared" si="557"/>
        <v>19927.409403508769</v>
      </c>
      <c r="AH551" s="5">
        <f t="shared" si="557"/>
        <v>19927.409403508769</v>
      </c>
    </row>
    <row r="552" spans="1:34" x14ac:dyDescent="0.35">
      <c r="A552" t="s">
        <v>572</v>
      </c>
      <c r="B552" s="3" t="s">
        <v>1264</v>
      </c>
      <c r="C552" s="4" t="s">
        <v>1263</v>
      </c>
      <c r="D552" s="2">
        <f t="shared" si="521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ref="W552:AH552" si="558">IF(OR((SLOPE($E552:$V552,$E$1:$V$1)*W$1+INTERCEPT($E552:$V552,$E$1:$V$1))&gt;(AVERAGE($E552:$V552)+_xlfn.STDEV.P($E552:$V552)),(SLOPE($E552:$V552,$E$1:$V$1)*W$1+INTERCEPT($E552:$V552,$E$1:$V$1))&lt;(AVERAGE($E552:$V552)-_xlfn.STDEV.P($E552:$V552))),V552,(SLOPE($E552:$V552,$E$1:$V$1)*W$1+INTERCEPT($E552:$V552,$E$1:$V$1)))</f>
        <v>15416.335718010832</v>
      </c>
      <c r="X552" s="5">
        <f t="shared" si="558"/>
        <v>16185.74282705221</v>
      </c>
      <c r="Y552" s="5">
        <f t="shared" si="558"/>
        <v>16955.149936093585</v>
      </c>
      <c r="Z552" s="5">
        <f t="shared" si="558"/>
        <v>17724.557045134963</v>
      </c>
      <c r="AA552" s="5">
        <f t="shared" si="558"/>
        <v>18493.964154176341</v>
      </c>
      <c r="AB552" s="5">
        <f t="shared" si="558"/>
        <v>18493.964154176341</v>
      </c>
      <c r="AC552" s="5">
        <f t="shared" si="558"/>
        <v>18493.964154176341</v>
      </c>
      <c r="AD552" s="5">
        <f t="shared" si="558"/>
        <v>18493.964154176341</v>
      </c>
      <c r="AE552" s="5">
        <f t="shared" si="558"/>
        <v>18493.964154176341</v>
      </c>
      <c r="AF552" s="5">
        <f t="shared" si="558"/>
        <v>18493.964154176341</v>
      </c>
      <c r="AG552" s="5">
        <f t="shared" si="558"/>
        <v>18493.964154176341</v>
      </c>
      <c r="AH552" s="5">
        <f t="shared" si="558"/>
        <v>18493.964154176341</v>
      </c>
    </row>
    <row r="553" spans="1:34" x14ac:dyDescent="0.35">
      <c r="A553" t="s">
        <v>573</v>
      </c>
      <c r="B553" s="3" t="s">
        <v>1265</v>
      </c>
      <c r="C553" s="4" t="s">
        <v>1263</v>
      </c>
      <c r="D553" s="2">
        <f t="shared" si="521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ref="W553:AH553" si="559">IF(OR((SLOPE($E553:$V553,$E$1:$V$1)*W$1+INTERCEPT($E553:$V553,$E$1:$V$1))&gt;(AVERAGE($E553:$V553)+_xlfn.STDEV.P($E553:$V553)),(SLOPE($E553:$V553,$E$1:$V$1)*W$1+INTERCEPT($E553:$V553,$E$1:$V$1))&lt;(AVERAGE($E553:$V553)-_xlfn.STDEV.P($E553:$V553))),V553,(SLOPE($E553:$V553,$E$1:$V$1)*W$1+INTERCEPT($E553:$V553,$E$1:$V$1)))</f>
        <v>34705.994399999996</v>
      </c>
      <c r="X553" s="5">
        <f t="shared" si="559"/>
        <v>34705.994399999996</v>
      </c>
      <c r="Y553" s="5">
        <f t="shared" si="559"/>
        <v>34705.994399999996</v>
      </c>
      <c r="Z553" s="5">
        <f t="shared" si="559"/>
        <v>34705.994399999996</v>
      </c>
      <c r="AA553" s="5">
        <f t="shared" si="559"/>
        <v>34705.994399999996</v>
      </c>
      <c r="AB553" s="5">
        <f t="shared" si="559"/>
        <v>34705.994399999996</v>
      </c>
      <c r="AC553" s="5">
        <f t="shared" si="559"/>
        <v>34705.994399999996</v>
      </c>
      <c r="AD553" s="5">
        <f t="shared" si="559"/>
        <v>34705.994399999996</v>
      </c>
      <c r="AE553" s="5">
        <f t="shared" si="559"/>
        <v>34705.994399999996</v>
      </c>
      <c r="AF553" s="5">
        <f t="shared" si="559"/>
        <v>34705.994399999996</v>
      </c>
      <c r="AG553" s="5">
        <f t="shared" si="559"/>
        <v>34705.994399999996</v>
      </c>
      <c r="AH553" s="5">
        <f t="shared" si="559"/>
        <v>34705.994399999996</v>
      </c>
    </row>
    <row r="554" spans="1:34" x14ac:dyDescent="0.35">
      <c r="A554" t="s">
        <v>574</v>
      </c>
      <c r="B554" s="3" t="s">
        <v>1265</v>
      </c>
      <c r="C554" s="4" t="s">
        <v>1263</v>
      </c>
      <c r="D554" s="2">
        <f t="shared" si="521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ref="W554:AH554" si="560">IF(OR((SLOPE($E554:$V554,$E$1:$V$1)*W$1+INTERCEPT($E554:$V554,$E$1:$V$1))&gt;(AVERAGE($E554:$V554)+_xlfn.STDEV.P($E554:$V554)),(SLOPE($E554:$V554,$E$1:$V$1)*W$1+INTERCEPT($E554:$V554,$E$1:$V$1))&lt;(AVERAGE($E554:$V554)-_xlfn.STDEV.P($E554:$V554))),V554,(SLOPE($E554:$V554,$E$1:$V$1)*W$1+INTERCEPT($E554:$V554,$E$1:$V$1)))</f>
        <v>7095.1461428722851</v>
      </c>
      <c r="X554" s="5">
        <f t="shared" si="560"/>
        <v>7010.897020637065</v>
      </c>
      <c r="Y554" s="5">
        <f t="shared" si="560"/>
        <v>6926.647898401844</v>
      </c>
      <c r="Z554" s="5">
        <f t="shared" si="560"/>
        <v>6842.398776166624</v>
      </c>
      <c r="AA554" s="5">
        <f t="shared" si="560"/>
        <v>6758.149653931403</v>
      </c>
      <c r="AB554" s="5">
        <f t="shared" si="560"/>
        <v>6673.900531696183</v>
      </c>
      <c r="AC554" s="5">
        <f t="shared" si="560"/>
        <v>6589.651409460962</v>
      </c>
      <c r="AD554" s="5">
        <f t="shared" si="560"/>
        <v>6505.402287225741</v>
      </c>
      <c r="AE554" s="5">
        <f t="shared" si="560"/>
        <v>6421.153164990521</v>
      </c>
      <c r="AF554" s="5">
        <f t="shared" si="560"/>
        <v>6336.9040427553009</v>
      </c>
      <c r="AG554" s="5">
        <f t="shared" si="560"/>
        <v>6252.6549205200799</v>
      </c>
      <c r="AH554" s="5">
        <f t="shared" si="560"/>
        <v>6168.405798284859</v>
      </c>
    </row>
    <row r="555" spans="1:34" x14ac:dyDescent="0.35">
      <c r="A555" t="s">
        <v>575</v>
      </c>
      <c r="B555" s="3" t="s">
        <v>1266</v>
      </c>
      <c r="C555" s="4" t="s">
        <v>1267</v>
      </c>
      <c r="D555" s="2">
        <f t="shared" si="521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ref="W555:AH555" si="561">IF(OR((SLOPE($E555:$V555,$E$1:$V$1)*W$1+INTERCEPT($E555:$V555,$E$1:$V$1))&gt;(AVERAGE($E555:$V555)+_xlfn.STDEV.P($E555:$V555)),(SLOPE($E555:$V555,$E$1:$V$1)*W$1+INTERCEPT($E555:$V555,$E$1:$V$1))&lt;(AVERAGE($E555:$V555)-_xlfn.STDEV.P($E555:$V555))),V555,(SLOPE($E555:$V555,$E$1:$V$1)*W$1+INTERCEPT($E555:$V555,$E$1:$V$1)))</f>
        <v>31610.746378388751</v>
      </c>
      <c r="X555" s="5">
        <f t="shared" si="561"/>
        <v>34106.331618787866</v>
      </c>
      <c r="Y555" s="5">
        <f t="shared" si="561"/>
        <v>36601.916859186982</v>
      </c>
      <c r="Z555" s="5">
        <f t="shared" si="561"/>
        <v>39097.50209958609</v>
      </c>
      <c r="AA555" s="5">
        <f t="shared" si="561"/>
        <v>39097.50209958609</v>
      </c>
      <c r="AB555" s="5">
        <f t="shared" si="561"/>
        <v>39097.50209958609</v>
      </c>
      <c r="AC555" s="5">
        <f t="shared" si="561"/>
        <v>39097.50209958609</v>
      </c>
      <c r="AD555" s="5">
        <f t="shared" si="561"/>
        <v>39097.50209958609</v>
      </c>
      <c r="AE555" s="5">
        <f t="shared" si="561"/>
        <v>39097.50209958609</v>
      </c>
      <c r="AF555" s="5">
        <f t="shared" si="561"/>
        <v>39097.50209958609</v>
      </c>
      <c r="AG555" s="5">
        <f t="shared" si="561"/>
        <v>39097.50209958609</v>
      </c>
      <c r="AH555" s="5">
        <f t="shared" si="561"/>
        <v>39097.50209958609</v>
      </c>
    </row>
    <row r="556" spans="1:34" x14ac:dyDescent="0.35">
      <c r="A556" t="s">
        <v>576</v>
      </c>
      <c r="B556" s="3" t="s">
        <v>1265</v>
      </c>
      <c r="C556" s="4" t="s">
        <v>1263</v>
      </c>
      <c r="D556" s="2">
        <f t="shared" si="521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ref="W556:AH556" si="562">IF(OR((SLOPE($E556:$V556,$E$1:$V$1)*W$1+INTERCEPT($E556:$V556,$E$1:$V$1))&gt;(AVERAGE($E556:$V556)+_xlfn.STDEV.P($E556:$V556)),(SLOPE($E556:$V556,$E$1:$V$1)*W$1+INTERCEPT($E556:$V556,$E$1:$V$1))&lt;(AVERAGE($E556:$V556)-_xlfn.STDEV.P($E556:$V556))),V556,(SLOPE($E556:$V556,$E$1:$V$1)*W$1+INTERCEPT($E556:$V556,$E$1:$V$1)))</f>
        <v>9392.0041843596573</v>
      </c>
      <c r="X556" s="5">
        <f t="shared" si="562"/>
        <v>9566.8251265300569</v>
      </c>
      <c r="Y556" s="5">
        <f t="shared" si="562"/>
        <v>9741.6460687004546</v>
      </c>
      <c r="Z556" s="5">
        <f t="shared" si="562"/>
        <v>9916.4670108708542</v>
      </c>
      <c r="AA556" s="5">
        <f t="shared" si="562"/>
        <v>10091.287953041254</v>
      </c>
      <c r="AB556" s="5">
        <f t="shared" si="562"/>
        <v>10266.108895211652</v>
      </c>
      <c r="AC556" s="5">
        <f t="shared" si="562"/>
        <v>10440.929837382051</v>
      </c>
      <c r="AD556" s="5">
        <f t="shared" si="562"/>
        <v>10615.750779552451</v>
      </c>
      <c r="AE556" s="5">
        <f t="shared" si="562"/>
        <v>10790.571721722848</v>
      </c>
      <c r="AF556" s="5">
        <f t="shared" si="562"/>
        <v>10965.392663893248</v>
      </c>
      <c r="AG556" s="5">
        <f t="shared" si="562"/>
        <v>11140.213606063648</v>
      </c>
      <c r="AH556" s="5">
        <f t="shared" si="562"/>
        <v>11315.034548234045</v>
      </c>
    </row>
    <row r="557" spans="1:34" x14ac:dyDescent="0.35">
      <c r="A557" t="s">
        <v>577</v>
      </c>
      <c r="B557" s="3" t="s">
        <v>1266</v>
      </c>
      <c r="C557" s="4" t="s">
        <v>1263</v>
      </c>
      <c r="D557" s="2">
        <f t="shared" si="521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ref="W557:AH557" si="563">IF(OR((SLOPE($E557:$V557,$E$1:$V$1)*W$1+INTERCEPT($E557:$V557,$E$1:$V$1))&gt;(AVERAGE($E557:$V557)+_xlfn.STDEV.P($E557:$V557)),(SLOPE($E557:$V557,$E$1:$V$1)*W$1+INTERCEPT($E557:$V557,$E$1:$V$1))&lt;(AVERAGE($E557:$V557)-_xlfn.STDEV.P($E557:$V557))),V557,(SLOPE($E557:$V557,$E$1:$V$1)*W$1+INTERCEPT($E557:$V557,$E$1:$V$1)))</f>
        <v>-1454.2093176470589</v>
      </c>
      <c r="X557" s="5">
        <f t="shared" si="563"/>
        <v>-2425.4216809081554</v>
      </c>
      <c r="Y557" s="5">
        <f t="shared" si="563"/>
        <v>-3396.6340441692482</v>
      </c>
      <c r="Z557" s="5">
        <f t="shared" si="563"/>
        <v>-4367.8464074303411</v>
      </c>
      <c r="AA557" s="5">
        <f t="shared" si="563"/>
        <v>-5339.0587706914375</v>
      </c>
      <c r="AB557" s="5">
        <f t="shared" si="563"/>
        <v>-5339.0587706914375</v>
      </c>
      <c r="AC557" s="5">
        <f t="shared" si="563"/>
        <v>-5339.0587706914375</v>
      </c>
      <c r="AD557" s="5">
        <f t="shared" si="563"/>
        <v>-5339.0587706914375</v>
      </c>
      <c r="AE557" s="5">
        <f t="shared" si="563"/>
        <v>-5339.0587706914375</v>
      </c>
      <c r="AF557" s="5">
        <f t="shared" si="563"/>
        <v>-5339.0587706914375</v>
      </c>
      <c r="AG557" s="5">
        <f t="shared" si="563"/>
        <v>-5339.0587706914375</v>
      </c>
      <c r="AH557" s="5">
        <f t="shared" si="563"/>
        <v>-5339.0587706914375</v>
      </c>
    </row>
    <row r="558" spans="1:34" x14ac:dyDescent="0.35">
      <c r="A558" t="s">
        <v>578</v>
      </c>
      <c r="B558" s="3" t="s">
        <v>1262</v>
      </c>
      <c r="C558" s="4" t="s">
        <v>1263</v>
      </c>
      <c r="D558" s="2">
        <f t="shared" si="521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ref="W558:AH558" si="564">IF(OR((SLOPE($E558:$V558,$E$1:$V$1)*W$1+INTERCEPT($E558:$V558,$E$1:$V$1))&gt;(AVERAGE($E558:$V558)+_xlfn.STDEV.P($E558:$V558)),(SLOPE($E558:$V558,$E$1:$V$1)*W$1+INTERCEPT($E558:$V558,$E$1:$V$1))&lt;(AVERAGE($E558:$V558)-_xlfn.STDEV.P($E558:$V558))),V558,(SLOPE($E558:$V558,$E$1:$V$1)*W$1+INTERCEPT($E558:$V558,$E$1:$V$1)))</f>
        <v>6829.5925201078308</v>
      </c>
      <c r="X558" s="5">
        <f t="shared" si="564"/>
        <v>6733.6729577788938</v>
      </c>
      <c r="Y558" s="5">
        <f t="shared" si="564"/>
        <v>6637.7533954499559</v>
      </c>
      <c r="Z558" s="5">
        <f t="shared" si="564"/>
        <v>6541.833833121018</v>
      </c>
      <c r="AA558" s="5">
        <f t="shared" si="564"/>
        <v>6445.9142707920801</v>
      </c>
      <c r="AB558" s="5">
        <f t="shared" si="564"/>
        <v>6349.9947084631422</v>
      </c>
      <c r="AC558" s="5">
        <f t="shared" si="564"/>
        <v>6254.0751461342043</v>
      </c>
      <c r="AD558" s="5">
        <f t="shared" si="564"/>
        <v>6158.1555838052664</v>
      </c>
      <c r="AE558" s="5">
        <f t="shared" si="564"/>
        <v>6062.2360214763285</v>
      </c>
      <c r="AF558" s="5">
        <f t="shared" si="564"/>
        <v>5966.3164591473915</v>
      </c>
      <c r="AG558" s="5">
        <f t="shared" si="564"/>
        <v>5870.3968968184536</v>
      </c>
      <c r="AH558" s="5">
        <f t="shared" si="564"/>
        <v>5774.4773344895157</v>
      </c>
    </row>
    <row r="559" spans="1:34" x14ac:dyDescent="0.35">
      <c r="A559" t="s">
        <v>579</v>
      </c>
      <c r="B559" s="3" t="s">
        <v>1262</v>
      </c>
      <c r="C559" s="4" t="s">
        <v>1263</v>
      </c>
      <c r="D559" s="2">
        <f t="shared" si="521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ref="W559:AH559" si="565">IF(OR((SLOPE($E559:$V559,$E$1:$V$1)*W$1+INTERCEPT($E559:$V559,$E$1:$V$1))&gt;(AVERAGE($E559:$V559)+_xlfn.STDEV.P($E559:$V559)),(SLOPE($E559:$V559,$E$1:$V$1)*W$1+INTERCEPT($E559:$V559,$E$1:$V$1))&lt;(AVERAGE($E559:$V559)-_xlfn.STDEV.P($E559:$V559))),V559,(SLOPE($E559:$V559,$E$1:$V$1)*W$1+INTERCEPT($E559:$V559,$E$1:$V$1)))</f>
        <v>-2079.2812444444462</v>
      </c>
      <c r="X559" s="5">
        <f t="shared" si="565"/>
        <v>-3090.0456795321661</v>
      </c>
      <c r="Y559" s="5">
        <f t="shared" si="565"/>
        <v>-4100.810114619886</v>
      </c>
      <c r="Z559" s="5">
        <f t="shared" si="565"/>
        <v>-4100.810114619886</v>
      </c>
      <c r="AA559" s="5">
        <f t="shared" si="565"/>
        <v>-4100.810114619886</v>
      </c>
      <c r="AB559" s="5">
        <f t="shared" si="565"/>
        <v>-4100.810114619886</v>
      </c>
      <c r="AC559" s="5">
        <f t="shared" si="565"/>
        <v>-4100.810114619886</v>
      </c>
      <c r="AD559" s="5">
        <f t="shared" si="565"/>
        <v>-4100.810114619886</v>
      </c>
      <c r="AE559" s="5">
        <f t="shared" si="565"/>
        <v>-4100.810114619886</v>
      </c>
      <c r="AF559" s="5">
        <f t="shared" si="565"/>
        <v>-4100.810114619886</v>
      </c>
      <c r="AG559" s="5">
        <f t="shared" si="565"/>
        <v>-4100.810114619886</v>
      </c>
      <c r="AH559" s="5">
        <f t="shared" si="565"/>
        <v>-4100.810114619886</v>
      </c>
    </row>
    <row r="560" spans="1:34" x14ac:dyDescent="0.35">
      <c r="A560" t="s">
        <v>580</v>
      </c>
      <c r="B560" s="3" t="s">
        <v>1266</v>
      </c>
      <c r="C560" s="4" t="s">
        <v>1263</v>
      </c>
      <c r="D560" s="2">
        <f t="shared" si="521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ref="W560:AH560" si="566">IF(OR((SLOPE($E560:$V560,$E$1:$V$1)*W$1+INTERCEPT($E560:$V560,$E$1:$V$1))&gt;(AVERAGE($E560:$V560)+_xlfn.STDEV.P($E560:$V560)),(SLOPE($E560:$V560,$E$1:$V$1)*W$1+INTERCEPT($E560:$V560,$E$1:$V$1))&lt;(AVERAGE($E560:$V560)-_xlfn.STDEV.P($E560:$V560))),V560,(SLOPE($E560:$V560,$E$1:$V$1)*W$1+INTERCEPT($E560:$V560,$E$1:$V$1)))</f>
        <v>8316.8091705164043</v>
      </c>
      <c r="X560" s="5">
        <f t="shared" si="566"/>
        <v>8401.4525385773159</v>
      </c>
      <c r="Y560" s="5">
        <f t="shared" si="566"/>
        <v>8486.0959066382311</v>
      </c>
      <c r="Z560" s="5">
        <f t="shared" si="566"/>
        <v>8570.7392746991427</v>
      </c>
      <c r="AA560" s="5">
        <f t="shared" si="566"/>
        <v>8655.3826427600561</v>
      </c>
      <c r="AB560" s="5">
        <f t="shared" si="566"/>
        <v>8740.0260108209695</v>
      </c>
      <c r="AC560" s="5">
        <f t="shared" si="566"/>
        <v>8824.6693788818829</v>
      </c>
      <c r="AD560" s="5">
        <f t="shared" si="566"/>
        <v>8909.3127469427964</v>
      </c>
      <c r="AE560" s="5">
        <f t="shared" si="566"/>
        <v>8993.9561150037098</v>
      </c>
      <c r="AF560" s="5">
        <f t="shared" si="566"/>
        <v>9078.5994830646232</v>
      </c>
      <c r="AG560" s="5">
        <f t="shared" si="566"/>
        <v>9163.2428511255366</v>
      </c>
      <c r="AH560" s="5">
        <f t="shared" si="566"/>
        <v>9247.88621918645</v>
      </c>
    </row>
    <row r="561" spans="1:34" x14ac:dyDescent="0.35">
      <c r="A561" t="s">
        <v>581</v>
      </c>
      <c r="B561" s="3" t="s">
        <v>1266</v>
      </c>
      <c r="C561" s="4" t="s">
        <v>1267</v>
      </c>
      <c r="D561" s="2">
        <f t="shared" si="521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ref="W561:AH561" si="567">IF(OR((SLOPE($E561:$V561,$E$1:$V$1)*W$1+INTERCEPT($E561:$V561,$E$1:$V$1))&gt;(AVERAGE($E561:$V561)+_xlfn.STDEV.P($E561:$V561)),(SLOPE($E561:$V561,$E$1:$V$1)*W$1+INTERCEPT($E561:$V561,$E$1:$V$1))&lt;(AVERAGE($E561:$V561)-_xlfn.STDEV.P($E561:$V561))),V561,(SLOPE($E561:$V561,$E$1:$V$1)*W$1+INTERCEPT($E561:$V561,$E$1:$V$1)))</f>
        <v>14569.882090611663</v>
      </c>
      <c r="X561" s="5">
        <f t="shared" si="567"/>
        <v>15312.953941230298</v>
      </c>
      <c r="Y561" s="5">
        <f t="shared" si="567"/>
        <v>16056.025791848933</v>
      </c>
      <c r="Z561" s="5">
        <f t="shared" si="567"/>
        <v>16799.097642467565</v>
      </c>
      <c r="AA561" s="5">
        <f t="shared" si="567"/>
        <v>17542.1694930862</v>
      </c>
      <c r="AB561" s="5">
        <f t="shared" si="567"/>
        <v>18285.241343704834</v>
      </c>
      <c r="AC561" s="5">
        <f t="shared" si="567"/>
        <v>19028.313194323466</v>
      </c>
      <c r="AD561" s="5">
        <f t="shared" si="567"/>
        <v>19771.385044942101</v>
      </c>
      <c r="AE561" s="5">
        <f t="shared" si="567"/>
        <v>20514.456895560732</v>
      </c>
      <c r="AF561" s="5">
        <f t="shared" si="567"/>
        <v>21257.528746179367</v>
      </c>
      <c r="AG561" s="5">
        <f t="shared" si="567"/>
        <v>22000.600596797998</v>
      </c>
      <c r="AH561" s="5">
        <f t="shared" si="567"/>
        <v>22743.672447416633</v>
      </c>
    </row>
    <row r="562" spans="1:34" x14ac:dyDescent="0.35">
      <c r="A562" t="s">
        <v>582</v>
      </c>
      <c r="B562" s="3" t="s">
        <v>1266</v>
      </c>
      <c r="C562" s="4" t="s">
        <v>1263</v>
      </c>
      <c r="D562" s="2">
        <f t="shared" si="521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ref="W562:AH562" si="568">IF(OR((SLOPE($E562:$V562,$E$1:$V$1)*W$1+INTERCEPT($E562:$V562,$E$1:$V$1))&gt;(AVERAGE($E562:$V562)+_xlfn.STDEV.P($E562:$V562)),(SLOPE($E562:$V562,$E$1:$V$1)*W$1+INTERCEPT($E562:$V562,$E$1:$V$1))&lt;(AVERAGE($E562:$V562)-_xlfn.STDEV.P($E562:$V562))),V562,(SLOPE($E562:$V562,$E$1:$V$1)*W$1+INTERCEPT($E562:$V562,$E$1:$V$1)))</f>
        <v>5883.339138577976</v>
      </c>
      <c r="X562" s="5">
        <f t="shared" si="568"/>
        <v>5714.0289101192757</v>
      </c>
      <c r="Y562" s="5">
        <f t="shared" si="568"/>
        <v>5544.7186816605754</v>
      </c>
      <c r="Z562" s="5">
        <f t="shared" si="568"/>
        <v>5375.4084532018751</v>
      </c>
      <c r="AA562" s="5">
        <f t="shared" si="568"/>
        <v>5206.0982247431748</v>
      </c>
      <c r="AB562" s="5">
        <f t="shared" si="568"/>
        <v>5036.7879962844736</v>
      </c>
      <c r="AC562" s="5">
        <f t="shared" si="568"/>
        <v>4867.4777678257733</v>
      </c>
      <c r="AD562" s="5">
        <f t="shared" si="568"/>
        <v>4698.167539367073</v>
      </c>
      <c r="AE562" s="5">
        <f t="shared" si="568"/>
        <v>4528.8573109083727</v>
      </c>
      <c r="AF562" s="5">
        <f t="shared" si="568"/>
        <v>4359.5470824496724</v>
      </c>
      <c r="AG562" s="5">
        <f t="shared" si="568"/>
        <v>4190.2368539909721</v>
      </c>
      <c r="AH562" s="5">
        <f t="shared" si="568"/>
        <v>4020.9266255322718</v>
      </c>
    </row>
    <row r="563" spans="1:34" x14ac:dyDescent="0.35">
      <c r="A563" t="s">
        <v>583</v>
      </c>
      <c r="B563" s="3" t="s">
        <v>1264</v>
      </c>
      <c r="C563" s="4" t="s">
        <v>1263</v>
      </c>
      <c r="D563" s="2">
        <f t="shared" si="521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ref="W563:AH563" si="569">IF(OR((SLOPE($E563:$V563,$E$1:$V$1)*W$1+INTERCEPT($E563:$V563,$E$1:$V$1))&gt;(AVERAGE($E563:$V563)+_xlfn.STDEV.P($E563:$V563)),(SLOPE($E563:$V563,$E$1:$V$1)*W$1+INTERCEPT($E563:$V563,$E$1:$V$1))&lt;(AVERAGE($E563:$V563)-_xlfn.STDEV.P($E563:$V563))),V563,(SLOPE($E563:$V563,$E$1:$V$1)*W$1+INTERCEPT($E563:$V563,$E$1:$V$1)))</f>
        <v>5146.7017411764728</v>
      </c>
      <c r="X563" s="5">
        <f t="shared" si="569"/>
        <v>4922.6486191950489</v>
      </c>
      <c r="Y563" s="5">
        <f t="shared" si="569"/>
        <v>4698.5954972136251</v>
      </c>
      <c r="Z563" s="5">
        <f t="shared" si="569"/>
        <v>4474.5423752322013</v>
      </c>
      <c r="AA563" s="5">
        <f t="shared" si="569"/>
        <v>4250.4892532507774</v>
      </c>
      <c r="AB563" s="5">
        <f t="shared" si="569"/>
        <v>4026.4361312693545</v>
      </c>
      <c r="AC563" s="5">
        <f t="shared" si="569"/>
        <v>3802.3830092879307</v>
      </c>
      <c r="AD563" s="5">
        <f t="shared" si="569"/>
        <v>3578.3298873065069</v>
      </c>
      <c r="AE563" s="5">
        <f t="shared" si="569"/>
        <v>3354.276765325083</v>
      </c>
      <c r="AF563" s="5">
        <f t="shared" si="569"/>
        <v>3130.2236433436592</v>
      </c>
      <c r="AG563" s="5">
        <f t="shared" si="569"/>
        <v>2906.1705213622354</v>
      </c>
      <c r="AH563" s="5">
        <f t="shared" si="569"/>
        <v>2682.1173993808115</v>
      </c>
    </row>
    <row r="564" spans="1:34" x14ac:dyDescent="0.35">
      <c r="A564" t="s">
        <v>584</v>
      </c>
      <c r="B564" s="3" t="s">
        <v>1265</v>
      </c>
      <c r="C564" s="4" t="s">
        <v>1263</v>
      </c>
      <c r="D564" s="2">
        <f t="shared" si="521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ref="W564:AH564" si="570">IF(OR((SLOPE($E564:$V564,$E$1:$V$1)*W$1+INTERCEPT($E564:$V564,$E$1:$V$1))&gt;(AVERAGE($E564:$V564)+_xlfn.STDEV.P($E564:$V564)),(SLOPE($E564:$V564,$E$1:$V$1)*W$1+INTERCEPT($E564:$V564,$E$1:$V$1))&lt;(AVERAGE($E564:$V564)-_xlfn.STDEV.P($E564:$V564))),V564,(SLOPE($E564:$V564,$E$1:$V$1)*W$1+INTERCEPT($E564:$V564,$E$1:$V$1)))</f>
        <v>1939.3546666666662</v>
      </c>
      <c r="X564" s="5">
        <f t="shared" si="570"/>
        <v>1378.526456140351</v>
      </c>
      <c r="Y564" s="5">
        <f t="shared" si="570"/>
        <v>817.69824561403402</v>
      </c>
      <c r="Z564" s="5">
        <f t="shared" si="570"/>
        <v>256.87003508771886</v>
      </c>
      <c r="AA564" s="5">
        <f t="shared" si="570"/>
        <v>-303.9581754385963</v>
      </c>
      <c r="AB564" s="5">
        <f t="shared" si="570"/>
        <v>-864.78638596491328</v>
      </c>
      <c r="AC564" s="5">
        <f t="shared" si="570"/>
        <v>-1425.6145964912284</v>
      </c>
      <c r="AD564" s="5">
        <f t="shared" si="570"/>
        <v>-1986.4428070175436</v>
      </c>
      <c r="AE564" s="5">
        <f t="shared" si="570"/>
        <v>-1986.4428070175436</v>
      </c>
      <c r="AF564" s="5">
        <f t="shared" si="570"/>
        <v>-1986.4428070175436</v>
      </c>
      <c r="AG564" s="5">
        <f t="shared" si="570"/>
        <v>-1986.4428070175436</v>
      </c>
      <c r="AH564" s="5">
        <f t="shared" si="570"/>
        <v>-1986.4428070175436</v>
      </c>
    </row>
    <row r="565" spans="1:34" x14ac:dyDescent="0.35">
      <c r="A565" t="s">
        <v>585</v>
      </c>
      <c r="B565" s="3" t="s">
        <v>1265</v>
      </c>
      <c r="C565" s="4" t="s">
        <v>1263</v>
      </c>
      <c r="D565" s="2">
        <f t="shared" si="521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H565" si="571">IF(OR((SLOPE($E565:$V565,$E$1:$V$1)*W$1+INTERCEPT($E565:$V565,$E$1:$V$1))&gt;(AVERAGE($E565:$V565)+_xlfn.STDEV.P($E565:$V565)),(SLOPE($E565:$V565,$E$1:$V$1)*W$1+INTERCEPT($E565:$V565,$E$1:$V$1))&lt;(AVERAGE($E565:$V565)-_xlfn.STDEV.P($E565:$V565))),V565,(SLOPE($E565:$V565,$E$1:$V$1)*W$1+INTERCEPT($E565:$V565,$E$1:$V$1)))</f>
        <v>8669.1414173808607</v>
      </c>
      <c r="X565" s="5">
        <f t="shared" si="571"/>
        <v>8829.8778020918035</v>
      </c>
      <c r="Y565" s="5">
        <f t="shared" si="571"/>
        <v>8990.6141868027444</v>
      </c>
      <c r="Z565" s="5">
        <f t="shared" si="571"/>
        <v>9151.3505715136853</v>
      </c>
      <c r="AA565" s="5">
        <f t="shared" si="571"/>
        <v>9312.0869562246262</v>
      </c>
      <c r="AB565" s="5">
        <f t="shared" si="571"/>
        <v>9312.0869562246262</v>
      </c>
      <c r="AC565" s="5">
        <f t="shared" si="571"/>
        <v>9312.0869562246262</v>
      </c>
      <c r="AD565" s="5">
        <f t="shared" si="571"/>
        <v>9312.0869562246262</v>
      </c>
      <c r="AE565" s="5">
        <f t="shared" si="571"/>
        <v>9312.0869562246262</v>
      </c>
      <c r="AF565" s="5">
        <f t="shared" si="571"/>
        <v>9312.0869562246262</v>
      </c>
      <c r="AG565" s="5">
        <f t="shared" si="571"/>
        <v>9312.0869562246262</v>
      </c>
      <c r="AH565" s="5">
        <f t="shared" si="571"/>
        <v>9312.0869562246262</v>
      </c>
    </row>
    <row r="566" spans="1:34" x14ac:dyDescent="0.35">
      <c r="A566" t="s">
        <v>586</v>
      </c>
      <c r="B566" s="3" t="s">
        <v>1265</v>
      </c>
      <c r="C566" s="4" t="s">
        <v>1263</v>
      </c>
      <c r="D566" s="2">
        <f t="shared" si="521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ref="W566:AH566" si="572">IF(OR((SLOPE($E566:$V566,$E$1:$V$1)*W$1+INTERCEPT($E566:$V566,$E$1:$V$1))&gt;(AVERAGE($E566:$V566)+_xlfn.STDEV.P($E566:$V566)),(SLOPE($E566:$V566,$E$1:$V$1)*W$1+INTERCEPT($E566:$V566,$E$1:$V$1))&lt;(AVERAGE($E566:$V566)-_xlfn.STDEV.P($E566:$V566))),V566,(SLOPE($E566:$V566,$E$1:$V$1)*W$1+INTERCEPT($E566:$V566,$E$1:$V$1)))</f>
        <v>4207.6061791357261</v>
      </c>
      <c r="X566" s="5">
        <f t="shared" si="572"/>
        <v>4207.6061791357261</v>
      </c>
      <c r="Y566" s="5">
        <f t="shared" si="572"/>
        <v>4207.6061791357261</v>
      </c>
      <c r="Z566" s="5">
        <f t="shared" si="572"/>
        <v>4207.6061791357261</v>
      </c>
      <c r="AA566" s="5">
        <f t="shared" si="572"/>
        <v>4207.6061791357261</v>
      </c>
      <c r="AB566" s="5">
        <f t="shared" si="572"/>
        <v>4207.6061791357261</v>
      </c>
      <c r="AC566" s="5">
        <f t="shared" si="572"/>
        <v>4207.6061791357261</v>
      </c>
      <c r="AD566" s="5">
        <f t="shared" si="572"/>
        <v>4207.6061791357261</v>
      </c>
      <c r="AE566" s="5">
        <f t="shared" si="572"/>
        <v>4207.6061791357261</v>
      </c>
      <c r="AF566" s="5">
        <f t="shared" si="572"/>
        <v>4207.6061791357261</v>
      </c>
      <c r="AG566" s="5">
        <f t="shared" si="572"/>
        <v>4207.6061791357261</v>
      </c>
      <c r="AH566" s="5">
        <f t="shared" si="572"/>
        <v>4207.6061791357261</v>
      </c>
    </row>
    <row r="567" spans="1:34" x14ac:dyDescent="0.35">
      <c r="A567" t="s">
        <v>587</v>
      </c>
      <c r="B567" s="3" t="s">
        <v>1266</v>
      </c>
      <c r="C567" s="4" t="s">
        <v>1267</v>
      </c>
      <c r="D567" s="2">
        <f t="shared" si="521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ref="W567:AH567" si="573">IF(OR((SLOPE($E567:$V567,$E$1:$V$1)*W$1+INTERCEPT($E567:$V567,$E$1:$V$1))&gt;(AVERAGE($E567:$V567)+_xlfn.STDEV.P($E567:$V567)),(SLOPE($E567:$V567,$E$1:$V$1)*W$1+INTERCEPT($E567:$V567,$E$1:$V$1))&lt;(AVERAGE($E567:$V567)-_xlfn.STDEV.P($E567:$V567))),V567,(SLOPE($E567:$V567,$E$1:$V$1)*W$1+INTERCEPT($E567:$V567,$E$1:$V$1)))</f>
        <v>847.92675380891342</v>
      </c>
      <c r="X567" s="5">
        <f t="shared" si="573"/>
        <v>178.51089553871861</v>
      </c>
      <c r="Y567" s="5">
        <f t="shared" si="573"/>
        <v>-490.90496273147437</v>
      </c>
      <c r="Z567" s="5">
        <f t="shared" si="573"/>
        <v>-1160.3208210016674</v>
      </c>
      <c r="AA567" s="5">
        <f t="shared" si="573"/>
        <v>-1829.7366792718622</v>
      </c>
      <c r="AB567" s="5">
        <f t="shared" si="573"/>
        <v>-2499.1525375420551</v>
      </c>
      <c r="AC567" s="5">
        <f t="shared" si="573"/>
        <v>-3168.5683958122499</v>
      </c>
      <c r="AD567" s="5">
        <f t="shared" si="573"/>
        <v>-3837.9842540824429</v>
      </c>
      <c r="AE567" s="5">
        <f t="shared" si="573"/>
        <v>-4507.4001123526359</v>
      </c>
      <c r="AF567" s="5">
        <f t="shared" si="573"/>
        <v>-5176.8159706228289</v>
      </c>
      <c r="AG567" s="5">
        <f t="shared" si="573"/>
        <v>-5846.2318288930219</v>
      </c>
      <c r="AH567" s="5">
        <f t="shared" si="573"/>
        <v>-6515.6476871632185</v>
      </c>
    </row>
    <row r="568" spans="1:34" x14ac:dyDescent="0.35">
      <c r="A568" t="s">
        <v>588</v>
      </c>
      <c r="B568" s="3" t="s">
        <v>1266</v>
      </c>
      <c r="C568" s="4" t="s">
        <v>1267</v>
      </c>
      <c r="D568" s="2">
        <f t="shared" si="521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ref="W568:AH568" si="574">IF(OR((SLOPE($E568:$V568,$E$1:$V$1)*W$1+INTERCEPT($E568:$V568,$E$1:$V$1))&gt;(AVERAGE($E568:$V568)+_xlfn.STDEV.P($E568:$V568)),(SLOPE($E568:$V568,$E$1:$V$1)*W$1+INTERCEPT($E568:$V568,$E$1:$V$1))&lt;(AVERAGE($E568:$V568)-_xlfn.STDEV.P($E568:$V568))),V568,(SLOPE($E568:$V568,$E$1:$V$1)*W$1+INTERCEPT($E568:$V568,$E$1:$V$1)))</f>
        <v>9091.2313956038342</v>
      </c>
      <c r="X568" s="5">
        <f t="shared" si="574"/>
        <v>9291.6646178266747</v>
      </c>
      <c r="Y568" s="5">
        <f t="shared" si="574"/>
        <v>9492.0978400495151</v>
      </c>
      <c r="Z568" s="5">
        <f t="shared" si="574"/>
        <v>9692.5310622723555</v>
      </c>
      <c r="AA568" s="5">
        <f t="shared" si="574"/>
        <v>9892.9642844951959</v>
      </c>
      <c r="AB568" s="5">
        <f t="shared" si="574"/>
        <v>10093.397506718036</v>
      </c>
      <c r="AC568" s="5">
        <f t="shared" si="574"/>
        <v>10293.830728940877</v>
      </c>
      <c r="AD568" s="5">
        <f t="shared" si="574"/>
        <v>10494.263951163719</v>
      </c>
      <c r="AE568" s="5">
        <f t="shared" si="574"/>
        <v>10694.697173386559</v>
      </c>
      <c r="AF568" s="5">
        <f t="shared" si="574"/>
        <v>10895.1303956094</v>
      </c>
      <c r="AG568" s="5">
        <f t="shared" si="574"/>
        <v>11095.563617832242</v>
      </c>
      <c r="AH568" s="5">
        <f t="shared" si="574"/>
        <v>11295.996840055082</v>
      </c>
    </row>
    <row r="569" spans="1:34" x14ac:dyDescent="0.35">
      <c r="A569" t="s">
        <v>589</v>
      </c>
      <c r="B569" s="3" t="s">
        <v>1266</v>
      </c>
      <c r="C569" s="4" t="s">
        <v>1267</v>
      </c>
      <c r="D569" s="2">
        <f t="shared" si="521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ref="W569:AH569" si="575">IF(OR((SLOPE($E569:$V569,$E$1:$V$1)*W$1+INTERCEPT($E569:$V569,$E$1:$V$1))&gt;(AVERAGE($E569:$V569)+_xlfn.STDEV.P($E569:$V569)),(SLOPE($E569:$V569,$E$1:$V$1)*W$1+INTERCEPT($E569:$V569,$E$1:$V$1))&lt;(AVERAGE($E569:$V569)-_xlfn.STDEV.P($E569:$V569))),V569,(SLOPE($E569:$V569,$E$1:$V$1)*W$1+INTERCEPT($E569:$V569,$E$1:$V$1)))</f>
        <v>7466.4585245102808</v>
      </c>
      <c r="X569" s="5">
        <f t="shared" si="575"/>
        <v>7500.9025579465861</v>
      </c>
      <c r="Y569" s="5">
        <f t="shared" si="575"/>
        <v>7535.3465913828923</v>
      </c>
      <c r="Z569" s="5">
        <f t="shared" si="575"/>
        <v>7569.7906248191975</v>
      </c>
      <c r="AA569" s="5">
        <f t="shared" si="575"/>
        <v>7604.2346582555028</v>
      </c>
      <c r="AB569" s="5">
        <f t="shared" si="575"/>
        <v>7638.6786916918081</v>
      </c>
      <c r="AC569" s="5">
        <f t="shared" si="575"/>
        <v>7673.1227251281143</v>
      </c>
      <c r="AD569" s="5">
        <f t="shared" si="575"/>
        <v>7707.5667585644196</v>
      </c>
      <c r="AE569" s="5">
        <f t="shared" si="575"/>
        <v>7742.0107920007249</v>
      </c>
      <c r="AF569" s="5">
        <f t="shared" si="575"/>
        <v>7776.4548254370302</v>
      </c>
      <c r="AG569" s="5">
        <f t="shared" si="575"/>
        <v>7810.8988588733355</v>
      </c>
      <c r="AH569" s="5">
        <f t="shared" si="575"/>
        <v>7845.3428923096417</v>
      </c>
    </row>
    <row r="570" spans="1:34" x14ac:dyDescent="0.35">
      <c r="A570" t="s">
        <v>590</v>
      </c>
      <c r="B570" s="3" t="s">
        <v>1264</v>
      </c>
      <c r="C570" s="4" t="s">
        <v>1263</v>
      </c>
      <c r="D570" s="2">
        <f t="shared" si="521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ref="W570:AH570" si="576">IF(OR((SLOPE($E570:$V570,$E$1:$V$1)*W$1+INTERCEPT($E570:$V570,$E$1:$V$1))&gt;(AVERAGE($E570:$V570)+_xlfn.STDEV.P($E570:$V570)),(SLOPE($E570:$V570,$E$1:$V$1)*W$1+INTERCEPT($E570:$V570,$E$1:$V$1))&lt;(AVERAGE($E570:$V570)-_xlfn.STDEV.P($E570:$V570))),V570,(SLOPE($E570:$V570,$E$1:$V$1)*W$1+INTERCEPT($E570:$V570,$E$1:$V$1)))</f>
        <v>0</v>
      </c>
      <c r="X570" s="5">
        <f t="shared" si="576"/>
        <v>0</v>
      </c>
      <c r="Y570" s="5">
        <f t="shared" si="576"/>
        <v>0</v>
      </c>
      <c r="Z570" s="5">
        <f t="shared" si="576"/>
        <v>0</v>
      </c>
      <c r="AA570" s="5">
        <f t="shared" si="576"/>
        <v>0</v>
      </c>
      <c r="AB570" s="5">
        <f t="shared" si="576"/>
        <v>0</v>
      </c>
      <c r="AC570" s="5">
        <f t="shared" si="576"/>
        <v>0</v>
      </c>
      <c r="AD570" s="5">
        <f t="shared" si="576"/>
        <v>0</v>
      </c>
      <c r="AE570" s="5">
        <f t="shared" si="576"/>
        <v>0</v>
      </c>
      <c r="AF570" s="5">
        <f t="shared" si="576"/>
        <v>0</v>
      </c>
      <c r="AG570" s="5">
        <f t="shared" si="576"/>
        <v>0</v>
      </c>
      <c r="AH570" s="5">
        <f t="shared" si="576"/>
        <v>0</v>
      </c>
    </row>
    <row r="571" spans="1:34" x14ac:dyDescent="0.35">
      <c r="A571" t="s">
        <v>591</v>
      </c>
      <c r="B571" s="3" t="s">
        <v>1266</v>
      </c>
      <c r="C571" s="4" t="s">
        <v>1267</v>
      </c>
      <c r="D571" s="2">
        <f t="shared" si="521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ref="W571:AH571" si="577">IF(OR((SLOPE($E571:$V571,$E$1:$V$1)*W$1+INTERCEPT($E571:$V571,$E$1:$V$1))&gt;(AVERAGE($E571:$V571)+_xlfn.STDEV.P($E571:$V571)),(SLOPE($E571:$V571,$E$1:$V$1)*W$1+INTERCEPT($E571:$V571,$E$1:$V$1))&lt;(AVERAGE($E571:$V571)-_xlfn.STDEV.P($E571:$V571))),V571,(SLOPE($E571:$V571,$E$1:$V$1)*W$1+INTERCEPT($E571:$V571,$E$1:$V$1)))</f>
        <v>8380.4790449351858</v>
      </c>
      <c r="X571" s="5">
        <f t="shared" si="577"/>
        <v>8514.8682542516763</v>
      </c>
      <c r="Y571" s="5">
        <f t="shared" si="577"/>
        <v>8649.2574635681667</v>
      </c>
      <c r="Z571" s="5">
        <f t="shared" si="577"/>
        <v>8783.6466728846572</v>
      </c>
      <c r="AA571" s="5">
        <f t="shared" si="577"/>
        <v>8918.0358822011476</v>
      </c>
      <c r="AB571" s="5">
        <f t="shared" si="577"/>
        <v>9052.4250915176381</v>
      </c>
      <c r="AC571" s="5">
        <f t="shared" si="577"/>
        <v>9186.8143008341285</v>
      </c>
      <c r="AD571" s="5">
        <f t="shared" si="577"/>
        <v>9321.203510150619</v>
      </c>
      <c r="AE571" s="5">
        <f t="shared" si="577"/>
        <v>9455.5927194671094</v>
      </c>
      <c r="AF571" s="5">
        <f t="shared" si="577"/>
        <v>9589.9819287835999</v>
      </c>
      <c r="AG571" s="5">
        <f t="shared" si="577"/>
        <v>9724.3711381000903</v>
      </c>
      <c r="AH571" s="5">
        <f t="shared" si="577"/>
        <v>9858.7603474165808</v>
      </c>
    </row>
    <row r="572" spans="1:34" x14ac:dyDescent="0.35">
      <c r="A572" t="s">
        <v>592</v>
      </c>
      <c r="B572" s="3" t="s">
        <v>1265</v>
      </c>
      <c r="C572" s="4" t="s">
        <v>1263</v>
      </c>
      <c r="D572" s="2">
        <f t="shared" si="521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ref="W572:AH572" si="578">IF(OR((SLOPE($E572:$V572,$E$1:$V$1)*W$1+INTERCEPT($E572:$V572,$E$1:$V$1))&gt;(AVERAGE($E572:$V572)+_xlfn.STDEV.P($E572:$V572)),(SLOPE($E572:$V572,$E$1:$V$1)*W$1+INTERCEPT($E572:$V572,$E$1:$V$1))&lt;(AVERAGE($E572:$V572)-_xlfn.STDEV.P($E572:$V572))),V572,(SLOPE($E572:$V572,$E$1:$V$1)*W$1+INTERCEPT($E572:$V572,$E$1:$V$1)))</f>
        <v>13821.14093497771</v>
      </c>
      <c r="X572" s="5">
        <f t="shared" si="578"/>
        <v>14531.6514347189</v>
      </c>
      <c r="Y572" s="5">
        <f t="shared" si="578"/>
        <v>15242.161934460088</v>
      </c>
      <c r="Z572" s="5">
        <f t="shared" si="578"/>
        <v>15952.672434201279</v>
      </c>
      <c r="AA572" s="5">
        <f t="shared" si="578"/>
        <v>16663.182933942469</v>
      </c>
      <c r="AB572" s="5">
        <f t="shared" si="578"/>
        <v>17373.69343368366</v>
      </c>
      <c r="AC572" s="5">
        <f t="shared" si="578"/>
        <v>18084.203933424851</v>
      </c>
      <c r="AD572" s="5">
        <f t="shared" si="578"/>
        <v>18794.714433166042</v>
      </c>
      <c r="AE572" s="5">
        <f t="shared" si="578"/>
        <v>19505.224932907233</v>
      </c>
      <c r="AF572" s="5">
        <f t="shared" si="578"/>
        <v>20215.735432648424</v>
      </c>
      <c r="AG572" s="5">
        <f t="shared" si="578"/>
        <v>20926.245932389611</v>
      </c>
      <c r="AH572" s="5">
        <f t="shared" si="578"/>
        <v>20926.245932389611</v>
      </c>
    </row>
    <row r="573" spans="1:34" x14ac:dyDescent="0.35">
      <c r="A573" t="s">
        <v>593</v>
      </c>
      <c r="B573" s="3" t="s">
        <v>1264</v>
      </c>
      <c r="C573" s="4" t="s">
        <v>1263</v>
      </c>
      <c r="D573" s="2">
        <f t="shared" si="521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ref="W573:AH573" si="579">IF(OR((SLOPE($E573:$V573,$E$1:$V$1)*W$1+INTERCEPT($E573:$V573,$E$1:$V$1))&gt;(AVERAGE($E573:$V573)+_xlfn.STDEV.P($E573:$V573)),(SLOPE($E573:$V573,$E$1:$V$1)*W$1+INTERCEPT($E573:$V573,$E$1:$V$1))&lt;(AVERAGE($E573:$V573)-_xlfn.STDEV.P($E573:$V573))),V573,(SLOPE($E573:$V573,$E$1:$V$1)*W$1+INTERCEPT($E573:$V573,$E$1:$V$1)))</f>
        <v>8963.6795294117655</v>
      </c>
      <c r="X573" s="5">
        <f t="shared" si="579"/>
        <v>9165.911479876162</v>
      </c>
      <c r="Y573" s="5">
        <f t="shared" si="579"/>
        <v>9368.1434303405586</v>
      </c>
      <c r="Z573" s="5">
        <f t="shared" si="579"/>
        <v>9570.3753808049551</v>
      </c>
      <c r="AA573" s="5">
        <f t="shared" si="579"/>
        <v>9772.6073312693516</v>
      </c>
      <c r="AB573" s="5">
        <f t="shared" si="579"/>
        <v>9974.8392817337481</v>
      </c>
      <c r="AC573" s="5">
        <f t="shared" si="579"/>
        <v>10177.071232198145</v>
      </c>
      <c r="AD573" s="5">
        <f t="shared" si="579"/>
        <v>10379.303182662541</v>
      </c>
      <c r="AE573" s="5">
        <f t="shared" si="579"/>
        <v>10581.535133126938</v>
      </c>
      <c r="AF573" s="5">
        <f t="shared" si="579"/>
        <v>10783.767083591334</v>
      </c>
      <c r="AG573" s="5">
        <f t="shared" si="579"/>
        <v>10985.999034055731</v>
      </c>
      <c r="AH573" s="5">
        <f t="shared" si="579"/>
        <v>11188.230984520127</v>
      </c>
    </row>
    <row r="574" spans="1:34" x14ac:dyDescent="0.35">
      <c r="A574" t="s">
        <v>594</v>
      </c>
      <c r="B574" s="3" t="s">
        <v>1262</v>
      </c>
      <c r="C574" s="4" t="s">
        <v>1263</v>
      </c>
      <c r="D574" s="2">
        <f t="shared" si="521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ref="W574:AH574" si="580">IF(OR((SLOPE($E574:$V574,$E$1:$V$1)*W$1+INTERCEPT($E574:$V574,$E$1:$V$1))&gt;(AVERAGE($E574:$V574)+_xlfn.STDEV.P($E574:$V574)),(SLOPE($E574:$V574,$E$1:$V$1)*W$1+INTERCEPT($E574:$V574,$E$1:$V$1))&lt;(AVERAGE($E574:$V574)-_xlfn.STDEV.P($E574:$V574))),V574,(SLOPE($E574:$V574,$E$1:$V$1)*W$1+INTERCEPT($E574:$V574,$E$1:$V$1)))</f>
        <v>18073.767599999999</v>
      </c>
      <c r="X574" s="5">
        <f t="shared" si="580"/>
        <v>18073.767599999999</v>
      </c>
      <c r="Y574" s="5">
        <f t="shared" si="580"/>
        <v>18073.767599999999</v>
      </c>
      <c r="Z574" s="5">
        <f t="shared" si="580"/>
        <v>18073.767599999999</v>
      </c>
      <c r="AA574" s="5">
        <f t="shared" si="580"/>
        <v>18073.767599999999</v>
      </c>
      <c r="AB574" s="5">
        <f t="shared" si="580"/>
        <v>18073.767599999999</v>
      </c>
      <c r="AC574" s="5">
        <f t="shared" si="580"/>
        <v>18073.767599999999</v>
      </c>
      <c r="AD574" s="5">
        <f t="shared" si="580"/>
        <v>18073.767599999999</v>
      </c>
      <c r="AE574" s="5">
        <f t="shared" si="580"/>
        <v>18073.767599999999</v>
      </c>
      <c r="AF574" s="5">
        <f t="shared" si="580"/>
        <v>18073.767599999999</v>
      </c>
      <c r="AG574" s="5">
        <f t="shared" si="580"/>
        <v>18073.767599999999</v>
      </c>
      <c r="AH574" s="5">
        <f t="shared" si="580"/>
        <v>18073.767599999999</v>
      </c>
    </row>
    <row r="575" spans="1:34" x14ac:dyDescent="0.35">
      <c r="A575" t="s">
        <v>595</v>
      </c>
      <c r="B575" s="3" t="s">
        <v>1265</v>
      </c>
      <c r="C575" s="4" t="s">
        <v>1263</v>
      </c>
      <c r="D575" s="2">
        <f t="shared" si="521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ref="W575:AH575" si="581">IF(OR((SLOPE($E575:$V575,$E$1:$V$1)*W$1+INTERCEPT($E575:$V575,$E$1:$V$1))&gt;(AVERAGE($E575:$V575)+_xlfn.STDEV.P($E575:$V575)),(SLOPE($E575:$V575,$E$1:$V$1)*W$1+INTERCEPT($E575:$V575,$E$1:$V$1))&lt;(AVERAGE($E575:$V575)-_xlfn.STDEV.P($E575:$V575))),V575,(SLOPE($E575:$V575,$E$1:$V$1)*W$1+INTERCEPT($E575:$V575,$E$1:$V$1)))</f>
        <v>7558.4873520047522</v>
      </c>
      <c r="X575" s="5">
        <f t="shared" si="581"/>
        <v>7624.6612369256127</v>
      </c>
      <c r="Y575" s="5">
        <f t="shared" si="581"/>
        <v>7690.8351218464741</v>
      </c>
      <c r="Z575" s="5">
        <f t="shared" si="581"/>
        <v>7757.0090067673345</v>
      </c>
      <c r="AA575" s="5">
        <f t="shared" si="581"/>
        <v>7823.182891688195</v>
      </c>
      <c r="AB575" s="5">
        <f t="shared" si="581"/>
        <v>7889.3567766090564</v>
      </c>
      <c r="AC575" s="5">
        <f t="shared" si="581"/>
        <v>7955.5306615299169</v>
      </c>
      <c r="AD575" s="5">
        <f t="shared" si="581"/>
        <v>8021.7045464507773</v>
      </c>
      <c r="AE575" s="5">
        <f t="shared" si="581"/>
        <v>8087.8784313716387</v>
      </c>
      <c r="AF575" s="5">
        <f t="shared" si="581"/>
        <v>8154.0523162924992</v>
      </c>
      <c r="AG575" s="5">
        <f t="shared" si="581"/>
        <v>8220.2262012133597</v>
      </c>
      <c r="AH575" s="5">
        <f t="shared" si="581"/>
        <v>8286.4000861342211</v>
      </c>
    </row>
    <row r="576" spans="1:34" x14ac:dyDescent="0.35">
      <c r="A576" t="s">
        <v>596</v>
      </c>
      <c r="B576" s="3" t="s">
        <v>1264</v>
      </c>
      <c r="C576" s="4" t="s">
        <v>1263</v>
      </c>
      <c r="D576" s="2">
        <f t="shared" si="521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ref="W576:AH576" si="582">IF(OR((SLOPE($E576:$V576,$E$1:$V$1)*W$1+INTERCEPT($E576:$V576,$E$1:$V$1))&gt;(AVERAGE($E576:$V576)+_xlfn.STDEV.P($E576:$V576)),(SLOPE($E576:$V576,$E$1:$V$1)*W$1+INTERCEPT($E576:$V576,$E$1:$V$1))&lt;(AVERAGE($E576:$V576)-_xlfn.STDEV.P($E576:$V576))),V576,(SLOPE($E576:$V576,$E$1:$V$1)*W$1+INTERCEPT($E576:$V576,$E$1:$V$1)))</f>
        <v>5723.6714248366006</v>
      </c>
      <c r="X576" s="5">
        <f t="shared" si="582"/>
        <v>5615.9462648778799</v>
      </c>
      <c r="Y576" s="5">
        <f t="shared" si="582"/>
        <v>5508.2211049191592</v>
      </c>
      <c r="Z576" s="5">
        <f t="shared" si="582"/>
        <v>5400.4959449604394</v>
      </c>
      <c r="AA576" s="5">
        <f t="shared" si="582"/>
        <v>5292.7707850017196</v>
      </c>
      <c r="AB576" s="5">
        <f t="shared" si="582"/>
        <v>5185.0456250429979</v>
      </c>
      <c r="AC576" s="5">
        <f t="shared" si="582"/>
        <v>5077.3204650842781</v>
      </c>
      <c r="AD576" s="5">
        <f t="shared" si="582"/>
        <v>4969.5953051255583</v>
      </c>
      <c r="AE576" s="5">
        <f t="shared" si="582"/>
        <v>4861.8701451668367</v>
      </c>
      <c r="AF576" s="5">
        <f t="shared" si="582"/>
        <v>4754.1449852081169</v>
      </c>
      <c r="AG576" s="5">
        <f t="shared" si="582"/>
        <v>4646.419825249397</v>
      </c>
      <c r="AH576" s="5">
        <f t="shared" si="582"/>
        <v>4538.6946652906763</v>
      </c>
    </row>
    <row r="577" spans="1:34" x14ac:dyDescent="0.35">
      <c r="A577" t="s">
        <v>597</v>
      </c>
      <c r="B577" s="3" t="s">
        <v>1266</v>
      </c>
      <c r="C577" s="4" t="s">
        <v>1263</v>
      </c>
      <c r="D577" s="2">
        <f t="shared" si="521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ref="W577:AH577" si="583">IF(OR((SLOPE($E577:$V577,$E$1:$V$1)*W$1+INTERCEPT($E577:$V577,$E$1:$V$1))&gt;(AVERAGE($E577:$V577)+_xlfn.STDEV.P($E577:$V577)),(SLOPE($E577:$V577,$E$1:$V$1)*W$1+INTERCEPT($E577:$V577,$E$1:$V$1))&lt;(AVERAGE($E577:$V577)-_xlfn.STDEV.P($E577:$V577))),V577,(SLOPE($E577:$V577,$E$1:$V$1)*W$1+INTERCEPT($E577:$V577,$E$1:$V$1)))</f>
        <v>9216.5269990728084</v>
      </c>
      <c r="X577" s="5">
        <f t="shared" si="583"/>
        <v>9460.2778380028321</v>
      </c>
      <c r="Y577" s="5">
        <f t="shared" si="583"/>
        <v>9704.0286769328595</v>
      </c>
      <c r="Z577" s="5">
        <f t="shared" si="583"/>
        <v>9947.7795158628833</v>
      </c>
      <c r="AA577" s="5">
        <f t="shared" si="583"/>
        <v>10191.530354792909</v>
      </c>
      <c r="AB577" s="5">
        <f t="shared" si="583"/>
        <v>10435.281193722934</v>
      </c>
      <c r="AC577" s="5">
        <f t="shared" si="583"/>
        <v>10679.032032652958</v>
      </c>
      <c r="AD577" s="5">
        <f t="shared" si="583"/>
        <v>10922.782871582986</v>
      </c>
      <c r="AE577" s="5">
        <f t="shared" si="583"/>
        <v>11166.533710513009</v>
      </c>
      <c r="AF577" s="5">
        <f t="shared" si="583"/>
        <v>11410.284549443035</v>
      </c>
      <c r="AG577" s="5">
        <f t="shared" si="583"/>
        <v>11654.03538837306</v>
      </c>
      <c r="AH577" s="5">
        <f t="shared" si="583"/>
        <v>11897.786227303084</v>
      </c>
    </row>
    <row r="578" spans="1:34" x14ac:dyDescent="0.35">
      <c r="A578" t="s">
        <v>598</v>
      </c>
      <c r="B578" s="3" t="s">
        <v>1266</v>
      </c>
      <c r="C578" s="4" t="s">
        <v>1263</v>
      </c>
      <c r="D578" s="2">
        <f t="shared" si="521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ref="W578:AH578" si="584">IF(OR((SLOPE($E578:$V578,$E$1:$V$1)*W$1+INTERCEPT($E578:$V578,$E$1:$V$1))&gt;(AVERAGE($E578:$V578)+_xlfn.STDEV.P($E578:$V578)),(SLOPE($E578:$V578,$E$1:$V$1)*W$1+INTERCEPT($E578:$V578,$E$1:$V$1))&lt;(AVERAGE($E578:$V578)-_xlfn.STDEV.P($E578:$V578))),V578,(SLOPE($E578:$V578,$E$1:$V$1)*W$1+INTERCEPT($E578:$V578,$E$1:$V$1)))</f>
        <v>8465.972532713984</v>
      </c>
      <c r="X578" s="5">
        <f t="shared" si="584"/>
        <v>8633.8968257670658</v>
      </c>
      <c r="Y578" s="5">
        <f t="shared" si="584"/>
        <v>8801.8211188201476</v>
      </c>
      <c r="Z578" s="5">
        <f t="shared" si="584"/>
        <v>8969.7454118732294</v>
      </c>
      <c r="AA578" s="5">
        <f t="shared" si="584"/>
        <v>9137.6697049263112</v>
      </c>
      <c r="AB578" s="5">
        <f t="shared" si="584"/>
        <v>9305.593997979393</v>
      </c>
      <c r="AC578" s="5">
        <f t="shared" si="584"/>
        <v>9473.5182910324747</v>
      </c>
      <c r="AD578" s="5">
        <f t="shared" si="584"/>
        <v>9641.4425840855565</v>
      </c>
      <c r="AE578" s="5">
        <f t="shared" si="584"/>
        <v>9809.3668771386383</v>
      </c>
      <c r="AF578" s="5">
        <f t="shared" si="584"/>
        <v>9977.2911701917201</v>
      </c>
      <c r="AG578" s="5">
        <f t="shared" si="584"/>
        <v>10145.215463244802</v>
      </c>
      <c r="AH578" s="5">
        <f t="shared" si="584"/>
        <v>10313.139756297884</v>
      </c>
    </row>
    <row r="579" spans="1:34" x14ac:dyDescent="0.35">
      <c r="A579" t="s">
        <v>599</v>
      </c>
      <c r="B579" s="3" t="s">
        <v>1266</v>
      </c>
      <c r="C579" s="4" t="s">
        <v>1267</v>
      </c>
      <c r="D579" s="2">
        <f t="shared" si="521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ref="W579:AH579" si="585">IF(OR((SLOPE($E579:$V579,$E$1:$V$1)*W$1+INTERCEPT($E579:$V579,$E$1:$V$1))&gt;(AVERAGE($E579:$V579)+_xlfn.STDEV.P($E579:$V579)),(SLOPE($E579:$V579,$E$1:$V$1)*W$1+INTERCEPT($E579:$V579,$E$1:$V$1))&lt;(AVERAGE($E579:$V579)-_xlfn.STDEV.P($E579:$V579))),V579,(SLOPE($E579:$V579,$E$1:$V$1)*W$1+INTERCEPT($E579:$V579,$E$1:$V$1)))</f>
        <v>-11267.155411472828</v>
      </c>
      <c r="X579" s="5">
        <f t="shared" si="585"/>
        <v>-13173.253131458834</v>
      </c>
      <c r="Y579" s="5">
        <f t="shared" si="585"/>
        <v>-15079.35085144484</v>
      </c>
      <c r="Z579" s="5">
        <f t="shared" si="585"/>
        <v>-16985.448571430847</v>
      </c>
      <c r="AA579" s="5">
        <f t="shared" si="585"/>
        <v>-18891.546291416853</v>
      </c>
      <c r="AB579" s="5">
        <f t="shared" si="585"/>
        <v>-20797.644011402859</v>
      </c>
      <c r="AC579" s="5">
        <f t="shared" si="585"/>
        <v>-20797.644011402859</v>
      </c>
      <c r="AD579" s="5">
        <f t="shared" si="585"/>
        <v>-20797.644011402859</v>
      </c>
      <c r="AE579" s="5">
        <f t="shared" si="585"/>
        <v>-20797.644011402859</v>
      </c>
      <c r="AF579" s="5">
        <f t="shared" si="585"/>
        <v>-20797.644011402859</v>
      </c>
      <c r="AG579" s="5">
        <f t="shared" si="585"/>
        <v>-20797.644011402859</v>
      </c>
      <c r="AH579" s="5">
        <f t="shared" si="585"/>
        <v>-20797.644011402859</v>
      </c>
    </row>
    <row r="580" spans="1:34" x14ac:dyDescent="0.35">
      <c r="A580" t="s">
        <v>600</v>
      </c>
      <c r="B580" s="3" t="s">
        <v>1264</v>
      </c>
      <c r="C580" s="4" t="s">
        <v>1263</v>
      </c>
      <c r="D580" s="2">
        <f t="shared" ref="D580:D643" si="58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ref="W580:AH580" si="587">IF(OR((SLOPE($E580:$V580,$E$1:$V$1)*W$1+INTERCEPT($E580:$V580,$E$1:$V$1))&gt;(AVERAGE($E580:$V580)+_xlfn.STDEV.P($E580:$V580)),(SLOPE($E580:$V580,$E$1:$V$1)*W$1+INTERCEPT($E580:$V580,$E$1:$V$1))&lt;(AVERAGE($E580:$V580)-_xlfn.STDEV.P($E580:$V580))),V580,(SLOPE($E580:$V580,$E$1:$V$1)*W$1+INTERCEPT($E580:$V580,$E$1:$V$1)))</f>
        <v>-2760.4736078431379</v>
      </c>
      <c r="X580" s="5">
        <f t="shared" si="587"/>
        <v>-3771.0729700722404</v>
      </c>
      <c r="Y580" s="5">
        <f t="shared" si="587"/>
        <v>-4781.6723323013393</v>
      </c>
      <c r="Z580" s="5">
        <f t="shared" si="587"/>
        <v>-5792.2716945304419</v>
      </c>
      <c r="AA580" s="5">
        <f t="shared" si="587"/>
        <v>-6802.8710567595444</v>
      </c>
      <c r="AB580" s="5">
        <f t="shared" si="587"/>
        <v>-6802.8710567595444</v>
      </c>
      <c r="AC580" s="5">
        <f t="shared" si="587"/>
        <v>-6802.8710567595444</v>
      </c>
      <c r="AD580" s="5">
        <f t="shared" si="587"/>
        <v>-6802.8710567595444</v>
      </c>
      <c r="AE580" s="5">
        <f t="shared" si="587"/>
        <v>-6802.8710567595444</v>
      </c>
      <c r="AF580" s="5">
        <f t="shared" si="587"/>
        <v>-6802.8710567595444</v>
      </c>
      <c r="AG580" s="5">
        <f t="shared" si="587"/>
        <v>-6802.8710567595444</v>
      </c>
      <c r="AH580" s="5">
        <f t="shared" si="587"/>
        <v>-6802.8710567595444</v>
      </c>
    </row>
    <row r="581" spans="1:34" x14ac:dyDescent="0.35">
      <c r="A581" t="s">
        <v>601</v>
      </c>
      <c r="B581" s="3" t="s">
        <v>1266</v>
      </c>
      <c r="C581" s="4" t="s">
        <v>1266</v>
      </c>
      <c r="D581" s="2">
        <f t="shared" si="58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H581" si="588">IF(OR((SLOPE($E581:$V581,$E$1:$V$1)*W$1+INTERCEPT($E581:$V581,$E$1:$V$1))&gt;(AVERAGE($E581:$V581)+_xlfn.STDEV.P($E581:$V581)),(SLOPE($E581:$V581,$E$1:$V$1)*W$1+INTERCEPT($E581:$V581,$E$1:$V$1))&lt;(AVERAGE($E581:$V581)-_xlfn.STDEV.P($E581:$V581))),V581,(SLOPE($E581:$V581,$E$1:$V$1)*W$1+INTERCEPT($E581:$V581,$E$1:$V$1)))</f>
        <v>17703.508246694721</v>
      </c>
      <c r="X581" s="5">
        <f t="shared" si="588"/>
        <v>18847.036291337681</v>
      </c>
      <c r="Y581" s="5">
        <f t="shared" si="588"/>
        <v>19990.564335980642</v>
      </c>
      <c r="Z581" s="5">
        <f t="shared" si="588"/>
        <v>21134.092380623602</v>
      </c>
      <c r="AA581" s="5">
        <f t="shared" si="588"/>
        <v>22277.620425266563</v>
      </c>
      <c r="AB581" s="5">
        <f t="shared" si="588"/>
        <v>23421.14846990952</v>
      </c>
      <c r="AC581" s="5">
        <f t="shared" si="588"/>
        <v>24564.676514552481</v>
      </c>
      <c r="AD581" s="5">
        <f t="shared" si="588"/>
        <v>25708.204559195441</v>
      </c>
      <c r="AE581" s="5">
        <f t="shared" si="588"/>
        <v>26851.732603838402</v>
      </c>
      <c r="AF581" s="5">
        <f t="shared" si="588"/>
        <v>27995.260648481362</v>
      </c>
      <c r="AG581" s="5">
        <f t="shared" si="588"/>
        <v>29138.788693124323</v>
      </c>
      <c r="AH581" s="5">
        <f t="shared" si="588"/>
        <v>30282.316737767283</v>
      </c>
    </row>
    <row r="582" spans="1:34" x14ac:dyDescent="0.35">
      <c r="A582" t="s">
        <v>602</v>
      </c>
      <c r="B582" s="3" t="s">
        <v>1264</v>
      </c>
      <c r="C582" s="4" t="s">
        <v>1263</v>
      </c>
      <c r="D582" s="2">
        <f t="shared" si="58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ref="W582:AH582" si="589">IF(OR((SLOPE($E582:$V582,$E$1:$V$1)*W$1+INTERCEPT($E582:$V582,$E$1:$V$1))&gt;(AVERAGE($E582:$V582)+_xlfn.STDEV.P($E582:$V582)),(SLOPE($E582:$V582,$E$1:$V$1)*W$1+INTERCEPT($E582:$V582,$E$1:$V$1))&lt;(AVERAGE($E582:$V582)-_xlfn.STDEV.P($E582:$V582))),V582,(SLOPE($E582:$V582,$E$1:$V$1)*W$1+INTERCEPT($E582:$V582,$E$1:$V$1)))</f>
        <v>-2593.4915509999992</v>
      </c>
      <c r="X582" s="5">
        <f t="shared" si="589"/>
        <v>-3581.8055176842099</v>
      </c>
      <c r="Y582" s="5">
        <f t="shared" si="589"/>
        <v>-3581.8055176842099</v>
      </c>
      <c r="Z582" s="5">
        <f t="shared" si="589"/>
        <v>-3581.8055176842099</v>
      </c>
      <c r="AA582" s="5">
        <f t="shared" si="589"/>
        <v>-3581.8055176842099</v>
      </c>
      <c r="AB582" s="5">
        <f t="shared" si="589"/>
        <v>-3581.8055176842099</v>
      </c>
      <c r="AC582" s="5">
        <f t="shared" si="589"/>
        <v>-3581.8055176842099</v>
      </c>
      <c r="AD582" s="5">
        <f t="shared" si="589"/>
        <v>-3581.8055176842099</v>
      </c>
      <c r="AE582" s="5">
        <f t="shared" si="589"/>
        <v>-3581.8055176842099</v>
      </c>
      <c r="AF582" s="5">
        <f t="shared" si="589"/>
        <v>-3581.8055176842099</v>
      </c>
      <c r="AG582" s="5">
        <f t="shared" si="589"/>
        <v>-3581.8055176842099</v>
      </c>
      <c r="AH582" s="5">
        <f t="shared" si="589"/>
        <v>-3581.8055176842099</v>
      </c>
    </row>
    <row r="583" spans="1:34" x14ac:dyDescent="0.35">
      <c r="A583" t="s">
        <v>603</v>
      </c>
      <c r="B583" s="3" t="s">
        <v>1265</v>
      </c>
      <c r="C583" s="4" t="s">
        <v>1263</v>
      </c>
      <c r="D583" s="2">
        <f t="shared" si="58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ref="W583:AH583" si="590">IF(OR((SLOPE($E583:$V583,$E$1:$V$1)*W$1+INTERCEPT($E583:$V583,$E$1:$V$1))&gt;(AVERAGE($E583:$V583)+_xlfn.STDEV.P($E583:$V583)),(SLOPE($E583:$V583,$E$1:$V$1)*W$1+INTERCEPT($E583:$V583,$E$1:$V$1))&lt;(AVERAGE($E583:$V583)-_xlfn.STDEV.P($E583:$V583))),V583,(SLOPE($E583:$V583,$E$1:$V$1)*W$1+INTERCEPT($E583:$V583,$E$1:$V$1)))</f>
        <v>12743.031466666667</v>
      </c>
      <c r="X583" s="5">
        <f t="shared" si="590"/>
        <v>13371.799466666667</v>
      </c>
      <c r="Y583" s="5">
        <f t="shared" si="590"/>
        <v>14000.567466666667</v>
      </c>
      <c r="Z583" s="5">
        <f t="shared" si="590"/>
        <v>14629.335466666667</v>
      </c>
      <c r="AA583" s="5">
        <f t="shared" si="590"/>
        <v>15258.103466666667</v>
      </c>
      <c r="AB583" s="5">
        <f t="shared" si="590"/>
        <v>15886.871466666669</v>
      </c>
      <c r="AC583" s="5">
        <f t="shared" si="590"/>
        <v>16515.639466666667</v>
      </c>
      <c r="AD583" s="5">
        <f t="shared" si="590"/>
        <v>17144.407466666671</v>
      </c>
      <c r="AE583" s="5">
        <f t="shared" si="590"/>
        <v>17773.175466666667</v>
      </c>
      <c r="AF583" s="5">
        <f t="shared" si="590"/>
        <v>18401.943466666671</v>
      </c>
      <c r="AG583" s="5">
        <f t="shared" si="590"/>
        <v>19030.711466666668</v>
      </c>
      <c r="AH583" s="5">
        <f t="shared" si="590"/>
        <v>19659.479466666671</v>
      </c>
    </row>
    <row r="584" spans="1:34" x14ac:dyDescent="0.35">
      <c r="A584" t="s">
        <v>604</v>
      </c>
      <c r="B584" s="3" t="s">
        <v>1266</v>
      </c>
      <c r="C584" s="4" t="s">
        <v>1267</v>
      </c>
      <c r="D584" s="2">
        <f t="shared" si="58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ref="W584:AH584" si="591">IF(OR((SLOPE($E584:$V584,$E$1:$V$1)*W$1+INTERCEPT($E584:$V584,$E$1:$V$1))&gt;(AVERAGE($E584:$V584)+_xlfn.STDEV.P($E584:$V584)),(SLOPE($E584:$V584,$E$1:$V$1)*W$1+INTERCEPT($E584:$V584,$E$1:$V$1))&lt;(AVERAGE($E584:$V584)-_xlfn.STDEV.P($E584:$V584))),V584,(SLOPE($E584:$V584,$E$1:$V$1)*W$1+INTERCEPT($E584:$V584,$E$1:$V$1)))</f>
        <v>12997.492561082163</v>
      </c>
      <c r="X584" s="5">
        <f t="shared" si="591"/>
        <v>13657.221915654733</v>
      </c>
      <c r="Y584" s="5">
        <f t="shared" si="591"/>
        <v>14316.951270227299</v>
      </c>
      <c r="Z584" s="5">
        <f t="shared" si="591"/>
        <v>14976.680624799868</v>
      </c>
      <c r="AA584" s="5">
        <f t="shared" si="591"/>
        <v>15636.409979372434</v>
      </c>
      <c r="AB584" s="5">
        <f t="shared" si="591"/>
        <v>16296.139333945004</v>
      </c>
      <c r="AC584" s="5">
        <f t="shared" si="591"/>
        <v>16955.86868851757</v>
      </c>
      <c r="AD584" s="5">
        <f t="shared" si="591"/>
        <v>17615.59804309014</v>
      </c>
      <c r="AE584" s="5">
        <f t="shared" si="591"/>
        <v>18275.327397662706</v>
      </c>
      <c r="AF584" s="5">
        <f t="shared" si="591"/>
        <v>18935.056752235276</v>
      </c>
      <c r="AG584" s="5">
        <f t="shared" si="591"/>
        <v>19594.786106807842</v>
      </c>
      <c r="AH584" s="5">
        <f t="shared" si="591"/>
        <v>20254.515461380412</v>
      </c>
    </row>
    <row r="585" spans="1:34" x14ac:dyDescent="0.35">
      <c r="A585" t="s">
        <v>605</v>
      </c>
      <c r="B585" s="3" t="s">
        <v>1265</v>
      </c>
      <c r="C585" s="4" t="s">
        <v>1263</v>
      </c>
      <c r="D585" s="2">
        <f t="shared" si="58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ref="W585:AH585" si="592">IF(OR((SLOPE($E585:$V585,$E$1:$V$1)*W$1+INTERCEPT($E585:$V585,$E$1:$V$1))&gt;(AVERAGE($E585:$V585)+_xlfn.STDEV.P($E585:$V585)),(SLOPE($E585:$V585,$E$1:$V$1)*W$1+INTERCEPT($E585:$V585,$E$1:$V$1))&lt;(AVERAGE($E585:$V585)-_xlfn.STDEV.P($E585:$V585))),V585,(SLOPE($E585:$V585,$E$1:$V$1)*W$1+INTERCEPT($E585:$V585,$E$1:$V$1)))</f>
        <v>7257.9022048622601</v>
      </c>
      <c r="X585" s="5">
        <f t="shared" si="592"/>
        <v>7313.6396491384539</v>
      </c>
      <c r="Y585" s="5">
        <f t="shared" si="592"/>
        <v>7369.3770934146487</v>
      </c>
      <c r="Z585" s="5">
        <f t="shared" si="592"/>
        <v>7425.1145376908426</v>
      </c>
      <c r="AA585" s="5">
        <f t="shared" si="592"/>
        <v>7480.8519819670364</v>
      </c>
      <c r="AB585" s="5">
        <f t="shared" si="592"/>
        <v>7536.5894262432303</v>
      </c>
      <c r="AC585" s="5">
        <f t="shared" si="592"/>
        <v>7592.326870519425</v>
      </c>
      <c r="AD585" s="5">
        <f t="shared" si="592"/>
        <v>7648.0643147956189</v>
      </c>
      <c r="AE585" s="5">
        <f t="shared" si="592"/>
        <v>7703.8017590718127</v>
      </c>
      <c r="AF585" s="5">
        <f t="shared" si="592"/>
        <v>7759.5392033480075</v>
      </c>
      <c r="AG585" s="5">
        <f t="shared" si="592"/>
        <v>7815.2766476242014</v>
      </c>
      <c r="AH585" s="5">
        <f t="shared" si="592"/>
        <v>7871.0140919003952</v>
      </c>
    </row>
    <row r="586" spans="1:34" x14ac:dyDescent="0.35">
      <c r="A586" t="s">
        <v>606</v>
      </c>
      <c r="B586" s="3" t="s">
        <v>1265</v>
      </c>
      <c r="C586" s="4" t="s">
        <v>1263</v>
      </c>
      <c r="D586" s="2">
        <f t="shared" si="58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ref="W586:AH586" si="593">IF(OR((SLOPE($E586:$V586,$E$1:$V$1)*W$1+INTERCEPT($E586:$V586,$E$1:$V$1))&gt;(AVERAGE($E586:$V586)+_xlfn.STDEV.P($E586:$V586)),(SLOPE($E586:$V586,$E$1:$V$1)*W$1+INTERCEPT($E586:$V586,$E$1:$V$1))&lt;(AVERAGE($E586:$V586)-_xlfn.STDEV.P($E586:$V586))),V586,(SLOPE($E586:$V586,$E$1:$V$1)*W$1+INTERCEPT($E586:$V586,$E$1:$V$1)))</f>
        <v>-3507.306956709941</v>
      </c>
      <c r="X586" s="5">
        <f t="shared" si="593"/>
        <v>-4577.534147171682</v>
      </c>
      <c r="Y586" s="5">
        <f t="shared" si="593"/>
        <v>-5647.761337633423</v>
      </c>
      <c r="Z586" s="5">
        <f t="shared" si="593"/>
        <v>-6717.9885280951639</v>
      </c>
      <c r="AA586" s="5">
        <f t="shared" si="593"/>
        <v>-7788.2157185569049</v>
      </c>
      <c r="AB586" s="5">
        <f t="shared" si="593"/>
        <v>-8858.4429090186459</v>
      </c>
      <c r="AC586" s="5">
        <f t="shared" si="593"/>
        <v>-9928.6700994803832</v>
      </c>
      <c r="AD586" s="5">
        <f t="shared" si="593"/>
        <v>-9928.6700994803832</v>
      </c>
      <c r="AE586" s="5">
        <f t="shared" si="593"/>
        <v>-9928.6700994803832</v>
      </c>
      <c r="AF586" s="5">
        <f t="shared" si="593"/>
        <v>-9928.6700994803832</v>
      </c>
      <c r="AG586" s="5">
        <f t="shared" si="593"/>
        <v>-9928.6700994803832</v>
      </c>
      <c r="AH586" s="5">
        <f t="shared" si="593"/>
        <v>-9928.6700994803832</v>
      </c>
    </row>
    <row r="587" spans="1:34" x14ac:dyDescent="0.35">
      <c r="A587" t="s">
        <v>607</v>
      </c>
      <c r="B587" s="3" t="s">
        <v>1266</v>
      </c>
      <c r="C587" s="4" t="s">
        <v>1266</v>
      </c>
      <c r="D587" s="2">
        <f t="shared" si="58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ref="W587:AH587" si="594">IF(OR((SLOPE($E587:$V587,$E$1:$V$1)*W$1+INTERCEPT($E587:$V587,$E$1:$V$1))&gt;(AVERAGE($E587:$V587)+_xlfn.STDEV.P($E587:$V587)),(SLOPE($E587:$V587,$E$1:$V$1)*W$1+INTERCEPT($E587:$V587,$E$1:$V$1))&lt;(AVERAGE($E587:$V587)-_xlfn.STDEV.P($E587:$V587))),V587,(SLOPE($E587:$V587,$E$1:$V$1)*W$1+INTERCEPT($E587:$V587,$E$1:$V$1)))</f>
        <v>12413.840937234041</v>
      </c>
      <c r="X587" s="5">
        <f t="shared" si="594"/>
        <v>13026.365983479142</v>
      </c>
      <c r="Y587" s="5">
        <f t="shared" si="594"/>
        <v>13638.891029724244</v>
      </c>
      <c r="Z587" s="5">
        <f t="shared" si="594"/>
        <v>14251.416075969344</v>
      </c>
      <c r="AA587" s="5">
        <f t="shared" si="594"/>
        <v>14863.941122214444</v>
      </c>
      <c r="AB587" s="5">
        <f t="shared" si="594"/>
        <v>15476.466168459545</v>
      </c>
      <c r="AC587" s="5">
        <f t="shared" si="594"/>
        <v>16088.991214704645</v>
      </c>
      <c r="AD587" s="5">
        <f t="shared" si="594"/>
        <v>16701.516260949746</v>
      </c>
      <c r="AE587" s="5">
        <f t="shared" si="594"/>
        <v>17314.04130719485</v>
      </c>
      <c r="AF587" s="5">
        <f t="shared" si="594"/>
        <v>17926.56635343995</v>
      </c>
      <c r="AG587" s="5">
        <f t="shared" si="594"/>
        <v>18539.09139968505</v>
      </c>
      <c r="AH587" s="5">
        <f t="shared" si="594"/>
        <v>19151.616445930151</v>
      </c>
    </row>
    <row r="588" spans="1:34" x14ac:dyDescent="0.35">
      <c r="A588" t="s">
        <v>608</v>
      </c>
      <c r="B588" s="3" t="s">
        <v>1266</v>
      </c>
      <c r="C588" s="4" t="s">
        <v>1263</v>
      </c>
      <c r="D588" s="2">
        <f t="shared" si="58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ref="W588:AH588" si="595">IF(OR((SLOPE($E588:$V588,$E$1:$V$1)*W$1+INTERCEPT($E588:$V588,$E$1:$V$1))&gt;(AVERAGE($E588:$V588)+_xlfn.STDEV.P($E588:$V588)),(SLOPE($E588:$V588,$E$1:$V$1)*W$1+INTERCEPT($E588:$V588,$E$1:$V$1))&lt;(AVERAGE($E588:$V588)-_xlfn.STDEV.P($E588:$V588))),V588,(SLOPE($E588:$V588,$E$1:$V$1)*W$1+INTERCEPT($E588:$V588,$E$1:$V$1)))</f>
        <v>11511.625832484555</v>
      </c>
      <c r="X588" s="5">
        <f t="shared" si="595"/>
        <v>12032.830696317742</v>
      </c>
      <c r="Y588" s="5">
        <f t="shared" si="595"/>
        <v>12554.035560150929</v>
      </c>
      <c r="Z588" s="5">
        <f t="shared" si="595"/>
        <v>13075.240423984118</v>
      </c>
      <c r="AA588" s="5">
        <f t="shared" si="595"/>
        <v>13596.445287817307</v>
      </c>
      <c r="AB588" s="5">
        <f t="shared" si="595"/>
        <v>14117.650151650494</v>
      </c>
      <c r="AC588" s="5">
        <f t="shared" si="595"/>
        <v>14638.855015483681</v>
      </c>
      <c r="AD588" s="5">
        <f t="shared" si="595"/>
        <v>15160.05987931687</v>
      </c>
      <c r="AE588" s="5">
        <f t="shared" si="595"/>
        <v>15681.264743150059</v>
      </c>
      <c r="AF588" s="5">
        <f t="shared" si="595"/>
        <v>16202.469606983246</v>
      </c>
      <c r="AG588" s="5">
        <f t="shared" si="595"/>
        <v>16723.674470816433</v>
      </c>
      <c r="AH588" s="5">
        <f t="shared" si="595"/>
        <v>17244.879334649624</v>
      </c>
    </row>
    <row r="589" spans="1:34" x14ac:dyDescent="0.35">
      <c r="A589" t="s">
        <v>609</v>
      </c>
      <c r="B589" s="3" t="s">
        <v>1264</v>
      </c>
      <c r="C589" s="4" t="s">
        <v>1263</v>
      </c>
      <c r="D589" s="2">
        <f t="shared" si="58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ref="W589:AH589" si="596">IF(OR((SLOPE($E589:$V589,$E$1:$V$1)*W$1+INTERCEPT($E589:$V589,$E$1:$V$1))&gt;(AVERAGE($E589:$V589)+_xlfn.STDEV.P($E589:$V589)),(SLOPE($E589:$V589,$E$1:$V$1)*W$1+INTERCEPT($E589:$V589,$E$1:$V$1))&lt;(AVERAGE($E589:$V589)-_xlfn.STDEV.P($E589:$V589))),V589,(SLOPE($E589:$V589,$E$1:$V$1)*W$1+INTERCEPT($E589:$V589,$E$1:$V$1)))</f>
        <v>768.66273595658276</v>
      </c>
      <c r="X589" s="5">
        <f t="shared" si="596"/>
        <v>161.82373388559608</v>
      </c>
      <c r="Y589" s="5">
        <f t="shared" si="596"/>
        <v>-445.0152681853906</v>
      </c>
      <c r="Z589" s="5">
        <f t="shared" si="596"/>
        <v>-1051.8542702563773</v>
      </c>
      <c r="AA589" s="5">
        <f t="shared" si="596"/>
        <v>-1658.693272327364</v>
      </c>
      <c r="AB589" s="5">
        <f t="shared" si="596"/>
        <v>-2265.5322743983525</v>
      </c>
      <c r="AC589" s="5">
        <f t="shared" si="596"/>
        <v>-2872.3712764693391</v>
      </c>
      <c r="AD589" s="5">
        <f t="shared" si="596"/>
        <v>-3479.2102785403258</v>
      </c>
      <c r="AE589" s="5">
        <f t="shared" si="596"/>
        <v>-4086.0492806113107</v>
      </c>
      <c r="AF589" s="5">
        <f t="shared" si="596"/>
        <v>-4692.8882826822992</v>
      </c>
      <c r="AG589" s="5">
        <f t="shared" si="596"/>
        <v>-5299.727284753284</v>
      </c>
      <c r="AH589" s="5">
        <f t="shared" si="596"/>
        <v>-5906.5662868242725</v>
      </c>
    </row>
    <row r="590" spans="1:34" x14ac:dyDescent="0.35">
      <c r="A590" t="s">
        <v>610</v>
      </c>
      <c r="B590" s="3" t="s">
        <v>1264</v>
      </c>
      <c r="C590" s="4" t="s">
        <v>1263</v>
      </c>
      <c r="D590" s="2">
        <f t="shared" si="58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ref="W590:AH590" si="597">IF(OR((SLOPE($E590:$V590,$E$1:$V$1)*W$1+INTERCEPT($E590:$V590,$E$1:$V$1))&gt;(AVERAGE($E590:$V590)+_xlfn.STDEV.P($E590:$V590)),(SLOPE($E590:$V590,$E$1:$V$1)*W$1+INTERCEPT($E590:$V590,$E$1:$V$1))&lt;(AVERAGE($E590:$V590)-_xlfn.STDEV.P($E590:$V590))),V590,(SLOPE($E590:$V590,$E$1:$V$1)*W$1+INTERCEPT($E590:$V590,$E$1:$V$1)))</f>
        <v>6824.6304151811673</v>
      </c>
      <c r="X590" s="5">
        <f t="shared" si="597"/>
        <v>6858.136637473157</v>
      </c>
      <c r="Y590" s="5">
        <f t="shared" si="597"/>
        <v>6891.6428597651475</v>
      </c>
      <c r="Z590" s="5">
        <f t="shared" si="597"/>
        <v>6925.149082057138</v>
      </c>
      <c r="AA590" s="5">
        <f t="shared" si="597"/>
        <v>6958.6553043491285</v>
      </c>
      <c r="AB590" s="5">
        <f t="shared" si="597"/>
        <v>6992.1615266411181</v>
      </c>
      <c r="AC590" s="5">
        <f t="shared" si="597"/>
        <v>7025.6677489331087</v>
      </c>
      <c r="AD590" s="5">
        <f t="shared" si="597"/>
        <v>7059.1739712250992</v>
      </c>
      <c r="AE590" s="5">
        <f t="shared" si="597"/>
        <v>7092.6801935170897</v>
      </c>
      <c r="AF590" s="5">
        <f t="shared" si="597"/>
        <v>7126.1864158090793</v>
      </c>
      <c r="AG590" s="5">
        <f t="shared" si="597"/>
        <v>7159.6926381010699</v>
      </c>
      <c r="AH590" s="5">
        <f t="shared" si="597"/>
        <v>7193.1988603930604</v>
      </c>
    </row>
    <row r="591" spans="1:34" x14ac:dyDescent="0.35">
      <c r="A591" t="s">
        <v>611</v>
      </c>
      <c r="B591" s="3" t="s">
        <v>1265</v>
      </c>
      <c r="C591" s="4" t="s">
        <v>1263</v>
      </c>
      <c r="D591" s="2">
        <f t="shared" si="58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ref="W591:AH591" si="598">IF(OR((SLOPE($E591:$V591,$E$1:$V$1)*W$1+INTERCEPT($E591:$V591,$E$1:$V$1))&gt;(AVERAGE($E591:$V591)+_xlfn.STDEV.P($E591:$V591)),(SLOPE($E591:$V591,$E$1:$V$1)*W$1+INTERCEPT($E591:$V591,$E$1:$V$1))&lt;(AVERAGE($E591:$V591)-_xlfn.STDEV.P($E591:$V591))),V591,(SLOPE($E591:$V591,$E$1:$V$1)*W$1+INTERCEPT($E591:$V591,$E$1:$V$1)))</f>
        <v>3991.4951633986921</v>
      </c>
      <c r="X591" s="5">
        <f t="shared" si="598"/>
        <v>3728.0350379084957</v>
      </c>
      <c r="Y591" s="5">
        <f t="shared" si="598"/>
        <v>3464.5749124183003</v>
      </c>
      <c r="Z591" s="5">
        <f t="shared" si="598"/>
        <v>3201.114786928104</v>
      </c>
      <c r="AA591" s="5">
        <f t="shared" si="598"/>
        <v>2937.6546614379076</v>
      </c>
      <c r="AB591" s="5">
        <f t="shared" si="598"/>
        <v>2674.1945359477122</v>
      </c>
      <c r="AC591" s="5">
        <f t="shared" si="598"/>
        <v>2410.7344104575159</v>
      </c>
      <c r="AD591" s="5">
        <f t="shared" si="598"/>
        <v>2147.2742849673195</v>
      </c>
      <c r="AE591" s="5">
        <f t="shared" si="598"/>
        <v>1883.8141594771232</v>
      </c>
      <c r="AF591" s="5">
        <f t="shared" si="598"/>
        <v>1620.3540339869278</v>
      </c>
      <c r="AG591" s="5">
        <f t="shared" si="598"/>
        <v>1356.8939084967315</v>
      </c>
      <c r="AH591" s="5">
        <f t="shared" si="598"/>
        <v>1093.4337830065351</v>
      </c>
    </row>
    <row r="592" spans="1:34" x14ac:dyDescent="0.35">
      <c r="A592" t="s">
        <v>612</v>
      </c>
      <c r="B592" s="3" t="s">
        <v>1265</v>
      </c>
      <c r="C592" s="4" t="s">
        <v>1263</v>
      </c>
      <c r="D592" s="2">
        <f t="shared" si="58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ref="W592:AH592" si="599">IF(OR((SLOPE($E592:$V592,$E$1:$V$1)*W$1+INTERCEPT($E592:$V592,$E$1:$V$1))&gt;(AVERAGE($E592:$V592)+_xlfn.STDEV.P($E592:$V592)),(SLOPE($E592:$V592,$E$1:$V$1)*W$1+INTERCEPT($E592:$V592,$E$1:$V$1))&lt;(AVERAGE($E592:$V592)-_xlfn.STDEV.P($E592:$V592))),V592,(SLOPE($E592:$V592,$E$1:$V$1)*W$1+INTERCEPT($E592:$V592,$E$1:$V$1)))</f>
        <v>12217.706117647058</v>
      </c>
      <c r="X592" s="5">
        <f t="shared" si="599"/>
        <v>12822.539119504643</v>
      </c>
      <c r="Y592" s="5">
        <f t="shared" si="599"/>
        <v>13427.372121362228</v>
      </c>
      <c r="Z592" s="5">
        <f t="shared" si="599"/>
        <v>14032.205123219814</v>
      </c>
      <c r="AA592" s="5">
        <f t="shared" si="599"/>
        <v>14032.205123219814</v>
      </c>
      <c r="AB592" s="5">
        <f t="shared" si="599"/>
        <v>14032.205123219814</v>
      </c>
      <c r="AC592" s="5">
        <f t="shared" si="599"/>
        <v>14032.205123219814</v>
      </c>
      <c r="AD592" s="5">
        <f t="shared" si="599"/>
        <v>14032.205123219814</v>
      </c>
      <c r="AE592" s="5">
        <f t="shared" si="599"/>
        <v>14032.205123219814</v>
      </c>
      <c r="AF592" s="5">
        <f t="shared" si="599"/>
        <v>14032.205123219814</v>
      </c>
      <c r="AG592" s="5">
        <f t="shared" si="599"/>
        <v>14032.205123219814</v>
      </c>
      <c r="AH592" s="5">
        <f t="shared" si="599"/>
        <v>14032.205123219814</v>
      </c>
    </row>
    <row r="593" spans="1:34" x14ac:dyDescent="0.35">
      <c r="A593" t="s">
        <v>613</v>
      </c>
      <c r="B593" s="3" t="s">
        <v>1265</v>
      </c>
      <c r="C593" s="4" t="s">
        <v>1263</v>
      </c>
      <c r="D593" s="2">
        <f t="shared" si="58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ref="W593:AH593" si="600">IF(OR((SLOPE($E593:$V593,$E$1:$V$1)*W$1+INTERCEPT($E593:$V593,$E$1:$V$1))&gt;(AVERAGE($E593:$V593)+_xlfn.STDEV.P($E593:$V593)),(SLOPE($E593:$V593,$E$1:$V$1)*W$1+INTERCEPT($E593:$V593,$E$1:$V$1))&lt;(AVERAGE($E593:$V593)-_xlfn.STDEV.P($E593:$V593))),V593,(SLOPE($E593:$V593,$E$1:$V$1)*W$1+INTERCEPT($E593:$V593,$E$1:$V$1)))</f>
        <v>1247.8730718954248</v>
      </c>
      <c r="X593" s="5">
        <f t="shared" si="600"/>
        <v>710.74548882008821</v>
      </c>
      <c r="Y593" s="5">
        <f t="shared" si="600"/>
        <v>173.61790574475344</v>
      </c>
      <c r="Z593" s="5">
        <f t="shared" si="600"/>
        <v>-363.50967733058133</v>
      </c>
      <c r="AA593" s="5">
        <f t="shared" si="600"/>
        <v>-900.63726040591791</v>
      </c>
      <c r="AB593" s="5">
        <f t="shared" si="600"/>
        <v>-1437.7648434812527</v>
      </c>
      <c r="AC593" s="5">
        <f t="shared" si="600"/>
        <v>-1437.7648434812527</v>
      </c>
      <c r="AD593" s="5">
        <f t="shared" si="600"/>
        <v>-1437.7648434812527</v>
      </c>
      <c r="AE593" s="5">
        <f t="shared" si="600"/>
        <v>-1437.7648434812527</v>
      </c>
      <c r="AF593" s="5">
        <f t="shared" si="600"/>
        <v>-1437.7648434812527</v>
      </c>
      <c r="AG593" s="5">
        <f t="shared" si="600"/>
        <v>-1437.7648434812527</v>
      </c>
      <c r="AH593" s="5">
        <f t="shared" si="600"/>
        <v>-1437.7648434812527</v>
      </c>
    </row>
    <row r="594" spans="1:34" x14ac:dyDescent="0.35">
      <c r="A594" t="s">
        <v>614</v>
      </c>
      <c r="B594" s="3" t="s">
        <v>1266</v>
      </c>
      <c r="C594" s="4" t="s">
        <v>1263</v>
      </c>
      <c r="D594" s="2">
        <f t="shared" si="58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ref="W594:AH594" si="601">IF(OR((SLOPE($E594:$V594,$E$1:$V$1)*W$1+INTERCEPT($E594:$V594,$E$1:$V$1))&gt;(AVERAGE($E594:$V594)+_xlfn.STDEV.P($E594:$V594)),(SLOPE($E594:$V594,$E$1:$V$1)*W$1+INTERCEPT($E594:$V594,$E$1:$V$1))&lt;(AVERAGE($E594:$V594)-_xlfn.STDEV.P($E594:$V594))),V594,(SLOPE($E594:$V594,$E$1:$V$1)*W$1+INTERCEPT($E594:$V594,$E$1:$V$1)))</f>
        <v>7996.4829037595646</v>
      </c>
      <c r="X594" s="5">
        <f t="shared" si="601"/>
        <v>8171.6039668033773</v>
      </c>
      <c r="Y594" s="5">
        <f t="shared" si="601"/>
        <v>8346.7250298471881</v>
      </c>
      <c r="Z594" s="5">
        <f t="shared" si="601"/>
        <v>8521.8460928910008</v>
      </c>
      <c r="AA594" s="5">
        <f t="shared" si="601"/>
        <v>8696.9671559348135</v>
      </c>
      <c r="AB594" s="5">
        <f t="shared" si="601"/>
        <v>8872.0882189786244</v>
      </c>
      <c r="AC594" s="5">
        <f t="shared" si="601"/>
        <v>9047.209282022437</v>
      </c>
      <c r="AD594" s="5">
        <f t="shared" si="601"/>
        <v>9222.3303450662497</v>
      </c>
      <c r="AE594" s="5">
        <f t="shared" si="601"/>
        <v>9397.4514081100606</v>
      </c>
      <c r="AF594" s="5">
        <f t="shared" si="601"/>
        <v>9572.5724711538733</v>
      </c>
      <c r="AG594" s="5">
        <f t="shared" si="601"/>
        <v>9747.6935341976859</v>
      </c>
      <c r="AH594" s="5">
        <f t="shared" si="601"/>
        <v>9922.8145972414968</v>
      </c>
    </row>
    <row r="595" spans="1:34" x14ac:dyDescent="0.35">
      <c r="A595" t="s">
        <v>615</v>
      </c>
      <c r="B595" s="3" t="s">
        <v>1266</v>
      </c>
      <c r="C595" s="4" t="s">
        <v>1267</v>
      </c>
      <c r="D595" s="2">
        <f t="shared" si="58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ref="W595:AH595" si="602">IF(OR((SLOPE($E595:$V595,$E$1:$V$1)*W$1+INTERCEPT($E595:$V595,$E$1:$V$1))&gt;(AVERAGE($E595:$V595)+_xlfn.STDEV.P($E595:$V595)),(SLOPE($E595:$V595,$E$1:$V$1)*W$1+INTERCEPT($E595:$V595,$E$1:$V$1))&lt;(AVERAGE($E595:$V595)-_xlfn.STDEV.P($E595:$V595))),V595,(SLOPE($E595:$V595,$E$1:$V$1)*W$1+INTERCEPT($E595:$V595,$E$1:$V$1)))</f>
        <v>9604.2487476994174</v>
      </c>
      <c r="X595" s="5">
        <f t="shared" si="602"/>
        <v>9954.2011312188297</v>
      </c>
      <c r="Y595" s="5">
        <f t="shared" si="602"/>
        <v>10304.15351473824</v>
      </c>
      <c r="Z595" s="5">
        <f t="shared" si="602"/>
        <v>10654.105898257652</v>
      </c>
      <c r="AA595" s="5">
        <f t="shared" si="602"/>
        <v>11004.058281777065</v>
      </c>
      <c r="AB595" s="5">
        <f t="shared" si="602"/>
        <v>11354.010665296475</v>
      </c>
      <c r="AC595" s="5">
        <f t="shared" si="602"/>
        <v>11703.963048815887</v>
      </c>
      <c r="AD595" s="5">
        <f t="shared" si="602"/>
        <v>12053.9154323353</v>
      </c>
      <c r="AE595" s="5">
        <f t="shared" si="602"/>
        <v>12403.867815854712</v>
      </c>
      <c r="AF595" s="5">
        <f t="shared" si="602"/>
        <v>12753.820199374124</v>
      </c>
      <c r="AG595" s="5">
        <f t="shared" si="602"/>
        <v>13103.772582893536</v>
      </c>
      <c r="AH595" s="5">
        <f t="shared" si="602"/>
        <v>13453.724966412949</v>
      </c>
    </row>
    <row r="596" spans="1:34" x14ac:dyDescent="0.35">
      <c r="A596" t="s">
        <v>616</v>
      </c>
      <c r="B596" s="3" t="s">
        <v>1264</v>
      </c>
      <c r="C596" s="4" t="s">
        <v>1263</v>
      </c>
      <c r="D596" s="2">
        <f t="shared" si="58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ref="W596:AH596" si="603">IF(OR((SLOPE($E596:$V596,$E$1:$V$1)*W$1+INTERCEPT($E596:$V596,$E$1:$V$1))&gt;(AVERAGE($E596:$V596)+_xlfn.STDEV.P($E596:$V596)),(SLOPE($E596:$V596,$E$1:$V$1)*W$1+INTERCEPT($E596:$V596,$E$1:$V$1))&lt;(AVERAGE($E596:$V596)-_xlfn.STDEV.P($E596:$V596))),V596,(SLOPE($E596:$V596,$E$1:$V$1)*W$1+INTERCEPT($E596:$V596,$E$1:$V$1)))</f>
        <v>5083.6347775235345</v>
      </c>
      <c r="X596" s="5">
        <f t="shared" si="603"/>
        <v>4967.4115212538036</v>
      </c>
      <c r="Y596" s="5">
        <f t="shared" si="603"/>
        <v>4851.1882649840718</v>
      </c>
      <c r="Z596" s="5">
        <f t="shared" si="603"/>
        <v>4734.9650087143409</v>
      </c>
      <c r="AA596" s="5">
        <f t="shared" si="603"/>
        <v>4618.74175244461</v>
      </c>
      <c r="AB596" s="5">
        <f t="shared" si="603"/>
        <v>4502.5184961748782</v>
      </c>
      <c r="AC596" s="5">
        <f t="shared" si="603"/>
        <v>4386.2952399051474</v>
      </c>
      <c r="AD596" s="5">
        <f t="shared" si="603"/>
        <v>4270.0719836354165</v>
      </c>
      <c r="AE596" s="5">
        <f t="shared" si="603"/>
        <v>4153.8487273656847</v>
      </c>
      <c r="AF596" s="5">
        <f t="shared" si="603"/>
        <v>4037.6254710959538</v>
      </c>
      <c r="AG596" s="5">
        <f t="shared" si="603"/>
        <v>3921.4022148262225</v>
      </c>
      <c r="AH596" s="5">
        <f t="shared" si="603"/>
        <v>3805.1789585564911</v>
      </c>
    </row>
    <row r="597" spans="1:34" x14ac:dyDescent="0.35">
      <c r="A597" t="s">
        <v>617</v>
      </c>
      <c r="B597" s="3" t="s">
        <v>1266</v>
      </c>
      <c r="C597" s="4" t="s">
        <v>1267</v>
      </c>
      <c r="D597" s="2">
        <f t="shared" si="58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H597" si="604">IF(OR((SLOPE($E597:$V597,$E$1:$V$1)*W$1+INTERCEPT($E597:$V597,$E$1:$V$1))&gt;(AVERAGE($E597:$V597)+_xlfn.STDEV.P($E597:$V597)),(SLOPE($E597:$V597,$E$1:$V$1)*W$1+INTERCEPT($E597:$V597,$E$1:$V$1))&lt;(AVERAGE($E597:$V597)-_xlfn.STDEV.P($E597:$V597))),V597,(SLOPE($E597:$V597,$E$1:$V$1)*W$1+INTERCEPT($E597:$V597,$E$1:$V$1)))</f>
        <v>7354.160356272776</v>
      </c>
      <c r="X597" s="5">
        <f t="shared" si="604"/>
        <v>7470.2786776876092</v>
      </c>
      <c r="Y597" s="5">
        <f t="shared" si="604"/>
        <v>7586.3969991024424</v>
      </c>
      <c r="Z597" s="5">
        <f t="shared" si="604"/>
        <v>7702.5153205172755</v>
      </c>
      <c r="AA597" s="5">
        <f t="shared" si="604"/>
        <v>7818.6336419321087</v>
      </c>
      <c r="AB597" s="5">
        <f t="shared" si="604"/>
        <v>7934.7519633469419</v>
      </c>
      <c r="AC597" s="5">
        <f t="shared" si="604"/>
        <v>8050.8702847617751</v>
      </c>
      <c r="AD597" s="5">
        <f t="shared" si="604"/>
        <v>8166.9886061766092</v>
      </c>
      <c r="AE597" s="5">
        <f t="shared" si="604"/>
        <v>8283.1069275914415</v>
      </c>
      <c r="AF597" s="5">
        <f t="shared" si="604"/>
        <v>8399.2252490062747</v>
      </c>
      <c r="AG597" s="5">
        <f t="shared" si="604"/>
        <v>8515.3435704211097</v>
      </c>
      <c r="AH597" s="5">
        <f t="shared" si="604"/>
        <v>8631.4618918359429</v>
      </c>
    </row>
    <row r="598" spans="1:34" x14ac:dyDescent="0.35">
      <c r="A598" t="s">
        <v>618</v>
      </c>
      <c r="B598" s="3" t="s">
        <v>1264</v>
      </c>
      <c r="C598" s="4" t="s">
        <v>1263</v>
      </c>
      <c r="D598" s="2">
        <f t="shared" si="58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ref="W598:AH598" si="605">IF(OR((SLOPE($E598:$V598,$E$1:$V$1)*W$1+INTERCEPT($E598:$V598,$E$1:$V$1))&gt;(AVERAGE($E598:$V598)+_xlfn.STDEV.P($E598:$V598)),(SLOPE($E598:$V598,$E$1:$V$1)*W$1+INTERCEPT($E598:$V598,$E$1:$V$1))&lt;(AVERAGE($E598:$V598)-_xlfn.STDEV.P($E598:$V598))),V598,(SLOPE($E598:$V598,$E$1:$V$1)*W$1+INTERCEPT($E598:$V598,$E$1:$V$1)))</f>
        <v>2441.8580780130724</v>
      </c>
      <c r="X598" s="5">
        <f t="shared" si="605"/>
        <v>2045.5390936167878</v>
      </c>
      <c r="Y598" s="5">
        <f t="shared" si="605"/>
        <v>2045.5390936167878</v>
      </c>
      <c r="Z598" s="5">
        <f t="shared" si="605"/>
        <v>2045.5390936167878</v>
      </c>
      <c r="AA598" s="5">
        <f t="shared" si="605"/>
        <v>2045.5390936167878</v>
      </c>
      <c r="AB598" s="5">
        <f t="shared" si="605"/>
        <v>2045.5390936167878</v>
      </c>
      <c r="AC598" s="5">
        <f t="shared" si="605"/>
        <v>2045.5390936167878</v>
      </c>
      <c r="AD598" s="5">
        <f t="shared" si="605"/>
        <v>2045.5390936167878</v>
      </c>
      <c r="AE598" s="5">
        <f t="shared" si="605"/>
        <v>2045.5390936167878</v>
      </c>
      <c r="AF598" s="5">
        <f t="shared" si="605"/>
        <v>2045.5390936167878</v>
      </c>
      <c r="AG598" s="5">
        <f t="shared" si="605"/>
        <v>2045.5390936167878</v>
      </c>
      <c r="AH598" s="5">
        <f t="shared" si="605"/>
        <v>2045.5390936167878</v>
      </c>
    </row>
    <row r="599" spans="1:34" x14ac:dyDescent="0.35">
      <c r="A599" t="s">
        <v>619</v>
      </c>
      <c r="B599" s="3" t="s">
        <v>1266</v>
      </c>
      <c r="C599" s="4" t="s">
        <v>1263</v>
      </c>
      <c r="D599" s="2">
        <f t="shared" si="58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ref="W599:AH599" si="606">IF(OR((SLOPE($E599:$V599,$E$1:$V$1)*W$1+INTERCEPT($E599:$V599,$E$1:$V$1))&gt;(AVERAGE($E599:$V599)+_xlfn.STDEV.P($E599:$V599)),(SLOPE($E599:$V599,$E$1:$V$1)*W$1+INTERCEPT($E599:$V599,$E$1:$V$1))&lt;(AVERAGE($E599:$V599)-_xlfn.STDEV.P($E599:$V599))),V599,(SLOPE($E599:$V599,$E$1:$V$1)*W$1+INTERCEPT($E599:$V599,$E$1:$V$1)))</f>
        <v>1826.8903705159573</v>
      </c>
      <c r="X599" s="5">
        <f t="shared" si="606"/>
        <v>1365.3601716487683</v>
      </c>
      <c r="Y599" s="5">
        <f t="shared" si="606"/>
        <v>903.82997278157927</v>
      </c>
      <c r="Z599" s="5">
        <f t="shared" si="606"/>
        <v>442.29977391439024</v>
      </c>
      <c r="AA599" s="5">
        <f t="shared" si="606"/>
        <v>-19.230424952800604</v>
      </c>
      <c r="AB599" s="5">
        <f t="shared" si="606"/>
        <v>-480.76062381998963</v>
      </c>
      <c r="AC599" s="5">
        <f t="shared" si="606"/>
        <v>-942.29082268717866</v>
      </c>
      <c r="AD599" s="5">
        <f t="shared" si="606"/>
        <v>-1403.8210215543677</v>
      </c>
      <c r="AE599" s="5">
        <f t="shared" si="606"/>
        <v>-1865.3512204215567</v>
      </c>
      <c r="AF599" s="5">
        <f t="shared" si="606"/>
        <v>-2326.8814192887457</v>
      </c>
      <c r="AG599" s="5">
        <f t="shared" si="606"/>
        <v>-2788.4116181559366</v>
      </c>
      <c r="AH599" s="5">
        <f t="shared" si="606"/>
        <v>-3249.9418170231256</v>
      </c>
    </row>
    <row r="600" spans="1:34" x14ac:dyDescent="0.35">
      <c r="A600" t="s">
        <v>620</v>
      </c>
      <c r="B600" s="3" t="s">
        <v>1266</v>
      </c>
      <c r="C600" s="4" t="s">
        <v>1267</v>
      </c>
      <c r="D600" s="2">
        <f t="shared" si="58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ref="W600:AH600" si="607">IF(OR((SLOPE($E600:$V600,$E$1:$V$1)*W$1+INTERCEPT($E600:$V600,$E$1:$V$1))&gt;(AVERAGE($E600:$V600)+_xlfn.STDEV.P($E600:$V600)),(SLOPE($E600:$V600,$E$1:$V$1)*W$1+INTERCEPT($E600:$V600,$E$1:$V$1))&lt;(AVERAGE($E600:$V600)-_xlfn.STDEV.P($E600:$V600))),V600,(SLOPE($E600:$V600,$E$1:$V$1)*W$1+INTERCEPT($E600:$V600,$E$1:$V$1)))</f>
        <v>7979.1025656600896</v>
      </c>
      <c r="X600" s="5">
        <f t="shared" si="607"/>
        <v>8165.4520882807292</v>
      </c>
      <c r="Y600" s="5">
        <f t="shared" si="607"/>
        <v>8351.8016109013697</v>
      </c>
      <c r="Z600" s="5">
        <f t="shared" si="607"/>
        <v>8538.1511335220093</v>
      </c>
      <c r="AA600" s="5">
        <f t="shared" si="607"/>
        <v>8724.5006561426489</v>
      </c>
      <c r="AB600" s="5">
        <f t="shared" si="607"/>
        <v>8910.8501787632886</v>
      </c>
      <c r="AC600" s="5">
        <f t="shared" si="607"/>
        <v>9097.1997013839282</v>
      </c>
      <c r="AD600" s="5">
        <f t="shared" si="607"/>
        <v>9283.5492240045678</v>
      </c>
      <c r="AE600" s="5">
        <f t="shared" si="607"/>
        <v>9469.8987466252074</v>
      </c>
      <c r="AF600" s="5">
        <f t="shared" si="607"/>
        <v>9656.248269245847</v>
      </c>
      <c r="AG600" s="5">
        <f t="shared" si="607"/>
        <v>9842.5977918664867</v>
      </c>
      <c r="AH600" s="5">
        <f t="shared" si="607"/>
        <v>10028.947314487126</v>
      </c>
    </row>
    <row r="601" spans="1:34" x14ac:dyDescent="0.35">
      <c r="A601" t="s">
        <v>621</v>
      </c>
      <c r="B601" s="3" t="s">
        <v>1266</v>
      </c>
      <c r="C601" s="4" t="s">
        <v>1267</v>
      </c>
      <c r="D601" s="2">
        <f t="shared" si="58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ref="W601:AH601" si="608">IF(OR((SLOPE($E601:$V601,$E$1:$V$1)*W$1+INTERCEPT($E601:$V601,$E$1:$V$1))&gt;(AVERAGE($E601:$V601)+_xlfn.STDEV.P($E601:$V601)),(SLOPE($E601:$V601,$E$1:$V$1)*W$1+INTERCEPT($E601:$V601,$E$1:$V$1))&lt;(AVERAGE($E601:$V601)-_xlfn.STDEV.P($E601:$V601))),V601,(SLOPE($E601:$V601,$E$1:$V$1)*W$1+INTERCEPT($E601:$V601,$E$1:$V$1)))</f>
        <v>11241.89556564864</v>
      </c>
      <c r="X601" s="5">
        <f t="shared" si="608"/>
        <v>11777.692953831996</v>
      </c>
      <c r="Y601" s="5">
        <f t="shared" si="608"/>
        <v>12313.490342015351</v>
      </c>
      <c r="Z601" s="5">
        <f t="shared" si="608"/>
        <v>12849.287730198708</v>
      </c>
      <c r="AA601" s="5">
        <f t="shared" si="608"/>
        <v>13385.085118382063</v>
      </c>
      <c r="AB601" s="5">
        <f t="shared" si="608"/>
        <v>13920.882506565418</v>
      </c>
      <c r="AC601" s="5">
        <f t="shared" si="608"/>
        <v>14456.679894748775</v>
      </c>
      <c r="AD601" s="5">
        <f t="shared" si="608"/>
        <v>14992.47728293213</v>
      </c>
      <c r="AE601" s="5">
        <f t="shared" si="608"/>
        <v>15528.274671115487</v>
      </c>
      <c r="AF601" s="5">
        <f t="shared" si="608"/>
        <v>16064.072059298842</v>
      </c>
      <c r="AG601" s="5">
        <f t="shared" si="608"/>
        <v>16599.869447482197</v>
      </c>
      <c r="AH601" s="5">
        <f t="shared" si="608"/>
        <v>17135.666835665554</v>
      </c>
    </row>
    <row r="602" spans="1:34" x14ac:dyDescent="0.35">
      <c r="A602" t="s">
        <v>622</v>
      </c>
      <c r="B602" s="3" t="s">
        <v>1264</v>
      </c>
      <c r="C602" s="4" t="s">
        <v>1263</v>
      </c>
      <c r="D602" s="2">
        <f t="shared" si="58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ref="W602:AH602" si="609">IF(OR((SLOPE($E602:$V602,$E$1:$V$1)*W$1+INTERCEPT($E602:$V602,$E$1:$V$1))&gt;(AVERAGE($E602:$V602)+_xlfn.STDEV.P($E602:$V602)),(SLOPE($E602:$V602,$E$1:$V$1)*W$1+INTERCEPT($E602:$V602,$E$1:$V$1))&lt;(AVERAGE($E602:$V602)-_xlfn.STDEV.P($E602:$V602))),V602,(SLOPE($E602:$V602,$E$1:$V$1)*W$1+INTERCEPT($E602:$V602,$E$1:$V$1)))</f>
        <v>1525.5320522875791</v>
      </c>
      <c r="X602" s="5">
        <f t="shared" si="609"/>
        <v>1043.4676250429984</v>
      </c>
      <c r="Y602" s="5">
        <f t="shared" si="609"/>
        <v>561.40319779841593</v>
      </c>
      <c r="Z602" s="5">
        <f t="shared" si="609"/>
        <v>561.40319779841593</v>
      </c>
      <c r="AA602" s="5">
        <f t="shared" si="609"/>
        <v>561.40319779841593</v>
      </c>
      <c r="AB602" s="5">
        <f t="shared" si="609"/>
        <v>561.40319779841593</v>
      </c>
      <c r="AC602" s="5">
        <f t="shared" si="609"/>
        <v>561.40319779841593</v>
      </c>
      <c r="AD602" s="5">
        <f t="shared" si="609"/>
        <v>561.40319779841593</v>
      </c>
      <c r="AE602" s="5">
        <f t="shared" si="609"/>
        <v>561.40319779841593</v>
      </c>
      <c r="AF602" s="5">
        <f t="shared" si="609"/>
        <v>561.40319779841593</v>
      </c>
      <c r="AG602" s="5">
        <f t="shared" si="609"/>
        <v>561.40319779841593</v>
      </c>
      <c r="AH602" s="5">
        <f t="shared" si="609"/>
        <v>561.40319779841593</v>
      </c>
    </row>
    <row r="603" spans="1:34" x14ac:dyDescent="0.35">
      <c r="A603" t="s">
        <v>623</v>
      </c>
      <c r="B603" s="3" t="s">
        <v>1265</v>
      </c>
      <c r="C603" s="4" t="s">
        <v>1263</v>
      </c>
      <c r="D603" s="2">
        <f t="shared" si="58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ref="W603:AH603" si="610">IF(OR((SLOPE($E603:$V603,$E$1:$V$1)*W$1+INTERCEPT($E603:$V603,$E$1:$V$1))&gt;(AVERAGE($E603:$V603)+_xlfn.STDEV.P($E603:$V603)),(SLOPE($E603:$V603,$E$1:$V$1)*W$1+INTERCEPT($E603:$V603,$E$1:$V$1))&lt;(AVERAGE($E603:$V603)-_xlfn.STDEV.P($E603:$V603))),V603,(SLOPE($E603:$V603,$E$1:$V$1)*W$1+INTERCEPT($E603:$V603,$E$1:$V$1)))</f>
        <v>21046.04444444444</v>
      </c>
      <c r="X603" s="5">
        <f t="shared" si="610"/>
        <v>22707.574269005843</v>
      </c>
      <c r="Y603" s="5">
        <f t="shared" si="610"/>
        <v>24369.104093567246</v>
      </c>
      <c r="Z603" s="5">
        <f t="shared" si="610"/>
        <v>26030.633918128649</v>
      </c>
      <c r="AA603" s="5">
        <f t="shared" si="610"/>
        <v>26030.633918128649</v>
      </c>
      <c r="AB603" s="5">
        <f t="shared" si="610"/>
        <v>26030.633918128649</v>
      </c>
      <c r="AC603" s="5">
        <f t="shared" si="610"/>
        <v>26030.633918128649</v>
      </c>
      <c r="AD603" s="5">
        <f t="shared" si="610"/>
        <v>26030.633918128649</v>
      </c>
      <c r="AE603" s="5">
        <f t="shared" si="610"/>
        <v>26030.633918128649</v>
      </c>
      <c r="AF603" s="5">
        <f t="shared" si="610"/>
        <v>26030.633918128649</v>
      </c>
      <c r="AG603" s="5">
        <f t="shared" si="610"/>
        <v>26030.633918128649</v>
      </c>
      <c r="AH603" s="5">
        <f t="shared" si="610"/>
        <v>26030.633918128649</v>
      </c>
    </row>
    <row r="604" spans="1:34" x14ac:dyDescent="0.35">
      <c r="A604" t="s">
        <v>624</v>
      </c>
      <c r="B604" s="3" t="s">
        <v>1264</v>
      </c>
      <c r="C604" s="4" t="s">
        <v>1263</v>
      </c>
      <c r="D604" s="2">
        <f t="shared" si="58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ref="W604:AH604" si="611">IF(OR((SLOPE($E604:$V604,$E$1:$V$1)*W$1+INTERCEPT($E604:$V604,$E$1:$V$1))&gt;(AVERAGE($E604:$V604)+_xlfn.STDEV.P($E604:$V604)),(SLOPE($E604:$V604,$E$1:$V$1)*W$1+INTERCEPT($E604:$V604,$E$1:$V$1))&lt;(AVERAGE($E604:$V604)-_xlfn.STDEV.P($E604:$V604))),V604,(SLOPE($E604:$V604,$E$1:$V$1)*W$1+INTERCEPT($E604:$V604,$E$1:$V$1)))</f>
        <v>5053.6551607843139</v>
      </c>
      <c r="X604" s="5">
        <f t="shared" si="611"/>
        <v>4951.9329812177502</v>
      </c>
      <c r="Y604" s="5">
        <f t="shared" si="611"/>
        <v>4850.2108016511866</v>
      </c>
      <c r="Z604" s="5">
        <f t="shared" si="611"/>
        <v>4748.4886220846229</v>
      </c>
      <c r="AA604" s="5">
        <f t="shared" si="611"/>
        <v>4646.7664425180592</v>
      </c>
      <c r="AB604" s="5">
        <f t="shared" si="611"/>
        <v>4545.0442629514964</v>
      </c>
      <c r="AC604" s="5">
        <f t="shared" si="611"/>
        <v>4443.3220833849327</v>
      </c>
      <c r="AD604" s="5">
        <f t="shared" si="611"/>
        <v>4341.5999038183691</v>
      </c>
      <c r="AE604" s="5">
        <f t="shared" si="611"/>
        <v>4239.8777242518063</v>
      </c>
      <c r="AF604" s="5">
        <f t="shared" si="611"/>
        <v>4138.1555446852417</v>
      </c>
      <c r="AG604" s="5">
        <f t="shared" si="611"/>
        <v>4036.4333651186789</v>
      </c>
      <c r="AH604" s="5">
        <f t="shared" si="611"/>
        <v>3934.7111855521152</v>
      </c>
    </row>
    <row r="605" spans="1:34" x14ac:dyDescent="0.35">
      <c r="A605" t="s">
        <v>625</v>
      </c>
      <c r="B605" s="3" t="s">
        <v>1265</v>
      </c>
      <c r="C605" s="4" t="s">
        <v>1263</v>
      </c>
      <c r="D605" s="2">
        <f t="shared" si="58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ref="W605:AH605" si="612">IF(OR((SLOPE($E605:$V605,$E$1:$V$1)*W$1+INTERCEPT($E605:$V605,$E$1:$V$1))&gt;(AVERAGE($E605:$V605)+_xlfn.STDEV.P($E605:$V605)),(SLOPE($E605:$V605,$E$1:$V$1)*W$1+INTERCEPT($E605:$V605,$E$1:$V$1))&lt;(AVERAGE($E605:$V605)-_xlfn.STDEV.P($E605:$V605))),V605,(SLOPE($E605:$V605,$E$1:$V$1)*W$1+INTERCEPT($E605:$V605,$E$1:$V$1)))</f>
        <v>2298.7771607843142</v>
      </c>
      <c r="X605" s="5">
        <f t="shared" si="612"/>
        <v>1907.8346303405579</v>
      </c>
      <c r="Y605" s="5">
        <f t="shared" si="612"/>
        <v>1516.8920998968006</v>
      </c>
      <c r="Z605" s="5">
        <f t="shared" si="612"/>
        <v>1125.9495694530451</v>
      </c>
      <c r="AA605" s="5">
        <f t="shared" si="612"/>
        <v>735.00703900928784</v>
      </c>
      <c r="AB605" s="5">
        <f t="shared" si="612"/>
        <v>344.06450856553056</v>
      </c>
      <c r="AC605" s="5">
        <f t="shared" si="612"/>
        <v>-46.878021878224899</v>
      </c>
      <c r="AD605" s="5">
        <f t="shared" si="612"/>
        <v>-437.82055232198218</v>
      </c>
      <c r="AE605" s="5">
        <f t="shared" si="612"/>
        <v>-828.76308276573764</v>
      </c>
      <c r="AF605" s="5">
        <f t="shared" si="612"/>
        <v>-1219.7056132094949</v>
      </c>
      <c r="AG605" s="5">
        <f t="shared" si="612"/>
        <v>-1610.6481436532504</v>
      </c>
      <c r="AH605" s="5">
        <f t="shared" si="612"/>
        <v>-2001.5906740970076</v>
      </c>
    </row>
    <row r="606" spans="1:34" x14ac:dyDescent="0.35">
      <c r="A606" t="s">
        <v>626</v>
      </c>
      <c r="B606" s="3" t="s">
        <v>1266</v>
      </c>
      <c r="C606" s="4" t="s">
        <v>1267</v>
      </c>
      <c r="D606" s="2">
        <f t="shared" si="58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ref="W606:AH606" si="613">IF(OR((SLOPE($E606:$V606,$E$1:$V$1)*W$1+INTERCEPT($E606:$V606,$E$1:$V$1))&gt;(AVERAGE($E606:$V606)+_xlfn.STDEV.P($E606:$V606)),(SLOPE($E606:$V606,$E$1:$V$1)*W$1+INTERCEPT($E606:$V606,$E$1:$V$1))&lt;(AVERAGE($E606:$V606)-_xlfn.STDEV.P($E606:$V606))),V606,(SLOPE($E606:$V606,$E$1:$V$1)*W$1+INTERCEPT($E606:$V606,$E$1:$V$1)))</f>
        <v>7045.5261350096653</v>
      </c>
      <c r="X606" s="5">
        <f t="shared" si="613"/>
        <v>7156.7712845098176</v>
      </c>
      <c r="Y606" s="5">
        <f t="shared" si="613"/>
        <v>7268.0164340099709</v>
      </c>
      <c r="Z606" s="5">
        <f t="shared" si="613"/>
        <v>7379.2615835101233</v>
      </c>
      <c r="AA606" s="5">
        <f t="shared" si="613"/>
        <v>7490.5067330102756</v>
      </c>
      <c r="AB606" s="5">
        <f t="shared" si="613"/>
        <v>7601.7518825104289</v>
      </c>
      <c r="AC606" s="5">
        <f t="shared" si="613"/>
        <v>7712.9970320105813</v>
      </c>
      <c r="AD606" s="5">
        <f t="shared" si="613"/>
        <v>7824.2421815107336</v>
      </c>
      <c r="AE606" s="5">
        <f t="shared" si="613"/>
        <v>7935.4873310108869</v>
      </c>
      <c r="AF606" s="5">
        <f t="shared" si="613"/>
        <v>8046.7324805110393</v>
      </c>
      <c r="AG606" s="5">
        <f t="shared" si="613"/>
        <v>8157.9776300111916</v>
      </c>
      <c r="AH606" s="5">
        <f t="shared" si="613"/>
        <v>8269.2227795113449</v>
      </c>
    </row>
    <row r="607" spans="1:34" x14ac:dyDescent="0.35">
      <c r="A607" t="s">
        <v>627</v>
      </c>
      <c r="B607" s="3" t="s">
        <v>1264</v>
      </c>
      <c r="C607" s="4" t="s">
        <v>1263</v>
      </c>
      <c r="D607" s="2">
        <f t="shared" si="58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ref="W607:AH607" si="614">IF(OR((SLOPE($E607:$V607,$E$1:$V$1)*W$1+INTERCEPT($E607:$V607,$E$1:$V$1))&gt;(AVERAGE($E607:$V607)+_xlfn.STDEV.P($E607:$V607)),(SLOPE($E607:$V607,$E$1:$V$1)*W$1+INTERCEPT($E607:$V607,$E$1:$V$1))&lt;(AVERAGE($E607:$V607)-_xlfn.STDEV.P($E607:$V607))),V607,(SLOPE($E607:$V607,$E$1:$V$1)*W$1+INTERCEPT($E607:$V607,$E$1:$V$1)))</f>
        <v>2138.7417516339856</v>
      </c>
      <c r="X607" s="5">
        <f t="shared" si="614"/>
        <v>1737.6691968352234</v>
      </c>
      <c r="Y607" s="5">
        <f t="shared" si="614"/>
        <v>1336.5966420364621</v>
      </c>
      <c r="Z607" s="5">
        <f t="shared" si="614"/>
        <v>935.52408723769986</v>
      </c>
      <c r="AA607" s="5">
        <f t="shared" si="614"/>
        <v>534.45153243893765</v>
      </c>
      <c r="AB607" s="5">
        <f t="shared" si="614"/>
        <v>133.37897764017725</v>
      </c>
      <c r="AC607" s="5">
        <f t="shared" si="614"/>
        <v>133.37897764017725</v>
      </c>
      <c r="AD607" s="5">
        <f t="shared" si="614"/>
        <v>133.37897764017725</v>
      </c>
      <c r="AE607" s="5">
        <f t="shared" si="614"/>
        <v>133.37897764017725</v>
      </c>
      <c r="AF607" s="5">
        <f t="shared" si="614"/>
        <v>133.37897764017725</v>
      </c>
      <c r="AG607" s="5">
        <f t="shared" si="614"/>
        <v>133.37897764017725</v>
      </c>
      <c r="AH607" s="5">
        <f t="shared" si="614"/>
        <v>133.37897764017725</v>
      </c>
    </row>
    <row r="608" spans="1:34" x14ac:dyDescent="0.35">
      <c r="A608" t="s">
        <v>628</v>
      </c>
      <c r="B608" s="3" t="s">
        <v>1266</v>
      </c>
      <c r="C608" s="4" t="s">
        <v>1266</v>
      </c>
      <c r="D608" s="2">
        <f t="shared" si="58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ref="W608:AH608" si="615">IF(OR((SLOPE($E608:$V608,$E$1:$V$1)*W$1+INTERCEPT($E608:$V608,$E$1:$V$1))&gt;(AVERAGE($E608:$V608)+_xlfn.STDEV.P($E608:$V608)),(SLOPE($E608:$V608,$E$1:$V$1)*W$1+INTERCEPT($E608:$V608,$E$1:$V$1))&lt;(AVERAGE($E608:$V608)-_xlfn.STDEV.P($E608:$V608))),V608,(SLOPE($E608:$V608,$E$1:$V$1)*W$1+INTERCEPT($E608:$V608,$E$1:$V$1)))</f>
        <v>11130.283364978983</v>
      </c>
      <c r="X608" s="5">
        <f t="shared" si="615"/>
        <v>11679.47497838255</v>
      </c>
      <c r="Y608" s="5">
        <f t="shared" si="615"/>
        <v>12228.666591786121</v>
      </c>
      <c r="Z608" s="5">
        <f t="shared" si="615"/>
        <v>12777.858205189688</v>
      </c>
      <c r="AA608" s="5">
        <f t="shared" si="615"/>
        <v>13327.049818593256</v>
      </c>
      <c r="AB608" s="5">
        <f t="shared" si="615"/>
        <v>13876.241431996827</v>
      </c>
      <c r="AC608" s="5">
        <f t="shared" si="615"/>
        <v>14425.433045400394</v>
      </c>
      <c r="AD608" s="5">
        <f t="shared" si="615"/>
        <v>14974.624658803961</v>
      </c>
      <c r="AE608" s="5">
        <f t="shared" si="615"/>
        <v>15523.816272207529</v>
      </c>
      <c r="AF608" s="5">
        <f t="shared" si="615"/>
        <v>16073.007885611099</v>
      </c>
      <c r="AG608" s="5">
        <f t="shared" si="615"/>
        <v>16622.199499014667</v>
      </c>
      <c r="AH608" s="5">
        <f t="shared" si="615"/>
        <v>17171.391112418234</v>
      </c>
    </row>
    <row r="609" spans="1:34" x14ac:dyDescent="0.35">
      <c r="A609" t="s">
        <v>629</v>
      </c>
      <c r="B609" s="3" t="s">
        <v>1266</v>
      </c>
      <c r="C609" s="4" t="s">
        <v>1263</v>
      </c>
      <c r="D609" s="2">
        <f t="shared" si="58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ref="W609:AH609" si="616">IF(OR((SLOPE($E609:$V609,$E$1:$V$1)*W$1+INTERCEPT($E609:$V609,$E$1:$V$1))&gt;(AVERAGE($E609:$V609)+_xlfn.STDEV.P($E609:$V609)),(SLOPE($E609:$V609,$E$1:$V$1)*W$1+INTERCEPT($E609:$V609,$E$1:$V$1))&lt;(AVERAGE($E609:$V609)-_xlfn.STDEV.P($E609:$V609))),V609,(SLOPE($E609:$V609,$E$1:$V$1)*W$1+INTERCEPT($E609:$V609,$E$1:$V$1)))</f>
        <v>3356.714994474004</v>
      </c>
      <c r="X609" s="5">
        <f t="shared" si="616"/>
        <v>3091.99521322085</v>
      </c>
      <c r="Y609" s="5">
        <f t="shared" si="616"/>
        <v>2827.275431967696</v>
      </c>
      <c r="Z609" s="5">
        <f t="shared" si="616"/>
        <v>2562.5556507145429</v>
      </c>
      <c r="AA609" s="5">
        <f t="shared" si="616"/>
        <v>2297.8358694613889</v>
      </c>
      <c r="AB609" s="5">
        <f t="shared" si="616"/>
        <v>2033.1160882082349</v>
      </c>
      <c r="AC609" s="5">
        <f t="shared" si="616"/>
        <v>1768.3963069550809</v>
      </c>
      <c r="AD609" s="5">
        <f t="shared" si="616"/>
        <v>1503.6765257019269</v>
      </c>
      <c r="AE609" s="5">
        <f t="shared" si="616"/>
        <v>1238.9567444487739</v>
      </c>
      <c r="AF609" s="5">
        <f t="shared" si="616"/>
        <v>974.23696319561986</v>
      </c>
      <c r="AG609" s="5">
        <f t="shared" si="616"/>
        <v>709.51718194246587</v>
      </c>
      <c r="AH609" s="5">
        <f t="shared" si="616"/>
        <v>444.79740068931278</v>
      </c>
    </row>
    <row r="610" spans="1:34" x14ac:dyDescent="0.35">
      <c r="A610" t="s">
        <v>630</v>
      </c>
      <c r="B610" s="3" t="s">
        <v>1265</v>
      </c>
      <c r="C610" s="4" t="s">
        <v>1267</v>
      </c>
      <c r="D610" s="2">
        <f t="shared" si="58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ref="W610:AH610" si="617">IF(OR((SLOPE($E610:$V610,$E$1:$V$1)*W$1+INTERCEPT($E610:$V610,$E$1:$V$1))&gt;(AVERAGE($E610:$V610)+_xlfn.STDEV.P($E610:$V610)),(SLOPE($E610:$V610,$E$1:$V$1)*W$1+INTERCEPT($E610:$V610,$E$1:$V$1))&lt;(AVERAGE($E610:$V610)-_xlfn.STDEV.P($E610:$V610))),V610,(SLOPE($E610:$V610,$E$1:$V$1)*W$1+INTERCEPT($E610:$V610,$E$1:$V$1)))</f>
        <v>15147.501182998076</v>
      </c>
      <c r="X610" s="5">
        <f t="shared" si="617"/>
        <v>16125.928292904649</v>
      </c>
      <c r="Y610" s="5">
        <f t="shared" si="617"/>
        <v>17104.355402811223</v>
      </c>
      <c r="Z610" s="5">
        <f t="shared" si="617"/>
        <v>18082.782512717797</v>
      </c>
      <c r="AA610" s="5">
        <f t="shared" si="617"/>
        <v>19061.209622624374</v>
      </c>
      <c r="AB610" s="5">
        <f t="shared" si="617"/>
        <v>20039.636732530947</v>
      </c>
      <c r="AC610" s="5">
        <f t="shared" si="617"/>
        <v>21018.063842437521</v>
      </c>
      <c r="AD610" s="5">
        <f t="shared" si="617"/>
        <v>21996.490952344095</v>
      </c>
      <c r="AE610" s="5">
        <f t="shared" si="617"/>
        <v>22974.918062250668</v>
      </c>
      <c r="AF610" s="5">
        <f t="shared" si="617"/>
        <v>23953.345172157242</v>
      </c>
      <c r="AG610" s="5">
        <f t="shared" si="617"/>
        <v>24931.772282063819</v>
      </c>
      <c r="AH610" s="5">
        <f t="shared" si="617"/>
        <v>25910.199391970393</v>
      </c>
    </row>
    <row r="611" spans="1:34" x14ac:dyDescent="0.35">
      <c r="A611" t="s">
        <v>631</v>
      </c>
      <c r="B611" s="3" t="s">
        <v>1266</v>
      </c>
      <c r="C611" s="4" t="s">
        <v>1266</v>
      </c>
      <c r="D611" s="2">
        <f t="shared" si="58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ref="W611:AH611" si="618">IF(OR((SLOPE($E611:$V611,$E$1:$V$1)*W$1+INTERCEPT($E611:$V611,$E$1:$V$1))&gt;(AVERAGE($E611:$V611)+_xlfn.STDEV.P($E611:$V611)),(SLOPE($E611:$V611,$E$1:$V$1)*W$1+INTERCEPT($E611:$V611,$E$1:$V$1))&lt;(AVERAGE($E611:$V611)-_xlfn.STDEV.P($E611:$V611))),V611,(SLOPE($E611:$V611,$E$1:$V$1)*W$1+INTERCEPT($E611:$V611,$E$1:$V$1)))</f>
        <v>10936.673049400328</v>
      </c>
      <c r="X611" s="5">
        <f t="shared" si="618"/>
        <v>11476.31152223258</v>
      </c>
      <c r="Y611" s="5">
        <f t="shared" si="618"/>
        <v>12015.949995064833</v>
      </c>
      <c r="Z611" s="5">
        <f t="shared" si="618"/>
        <v>12555.588467897087</v>
      </c>
      <c r="AA611" s="5">
        <f t="shared" si="618"/>
        <v>13095.226940729339</v>
      </c>
      <c r="AB611" s="5">
        <f t="shared" si="618"/>
        <v>13634.865413561593</v>
      </c>
      <c r="AC611" s="5">
        <f t="shared" si="618"/>
        <v>14174.503886393846</v>
      </c>
      <c r="AD611" s="5">
        <f t="shared" si="618"/>
        <v>14714.142359226098</v>
      </c>
      <c r="AE611" s="5">
        <f t="shared" si="618"/>
        <v>15253.780832058352</v>
      </c>
      <c r="AF611" s="5">
        <f t="shared" si="618"/>
        <v>15793.419304890605</v>
      </c>
      <c r="AG611" s="5">
        <f t="shared" si="618"/>
        <v>16333.057777722857</v>
      </c>
      <c r="AH611" s="5">
        <f t="shared" si="618"/>
        <v>16872.696250555113</v>
      </c>
    </row>
    <row r="612" spans="1:34" x14ac:dyDescent="0.35">
      <c r="A612" t="s">
        <v>632</v>
      </c>
      <c r="B612" s="3" t="s">
        <v>1266</v>
      </c>
      <c r="C612" s="4" t="s">
        <v>1267</v>
      </c>
      <c r="D612" s="2">
        <f t="shared" si="58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ref="W612:AH612" si="619">IF(OR((SLOPE($E612:$V612,$E$1:$V$1)*W$1+INTERCEPT($E612:$V612,$E$1:$V$1))&gt;(AVERAGE($E612:$V612)+_xlfn.STDEV.P($E612:$V612)),(SLOPE($E612:$V612,$E$1:$V$1)*W$1+INTERCEPT($E612:$V612,$E$1:$V$1))&lt;(AVERAGE($E612:$V612)-_xlfn.STDEV.P($E612:$V612))),V612,(SLOPE($E612:$V612,$E$1:$V$1)*W$1+INTERCEPT($E612:$V612,$E$1:$V$1)))</f>
        <v>-5419.2211492116476</v>
      </c>
      <c r="X612" s="5">
        <f t="shared" si="619"/>
        <v>-6595.7625829220706</v>
      </c>
      <c r="Y612" s="5">
        <f t="shared" si="619"/>
        <v>-7772.3040166324936</v>
      </c>
      <c r="Z612" s="5">
        <f t="shared" si="619"/>
        <v>-8948.8454503429166</v>
      </c>
      <c r="AA612" s="5">
        <f t="shared" si="619"/>
        <v>-10125.38688405334</v>
      </c>
      <c r="AB612" s="5">
        <f t="shared" si="619"/>
        <v>-11301.928317763763</v>
      </c>
      <c r="AC612" s="5">
        <f t="shared" si="619"/>
        <v>-12478.469751474186</v>
      </c>
      <c r="AD612" s="5">
        <f t="shared" si="619"/>
        <v>-13655.011185184609</v>
      </c>
      <c r="AE612" s="5">
        <f t="shared" si="619"/>
        <v>-14831.552618895032</v>
      </c>
      <c r="AF612" s="5">
        <f t="shared" si="619"/>
        <v>-16008.094052605455</v>
      </c>
      <c r="AG612" s="5">
        <f t="shared" si="619"/>
        <v>-17184.635486315878</v>
      </c>
      <c r="AH612" s="5">
        <f t="shared" si="619"/>
        <v>-17184.635486315878</v>
      </c>
    </row>
    <row r="613" spans="1:34" x14ac:dyDescent="0.35">
      <c r="A613" t="s">
        <v>633</v>
      </c>
      <c r="B613" s="3" t="s">
        <v>1265</v>
      </c>
      <c r="C613" s="4" t="s">
        <v>1263</v>
      </c>
      <c r="D613" s="2">
        <f t="shared" si="58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H613" si="620">IF(OR((SLOPE($E613:$V613,$E$1:$V$1)*W$1+INTERCEPT($E613:$V613,$E$1:$V$1))&gt;(AVERAGE($E613:$V613)+_xlfn.STDEV.P($E613:$V613)),(SLOPE($E613:$V613,$E$1:$V$1)*W$1+INTERCEPT($E613:$V613,$E$1:$V$1))&lt;(AVERAGE($E613:$V613)-_xlfn.STDEV.P($E613:$V613))),V613,(SLOPE($E613:$V613,$E$1:$V$1)*W$1+INTERCEPT($E613:$V613,$E$1:$V$1)))</f>
        <v>1547.5634771241803</v>
      </c>
      <c r="X613" s="5">
        <f t="shared" si="620"/>
        <v>1118.5196793945615</v>
      </c>
      <c r="Y613" s="5">
        <f t="shared" si="620"/>
        <v>689.47588166494461</v>
      </c>
      <c r="Z613" s="5">
        <f t="shared" si="620"/>
        <v>260.43208393532586</v>
      </c>
      <c r="AA613" s="5">
        <f t="shared" si="620"/>
        <v>-168.61171379429288</v>
      </c>
      <c r="AB613" s="5">
        <f t="shared" si="620"/>
        <v>-597.65551152390981</v>
      </c>
      <c r="AC613" s="5">
        <f t="shared" si="620"/>
        <v>-1026.6993092535286</v>
      </c>
      <c r="AD613" s="5">
        <f t="shared" si="620"/>
        <v>-1455.7431069831473</v>
      </c>
      <c r="AE613" s="5">
        <f t="shared" si="620"/>
        <v>-1884.786904712766</v>
      </c>
      <c r="AF613" s="5">
        <f t="shared" si="620"/>
        <v>-1884.786904712766</v>
      </c>
      <c r="AG613" s="5">
        <f t="shared" si="620"/>
        <v>-1884.786904712766</v>
      </c>
      <c r="AH613" s="5">
        <f t="shared" si="620"/>
        <v>-1884.786904712766</v>
      </c>
    </row>
    <row r="614" spans="1:34" x14ac:dyDescent="0.35">
      <c r="A614" t="s">
        <v>634</v>
      </c>
      <c r="B614" s="3" t="s">
        <v>1266</v>
      </c>
      <c r="C614" s="4" t="s">
        <v>1267</v>
      </c>
      <c r="D614" s="2">
        <f t="shared" si="58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ref="W614:AH614" si="621">IF(OR((SLOPE($E614:$V614,$E$1:$V$1)*W$1+INTERCEPT($E614:$V614,$E$1:$V$1))&gt;(AVERAGE($E614:$V614)+_xlfn.STDEV.P($E614:$V614)),(SLOPE($E614:$V614,$E$1:$V$1)*W$1+INTERCEPT($E614:$V614,$E$1:$V$1))&lt;(AVERAGE($E614:$V614)-_xlfn.STDEV.P($E614:$V614))),V614,(SLOPE($E614:$V614,$E$1:$V$1)*W$1+INTERCEPT($E614:$V614,$E$1:$V$1)))</f>
        <v>6581.4113965984197</v>
      </c>
      <c r="X614" s="5">
        <f t="shared" si="621"/>
        <v>6685.3284186499732</v>
      </c>
      <c r="Y614" s="5">
        <f t="shared" si="621"/>
        <v>6789.2454407015275</v>
      </c>
      <c r="Z614" s="5">
        <f t="shared" si="621"/>
        <v>6893.1624627530819</v>
      </c>
      <c r="AA614" s="5">
        <f t="shared" si="621"/>
        <v>6997.0794848046353</v>
      </c>
      <c r="AB614" s="5">
        <f t="shared" si="621"/>
        <v>7100.9965068561887</v>
      </c>
      <c r="AC614" s="5">
        <f t="shared" si="621"/>
        <v>7204.9135289077431</v>
      </c>
      <c r="AD614" s="5">
        <f t="shared" si="621"/>
        <v>7308.8305509592974</v>
      </c>
      <c r="AE614" s="5">
        <f t="shared" si="621"/>
        <v>7412.7475730108508</v>
      </c>
      <c r="AF614" s="5">
        <f t="shared" si="621"/>
        <v>7516.6645950624052</v>
      </c>
      <c r="AG614" s="5">
        <f t="shared" si="621"/>
        <v>7620.5816171139595</v>
      </c>
      <c r="AH614" s="5">
        <f t="shared" si="621"/>
        <v>7724.4986391655129</v>
      </c>
    </row>
    <row r="615" spans="1:34" x14ac:dyDescent="0.35">
      <c r="A615" t="s">
        <v>635</v>
      </c>
      <c r="B615" s="3" t="s">
        <v>1264</v>
      </c>
      <c r="C615" s="4" t="s">
        <v>1267</v>
      </c>
      <c r="D615" s="2">
        <f t="shared" si="58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ref="W615:AH615" si="622">IF(OR((SLOPE($E615:$V615,$E$1:$V$1)*W$1+INTERCEPT($E615:$V615,$E$1:$V$1))&gt;(AVERAGE($E615:$V615)+_xlfn.STDEV.P($E615:$V615)),(SLOPE($E615:$V615,$E$1:$V$1)*W$1+INTERCEPT($E615:$V615,$E$1:$V$1))&lt;(AVERAGE($E615:$V615)-_xlfn.STDEV.P($E615:$V615))),V615,(SLOPE($E615:$V615,$E$1:$V$1)*W$1+INTERCEPT($E615:$V615,$E$1:$V$1)))</f>
        <v>14414.452172008048</v>
      </c>
      <c r="X615" s="5">
        <f t="shared" si="622"/>
        <v>15345.529226180817</v>
      </c>
      <c r="Y615" s="5">
        <f t="shared" si="622"/>
        <v>16276.606280353586</v>
      </c>
      <c r="Z615" s="5">
        <f t="shared" si="622"/>
        <v>17207.683334526355</v>
      </c>
      <c r="AA615" s="5">
        <f t="shared" si="622"/>
        <v>18138.760388699124</v>
      </c>
      <c r="AB615" s="5">
        <f t="shared" si="622"/>
        <v>19069.837442871889</v>
      </c>
      <c r="AC615" s="5">
        <f t="shared" si="622"/>
        <v>20000.914497044658</v>
      </c>
      <c r="AD615" s="5">
        <f t="shared" si="622"/>
        <v>20931.991551217427</v>
      </c>
      <c r="AE615" s="5">
        <f t="shared" si="622"/>
        <v>21863.068605390195</v>
      </c>
      <c r="AF615" s="5">
        <f t="shared" si="622"/>
        <v>22794.145659562964</v>
      </c>
      <c r="AG615" s="5">
        <f t="shared" si="622"/>
        <v>23725.222713735733</v>
      </c>
      <c r="AH615" s="5">
        <f t="shared" si="622"/>
        <v>24656.299767908502</v>
      </c>
    </row>
    <row r="616" spans="1:34" x14ac:dyDescent="0.35">
      <c r="A616" t="s">
        <v>636</v>
      </c>
      <c r="B616" s="3" t="s">
        <v>1266</v>
      </c>
      <c r="C616" s="4" t="s">
        <v>1267</v>
      </c>
      <c r="D616" s="2">
        <f t="shared" si="58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ref="W616:AH616" si="623">IF(OR((SLOPE($E616:$V616,$E$1:$V$1)*W$1+INTERCEPT($E616:$V616,$E$1:$V$1))&gt;(AVERAGE($E616:$V616)+_xlfn.STDEV.P($E616:$V616)),(SLOPE($E616:$V616,$E$1:$V$1)*W$1+INTERCEPT($E616:$V616,$E$1:$V$1))&lt;(AVERAGE($E616:$V616)-_xlfn.STDEV.P($E616:$V616))),V616,(SLOPE($E616:$V616,$E$1:$V$1)*W$1+INTERCEPT($E616:$V616,$E$1:$V$1)))</f>
        <v>4456.89324797264</v>
      </c>
      <c r="X616" s="5">
        <f t="shared" si="623"/>
        <v>4340.7651882565397</v>
      </c>
      <c r="Y616" s="5">
        <f t="shared" si="623"/>
        <v>4224.6371285404402</v>
      </c>
      <c r="Z616" s="5">
        <f t="shared" si="623"/>
        <v>4108.5090688243399</v>
      </c>
      <c r="AA616" s="5">
        <f t="shared" si="623"/>
        <v>3992.3810091082391</v>
      </c>
      <c r="AB616" s="5">
        <f t="shared" si="623"/>
        <v>3876.2529493921388</v>
      </c>
      <c r="AC616" s="5">
        <f t="shared" si="623"/>
        <v>3760.1248896760385</v>
      </c>
      <c r="AD616" s="5">
        <f t="shared" si="623"/>
        <v>3643.9968299599382</v>
      </c>
      <c r="AE616" s="5">
        <f t="shared" si="623"/>
        <v>3527.8687702438378</v>
      </c>
      <c r="AF616" s="5">
        <f t="shared" si="623"/>
        <v>3411.740710527738</v>
      </c>
      <c r="AG616" s="5">
        <f t="shared" si="623"/>
        <v>3295.6126508116376</v>
      </c>
      <c r="AH616" s="5">
        <f t="shared" si="623"/>
        <v>3179.4845910955373</v>
      </c>
    </row>
    <row r="617" spans="1:34" x14ac:dyDescent="0.35">
      <c r="A617" t="s">
        <v>637</v>
      </c>
      <c r="B617" s="3" t="s">
        <v>1262</v>
      </c>
      <c r="C617" s="4" t="s">
        <v>1263</v>
      </c>
      <c r="D617" s="2">
        <f t="shared" si="58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ref="W617:AH617" si="624">IF(OR((SLOPE($E617:$V617,$E$1:$V$1)*W$1+INTERCEPT($E617:$V617,$E$1:$V$1))&gt;(AVERAGE($E617:$V617)+_xlfn.STDEV.P($E617:$V617)),(SLOPE($E617:$V617,$E$1:$V$1)*W$1+INTERCEPT($E617:$V617,$E$1:$V$1))&lt;(AVERAGE($E617:$V617)-_xlfn.STDEV.P($E617:$V617))),V617,(SLOPE($E617:$V617,$E$1:$V$1)*W$1+INTERCEPT($E617:$V617,$E$1:$V$1)))</f>
        <v>15495.529411764706</v>
      </c>
      <c r="X617" s="5">
        <f t="shared" si="624"/>
        <v>16572.060928792569</v>
      </c>
      <c r="Y617" s="5">
        <f t="shared" si="624"/>
        <v>17648.592445820435</v>
      </c>
      <c r="Z617" s="5">
        <f t="shared" si="624"/>
        <v>18725.123962848298</v>
      </c>
      <c r="AA617" s="5">
        <f t="shared" si="624"/>
        <v>19801.655479876161</v>
      </c>
      <c r="AB617" s="5">
        <f t="shared" si="624"/>
        <v>20878.186996904027</v>
      </c>
      <c r="AC617" s="5">
        <f t="shared" si="624"/>
        <v>21954.71851393189</v>
      </c>
      <c r="AD617" s="5">
        <f t="shared" si="624"/>
        <v>23031.250030959753</v>
      </c>
      <c r="AE617" s="5">
        <f t="shared" si="624"/>
        <v>24107.781547987615</v>
      </c>
      <c r="AF617" s="5">
        <f t="shared" si="624"/>
        <v>25184.313065015482</v>
      </c>
      <c r="AG617" s="5">
        <f t="shared" si="624"/>
        <v>26260.844582043344</v>
      </c>
      <c r="AH617" s="5">
        <f t="shared" si="624"/>
        <v>26260.844582043344</v>
      </c>
    </row>
    <row r="618" spans="1:34" x14ac:dyDescent="0.35">
      <c r="A618" t="s">
        <v>638</v>
      </c>
      <c r="B618" s="3" t="s">
        <v>1265</v>
      </c>
      <c r="C618" s="4" t="s">
        <v>1263</v>
      </c>
      <c r="D618" s="2">
        <f t="shared" si="58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ref="W618:AH618" si="625">IF(OR((SLOPE($E618:$V618,$E$1:$V$1)*W$1+INTERCEPT($E618:$V618,$E$1:$V$1))&gt;(AVERAGE($E618:$V618)+_xlfn.STDEV.P($E618:$V618)),(SLOPE($E618:$V618,$E$1:$V$1)*W$1+INTERCEPT($E618:$V618,$E$1:$V$1))&lt;(AVERAGE($E618:$V618)-_xlfn.STDEV.P($E618:$V618))),V618,(SLOPE($E618:$V618,$E$1:$V$1)*W$1+INTERCEPT($E618:$V618,$E$1:$V$1)))</f>
        <v>5218.4102059095549</v>
      </c>
      <c r="X618" s="5">
        <f t="shared" si="625"/>
        <v>5201.3533898124278</v>
      </c>
      <c r="Y618" s="5">
        <f t="shared" si="625"/>
        <v>5184.2965737153008</v>
      </c>
      <c r="Z618" s="5">
        <f t="shared" si="625"/>
        <v>5167.2397576181729</v>
      </c>
      <c r="AA618" s="5">
        <f t="shared" si="625"/>
        <v>5150.1829415210459</v>
      </c>
      <c r="AB618" s="5">
        <f t="shared" si="625"/>
        <v>5133.126125423918</v>
      </c>
      <c r="AC618" s="5">
        <f t="shared" si="625"/>
        <v>5116.069309326791</v>
      </c>
      <c r="AD618" s="5">
        <f t="shared" si="625"/>
        <v>5099.0124932296631</v>
      </c>
      <c r="AE618" s="5">
        <f t="shared" si="625"/>
        <v>5081.955677132536</v>
      </c>
      <c r="AF618" s="5">
        <f t="shared" si="625"/>
        <v>5064.8988610354081</v>
      </c>
      <c r="AG618" s="5">
        <f t="shared" si="625"/>
        <v>5047.8420449382811</v>
      </c>
      <c r="AH618" s="5">
        <f t="shared" si="625"/>
        <v>5030.7852288411541</v>
      </c>
    </row>
    <row r="619" spans="1:34" x14ac:dyDescent="0.35">
      <c r="A619" t="s">
        <v>639</v>
      </c>
      <c r="B619" s="3" t="s">
        <v>1266</v>
      </c>
      <c r="C619" s="4" t="s">
        <v>1266</v>
      </c>
      <c r="D619" s="2">
        <f t="shared" si="58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ref="W619:AH619" si="626">IF(OR((SLOPE($E619:$V619,$E$1:$V$1)*W$1+INTERCEPT($E619:$V619,$E$1:$V$1))&gt;(AVERAGE($E619:$V619)+_xlfn.STDEV.P($E619:$V619)),(SLOPE($E619:$V619,$E$1:$V$1)*W$1+INTERCEPT($E619:$V619,$E$1:$V$1))&lt;(AVERAGE($E619:$V619)-_xlfn.STDEV.P($E619:$V619))),V619,(SLOPE($E619:$V619,$E$1:$V$1)*W$1+INTERCEPT($E619:$V619,$E$1:$V$1)))</f>
        <v>9208.4805968731616</v>
      </c>
      <c r="X619" s="5">
        <f t="shared" si="626"/>
        <v>9609.7711555453679</v>
      </c>
      <c r="Y619" s="5">
        <f t="shared" si="626"/>
        <v>10011.061714217576</v>
      </c>
      <c r="Z619" s="5">
        <f t="shared" si="626"/>
        <v>10412.352272889782</v>
      </c>
      <c r="AA619" s="5">
        <f t="shared" si="626"/>
        <v>10813.642831561991</v>
      </c>
      <c r="AB619" s="5">
        <f t="shared" si="626"/>
        <v>11214.933390234199</v>
      </c>
      <c r="AC619" s="5">
        <f t="shared" si="626"/>
        <v>11616.223948906405</v>
      </c>
      <c r="AD619" s="5">
        <f t="shared" si="626"/>
        <v>12017.514507578613</v>
      </c>
      <c r="AE619" s="5">
        <f t="shared" si="626"/>
        <v>12418.805066250819</v>
      </c>
      <c r="AF619" s="5">
        <f t="shared" si="626"/>
        <v>12820.095624923028</v>
      </c>
      <c r="AG619" s="5">
        <f t="shared" si="626"/>
        <v>13221.386183595234</v>
      </c>
      <c r="AH619" s="5">
        <f t="shared" si="626"/>
        <v>13622.676742267442</v>
      </c>
    </row>
    <row r="620" spans="1:34" x14ac:dyDescent="0.35">
      <c r="A620" t="s">
        <v>640</v>
      </c>
      <c r="B620" s="3" t="s">
        <v>1264</v>
      </c>
      <c r="C620" s="4" t="s">
        <v>1263</v>
      </c>
      <c r="D620" s="2">
        <f t="shared" si="58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ref="W620:AH620" si="627">IF(OR((SLOPE($E620:$V620,$E$1:$V$1)*W$1+INTERCEPT($E620:$V620,$E$1:$V$1))&gt;(AVERAGE($E620:$V620)+_xlfn.STDEV.P($E620:$V620)),(SLOPE($E620:$V620,$E$1:$V$1)*W$1+INTERCEPT($E620:$V620,$E$1:$V$1))&lt;(AVERAGE($E620:$V620)-_xlfn.STDEV.P($E620:$V620))),V620,(SLOPE($E620:$V620,$E$1:$V$1)*W$1+INTERCEPT($E620:$V620,$E$1:$V$1)))</f>
        <v>8456.9075126696171</v>
      </c>
      <c r="X620" s="5">
        <f t="shared" si="627"/>
        <v>8456.9075126696171</v>
      </c>
      <c r="Y620" s="5">
        <f t="shared" si="627"/>
        <v>8456.9075126696171</v>
      </c>
      <c r="Z620" s="5">
        <f t="shared" si="627"/>
        <v>8456.9075126696171</v>
      </c>
      <c r="AA620" s="5">
        <f t="shared" si="627"/>
        <v>8456.9075126696171</v>
      </c>
      <c r="AB620" s="5">
        <f t="shared" si="627"/>
        <v>8456.9075126696171</v>
      </c>
      <c r="AC620" s="5">
        <f t="shared" si="627"/>
        <v>8456.9075126696171</v>
      </c>
      <c r="AD620" s="5">
        <f t="shared" si="627"/>
        <v>8456.9075126696171</v>
      </c>
      <c r="AE620" s="5">
        <f t="shared" si="627"/>
        <v>8456.9075126696171</v>
      </c>
      <c r="AF620" s="5">
        <f t="shared" si="627"/>
        <v>8456.9075126696171</v>
      </c>
      <c r="AG620" s="5">
        <f t="shared" si="627"/>
        <v>8456.9075126696171</v>
      </c>
      <c r="AH620" s="5">
        <f t="shared" si="627"/>
        <v>8456.9075126696171</v>
      </c>
    </row>
    <row r="621" spans="1:34" x14ac:dyDescent="0.35">
      <c r="A621" t="s">
        <v>641</v>
      </c>
      <c r="B621" s="3" t="s">
        <v>1266</v>
      </c>
      <c r="C621" s="4" t="s">
        <v>1267</v>
      </c>
      <c r="D621" s="2">
        <f t="shared" si="58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ref="W621:AH621" si="628">IF(OR((SLOPE($E621:$V621,$E$1:$V$1)*W$1+INTERCEPT($E621:$V621,$E$1:$V$1))&gt;(AVERAGE($E621:$V621)+_xlfn.STDEV.P($E621:$V621)),(SLOPE($E621:$V621,$E$1:$V$1)*W$1+INTERCEPT($E621:$V621,$E$1:$V$1))&lt;(AVERAGE($E621:$V621)-_xlfn.STDEV.P($E621:$V621))),V621,(SLOPE($E621:$V621,$E$1:$V$1)*W$1+INTERCEPT($E621:$V621,$E$1:$V$1)))</f>
        <v>16609.298897341821</v>
      </c>
      <c r="X621" s="5">
        <f t="shared" si="628"/>
        <v>17791.977245227397</v>
      </c>
      <c r="Y621" s="5">
        <f t="shared" si="628"/>
        <v>18974.65559311297</v>
      </c>
      <c r="Z621" s="5">
        <f t="shared" si="628"/>
        <v>20157.333940998546</v>
      </c>
      <c r="AA621" s="5">
        <f t="shared" si="628"/>
        <v>21340.012288884122</v>
      </c>
      <c r="AB621" s="5">
        <f t="shared" si="628"/>
        <v>21340.012288884122</v>
      </c>
      <c r="AC621" s="5">
        <f t="shared" si="628"/>
        <v>21340.012288884122</v>
      </c>
      <c r="AD621" s="5">
        <f t="shared" si="628"/>
        <v>21340.012288884122</v>
      </c>
      <c r="AE621" s="5">
        <f t="shared" si="628"/>
        <v>21340.012288884122</v>
      </c>
      <c r="AF621" s="5">
        <f t="shared" si="628"/>
        <v>21340.012288884122</v>
      </c>
      <c r="AG621" s="5">
        <f t="shared" si="628"/>
        <v>21340.012288884122</v>
      </c>
      <c r="AH621" s="5">
        <f t="shared" si="628"/>
        <v>21340.012288884122</v>
      </c>
    </row>
    <row r="622" spans="1:34" x14ac:dyDescent="0.35">
      <c r="A622" t="s">
        <v>642</v>
      </c>
      <c r="B622" s="3" t="s">
        <v>1265</v>
      </c>
      <c r="C622" s="4" t="s">
        <v>1263</v>
      </c>
      <c r="D622" s="2">
        <f t="shared" si="58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ref="W622:AH622" si="629">IF(OR((SLOPE($E622:$V622,$E$1:$V$1)*W$1+INTERCEPT($E622:$V622,$E$1:$V$1))&gt;(AVERAGE($E622:$V622)+_xlfn.STDEV.P($E622:$V622)),(SLOPE($E622:$V622,$E$1:$V$1)*W$1+INTERCEPT($E622:$V622,$E$1:$V$1))&lt;(AVERAGE($E622:$V622)-_xlfn.STDEV.P($E622:$V622))),V622,(SLOPE($E622:$V622,$E$1:$V$1)*W$1+INTERCEPT($E622:$V622,$E$1:$V$1)))</f>
        <v>13714.985053047034</v>
      </c>
      <c r="X622" s="5">
        <f t="shared" si="629"/>
        <v>14596.332278530526</v>
      </c>
      <c r="Y622" s="5">
        <f t="shared" si="629"/>
        <v>15477.679504014019</v>
      </c>
      <c r="Z622" s="5">
        <f t="shared" si="629"/>
        <v>15477.679504014019</v>
      </c>
      <c r="AA622" s="5">
        <f t="shared" si="629"/>
        <v>15477.679504014019</v>
      </c>
      <c r="AB622" s="5">
        <f t="shared" si="629"/>
        <v>15477.679504014019</v>
      </c>
      <c r="AC622" s="5">
        <f t="shared" si="629"/>
        <v>15477.679504014019</v>
      </c>
      <c r="AD622" s="5">
        <f t="shared" si="629"/>
        <v>15477.679504014019</v>
      </c>
      <c r="AE622" s="5">
        <f t="shared" si="629"/>
        <v>15477.679504014019</v>
      </c>
      <c r="AF622" s="5">
        <f t="shared" si="629"/>
        <v>15477.679504014019</v>
      </c>
      <c r="AG622" s="5">
        <f t="shared" si="629"/>
        <v>15477.679504014019</v>
      </c>
      <c r="AH622" s="5">
        <f t="shared" si="629"/>
        <v>15477.679504014019</v>
      </c>
    </row>
    <row r="623" spans="1:34" x14ac:dyDescent="0.35">
      <c r="A623" t="s">
        <v>643</v>
      </c>
      <c r="B623" s="3" t="s">
        <v>1264</v>
      </c>
      <c r="C623" s="4" t="s">
        <v>1263</v>
      </c>
      <c r="D623" s="2">
        <f t="shared" si="58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ref="W623:AH623" si="630">IF(OR((SLOPE($E623:$V623,$E$1:$V$1)*W$1+INTERCEPT($E623:$V623,$E$1:$V$1))&gt;(AVERAGE($E623:$V623)+_xlfn.STDEV.P($E623:$V623)),(SLOPE($E623:$V623,$E$1:$V$1)*W$1+INTERCEPT($E623:$V623,$E$1:$V$1))&lt;(AVERAGE($E623:$V623)-_xlfn.STDEV.P($E623:$V623))),V623,(SLOPE($E623:$V623,$E$1:$V$1)*W$1+INTERCEPT($E623:$V623,$E$1:$V$1)))</f>
        <v>1998.1036794288984</v>
      </c>
      <c r="X623" s="5">
        <f t="shared" si="630"/>
        <v>1646.7810699689908</v>
      </c>
      <c r="Y623" s="5">
        <f t="shared" si="630"/>
        <v>1295.458460509084</v>
      </c>
      <c r="Z623" s="5">
        <f t="shared" si="630"/>
        <v>1295.458460509084</v>
      </c>
      <c r="AA623" s="5">
        <f t="shared" si="630"/>
        <v>1295.458460509084</v>
      </c>
      <c r="AB623" s="5">
        <f t="shared" si="630"/>
        <v>1295.458460509084</v>
      </c>
      <c r="AC623" s="5">
        <f t="shared" si="630"/>
        <v>1295.458460509084</v>
      </c>
      <c r="AD623" s="5">
        <f t="shared" si="630"/>
        <v>1295.458460509084</v>
      </c>
      <c r="AE623" s="5">
        <f t="shared" si="630"/>
        <v>1295.458460509084</v>
      </c>
      <c r="AF623" s="5">
        <f t="shared" si="630"/>
        <v>1295.458460509084</v>
      </c>
      <c r="AG623" s="5">
        <f t="shared" si="630"/>
        <v>1295.458460509084</v>
      </c>
      <c r="AH623" s="5">
        <f t="shared" si="630"/>
        <v>1295.458460509084</v>
      </c>
    </row>
    <row r="624" spans="1:34" x14ac:dyDescent="0.35">
      <c r="A624" t="s">
        <v>644</v>
      </c>
      <c r="B624" s="3" t="s">
        <v>1266</v>
      </c>
      <c r="C624" s="4" t="s">
        <v>1263</v>
      </c>
      <c r="D624" s="2">
        <f t="shared" si="58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ref="W624:AH624" si="631">IF(OR((SLOPE($E624:$V624,$E$1:$V$1)*W$1+INTERCEPT($E624:$V624,$E$1:$V$1))&gt;(AVERAGE($E624:$V624)+_xlfn.STDEV.P($E624:$V624)),(SLOPE($E624:$V624,$E$1:$V$1)*W$1+INTERCEPT($E624:$V624,$E$1:$V$1))&lt;(AVERAGE($E624:$V624)-_xlfn.STDEV.P($E624:$V624))),V624,(SLOPE($E624:$V624,$E$1:$V$1)*W$1+INTERCEPT($E624:$V624,$E$1:$V$1)))</f>
        <v>1059.6759215686288</v>
      </c>
      <c r="X624" s="5">
        <f t="shared" si="631"/>
        <v>609.60166769866009</v>
      </c>
      <c r="Y624" s="5">
        <f t="shared" si="631"/>
        <v>159.52741382869135</v>
      </c>
      <c r="Z624" s="5">
        <f t="shared" si="631"/>
        <v>-290.54684004127739</v>
      </c>
      <c r="AA624" s="5">
        <f t="shared" si="631"/>
        <v>-740.62109391124613</v>
      </c>
      <c r="AB624" s="5">
        <f t="shared" si="631"/>
        <v>-1190.6953477812149</v>
      </c>
      <c r="AC624" s="5">
        <f t="shared" si="631"/>
        <v>-1640.7696016511836</v>
      </c>
      <c r="AD624" s="5">
        <f t="shared" si="631"/>
        <v>-2090.8438555211524</v>
      </c>
      <c r="AE624" s="5">
        <f t="shared" si="631"/>
        <v>-2540.9181093911229</v>
      </c>
      <c r="AF624" s="5">
        <f t="shared" si="631"/>
        <v>-2990.9923632610917</v>
      </c>
      <c r="AG624" s="5">
        <f t="shared" si="631"/>
        <v>-2990.9923632610917</v>
      </c>
      <c r="AH624" s="5">
        <f t="shared" si="631"/>
        <v>-2990.9923632610917</v>
      </c>
    </row>
    <row r="625" spans="1:34" x14ac:dyDescent="0.35">
      <c r="A625" t="s">
        <v>645</v>
      </c>
      <c r="B625" s="3" t="s">
        <v>1264</v>
      </c>
      <c r="C625" s="4" t="s">
        <v>1263</v>
      </c>
      <c r="D625" s="2">
        <f t="shared" si="58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ref="W625:AH625" si="632">IF(OR((SLOPE($E625:$V625,$E$1:$V$1)*W$1+INTERCEPT($E625:$V625,$E$1:$V$1))&gt;(AVERAGE($E625:$V625)+_xlfn.STDEV.P($E625:$V625)),(SLOPE($E625:$V625,$E$1:$V$1)*W$1+INTERCEPT($E625:$V625,$E$1:$V$1))&lt;(AVERAGE($E625:$V625)-_xlfn.STDEV.P($E625:$V625))),V625,(SLOPE($E625:$V625,$E$1:$V$1)*W$1+INTERCEPT($E625:$V625,$E$1:$V$1)))</f>
        <v>3378.2329411764704</v>
      </c>
      <c r="X625" s="5">
        <f t="shared" si="632"/>
        <v>3177.2093034055724</v>
      </c>
      <c r="Y625" s="5">
        <f t="shared" si="632"/>
        <v>2976.1856656346745</v>
      </c>
      <c r="Z625" s="5">
        <f t="shared" si="632"/>
        <v>2775.1620278637765</v>
      </c>
      <c r="AA625" s="5">
        <f t="shared" si="632"/>
        <v>2574.1383900928786</v>
      </c>
      <c r="AB625" s="5">
        <f t="shared" si="632"/>
        <v>2373.1147523219806</v>
      </c>
      <c r="AC625" s="5">
        <f t="shared" si="632"/>
        <v>2172.0911145510827</v>
      </c>
      <c r="AD625" s="5">
        <f t="shared" si="632"/>
        <v>1971.0674767801847</v>
      </c>
      <c r="AE625" s="5">
        <f t="shared" si="632"/>
        <v>1770.0438390092877</v>
      </c>
      <c r="AF625" s="5">
        <f t="shared" si="632"/>
        <v>1569.0202012383897</v>
      </c>
      <c r="AG625" s="5">
        <f t="shared" si="632"/>
        <v>1367.9965634674918</v>
      </c>
      <c r="AH625" s="5">
        <f t="shared" si="632"/>
        <v>1166.9729256965938</v>
      </c>
    </row>
    <row r="626" spans="1:34" x14ac:dyDescent="0.35">
      <c r="A626" t="s">
        <v>646</v>
      </c>
      <c r="B626" s="3" t="s">
        <v>1264</v>
      </c>
      <c r="C626" s="4" t="s">
        <v>1263</v>
      </c>
      <c r="D626" s="2">
        <f t="shared" si="58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ref="W626:AH626" si="633">IF(OR((SLOPE($E626:$V626,$E$1:$V$1)*W$1+INTERCEPT($E626:$V626,$E$1:$V$1))&gt;(AVERAGE($E626:$V626)+_xlfn.STDEV.P($E626:$V626)),(SLOPE($E626:$V626,$E$1:$V$1)*W$1+INTERCEPT($E626:$V626,$E$1:$V$1))&lt;(AVERAGE($E626:$V626)-_xlfn.STDEV.P($E626:$V626))),V626,(SLOPE($E626:$V626,$E$1:$V$1)*W$1+INTERCEPT($E626:$V626,$E$1:$V$1)))</f>
        <v>10772.569524705883</v>
      </c>
      <c r="X626" s="5">
        <f t="shared" si="633"/>
        <v>11349.967356780187</v>
      </c>
      <c r="Y626" s="5">
        <f t="shared" si="633"/>
        <v>11349.967356780187</v>
      </c>
      <c r="Z626" s="5">
        <f t="shared" si="633"/>
        <v>11349.967356780187</v>
      </c>
      <c r="AA626" s="5">
        <f t="shared" si="633"/>
        <v>11349.967356780187</v>
      </c>
      <c r="AB626" s="5">
        <f t="shared" si="633"/>
        <v>11349.967356780187</v>
      </c>
      <c r="AC626" s="5">
        <f t="shared" si="633"/>
        <v>11349.967356780187</v>
      </c>
      <c r="AD626" s="5">
        <f t="shared" si="633"/>
        <v>11349.967356780187</v>
      </c>
      <c r="AE626" s="5">
        <f t="shared" si="633"/>
        <v>11349.967356780187</v>
      </c>
      <c r="AF626" s="5">
        <f t="shared" si="633"/>
        <v>11349.967356780187</v>
      </c>
      <c r="AG626" s="5">
        <f t="shared" si="633"/>
        <v>11349.967356780187</v>
      </c>
      <c r="AH626" s="5">
        <f t="shared" si="633"/>
        <v>11349.967356780187</v>
      </c>
    </row>
    <row r="627" spans="1:34" x14ac:dyDescent="0.35">
      <c r="A627" t="s">
        <v>647</v>
      </c>
      <c r="B627" s="3" t="s">
        <v>1265</v>
      </c>
      <c r="C627" s="4" t="s">
        <v>1263</v>
      </c>
      <c r="D627" s="2">
        <f t="shared" si="58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ref="W627:AH627" si="634">IF(OR((SLOPE($E627:$V627,$E$1:$V$1)*W$1+INTERCEPT($E627:$V627,$E$1:$V$1))&gt;(AVERAGE($E627:$V627)+_xlfn.STDEV.P($E627:$V627)),(SLOPE($E627:$V627,$E$1:$V$1)*W$1+INTERCEPT($E627:$V627,$E$1:$V$1))&lt;(AVERAGE($E627:$V627)-_xlfn.STDEV.P($E627:$V627))),V627,(SLOPE($E627:$V627,$E$1:$V$1)*W$1+INTERCEPT($E627:$V627,$E$1:$V$1)))</f>
        <v>3936.7590049445039</v>
      </c>
      <c r="X627" s="5">
        <f t="shared" si="634"/>
        <v>3798.409400613014</v>
      </c>
      <c r="Y627" s="5">
        <f t="shared" si="634"/>
        <v>3660.0597962815241</v>
      </c>
      <c r="Z627" s="5">
        <f t="shared" si="634"/>
        <v>3521.7101919500337</v>
      </c>
      <c r="AA627" s="5">
        <f t="shared" si="634"/>
        <v>3383.3605876185438</v>
      </c>
      <c r="AB627" s="5">
        <f t="shared" si="634"/>
        <v>3245.0109832870539</v>
      </c>
      <c r="AC627" s="5">
        <f t="shared" si="634"/>
        <v>3106.661378955564</v>
      </c>
      <c r="AD627" s="5">
        <f t="shared" si="634"/>
        <v>2968.3117746240741</v>
      </c>
      <c r="AE627" s="5">
        <f t="shared" si="634"/>
        <v>2829.9621702925838</v>
      </c>
      <c r="AF627" s="5">
        <f t="shared" si="634"/>
        <v>2691.6125659610939</v>
      </c>
      <c r="AG627" s="5">
        <f t="shared" si="634"/>
        <v>2553.262961629604</v>
      </c>
      <c r="AH627" s="5">
        <f t="shared" si="634"/>
        <v>2414.9133572981136</v>
      </c>
    </row>
    <row r="628" spans="1:34" x14ac:dyDescent="0.35">
      <c r="A628" t="s">
        <v>648</v>
      </c>
      <c r="B628" s="3" t="s">
        <v>1266</v>
      </c>
      <c r="C628" s="4" t="s">
        <v>1267</v>
      </c>
      <c r="D628" s="2">
        <f t="shared" si="58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ref="W628:AH628" si="635">IF(OR((SLOPE($E628:$V628,$E$1:$V$1)*W$1+INTERCEPT($E628:$V628,$E$1:$V$1))&gt;(AVERAGE($E628:$V628)+_xlfn.STDEV.P($E628:$V628)),(SLOPE($E628:$V628,$E$1:$V$1)*W$1+INTERCEPT($E628:$V628,$E$1:$V$1))&lt;(AVERAGE($E628:$V628)-_xlfn.STDEV.P($E628:$V628))),V628,(SLOPE($E628:$V628,$E$1:$V$1)*W$1+INTERCEPT($E628:$V628,$E$1:$V$1)))</f>
        <v>4311.832331062441</v>
      </c>
      <c r="X628" s="5">
        <f t="shared" si="635"/>
        <v>4214.572955173815</v>
      </c>
      <c r="Y628" s="5">
        <f t="shared" si="635"/>
        <v>4117.3135792851881</v>
      </c>
      <c r="Z628" s="5">
        <f t="shared" si="635"/>
        <v>4020.0542033965617</v>
      </c>
      <c r="AA628" s="5">
        <f t="shared" si="635"/>
        <v>3922.7948275079348</v>
      </c>
      <c r="AB628" s="5">
        <f t="shared" si="635"/>
        <v>3825.5354516193083</v>
      </c>
      <c r="AC628" s="5">
        <f t="shared" si="635"/>
        <v>3728.2760757306819</v>
      </c>
      <c r="AD628" s="5">
        <f t="shared" si="635"/>
        <v>3631.0166998420555</v>
      </c>
      <c r="AE628" s="5">
        <f t="shared" si="635"/>
        <v>3533.757323953429</v>
      </c>
      <c r="AF628" s="5">
        <f t="shared" si="635"/>
        <v>3436.4979480648026</v>
      </c>
      <c r="AG628" s="5">
        <f t="shared" si="635"/>
        <v>3339.2385721761757</v>
      </c>
      <c r="AH628" s="5">
        <f t="shared" si="635"/>
        <v>3241.9791962875493</v>
      </c>
    </row>
    <row r="629" spans="1:34" x14ac:dyDescent="0.35">
      <c r="A629" t="s">
        <v>649</v>
      </c>
      <c r="B629" s="3" t="s">
        <v>1265</v>
      </c>
      <c r="C629" s="4" t="s">
        <v>1263</v>
      </c>
      <c r="D629" s="2">
        <f t="shared" si="58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H629" si="636">IF(OR((SLOPE($E629:$V629,$E$1:$V$1)*W$1+INTERCEPT($E629:$V629,$E$1:$V$1))&gt;(AVERAGE($E629:$V629)+_xlfn.STDEV.P($E629:$V629)),(SLOPE($E629:$V629,$E$1:$V$1)*W$1+INTERCEPT($E629:$V629,$E$1:$V$1))&lt;(AVERAGE($E629:$V629)-_xlfn.STDEV.P($E629:$V629))),V629,(SLOPE($E629:$V629,$E$1:$V$1)*W$1+INTERCEPT($E629:$V629,$E$1:$V$1)))</f>
        <v>14348.1702</v>
      </c>
      <c r="X629" s="5">
        <f t="shared" si="636"/>
        <v>14348.1702</v>
      </c>
      <c r="Y629" s="5">
        <f t="shared" si="636"/>
        <v>14348.1702</v>
      </c>
      <c r="Z629" s="5">
        <f t="shared" si="636"/>
        <v>14348.1702</v>
      </c>
      <c r="AA629" s="5">
        <f t="shared" si="636"/>
        <v>14348.1702</v>
      </c>
      <c r="AB629" s="5">
        <f t="shared" si="636"/>
        <v>14348.1702</v>
      </c>
      <c r="AC629" s="5">
        <f t="shared" si="636"/>
        <v>14348.1702</v>
      </c>
      <c r="AD629" s="5">
        <f t="shared" si="636"/>
        <v>14348.1702</v>
      </c>
      <c r="AE629" s="5">
        <f t="shared" si="636"/>
        <v>14348.1702</v>
      </c>
      <c r="AF629" s="5">
        <f t="shared" si="636"/>
        <v>14348.1702</v>
      </c>
      <c r="AG629" s="5">
        <f t="shared" si="636"/>
        <v>14348.1702</v>
      </c>
      <c r="AH629" s="5">
        <f t="shared" si="636"/>
        <v>14348.1702</v>
      </c>
    </row>
    <row r="630" spans="1:34" x14ac:dyDescent="0.35">
      <c r="A630" t="s">
        <v>650</v>
      </c>
      <c r="B630" s="3" t="s">
        <v>1266</v>
      </c>
      <c r="C630" s="4" t="s">
        <v>1267</v>
      </c>
      <c r="D630" s="2">
        <f t="shared" si="58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ref="W630:AH630" si="637">IF(OR((SLOPE($E630:$V630,$E$1:$V$1)*W$1+INTERCEPT($E630:$V630,$E$1:$V$1))&gt;(AVERAGE($E630:$V630)+_xlfn.STDEV.P($E630:$V630)),(SLOPE($E630:$V630,$E$1:$V$1)*W$1+INTERCEPT($E630:$V630,$E$1:$V$1))&lt;(AVERAGE($E630:$V630)-_xlfn.STDEV.P($E630:$V630))),V630,(SLOPE($E630:$V630,$E$1:$V$1)*W$1+INTERCEPT($E630:$V630,$E$1:$V$1)))</f>
        <v>9821.8875334146342</v>
      </c>
      <c r="X630" s="5">
        <f t="shared" si="637"/>
        <v>10306.520141971278</v>
      </c>
      <c r="Y630" s="5">
        <f t="shared" si="637"/>
        <v>10791.152750527921</v>
      </c>
      <c r="Z630" s="5">
        <f t="shared" si="637"/>
        <v>11275.785359084564</v>
      </c>
      <c r="AA630" s="5">
        <f t="shared" si="637"/>
        <v>11760.417967641208</v>
      </c>
      <c r="AB630" s="5">
        <f t="shared" si="637"/>
        <v>12245.050576197851</v>
      </c>
      <c r="AC630" s="5">
        <f t="shared" si="637"/>
        <v>12729.683184754493</v>
      </c>
      <c r="AD630" s="5">
        <f t="shared" si="637"/>
        <v>13214.315793311136</v>
      </c>
      <c r="AE630" s="5">
        <f t="shared" si="637"/>
        <v>13698.948401867779</v>
      </c>
      <c r="AF630" s="5">
        <f t="shared" si="637"/>
        <v>14183.581010424423</v>
      </c>
      <c r="AG630" s="5">
        <f t="shared" si="637"/>
        <v>14668.213618981066</v>
      </c>
      <c r="AH630" s="5">
        <f t="shared" si="637"/>
        <v>15152.846227537708</v>
      </c>
    </row>
    <row r="631" spans="1:34" x14ac:dyDescent="0.35">
      <c r="A631" t="s">
        <v>651</v>
      </c>
      <c r="B631" s="3" t="s">
        <v>1265</v>
      </c>
      <c r="C631" s="4" t="s">
        <v>1263</v>
      </c>
      <c r="D631" s="2">
        <f t="shared" si="58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ref="W631:AH631" si="638">IF(OR((SLOPE($E631:$V631,$E$1:$V$1)*W$1+INTERCEPT($E631:$V631,$E$1:$V$1))&gt;(AVERAGE($E631:$V631)+_xlfn.STDEV.P($E631:$V631)),(SLOPE($E631:$V631,$E$1:$V$1)*W$1+INTERCEPT($E631:$V631,$E$1:$V$1))&lt;(AVERAGE($E631:$V631)-_xlfn.STDEV.P($E631:$V631))),V631,(SLOPE($E631:$V631,$E$1:$V$1)*W$1+INTERCEPT($E631:$V631,$E$1:$V$1)))</f>
        <v>7337.6533953708022</v>
      </c>
      <c r="X631" s="5">
        <f t="shared" si="638"/>
        <v>7568.6971269962087</v>
      </c>
      <c r="Y631" s="5">
        <f t="shared" si="638"/>
        <v>7799.7408586216134</v>
      </c>
      <c r="Z631" s="5">
        <f t="shared" si="638"/>
        <v>7799.7408586216134</v>
      </c>
      <c r="AA631" s="5">
        <f t="shared" si="638"/>
        <v>7799.7408586216134</v>
      </c>
      <c r="AB631" s="5">
        <f t="shared" si="638"/>
        <v>7799.7408586216134</v>
      </c>
      <c r="AC631" s="5">
        <f t="shared" si="638"/>
        <v>7799.7408586216134</v>
      </c>
      <c r="AD631" s="5">
        <f t="shared" si="638"/>
        <v>7799.7408586216134</v>
      </c>
      <c r="AE631" s="5">
        <f t="shared" si="638"/>
        <v>7799.7408586216134</v>
      </c>
      <c r="AF631" s="5">
        <f t="shared" si="638"/>
        <v>7799.7408586216134</v>
      </c>
      <c r="AG631" s="5">
        <f t="shared" si="638"/>
        <v>7799.7408586216134</v>
      </c>
      <c r="AH631" s="5">
        <f t="shared" si="638"/>
        <v>7799.7408586216134</v>
      </c>
    </row>
    <row r="632" spans="1:34" x14ac:dyDescent="0.35">
      <c r="A632" t="s">
        <v>652</v>
      </c>
      <c r="B632" s="3" t="s">
        <v>1266</v>
      </c>
      <c r="C632" s="4" t="s">
        <v>1263</v>
      </c>
      <c r="D632" s="2">
        <f t="shared" si="58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ref="W632:AH632" si="639">IF(OR((SLOPE($E632:$V632,$E$1:$V$1)*W$1+INTERCEPT($E632:$V632,$E$1:$V$1))&gt;(AVERAGE($E632:$V632)+_xlfn.STDEV.P($E632:$V632)),(SLOPE($E632:$V632,$E$1:$V$1)*W$1+INTERCEPT($E632:$V632,$E$1:$V$1))&lt;(AVERAGE($E632:$V632)-_xlfn.STDEV.P($E632:$V632))),V632,(SLOPE($E632:$V632,$E$1:$V$1)*W$1+INTERCEPT($E632:$V632,$E$1:$V$1)))</f>
        <v>8253.6728921943213</v>
      </c>
      <c r="X632" s="5">
        <f t="shared" si="639"/>
        <v>8581.1832593668405</v>
      </c>
      <c r="Y632" s="5">
        <f t="shared" si="639"/>
        <v>8908.6936265393615</v>
      </c>
      <c r="Z632" s="5">
        <f t="shared" si="639"/>
        <v>9236.2039937118807</v>
      </c>
      <c r="AA632" s="5">
        <f t="shared" si="639"/>
        <v>9563.7143608843999</v>
      </c>
      <c r="AB632" s="5">
        <f t="shared" si="639"/>
        <v>9891.224728056919</v>
      </c>
      <c r="AC632" s="5">
        <f t="shared" si="639"/>
        <v>10218.735095229438</v>
      </c>
      <c r="AD632" s="5">
        <f t="shared" si="639"/>
        <v>10546.245462401959</v>
      </c>
      <c r="AE632" s="5">
        <f t="shared" si="639"/>
        <v>10873.755829574478</v>
      </c>
      <c r="AF632" s="5">
        <f t="shared" si="639"/>
        <v>11201.266196746998</v>
      </c>
      <c r="AG632" s="5">
        <f t="shared" si="639"/>
        <v>11528.776563919517</v>
      </c>
      <c r="AH632" s="5">
        <f t="shared" si="639"/>
        <v>11856.286931092036</v>
      </c>
    </row>
    <row r="633" spans="1:34" x14ac:dyDescent="0.35">
      <c r="A633" t="s">
        <v>653</v>
      </c>
      <c r="B633" s="3" t="s">
        <v>1265</v>
      </c>
      <c r="C633" s="4" t="s">
        <v>1263</v>
      </c>
      <c r="D633" s="2">
        <f t="shared" si="58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ref="W633:AH633" si="640">IF(OR((SLOPE($E633:$V633,$E$1:$V$1)*W$1+INTERCEPT($E633:$V633,$E$1:$V$1))&gt;(AVERAGE($E633:$V633)+_xlfn.STDEV.P($E633:$V633)),(SLOPE($E633:$V633,$E$1:$V$1)*W$1+INTERCEPT($E633:$V633,$E$1:$V$1))&lt;(AVERAGE($E633:$V633)-_xlfn.STDEV.P($E633:$V633))),V633,(SLOPE($E633:$V633,$E$1:$V$1)*W$1+INTERCEPT($E633:$V633,$E$1:$V$1)))</f>
        <v>5024.2963862845208</v>
      </c>
      <c r="X633" s="5">
        <f t="shared" si="640"/>
        <v>5020.2031337575399</v>
      </c>
      <c r="Y633" s="5">
        <f t="shared" si="640"/>
        <v>5016.1098812305581</v>
      </c>
      <c r="Z633" s="5">
        <f t="shared" si="640"/>
        <v>5012.0166287035763</v>
      </c>
      <c r="AA633" s="5">
        <f t="shared" si="640"/>
        <v>5007.9233761765945</v>
      </c>
      <c r="AB633" s="5">
        <f t="shared" si="640"/>
        <v>5003.8301236496127</v>
      </c>
      <c r="AC633" s="5">
        <f t="shared" si="640"/>
        <v>4999.7368711226309</v>
      </c>
      <c r="AD633" s="5">
        <f t="shared" si="640"/>
        <v>4995.6436185956491</v>
      </c>
      <c r="AE633" s="5">
        <f t="shared" si="640"/>
        <v>4991.5503660686672</v>
      </c>
      <c r="AF633" s="5">
        <f t="shared" si="640"/>
        <v>4987.4571135416854</v>
      </c>
      <c r="AG633" s="5">
        <f t="shared" si="640"/>
        <v>4983.3638610147036</v>
      </c>
      <c r="AH633" s="5">
        <f t="shared" si="640"/>
        <v>4979.2706084877218</v>
      </c>
    </row>
    <row r="634" spans="1:34" x14ac:dyDescent="0.35">
      <c r="A634" t="s">
        <v>654</v>
      </c>
      <c r="B634" s="3" t="s">
        <v>1266</v>
      </c>
      <c r="C634" s="4" t="s">
        <v>1267</v>
      </c>
      <c r="D634" s="2">
        <f t="shared" si="58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ref="W634:AH634" si="641">IF(OR((SLOPE($E634:$V634,$E$1:$V$1)*W$1+INTERCEPT($E634:$V634,$E$1:$V$1))&gt;(AVERAGE($E634:$V634)+_xlfn.STDEV.P($E634:$V634)),(SLOPE($E634:$V634,$E$1:$V$1)*W$1+INTERCEPT($E634:$V634,$E$1:$V$1))&lt;(AVERAGE($E634:$V634)-_xlfn.STDEV.P($E634:$V634))),V634,(SLOPE($E634:$V634,$E$1:$V$1)*W$1+INTERCEPT($E634:$V634,$E$1:$V$1)))</f>
        <v>5662.2137787527054</v>
      </c>
      <c r="X634" s="5">
        <f t="shared" si="641"/>
        <v>5718.2388965388636</v>
      </c>
      <c r="Y634" s="5">
        <f t="shared" si="641"/>
        <v>5774.2640143250228</v>
      </c>
      <c r="Z634" s="5">
        <f t="shared" si="641"/>
        <v>5830.289132111182</v>
      </c>
      <c r="AA634" s="5">
        <f t="shared" si="641"/>
        <v>5886.3142498973411</v>
      </c>
      <c r="AB634" s="5">
        <f t="shared" si="641"/>
        <v>5942.3393676835003</v>
      </c>
      <c r="AC634" s="5">
        <f t="shared" si="641"/>
        <v>5998.3644854696586</v>
      </c>
      <c r="AD634" s="5">
        <f t="shared" si="641"/>
        <v>6054.3896032558177</v>
      </c>
      <c r="AE634" s="5">
        <f t="shared" si="641"/>
        <v>6110.414721041976</v>
      </c>
      <c r="AF634" s="5">
        <f t="shared" si="641"/>
        <v>6166.4398388281352</v>
      </c>
      <c r="AG634" s="5">
        <f t="shared" si="641"/>
        <v>6222.4649566142944</v>
      </c>
      <c r="AH634" s="5">
        <f t="shared" si="641"/>
        <v>6278.4900744004535</v>
      </c>
    </row>
    <row r="635" spans="1:34" x14ac:dyDescent="0.35">
      <c r="A635" t="s">
        <v>655</v>
      </c>
      <c r="B635" s="3" t="s">
        <v>1265</v>
      </c>
      <c r="C635" s="4" t="s">
        <v>1263</v>
      </c>
      <c r="D635" s="2">
        <f t="shared" si="58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ref="W635:AH635" si="642">IF(OR((SLOPE($E635:$V635,$E$1:$V$1)*W$1+INTERCEPT($E635:$V635,$E$1:$V$1))&gt;(AVERAGE($E635:$V635)+_xlfn.STDEV.P($E635:$V635)),(SLOPE($E635:$V635,$E$1:$V$1)*W$1+INTERCEPT($E635:$V635,$E$1:$V$1))&lt;(AVERAGE($E635:$V635)-_xlfn.STDEV.P($E635:$V635))),V635,(SLOPE($E635:$V635,$E$1:$V$1)*W$1+INTERCEPT($E635:$V635,$E$1:$V$1)))</f>
        <v>4537.0233725490207</v>
      </c>
      <c r="X635" s="5">
        <f t="shared" si="642"/>
        <v>4474.910183694532</v>
      </c>
      <c r="Y635" s="5">
        <f t="shared" si="642"/>
        <v>4412.7969948400423</v>
      </c>
      <c r="Z635" s="5">
        <f t="shared" si="642"/>
        <v>4350.6838059855536</v>
      </c>
      <c r="AA635" s="5">
        <f t="shared" si="642"/>
        <v>4288.5706171310649</v>
      </c>
      <c r="AB635" s="5">
        <f t="shared" si="642"/>
        <v>4226.4574282765752</v>
      </c>
      <c r="AC635" s="5">
        <f t="shared" si="642"/>
        <v>4164.3442394220856</v>
      </c>
      <c r="AD635" s="5">
        <f t="shared" si="642"/>
        <v>4102.2310505675969</v>
      </c>
      <c r="AE635" s="5">
        <f t="shared" si="642"/>
        <v>4040.1178617131077</v>
      </c>
      <c r="AF635" s="5">
        <f t="shared" si="642"/>
        <v>3978.0046728586185</v>
      </c>
      <c r="AG635" s="5">
        <f t="shared" si="642"/>
        <v>3915.8914840041298</v>
      </c>
      <c r="AH635" s="5">
        <f t="shared" si="642"/>
        <v>3853.7782951496401</v>
      </c>
    </row>
    <row r="636" spans="1:34" x14ac:dyDescent="0.35">
      <c r="A636" t="s">
        <v>656</v>
      </c>
      <c r="B636" s="3" t="s">
        <v>1266</v>
      </c>
      <c r="C636" s="4" t="s">
        <v>1268</v>
      </c>
      <c r="D636" s="2">
        <f t="shared" si="58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ref="W636:AH636" si="643">IF(OR((SLOPE($E636:$V636,$E$1:$V$1)*W$1+INTERCEPT($E636:$V636,$E$1:$V$1))&gt;(AVERAGE($E636:$V636)+_xlfn.STDEV.P($E636:$V636)),(SLOPE($E636:$V636,$E$1:$V$1)*W$1+INTERCEPT($E636:$V636,$E$1:$V$1))&lt;(AVERAGE($E636:$V636)-_xlfn.STDEV.P($E636:$V636))),V636,(SLOPE($E636:$V636,$E$1:$V$1)*W$1+INTERCEPT($E636:$V636,$E$1:$V$1)))</f>
        <v>5091.931731130021</v>
      </c>
      <c r="X636" s="5">
        <f t="shared" si="643"/>
        <v>5090.8493472159244</v>
      </c>
      <c r="Y636" s="5">
        <f t="shared" si="643"/>
        <v>5089.7669633018268</v>
      </c>
      <c r="Z636" s="5">
        <f t="shared" si="643"/>
        <v>5088.6845793877292</v>
      </c>
      <c r="AA636" s="5">
        <f t="shared" si="643"/>
        <v>5087.6021954736325</v>
      </c>
      <c r="AB636" s="5">
        <f t="shared" si="643"/>
        <v>5086.5198115595349</v>
      </c>
      <c r="AC636" s="5">
        <f t="shared" si="643"/>
        <v>5085.4374276454373</v>
      </c>
      <c r="AD636" s="5">
        <f t="shared" si="643"/>
        <v>5084.3550437313406</v>
      </c>
      <c r="AE636" s="5">
        <f t="shared" si="643"/>
        <v>5083.272659817243</v>
      </c>
      <c r="AF636" s="5">
        <f t="shared" si="643"/>
        <v>5082.1902759031454</v>
      </c>
      <c r="AG636" s="5">
        <f t="shared" si="643"/>
        <v>5081.1078919890488</v>
      </c>
      <c r="AH636" s="5">
        <f t="shared" si="643"/>
        <v>5080.0255080749512</v>
      </c>
    </row>
    <row r="637" spans="1:34" x14ac:dyDescent="0.35">
      <c r="A637" t="s">
        <v>657</v>
      </c>
      <c r="B637" s="3" t="s">
        <v>1266</v>
      </c>
      <c r="C637" s="4" t="s">
        <v>1267</v>
      </c>
      <c r="D637" s="2">
        <f t="shared" si="58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ref="W637:AH637" si="644">IF(OR((SLOPE($E637:$V637,$E$1:$V$1)*W$1+INTERCEPT($E637:$V637,$E$1:$V$1))&gt;(AVERAGE($E637:$V637)+_xlfn.STDEV.P($E637:$V637)),(SLOPE($E637:$V637,$E$1:$V$1)*W$1+INTERCEPT($E637:$V637,$E$1:$V$1))&lt;(AVERAGE($E637:$V637)-_xlfn.STDEV.P($E637:$V637))),V637,(SLOPE($E637:$V637,$E$1:$V$1)*W$1+INTERCEPT($E637:$V637,$E$1:$V$1)))</f>
        <v>9569.9186663279634</v>
      </c>
      <c r="X637" s="5">
        <f t="shared" si="644"/>
        <v>10042.118600521777</v>
      </c>
      <c r="Y637" s="5">
        <f t="shared" si="644"/>
        <v>10514.318534715592</v>
      </c>
      <c r="Z637" s="5">
        <f t="shared" si="644"/>
        <v>10986.518468909406</v>
      </c>
      <c r="AA637" s="5">
        <f t="shared" si="644"/>
        <v>11458.718403103219</v>
      </c>
      <c r="AB637" s="5">
        <f t="shared" si="644"/>
        <v>11930.918337297033</v>
      </c>
      <c r="AC637" s="5">
        <f t="shared" si="644"/>
        <v>12403.118271490846</v>
      </c>
      <c r="AD637" s="5">
        <f t="shared" si="644"/>
        <v>12875.318205684662</v>
      </c>
      <c r="AE637" s="5">
        <f t="shared" si="644"/>
        <v>13347.518139878475</v>
      </c>
      <c r="AF637" s="5">
        <f t="shared" si="644"/>
        <v>13819.718074072289</v>
      </c>
      <c r="AG637" s="5">
        <f t="shared" si="644"/>
        <v>14291.918008266102</v>
      </c>
      <c r="AH637" s="5">
        <f t="shared" si="644"/>
        <v>14764.117942459918</v>
      </c>
    </row>
    <row r="638" spans="1:34" x14ac:dyDescent="0.35">
      <c r="A638" t="s">
        <v>658</v>
      </c>
      <c r="B638" s="3" t="s">
        <v>1265</v>
      </c>
      <c r="C638" s="4" t="s">
        <v>1267</v>
      </c>
      <c r="D638" s="2">
        <f t="shared" si="58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ref="W638:AH638" si="645">IF(OR((SLOPE($E638:$V638,$E$1:$V$1)*W$1+INTERCEPT($E638:$V638,$E$1:$V$1))&gt;(AVERAGE($E638:$V638)+_xlfn.STDEV.P($E638:$V638)),(SLOPE($E638:$V638,$E$1:$V$1)*W$1+INTERCEPT($E638:$V638,$E$1:$V$1))&lt;(AVERAGE($E638:$V638)-_xlfn.STDEV.P($E638:$V638))),V638,(SLOPE($E638:$V638,$E$1:$V$1)*W$1+INTERCEPT($E638:$V638,$E$1:$V$1)))</f>
        <v>16609.200227063349</v>
      </c>
      <c r="X638" s="5">
        <f t="shared" si="645"/>
        <v>17826.791973032279</v>
      </c>
      <c r="Y638" s="5">
        <f t="shared" si="645"/>
        <v>19044.383719001209</v>
      </c>
      <c r="Z638" s="5">
        <f t="shared" si="645"/>
        <v>20261.975464970139</v>
      </c>
      <c r="AA638" s="5">
        <f t="shared" si="645"/>
        <v>21479.567210939069</v>
      </c>
      <c r="AB638" s="5">
        <f t="shared" si="645"/>
        <v>22697.158956907995</v>
      </c>
      <c r="AC638" s="5">
        <f t="shared" si="645"/>
        <v>23914.750702876925</v>
      </c>
      <c r="AD638" s="5">
        <f t="shared" si="645"/>
        <v>25132.342448845855</v>
      </c>
      <c r="AE638" s="5">
        <f t="shared" si="645"/>
        <v>25132.342448845855</v>
      </c>
      <c r="AF638" s="5">
        <f t="shared" si="645"/>
        <v>25132.342448845855</v>
      </c>
      <c r="AG638" s="5">
        <f t="shared" si="645"/>
        <v>25132.342448845855</v>
      </c>
      <c r="AH638" s="5">
        <f t="shared" si="645"/>
        <v>25132.342448845855</v>
      </c>
    </row>
    <row r="639" spans="1:34" x14ac:dyDescent="0.35">
      <c r="A639" t="s">
        <v>659</v>
      </c>
      <c r="B639" s="3" t="s">
        <v>1266</v>
      </c>
      <c r="C639" s="4" t="s">
        <v>1267</v>
      </c>
      <c r="D639" s="2">
        <f t="shared" si="58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ref="W639:AH639" si="646">IF(OR((SLOPE($E639:$V639,$E$1:$V$1)*W$1+INTERCEPT($E639:$V639,$E$1:$V$1))&gt;(AVERAGE($E639:$V639)+_xlfn.STDEV.P($E639:$V639)),(SLOPE($E639:$V639,$E$1:$V$1)*W$1+INTERCEPT($E639:$V639,$E$1:$V$1))&lt;(AVERAGE($E639:$V639)-_xlfn.STDEV.P($E639:$V639))),V639,(SLOPE($E639:$V639,$E$1:$V$1)*W$1+INTERCEPT($E639:$V639,$E$1:$V$1)))</f>
        <v>-7255.2107634872955</v>
      </c>
      <c r="X639" s="5">
        <f t="shared" si="646"/>
        <v>-8549.3182840434165</v>
      </c>
      <c r="Y639" s="5">
        <f t="shared" si="646"/>
        <v>-8549.3182840434165</v>
      </c>
      <c r="Z639" s="5">
        <f t="shared" si="646"/>
        <v>-8549.3182840434165</v>
      </c>
      <c r="AA639" s="5">
        <f t="shared" si="646"/>
        <v>-8549.3182840434165</v>
      </c>
      <c r="AB639" s="5">
        <f t="shared" si="646"/>
        <v>-8549.3182840434165</v>
      </c>
      <c r="AC639" s="5">
        <f t="shared" si="646"/>
        <v>-8549.3182840434165</v>
      </c>
      <c r="AD639" s="5">
        <f t="shared" si="646"/>
        <v>-8549.3182840434165</v>
      </c>
      <c r="AE639" s="5">
        <f t="shared" si="646"/>
        <v>-8549.3182840434165</v>
      </c>
      <c r="AF639" s="5">
        <f t="shared" si="646"/>
        <v>-8549.3182840434165</v>
      </c>
      <c r="AG639" s="5">
        <f t="shared" si="646"/>
        <v>-8549.3182840434165</v>
      </c>
      <c r="AH639" s="5">
        <f t="shared" si="646"/>
        <v>-8549.3182840434165</v>
      </c>
    </row>
    <row r="640" spans="1:34" x14ac:dyDescent="0.35">
      <c r="A640" t="s">
        <v>660</v>
      </c>
      <c r="B640" s="3" t="s">
        <v>1264</v>
      </c>
      <c r="C640" s="4" t="s">
        <v>1268</v>
      </c>
      <c r="D640" s="2">
        <f t="shared" si="58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ref="W640:AH640" si="647">IF(OR((SLOPE($E640:$V640,$E$1:$V$1)*W$1+INTERCEPT($E640:$V640,$E$1:$V$1))&gt;(AVERAGE($E640:$V640)+_xlfn.STDEV.P($E640:$V640)),(SLOPE($E640:$V640,$E$1:$V$1)*W$1+INTERCEPT($E640:$V640,$E$1:$V$1))&lt;(AVERAGE($E640:$V640)-_xlfn.STDEV.P($E640:$V640))),V640,(SLOPE($E640:$V640,$E$1:$V$1)*W$1+INTERCEPT($E640:$V640,$E$1:$V$1)))</f>
        <v>4192.3964880000003</v>
      </c>
      <c r="X640" s="5">
        <f t="shared" si="647"/>
        <v>4104.4242296842103</v>
      </c>
      <c r="Y640" s="5">
        <f t="shared" si="647"/>
        <v>4016.4519713684208</v>
      </c>
      <c r="Z640" s="5">
        <f t="shared" si="647"/>
        <v>3928.4797130526313</v>
      </c>
      <c r="AA640" s="5">
        <f t="shared" si="647"/>
        <v>3840.5074547368417</v>
      </c>
      <c r="AB640" s="5">
        <f t="shared" si="647"/>
        <v>3752.5351964210522</v>
      </c>
      <c r="AC640" s="5">
        <f t="shared" si="647"/>
        <v>3664.5629381052627</v>
      </c>
      <c r="AD640" s="5">
        <f t="shared" si="647"/>
        <v>3576.5906797894731</v>
      </c>
      <c r="AE640" s="5">
        <f t="shared" si="647"/>
        <v>3488.6184214736841</v>
      </c>
      <c r="AF640" s="5">
        <f t="shared" si="647"/>
        <v>3400.6461631578945</v>
      </c>
      <c r="AG640" s="5">
        <f t="shared" si="647"/>
        <v>3312.673904842105</v>
      </c>
      <c r="AH640" s="5">
        <f t="shared" si="647"/>
        <v>3224.7016465263155</v>
      </c>
    </row>
    <row r="641" spans="1:34" x14ac:dyDescent="0.35">
      <c r="A641" t="s">
        <v>661</v>
      </c>
      <c r="B641" s="3" t="s">
        <v>1266</v>
      </c>
      <c r="C641" s="4" t="s">
        <v>1267</v>
      </c>
      <c r="D641" s="2">
        <f t="shared" si="58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ref="W641:AH641" si="648">IF(OR((SLOPE($E641:$V641,$E$1:$V$1)*W$1+INTERCEPT($E641:$V641,$E$1:$V$1))&gt;(AVERAGE($E641:$V641)+_xlfn.STDEV.P($E641:$V641)),(SLOPE($E641:$V641,$E$1:$V$1)*W$1+INTERCEPT($E641:$V641,$E$1:$V$1))&lt;(AVERAGE($E641:$V641)-_xlfn.STDEV.P($E641:$V641))),V641,(SLOPE($E641:$V641,$E$1:$V$1)*W$1+INTERCEPT($E641:$V641,$E$1:$V$1)))</f>
        <v>4138.2799038741832</v>
      </c>
      <c r="X641" s="5">
        <f t="shared" si="648"/>
        <v>4044.9352443882995</v>
      </c>
      <c r="Y641" s="5">
        <f t="shared" si="648"/>
        <v>3951.5905849024157</v>
      </c>
      <c r="Z641" s="5">
        <f t="shared" si="648"/>
        <v>3858.2459254165319</v>
      </c>
      <c r="AA641" s="5">
        <f t="shared" si="648"/>
        <v>3764.9012659306482</v>
      </c>
      <c r="AB641" s="5">
        <f t="shared" si="648"/>
        <v>3671.5566064447639</v>
      </c>
      <c r="AC641" s="5">
        <f t="shared" si="648"/>
        <v>3578.2119469588802</v>
      </c>
      <c r="AD641" s="5">
        <f t="shared" si="648"/>
        <v>3484.8672874729964</v>
      </c>
      <c r="AE641" s="5">
        <f t="shared" si="648"/>
        <v>3391.5226279871126</v>
      </c>
      <c r="AF641" s="5">
        <f t="shared" si="648"/>
        <v>3298.1779685012289</v>
      </c>
      <c r="AG641" s="5">
        <f t="shared" si="648"/>
        <v>3204.8333090153451</v>
      </c>
      <c r="AH641" s="5">
        <f t="shared" si="648"/>
        <v>3111.4886495294613</v>
      </c>
    </row>
    <row r="642" spans="1:34" x14ac:dyDescent="0.35">
      <c r="A642" t="s">
        <v>662</v>
      </c>
      <c r="B642" s="3" t="s">
        <v>1265</v>
      </c>
      <c r="C642" s="4" t="s">
        <v>1263</v>
      </c>
      <c r="D642" s="2">
        <f t="shared" si="58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ref="W642:AH642" si="649">IF(OR((SLOPE($E642:$V642,$E$1:$V$1)*W$1+INTERCEPT($E642:$V642,$E$1:$V$1))&gt;(AVERAGE($E642:$V642)+_xlfn.STDEV.P($E642:$V642)),(SLOPE($E642:$V642,$E$1:$V$1)*W$1+INTERCEPT($E642:$V642,$E$1:$V$1))&lt;(AVERAGE($E642:$V642)-_xlfn.STDEV.P($E642:$V642))),V642,(SLOPE($E642:$V642,$E$1:$V$1)*W$1+INTERCEPT($E642:$V642,$E$1:$V$1)))</f>
        <v>19827.359999999997</v>
      </c>
      <c r="X642" s="5">
        <f t="shared" si="649"/>
        <v>21392.677894736837</v>
      </c>
      <c r="Y642" s="5">
        <f t="shared" si="649"/>
        <v>22957.99578947368</v>
      </c>
      <c r="Z642" s="5">
        <f t="shared" si="649"/>
        <v>24523.313684210523</v>
      </c>
      <c r="AA642" s="5">
        <f t="shared" si="649"/>
        <v>24523.313684210523</v>
      </c>
      <c r="AB642" s="5">
        <f t="shared" si="649"/>
        <v>24523.313684210523</v>
      </c>
      <c r="AC642" s="5">
        <f t="shared" si="649"/>
        <v>24523.313684210523</v>
      </c>
      <c r="AD642" s="5">
        <f t="shared" si="649"/>
        <v>24523.313684210523</v>
      </c>
      <c r="AE642" s="5">
        <f t="shared" si="649"/>
        <v>24523.313684210523</v>
      </c>
      <c r="AF642" s="5">
        <f t="shared" si="649"/>
        <v>24523.313684210523</v>
      </c>
      <c r="AG642" s="5">
        <f t="shared" si="649"/>
        <v>24523.313684210523</v>
      </c>
      <c r="AH642" s="5">
        <f t="shared" si="649"/>
        <v>24523.313684210523</v>
      </c>
    </row>
    <row r="643" spans="1:34" x14ac:dyDescent="0.35">
      <c r="A643" t="s">
        <v>663</v>
      </c>
      <c r="B643" s="3" t="s">
        <v>1262</v>
      </c>
      <c r="C643" s="4" t="s">
        <v>1263</v>
      </c>
      <c r="D643" s="2">
        <f t="shared" si="58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ref="W643:AH643" si="650">IF(OR((SLOPE($E643:$V643,$E$1:$V$1)*W$1+INTERCEPT($E643:$V643,$E$1:$V$1))&gt;(AVERAGE($E643:$V643)+_xlfn.STDEV.P($E643:$V643)),(SLOPE($E643:$V643,$E$1:$V$1)*W$1+INTERCEPT($E643:$V643,$E$1:$V$1))&lt;(AVERAGE($E643:$V643)-_xlfn.STDEV.P($E643:$V643))),V643,(SLOPE($E643:$V643,$E$1:$V$1)*W$1+INTERCEPT($E643:$V643,$E$1:$V$1)))</f>
        <v>0</v>
      </c>
      <c r="X643" s="5">
        <f t="shared" si="650"/>
        <v>0</v>
      </c>
      <c r="Y643" s="5">
        <f t="shared" si="650"/>
        <v>0</v>
      </c>
      <c r="Z643" s="5">
        <f t="shared" si="650"/>
        <v>0</v>
      </c>
      <c r="AA643" s="5">
        <f t="shared" si="650"/>
        <v>0</v>
      </c>
      <c r="AB643" s="5">
        <f t="shared" si="650"/>
        <v>0</v>
      </c>
      <c r="AC643" s="5">
        <f t="shared" si="650"/>
        <v>0</v>
      </c>
      <c r="AD643" s="5">
        <f t="shared" si="650"/>
        <v>0</v>
      </c>
      <c r="AE643" s="5">
        <f t="shared" si="650"/>
        <v>0</v>
      </c>
      <c r="AF643" s="5">
        <f t="shared" si="650"/>
        <v>0</v>
      </c>
      <c r="AG643" s="5">
        <f t="shared" si="650"/>
        <v>0</v>
      </c>
      <c r="AH643" s="5">
        <f t="shared" si="650"/>
        <v>0</v>
      </c>
    </row>
    <row r="644" spans="1:34" x14ac:dyDescent="0.35">
      <c r="A644" t="s">
        <v>664</v>
      </c>
      <c r="B644" s="3" t="s">
        <v>1265</v>
      </c>
      <c r="C644" s="4" t="s">
        <v>1263</v>
      </c>
      <c r="D644" s="2">
        <f t="shared" ref="D644:D707" si="651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ref="W644:AH644" si="652">IF(OR((SLOPE($E644:$V644,$E$1:$V$1)*W$1+INTERCEPT($E644:$V644,$E$1:$V$1))&gt;(AVERAGE($E644:$V644)+_xlfn.STDEV.P($E644:$V644)),(SLOPE($E644:$V644,$E$1:$V$1)*W$1+INTERCEPT($E644:$V644,$E$1:$V$1))&lt;(AVERAGE($E644:$V644)-_xlfn.STDEV.P($E644:$V644))),V644,(SLOPE($E644:$V644,$E$1:$V$1)*W$1+INTERCEPT($E644:$V644,$E$1:$V$1)))</f>
        <v>707.43850342984297</v>
      </c>
      <c r="X644" s="5">
        <f t="shared" si="652"/>
        <v>258.056204378232</v>
      </c>
      <c r="Y644" s="5">
        <f t="shared" si="652"/>
        <v>-191.32609467337898</v>
      </c>
      <c r="Z644" s="5">
        <f t="shared" si="652"/>
        <v>-640.70839372498995</v>
      </c>
      <c r="AA644" s="5">
        <f t="shared" si="652"/>
        <v>-1090.0906927766009</v>
      </c>
      <c r="AB644" s="5">
        <f t="shared" si="652"/>
        <v>-1539.4729918282119</v>
      </c>
      <c r="AC644" s="5">
        <f t="shared" si="652"/>
        <v>-1988.8552908798229</v>
      </c>
      <c r="AD644" s="5">
        <f t="shared" si="652"/>
        <v>-2438.2375899314338</v>
      </c>
      <c r="AE644" s="5">
        <f t="shared" si="652"/>
        <v>-2887.6198889830448</v>
      </c>
      <c r="AF644" s="5">
        <f t="shared" si="652"/>
        <v>-2887.6198889830448</v>
      </c>
      <c r="AG644" s="5">
        <f t="shared" si="652"/>
        <v>-2887.6198889830448</v>
      </c>
      <c r="AH644" s="5">
        <f t="shared" si="652"/>
        <v>-2887.6198889830448</v>
      </c>
    </row>
    <row r="645" spans="1:34" x14ac:dyDescent="0.35">
      <c r="A645" t="s">
        <v>665</v>
      </c>
      <c r="B645" s="3" t="s">
        <v>1265</v>
      </c>
      <c r="C645" s="4" t="s">
        <v>1267</v>
      </c>
      <c r="D645" s="2">
        <f t="shared" si="651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H645" si="653">IF(OR((SLOPE($E645:$V645,$E$1:$V$1)*W$1+INTERCEPT($E645:$V645,$E$1:$V$1))&gt;(AVERAGE($E645:$V645)+_xlfn.STDEV.P($E645:$V645)),(SLOPE($E645:$V645,$E$1:$V$1)*W$1+INTERCEPT($E645:$V645,$E$1:$V$1))&lt;(AVERAGE($E645:$V645)-_xlfn.STDEV.P($E645:$V645))),V645,(SLOPE($E645:$V645,$E$1:$V$1)*W$1+INTERCEPT($E645:$V645,$E$1:$V$1)))</f>
        <v>12862.184880924984</v>
      </c>
      <c r="X645" s="5">
        <f t="shared" si="653"/>
        <v>13692.995866056503</v>
      </c>
      <c r="Y645" s="5">
        <f t="shared" si="653"/>
        <v>14523.806851188023</v>
      </c>
      <c r="Z645" s="5">
        <f t="shared" si="653"/>
        <v>15354.617836319539</v>
      </c>
      <c r="AA645" s="5">
        <f t="shared" si="653"/>
        <v>16185.428821451056</v>
      </c>
      <c r="AB645" s="5">
        <f t="shared" si="653"/>
        <v>17016.239806582576</v>
      </c>
      <c r="AC645" s="5">
        <f t="shared" si="653"/>
        <v>17847.050791714093</v>
      </c>
      <c r="AD645" s="5">
        <f t="shared" si="653"/>
        <v>18677.861776845613</v>
      </c>
      <c r="AE645" s="5">
        <f t="shared" si="653"/>
        <v>19508.67276197713</v>
      </c>
      <c r="AF645" s="5">
        <f t="shared" si="653"/>
        <v>20339.483747108647</v>
      </c>
      <c r="AG645" s="5">
        <f t="shared" si="653"/>
        <v>21170.294732240167</v>
      </c>
      <c r="AH645" s="5">
        <f t="shared" si="653"/>
        <v>22001.105717371684</v>
      </c>
    </row>
    <row r="646" spans="1:34" x14ac:dyDescent="0.35">
      <c r="A646" t="s">
        <v>666</v>
      </c>
      <c r="B646" s="3" t="s">
        <v>1266</v>
      </c>
      <c r="C646" s="4" t="s">
        <v>1266</v>
      </c>
      <c r="D646" s="2">
        <f t="shared" si="651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ref="W646:AH646" si="654">IF(OR((SLOPE($E646:$V646,$E$1:$V$1)*W$1+INTERCEPT($E646:$V646,$E$1:$V$1))&gt;(AVERAGE($E646:$V646)+_xlfn.STDEV.P($E646:$V646)),(SLOPE($E646:$V646,$E$1:$V$1)*W$1+INTERCEPT($E646:$V646,$E$1:$V$1))&lt;(AVERAGE($E646:$V646)-_xlfn.STDEV.P($E646:$V646))),V646,(SLOPE($E646:$V646,$E$1:$V$1)*W$1+INTERCEPT($E646:$V646,$E$1:$V$1)))</f>
        <v>11080.841504871099</v>
      </c>
      <c r="X646" s="5">
        <f t="shared" si="654"/>
        <v>11724.392645365431</v>
      </c>
      <c r="Y646" s="5">
        <f t="shared" si="654"/>
        <v>12367.943785859763</v>
      </c>
      <c r="Z646" s="5">
        <f t="shared" si="654"/>
        <v>13011.494926354095</v>
      </c>
      <c r="AA646" s="5">
        <f t="shared" si="654"/>
        <v>13655.046066848423</v>
      </c>
      <c r="AB646" s="5">
        <f t="shared" si="654"/>
        <v>14298.597207342755</v>
      </c>
      <c r="AC646" s="5">
        <f t="shared" si="654"/>
        <v>14942.148347837086</v>
      </c>
      <c r="AD646" s="5">
        <f t="shared" si="654"/>
        <v>15585.699488331418</v>
      </c>
      <c r="AE646" s="5">
        <f t="shared" si="654"/>
        <v>16229.250628825746</v>
      </c>
      <c r="AF646" s="5">
        <f t="shared" si="654"/>
        <v>16872.801769320078</v>
      </c>
      <c r="AG646" s="5">
        <f t="shared" si="654"/>
        <v>17516.35290981441</v>
      </c>
      <c r="AH646" s="5">
        <f t="shared" si="654"/>
        <v>18159.904050308742</v>
      </c>
    </row>
    <row r="647" spans="1:34" x14ac:dyDescent="0.35">
      <c r="A647" t="s">
        <v>667</v>
      </c>
      <c r="B647" s="3" t="s">
        <v>1265</v>
      </c>
      <c r="C647" s="4" t="s">
        <v>1263</v>
      </c>
      <c r="D647" s="2">
        <f t="shared" si="651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ref="W647:AH647" si="655">IF(OR((SLOPE($E647:$V647,$E$1:$V$1)*W$1+INTERCEPT($E647:$V647,$E$1:$V$1))&gt;(AVERAGE($E647:$V647)+_xlfn.STDEV.P($E647:$V647)),(SLOPE($E647:$V647,$E$1:$V$1)*W$1+INTERCEPT($E647:$V647,$E$1:$V$1))&lt;(AVERAGE($E647:$V647)-_xlfn.STDEV.P($E647:$V647))),V647,(SLOPE($E647:$V647,$E$1:$V$1)*W$1+INTERCEPT($E647:$V647,$E$1:$V$1)))</f>
        <v>19466.72</v>
      </c>
      <c r="X647" s="5">
        <f t="shared" si="655"/>
        <v>21003.566315789474</v>
      </c>
      <c r="Y647" s="5">
        <f t="shared" si="655"/>
        <v>22540.412631578947</v>
      </c>
      <c r="Z647" s="5">
        <f t="shared" si="655"/>
        <v>24077.25894736842</v>
      </c>
      <c r="AA647" s="5">
        <f t="shared" si="655"/>
        <v>24077.25894736842</v>
      </c>
      <c r="AB647" s="5">
        <f t="shared" si="655"/>
        <v>24077.25894736842</v>
      </c>
      <c r="AC647" s="5">
        <f t="shared" si="655"/>
        <v>24077.25894736842</v>
      </c>
      <c r="AD647" s="5">
        <f t="shared" si="655"/>
        <v>24077.25894736842</v>
      </c>
      <c r="AE647" s="5">
        <f t="shared" si="655"/>
        <v>24077.25894736842</v>
      </c>
      <c r="AF647" s="5">
        <f t="shared" si="655"/>
        <v>24077.25894736842</v>
      </c>
      <c r="AG647" s="5">
        <f t="shared" si="655"/>
        <v>24077.25894736842</v>
      </c>
      <c r="AH647" s="5">
        <f t="shared" si="655"/>
        <v>24077.25894736842</v>
      </c>
    </row>
    <row r="648" spans="1:34" x14ac:dyDescent="0.35">
      <c r="A648" t="s">
        <v>668</v>
      </c>
      <c r="B648" s="3" t="s">
        <v>1266</v>
      </c>
      <c r="C648" s="4" t="s">
        <v>1267</v>
      </c>
      <c r="D648" s="2">
        <f t="shared" si="651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ref="W648:AH648" si="656">IF(OR((SLOPE($E648:$V648,$E$1:$V$1)*W$1+INTERCEPT($E648:$V648,$E$1:$V$1))&gt;(AVERAGE($E648:$V648)+_xlfn.STDEV.P($E648:$V648)),(SLOPE($E648:$V648,$E$1:$V$1)*W$1+INTERCEPT($E648:$V648,$E$1:$V$1))&lt;(AVERAGE($E648:$V648)-_xlfn.STDEV.P($E648:$V648))),V648,(SLOPE($E648:$V648,$E$1:$V$1)*W$1+INTERCEPT($E648:$V648,$E$1:$V$1)))</f>
        <v>12696.761477696295</v>
      </c>
      <c r="X648" s="5">
        <f t="shared" si="656"/>
        <v>13516.887219078591</v>
      </c>
      <c r="Y648" s="5">
        <f t="shared" si="656"/>
        <v>14337.012960460888</v>
      </c>
      <c r="Z648" s="5">
        <f t="shared" si="656"/>
        <v>15157.138701843185</v>
      </c>
      <c r="AA648" s="5">
        <f t="shared" si="656"/>
        <v>15977.264443225482</v>
      </c>
      <c r="AB648" s="5">
        <f t="shared" si="656"/>
        <v>16797.390184607779</v>
      </c>
      <c r="AC648" s="5">
        <f t="shared" si="656"/>
        <v>17617.515925990076</v>
      </c>
      <c r="AD648" s="5">
        <f t="shared" si="656"/>
        <v>18437.641667372372</v>
      </c>
      <c r="AE648" s="5">
        <f t="shared" si="656"/>
        <v>19257.767408754666</v>
      </c>
      <c r="AF648" s="5">
        <f t="shared" si="656"/>
        <v>20077.893150136963</v>
      </c>
      <c r="AG648" s="5">
        <f t="shared" si="656"/>
        <v>20898.018891519259</v>
      </c>
      <c r="AH648" s="5">
        <f t="shared" si="656"/>
        <v>21718.144632901556</v>
      </c>
    </row>
    <row r="649" spans="1:34" x14ac:dyDescent="0.35">
      <c r="A649" t="s">
        <v>669</v>
      </c>
      <c r="B649" s="3" t="s">
        <v>1265</v>
      </c>
      <c r="C649" s="4" t="s">
        <v>1263</v>
      </c>
      <c r="D649" s="2">
        <f t="shared" si="651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ref="W649:AH649" si="657">IF(OR((SLOPE($E649:$V649,$E$1:$V$1)*W$1+INTERCEPT($E649:$V649,$E$1:$V$1))&gt;(AVERAGE($E649:$V649)+_xlfn.STDEV.P($E649:$V649)),(SLOPE($E649:$V649,$E$1:$V$1)*W$1+INTERCEPT($E649:$V649,$E$1:$V$1))&lt;(AVERAGE($E649:$V649)-_xlfn.STDEV.P($E649:$V649))),V649,(SLOPE($E649:$V649,$E$1:$V$1)*W$1+INTERCEPT($E649:$V649,$E$1:$V$1)))</f>
        <v>9168.1332316808366</v>
      </c>
      <c r="X649" s="5">
        <f t="shared" si="657"/>
        <v>9618.2999630438208</v>
      </c>
      <c r="Y649" s="5">
        <f t="shared" si="657"/>
        <v>10068.466694406805</v>
      </c>
      <c r="Z649" s="5">
        <f t="shared" si="657"/>
        <v>10518.633425769789</v>
      </c>
      <c r="AA649" s="5">
        <f t="shared" si="657"/>
        <v>10968.800157132773</v>
      </c>
      <c r="AB649" s="5">
        <f t="shared" si="657"/>
        <v>11418.966888495757</v>
      </c>
      <c r="AC649" s="5">
        <f t="shared" si="657"/>
        <v>11869.133619858741</v>
      </c>
      <c r="AD649" s="5">
        <f t="shared" si="657"/>
        <v>11869.133619858741</v>
      </c>
      <c r="AE649" s="5">
        <f t="shared" si="657"/>
        <v>11869.133619858741</v>
      </c>
      <c r="AF649" s="5">
        <f t="shared" si="657"/>
        <v>11869.133619858741</v>
      </c>
      <c r="AG649" s="5">
        <f t="shared" si="657"/>
        <v>11869.133619858741</v>
      </c>
      <c r="AH649" s="5">
        <f t="shared" si="657"/>
        <v>11869.133619858741</v>
      </c>
    </row>
    <row r="650" spans="1:34" x14ac:dyDescent="0.35">
      <c r="A650" t="s">
        <v>670</v>
      </c>
      <c r="B650" s="3" t="s">
        <v>1266</v>
      </c>
      <c r="C650" s="4" t="s">
        <v>1267</v>
      </c>
      <c r="D650" s="2">
        <f t="shared" si="651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ref="W650:AH650" si="658">IF(OR((SLOPE($E650:$V650,$E$1:$V$1)*W$1+INTERCEPT($E650:$V650,$E$1:$V$1))&gt;(AVERAGE($E650:$V650)+_xlfn.STDEV.P($E650:$V650)),(SLOPE($E650:$V650,$E$1:$V$1)*W$1+INTERCEPT($E650:$V650,$E$1:$V$1))&lt;(AVERAGE($E650:$V650)-_xlfn.STDEV.P($E650:$V650))),V650,(SLOPE($E650:$V650,$E$1:$V$1)*W$1+INTERCEPT($E650:$V650,$E$1:$V$1)))</f>
        <v>10453.768395660514</v>
      </c>
      <c r="X650" s="5">
        <f t="shared" si="658"/>
        <v>11039.300301916212</v>
      </c>
      <c r="Y650" s="5">
        <f t="shared" si="658"/>
        <v>11624.832208171907</v>
      </c>
      <c r="Z650" s="5">
        <f t="shared" si="658"/>
        <v>12210.364114427604</v>
      </c>
      <c r="AA650" s="5">
        <f t="shared" si="658"/>
        <v>12795.896020683302</v>
      </c>
      <c r="AB650" s="5">
        <f t="shared" si="658"/>
        <v>13381.427926938997</v>
      </c>
      <c r="AC650" s="5">
        <f t="shared" si="658"/>
        <v>13966.959833194695</v>
      </c>
      <c r="AD650" s="5">
        <f t="shared" si="658"/>
        <v>14552.491739450392</v>
      </c>
      <c r="AE650" s="5">
        <f t="shared" si="658"/>
        <v>15138.023645706089</v>
      </c>
      <c r="AF650" s="5">
        <f t="shared" si="658"/>
        <v>15723.555551961786</v>
      </c>
      <c r="AG650" s="5">
        <f t="shared" si="658"/>
        <v>16309.087458217482</v>
      </c>
      <c r="AH650" s="5">
        <f t="shared" si="658"/>
        <v>16894.619364473176</v>
      </c>
    </row>
    <row r="651" spans="1:34" x14ac:dyDescent="0.35">
      <c r="A651" t="s">
        <v>671</v>
      </c>
      <c r="B651" s="3" t="s">
        <v>1265</v>
      </c>
      <c r="C651" s="4" t="s">
        <v>1263</v>
      </c>
      <c r="D651" s="2">
        <f t="shared" si="651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ref="W651:AH651" si="659">IF(OR((SLOPE($E651:$V651,$E$1:$V$1)*W$1+INTERCEPT($E651:$V651,$E$1:$V$1))&gt;(AVERAGE($E651:$V651)+_xlfn.STDEV.P($E651:$V651)),(SLOPE($E651:$V651,$E$1:$V$1)*W$1+INTERCEPT($E651:$V651,$E$1:$V$1))&lt;(AVERAGE($E651:$V651)-_xlfn.STDEV.P($E651:$V651))),V651,(SLOPE($E651:$V651,$E$1:$V$1)*W$1+INTERCEPT($E651:$V651,$E$1:$V$1)))</f>
        <v>2221.4267339853332</v>
      </c>
      <c r="X651" s="5">
        <f t="shared" si="659"/>
        <v>1940.7430940446748</v>
      </c>
      <c r="Y651" s="5">
        <f t="shared" si="659"/>
        <v>1660.0594541040173</v>
      </c>
      <c r="Z651" s="5">
        <f t="shared" si="659"/>
        <v>1379.3758141633589</v>
      </c>
      <c r="AA651" s="5">
        <f t="shared" si="659"/>
        <v>1098.6921742227014</v>
      </c>
      <c r="AB651" s="5">
        <f t="shared" si="659"/>
        <v>818.00853428204391</v>
      </c>
      <c r="AC651" s="5">
        <f t="shared" si="659"/>
        <v>537.32489434138552</v>
      </c>
      <c r="AD651" s="5">
        <f t="shared" si="659"/>
        <v>256.64125440072803</v>
      </c>
      <c r="AE651" s="5">
        <f t="shared" si="659"/>
        <v>-24.042385539930365</v>
      </c>
      <c r="AF651" s="5">
        <f t="shared" si="659"/>
        <v>-304.72602548058785</v>
      </c>
      <c r="AG651" s="5">
        <f t="shared" si="659"/>
        <v>-585.40966542124625</v>
      </c>
      <c r="AH651" s="5">
        <f t="shared" si="659"/>
        <v>-866.09330536190464</v>
      </c>
    </row>
    <row r="652" spans="1:34" x14ac:dyDescent="0.35">
      <c r="A652" t="s">
        <v>672</v>
      </c>
      <c r="B652" s="3" t="s">
        <v>1264</v>
      </c>
      <c r="C652" s="4" t="s">
        <v>1263</v>
      </c>
      <c r="D652" s="2">
        <f t="shared" si="651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ref="W652:AH652" si="660">IF(OR((SLOPE($E652:$V652,$E$1:$V$1)*W$1+INTERCEPT($E652:$V652,$E$1:$V$1))&gt;(AVERAGE($E652:$V652)+_xlfn.STDEV.P($E652:$V652)),(SLOPE($E652:$V652,$E$1:$V$1)*W$1+INTERCEPT($E652:$V652,$E$1:$V$1))&lt;(AVERAGE($E652:$V652)-_xlfn.STDEV.P($E652:$V652))),V652,(SLOPE($E652:$V652,$E$1:$V$1)*W$1+INTERCEPT($E652:$V652,$E$1:$V$1)))</f>
        <v>10352.277789992169</v>
      </c>
      <c r="X652" s="5">
        <f t="shared" si="660"/>
        <v>10927.60992193803</v>
      </c>
      <c r="Y652" s="5">
        <f t="shared" si="660"/>
        <v>11502.942053883891</v>
      </c>
      <c r="Z652" s="5">
        <f t="shared" si="660"/>
        <v>12078.274185829752</v>
      </c>
      <c r="AA652" s="5">
        <f t="shared" si="660"/>
        <v>12078.274185829752</v>
      </c>
      <c r="AB652" s="5">
        <f t="shared" si="660"/>
        <v>12078.274185829752</v>
      </c>
      <c r="AC652" s="5">
        <f t="shared" si="660"/>
        <v>12078.274185829752</v>
      </c>
      <c r="AD652" s="5">
        <f t="shared" si="660"/>
        <v>12078.274185829752</v>
      </c>
      <c r="AE652" s="5">
        <f t="shared" si="660"/>
        <v>12078.274185829752</v>
      </c>
      <c r="AF652" s="5">
        <f t="shared" si="660"/>
        <v>12078.274185829752</v>
      </c>
      <c r="AG652" s="5">
        <f t="shared" si="660"/>
        <v>12078.274185829752</v>
      </c>
      <c r="AH652" s="5">
        <f t="shared" si="660"/>
        <v>12078.274185829752</v>
      </c>
    </row>
    <row r="653" spans="1:34" x14ac:dyDescent="0.35">
      <c r="A653" t="s">
        <v>673</v>
      </c>
      <c r="B653" s="3" t="s">
        <v>1265</v>
      </c>
      <c r="C653" s="4" t="s">
        <v>1263</v>
      </c>
      <c r="D653" s="2">
        <f t="shared" si="651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ref="W653:AH653" si="661">IF(OR((SLOPE($E653:$V653,$E$1:$V$1)*W$1+INTERCEPT($E653:$V653,$E$1:$V$1))&gt;(AVERAGE($E653:$V653)+_xlfn.STDEV.P($E653:$V653)),(SLOPE($E653:$V653,$E$1:$V$1)*W$1+INTERCEPT($E653:$V653,$E$1:$V$1))&lt;(AVERAGE($E653:$V653)-_xlfn.STDEV.P($E653:$V653))),V653,(SLOPE($E653:$V653,$E$1:$V$1)*W$1+INTERCEPT($E653:$V653,$E$1:$V$1)))</f>
        <v>2969.4333071895417</v>
      </c>
      <c r="X653" s="5">
        <f t="shared" si="661"/>
        <v>2769.8817629170958</v>
      </c>
      <c r="Y653" s="5">
        <f t="shared" si="661"/>
        <v>2570.3302186446499</v>
      </c>
      <c r="Z653" s="5">
        <f t="shared" si="661"/>
        <v>2370.7786743722045</v>
      </c>
      <c r="AA653" s="5">
        <f t="shared" si="661"/>
        <v>2171.2271300997581</v>
      </c>
      <c r="AB653" s="5">
        <f t="shared" si="661"/>
        <v>1971.6755858273127</v>
      </c>
      <c r="AC653" s="5">
        <f t="shared" si="661"/>
        <v>1772.1240415548673</v>
      </c>
      <c r="AD653" s="5">
        <f t="shared" si="661"/>
        <v>1572.572497282421</v>
      </c>
      <c r="AE653" s="5">
        <f t="shared" si="661"/>
        <v>1373.0209530099755</v>
      </c>
      <c r="AF653" s="5">
        <f t="shared" si="661"/>
        <v>1173.4694087375301</v>
      </c>
      <c r="AG653" s="5">
        <f t="shared" si="661"/>
        <v>973.91786446508377</v>
      </c>
      <c r="AH653" s="5">
        <f t="shared" si="661"/>
        <v>774.36632019263834</v>
      </c>
    </row>
    <row r="654" spans="1:34" x14ac:dyDescent="0.35">
      <c r="A654" t="s">
        <v>674</v>
      </c>
      <c r="B654" s="3" t="s">
        <v>1265</v>
      </c>
      <c r="C654" s="4" t="s">
        <v>1263</v>
      </c>
      <c r="D654" s="2">
        <f t="shared" si="651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ref="W654:AH654" si="662">IF(OR((SLOPE($E654:$V654,$E$1:$V$1)*W$1+INTERCEPT($E654:$V654,$E$1:$V$1))&gt;(AVERAGE($E654:$V654)+_xlfn.STDEV.P($E654:$V654)),(SLOPE($E654:$V654,$E$1:$V$1)*W$1+INTERCEPT($E654:$V654,$E$1:$V$1))&lt;(AVERAGE($E654:$V654)-_xlfn.STDEV.P($E654:$V654))),V654,(SLOPE($E654:$V654,$E$1:$V$1)*W$1+INTERCEPT($E654:$V654,$E$1:$V$1)))</f>
        <v>2100.7942011700225</v>
      </c>
      <c r="X654" s="5">
        <f t="shared" si="662"/>
        <v>1814.8300550988151</v>
      </c>
      <c r="Y654" s="5">
        <f t="shared" si="662"/>
        <v>1528.8659090276069</v>
      </c>
      <c r="Z654" s="5">
        <f t="shared" si="662"/>
        <v>1242.9017629563996</v>
      </c>
      <c r="AA654" s="5">
        <f t="shared" si="662"/>
        <v>956.93761688519226</v>
      </c>
      <c r="AB654" s="5">
        <f t="shared" si="662"/>
        <v>670.97347081398402</v>
      </c>
      <c r="AC654" s="5">
        <f t="shared" si="662"/>
        <v>385.0093247427767</v>
      </c>
      <c r="AD654" s="5">
        <f t="shared" si="662"/>
        <v>99.045178671569374</v>
      </c>
      <c r="AE654" s="5">
        <f t="shared" si="662"/>
        <v>-186.91896739963795</v>
      </c>
      <c r="AF654" s="5">
        <f t="shared" si="662"/>
        <v>-472.88311347084618</v>
      </c>
      <c r="AG654" s="5">
        <f t="shared" si="662"/>
        <v>-758.84725954205351</v>
      </c>
      <c r="AH654" s="5">
        <f t="shared" si="662"/>
        <v>-1044.8114056132617</v>
      </c>
    </row>
    <row r="655" spans="1:34" x14ac:dyDescent="0.35">
      <c r="A655" t="s">
        <v>675</v>
      </c>
      <c r="B655" s="3" t="s">
        <v>1266</v>
      </c>
      <c r="C655" s="4" t="s">
        <v>1266</v>
      </c>
      <c r="D655" s="2">
        <f t="shared" si="651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ref="W655:AH655" si="663">IF(OR((SLOPE($E655:$V655,$E$1:$V$1)*W$1+INTERCEPT($E655:$V655,$E$1:$V$1))&gt;(AVERAGE($E655:$V655)+_xlfn.STDEV.P($E655:$V655)),(SLOPE($E655:$V655,$E$1:$V$1)*W$1+INTERCEPT($E655:$V655,$E$1:$V$1))&lt;(AVERAGE($E655:$V655)-_xlfn.STDEV.P($E655:$V655))),V655,(SLOPE($E655:$V655,$E$1:$V$1)*W$1+INTERCEPT($E655:$V655,$E$1:$V$1)))</f>
        <v>7356.1640808328748</v>
      </c>
      <c r="X655" s="5">
        <f t="shared" si="663"/>
        <v>7624.2024481506714</v>
      </c>
      <c r="Y655" s="5">
        <f t="shared" si="663"/>
        <v>7892.2408154684681</v>
      </c>
      <c r="Z655" s="5">
        <f t="shared" si="663"/>
        <v>8160.2791827862657</v>
      </c>
      <c r="AA655" s="5">
        <f t="shared" si="663"/>
        <v>8428.3175501040641</v>
      </c>
      <c r="AB655" s="5">
        <f t="shared" si="663"/>
        <v>8696.3559174218608</v>
      </c>
      <c r="AC655" s="5">
        <f t="shared" si="663"/>
        <v>8964.3942847396575</v>
      </c>
      <c r="AD655" s="5">
        <f t="shared" si="663"/>
        <v>9232.4326520574541</v>
      </c>
      <c r="AE655" s="5">
        <f t="shared" si="663"/>
        <v>9500.4710193752508</v>
      </c>
      <c r="AF655" s="5">
        <f t="shared" si="663"/>
        <v>9768.5093866930474</v>
      </c>
      <c r="AG655" s="5">
        <f t="shared" si="663"/>
        <v>10036.547754010844</v>
      </c>
      <c r="AH655" s="5">
        <f t="shared" si="663"/>
        <v>10304.586121328643</v>
      </c>
    </row>
    <row r="656" spans="1:34" x14ac:dyDescent="0.35">
      <c r="A656" t="s">
        <v>676</v>
      </c>
      <c r="B656" s="3" t="s">
        <v>1262</v>
      </c>
      <c r="C656" s="4" t="s">
        <v>1263</v>
      </c>
      <c r="D656" s="2">
        <f t="shared" si="651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ref="W656:AH656" si="664">IF(OR((SLOPE($E656:$V656,$E$1:$V$1)*W$1+INTERCEPT($E656:$V656,$E$1:$V$1))&gt;(AVERAGE($E656:$V656)+_xlfn.STDEV.P($E656:$V656)),(SLOPE($E656:$V656,$E$1:$V$1)*W$1+INTERCEPT($E656:$V656,$E$1:$V$1))&lt;(AVERAGE($E656:$V656)-_xlfn.STDEV.P($E656:$V656))),V656,(SLOPE($E656:$V656,$E$1:$V$1)*W$1+INTERCEPT($E656:$V656,$E$1:$V$1)))</f>
        <v>15817.319905882352</v>
      </c>
      <c r="X656" s="5">
        <f t="shared" si="664"/>
        <v>16976.860274922597</v>
      </c>
      <c r="Y656" s="5">
        <f t="shared" si="664"/>
        <v>18136.400643962847</v>
      </c>
      <c r="Z656" s="5">
        <f t="shared" si="664"/>
        <v>19295.941013003092</v>
      </c>
      <c r="AA656" s="5">
        <f t="shared" si="664"/>
        <v>20455.481382043341</v>
      </c>
      <c r="AB656" s="5">
        <f t="shared" si="664"/>
        <v>21615.02175108359</v>
      </c>
      <c r="AC656" s="5">
        <f t="shared" si="664"/>
        <v>22774.562120123835</v>
      </c>
      <c r="AD656" s="5">
        <f t="shared" si="664"/>
        <v>23934.102489164085</v>
      </c>
      <c r="AE656" s="5">
        <f t="shared" si="664"/>
        <v>23934.102489164085</v>
      </c>
      <c r="AF656" s="5">
        <f t="shared" si="664"/>
        <v>23934.102489164085</v>
      </c>
      <c r="AG656" s="5">
        <f t="shared" si="664"/>
        <v>23934.102489164085</v>
      </c>
      <c r="AH656" s="5">
        <f t="shared" si="664"/>
        <v>23934.102489164085</v>
      </c>
    </row>
    <row r="657" spans="1:34" x14ac:dyDescent="0.35">
      <c r="A657" t="s">
        <v>677</v>
      </c>
      <c r="B657" s="3" t="s">
        <v>1264</v>
      </c>
      <c r="C657" s="4" t="s">
        <v>1267</v>
      </c>
      <c r="D657" s="2">
        <f t="shared" si="651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ref="W657:AH657" si="665">IF(OR((SLOPE($E657:$V657,$E$1:$V$1)*W$1+INTERCEPT($E657:$V657,$E$1:$V$1))&gt;(AVERAGE($E657:$V657)+_xlfn.STDEV.P($E657:$V657)),(SLOPE($E657:$V657,$E$1:$V$1)*W$1+INTERCEPT($E657:$V657,$E$1:$V$1))&lt;(AVERAGE($E657:$V657)-_xlfn.STDEV.P($E657:$V657))),V657,(SLOPE($E657:$V657,$E$1:$V$1)*W$1+INTERCEPT($E657:$V657,$E$1:$V$1)))</f>
        <v>16012.772277554981</v>
      </c>
      <c r="X657" s="5">
        <f t="shared" si="665"/>
        <v>17196.035018092836</v>
      </c>
      <c r="Y657" s="5">
        <f t="shared" si="665"/>
        <v>18379.297758630695</v>
      </c>
      <c r="Z657" s="5">
        <f t="shared" si="665"/>
        <v>19562.560499168554</v>
      </c>
      <c r="AA657" s="5">
        <f t="shared" si="665"/>
        <v>20745.823239706409</v>
      </c>
      <c r="AB657" s="5">
        <f t="shared" si="665"/>
        <v>20745.823239706409</v>
      </c>
      <c r="AC657" s="5">
        <f t="shared" si="665"/>
        <v>20745.823239706409</v>
      </c>
      <c r="AD657" s="5">
        <f t="shared" si="665"/>
        <v>20745.823239706409</v>
      </c>
      <c r="AE657" s="5">
        <f t="shared" si="665"/>
        <v>20745.823239706409</v>
      </c>
      <c r="AF657" s="5">
        <f t="shared" si="665"/>
        <v>20745.823239706409</v>
      </c>
      <c r="AG657" s="5">
        <f t="shared" si="665"/>
        <v>20745.823239706409</v>
      </c>
      <c r="AH657" s="5">
        <f t="shared" si="665"/>
        <v>20745.823239706409</v>
      </c>
    </row>
    <row r="658" spans="1:34" x14ac:dyDescent="0.35">
      <c r="A658" t="s">
        <v>678</v>
      </c>
      <c r="B658" s="3" t="s">
        <v>1266</v>
      </c>
      <c r="C658" s="4" t="s">
        <v>1266</v>
      </c>
      <c r="D658" s="2">
        <f t="shared" si="651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ref="W658:AH658" si="666">IF(OR((SLOPE($E658:$V658,$E$1:$V$1)*W$1+INTERCEPT($E658:$V658,$E$1:$V$1))&gt;(AVERAGE($E658:$V658)+_xlfn.STDEV.P($E658:$V658)),(SLOPE($E658:$V658,$E$1:$V$1)*W$1+INTERCEPT($E658:$V658,$E$1:$V$1))&lt;(AVERAGE($E658:$V658)-_xlfn.STDEV.P($E658:$V658))),V658,(SLOPE($E658:$V658,$E$1:$V$1)*W$1+INTERCEPT($E658:$V658,$E$1:$V$1)))</f>
        <v>8905.9858135029626</v>
      </c>
      <c r="X658" s="5">
        <f t="shared" si="666"/>
        <v>9345.4259029850164</v>
      </c>
      <c r="Y658" s="5">
        <f t="shared" si="666"/>
        <v>9784.8659924670701</v>
      </c>
      <c r="Z658" s="5">
        <f t="shared" si="666"/>
        <v>10224.306081949124</v>
      </c>
      <c r="AA658" s="5">
        <f t="shared" si="666"/>
        <v>10663.746171431178</v>
      </c>
      <c r="AB658" s="5">
        <f t="shared" si="666"/>
        <v>11103.186260913231</v>
      </c>
      <c r="AC658" s="5">
        <f t="shared" si="666"/>
        <v>11542.626350395287</v>
      </c>
      <c r="AD658" s="5">
        <f t="shared" si="666"/>
        <v>11982.066439877341</v>
      </c>
      <c r="AE658" s="5">
        <f t="shared" si="666"/>
        <v>12421.506529359394</v>
      </c>
      <c r="AF658" s="5">
        <f t="shared" si="666"/>
        <v>12860.946618841448</v>
      </c>
      <c r="AG658" s="5">
        <f t="shared" si="666"/>
        <v>13300.386708323502</v>
      </c>
      <c r="AH658" s="5">
        <f t="shared" si="666"/>
        <v>13739.826797805557</v>
      </c>
    </row>
    <row r="659" spans="1:34" x14ac:dyDescent="0.35">
      <c r="A659" t="s">
        <v>679</v>
      </c>
      <c r="B659" s="3" t="s">
        <v>1264</v>
      </c>
      <c r="C659" s="4" t="s">
        <v>1263</v>
      </c>
      <c r="D659" s="2">
        <f t="shared" si="651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ref="W659:AH659" si="667">IF(OR((SLOPE($E659:$V659,$E$1:$V$1)*W$1+INTERCEPT($E659:$V659,$E$1:$V$1))&gt;(AVERAGE($E659:$V659)+_xlfn.STDEV.P($E659:$V659)),(SLOPE($E659:$V659,$E$1:$V$1)*W$1+INTERCEPT($E659:$V659,$E$1:$V$1))&lt;(AVERAGE($E659:$V659)-_xlfn.STDEV.P($E659:$V659))),V659,(SLOPE($E659:$V659,$E$1:$V$1)*W$1+INTERCEPT($E659:$V659,$E$1:$V$1)))</f>
        <v>5774.6455470716774</v>
      </c>
      <c r="X659" s="5">
        <f t="shared" si="667"/>
        <v>5884.9432022019819</v>
      </c>
      <c r="Y659" s="5">
        <f t="shared" si="667"/>
        <v>5995.2408573322855</v>
      </c>
      <c r="Z659" s="5">
        <f t="shared" si="667"/>
        <v>6105.53851246259</v>
      </c>
      <c r="AA659" s="5">
        <f t="shared" si="667"/>
        <v>6215.8361675928936</v>
      </c>
      <c r="AB659" s="5">
        <f t="shared" si="667"/>
        <v>6326.1338227231972</v>
      </c>
      <c r="AC659" s="5">
        <f t="shared" si="667"/>
        <v>6436.4314778535017</v>
      </c>
      <c r="AD659" s="5">
        <f t="shared" si="667"/>
        <v>6546.7291329838054</v>
      </c>
      <c r="AE659" s="5">
        <f t="shared" si="667"/>
        <v>6657.0267881141099</v>
      </c>
      <c r="AF659" s="5">
        <f t="shared" si="667"/>
        <v>6767.3244432444135</v>
      </c>
      <c r="AG659" s="5">
        <f t="shared" si="667"/>
        <v>6877.6220983747171</v>
      </c>
      <c r="AH659" s="5">
        <f t="shared" si="667"/>
        <v>6987.9197535050207</v>
      </c>
    </row>
    <row r="660" spans="1:34" x14ac:dyDescent="0.35">
      <c r="A660" t="s">
        <v>680</v>
      </c>
      <c r="B660" s="3" t="s">
        <v>1266</v>
      </c>
      <c r="C660" s="4" t="s">
        <v>1267</v>
      </c>
      <c r="D660" s="2">
        <f t="shared" si="651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ref="W660:AH660" si="668">IF(OR((SLOPE($E660:$V660,$E$1:$V$1)*W$1+INTERCEPT($E660:$V660,$E$1:$V$1))&gt;(AVERAGE($E660:$V660)+_xlfn.STDEV.P($E660:$V660)),(SLOPE($E660:$V660,$E$1:$V$1)*W$1+INTERCEPT($E660:$V660,$E$1:$V$1))&lt;(AVERAGE($E660:$V660)-_xlfn.STDEV.P($E660:$V660))),V660,(SLOPE($E660:$V660,$E$1:$V$1)*W$1+INTERCEPT($E660:$V660,$E$1:$V$1)))</f>
        <v>0</v>
      </c>
      <c r="X660" s="5">
        <f t="shared" si="668"/>
        <v>0</v>
      </c>
      <c r="Y660" s="5">
        <f t="shared" si="668"/>
        <v>0</v>
      </c>
      <c r="Z660" s="5">
        <f t="shared" si="668"/>
        <v>0</v>
      </c>
      <c r="AA660" s="5">
        <f t="shared" si="668"/>
        <v>0</v>
      </c>
      <c r="AB660" s="5">
        <f t="shared" si="668"/>
        <v>0</v>
      </c>
      <c r="AC660" s="5">
        <f t="shared" si="668"/>
        <v>0</v>
      </c>
      <c r="AD660" s="5">
        <f t="shared" si="668"/>
        <v>0</v>
      </c>
      <c r="AE660" s="5">
        <f t="shared" si="668"/>
        <v>0</v>
      </c>
      <c r="AF660" s="5">
        <f t="shared" si="668"/>
        <v>0</v>
      </c>
      <c r="AG660" s="5">
        <f t="shared" si="668"/>
        <v>0</v>
      </c>
      <c r="AH660" s="5">
        <f t="shared" si="668"/>
        <v>0</v>
      </c>
    </row>
    <row r="661" spans="1:34" x14ac:dyDescent="0.35">
      <c r="A661" t="s">
        <v>681</v>
      </c>
      <c r="B661" s="3" t="s">
        <v>1266</v>
      </c>
      <c r="C661" s="4" t="s">
        <v>1263</v>
      </c>
      <c r="D661" s="2">
        <f t="shared" si="651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H661" si="669">IF(OR((SLOPE($E661:$V661,$E$1:$V$1)*W$1+INTERCEPT($E661:$V661,$E$1:$V$1))&gt;(AVERAGE($E661:$V661)+_xlfn.STDEV.P($E661:$V661)),(SLOPE($E661:$V661,$E$1:$V$1)*W$1+INTERCEPT($E661:$V661,$E$1:$V$1))&lt;(AVERAGE($E661:$V661)-_xlfn.STDEV.P($E661:$V661))),V661,(SLOPE($E661:$V661,$E$1:$V$1)*W$1+INTERCEPT($E661:$V661,$E$1:$V$1)))</f>
        <v>4890.8114727458778</v>
      </c>
      <c r="X661" s="5">
        <f t="shared" si="669"/>
        <v>4915.1066021851257</v>
      </c>
      <c r="Y661" s="5">
        <f t="shared" si="669"/>
        <v>4939.4017316243726</v>
      </c>
      <c r="Z661" s="5">
        <f t="shared" si="669"/>
        <v>4963.6968610636204</v>
      </c>
      <c r="AA661" s="5">
        <f t="shared" si="669"/>
        <v>4987.9919905028673</v>
      </c>
      <c r="AB661" s="5">
        <f t="shared" si="669"/>
        <v>5012.2871199421152</v>
      </c>
      <c r="AC661" s="5">
        <f t="shared" si="669"/>
        <v>5036.5822493813621</v>
      </c>
      <c r="AD661" s="5">
        <f t="shared" si="669"/>
        <v>5060.8773788206099</v>
      </c>
      <c r="AE661" s="5">
        <f t="shared" si="669"/>
        <v>5085.1725082598568</v>
      </c>
      <c r="AF661" s="5">
        <f t="shared" si="669"/>
        <v>5109.4676376991047</v>
      </c>
      <c r="AG661" s="5">
        <f t="shared" si="669"/>
        <v>5133.7627671383516</v>
      </c>
      <c r="AH661" s="5">
        <f t="shared" si="669"/>
        <v>5158.0578965775994</v>
      </c>
    </row>
    <row r="662" spans="1:34" x14ac:dyDescent="0.35">
      <c r="A662" t="s">
        <v>682</v>
      </c>
      <c r="B662" s="3" t="s">
        <v>1265</v>
      </c>
      <c r="C662" s="4" t="s">
        <v>1263</v>
      </c>
      <c r="D662" s="2">
        <f t="shared" si="651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ref="W662:AH662" si="670">IF(OR((SLOPE($E662:$V662,$E$1:$V$1)*W$1+INTERCEPT($E662:$V662,$E$1:$V$1))&gt;(AVERAGE($E662:$V662)+_xlfn.STDEV.P($E662:$V662)),(SLOPE($E662:$V662,$E$1:$V$1)*W$1+INTERCEPT($E662:$V662,$E$1:$V$1))&lt;(AVERAGE($E662:$V662)-_xlfn.STDEV.P($E662:$V662))),V662,(SLOPE($E662:$V662,$E$1:$V$1)*W$1+INTERCEPT($E662:$V662,$E$1:$V$1)))</f>
        <v>10310.080370936827</v>
      </c>
      <c r="X662" s="5">
        <f t="shared" si="670"/>
        <v>10310.080370936827</v>
      </c>
      <c r="Y662" s="5">
        <f t="shared" si="670"/>
        <v>10310.080370936827</v>
      </c>
      <c r="Z662" s="5">
        <f t="shared" si="670"/>
        <v>10310.080370936827</v>
      </c>
      <c r="AA662" s="5">
        <f t="shared" si="670"/>
        <v>10310.080370936827</v>
      </c>
      <c r="AB662" s="5">
        <f t="shared" si="670"/>
        <v>10310.080370936827</v>
      </c>
      <c r="AC662" s="5">
        <f t="shared" si="670"/>
        <v>10310.080370936827</v>
      </c>
      <c r="AD662" s="5">
        <f t="shared" si="670"/>
        <v>10310.080370936827</v>
      </c>
      <c r="AE662" s="5">
        <f t="shared" si="670"/>
        <v>10310.080370936827</v>
      </c>
      <c r="AF662" s="5">
        <f t="shared" si="670"/>
        <v>10310.080370936827</v>
      </c>
      <c r="AG662" s="5">
        <f t="shared" si="670"/>
        <v>10310.080370936827</v>
      </c>
      <c r="AH662" s="5">
        <f t="shared" si="670"/>
        <v>10310.080370936827</v>
      </c>
    </row>
    <row r="663" spans="1:34" x14ac:dyDescent="0.35">
      <c r="A663" t="s">
        <v>683</v>
      </c>
      <c r="B663" s="3" t="s">
        <v>1266</v>
      </c>
      <c r="C663" s="4" t="s">
        <v>1266</v>
      </c>
      <c r="D663" s="2">
        <f t="shared" si="651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ref="W663:AH663" si="671">IF(OR((SLOPE($E663:$V663,$E$1:$V$1)*W$1+INTERCEPT($E663:$V663,$E$1:$V$1))&gt;(AVERAGE($E663:$V663)+_xlfn.STDEV.P($E663:$V663)),(SLOPE($E663:$V663,$E$1:$V$1)*W$1+INTERCEPT($E663:$V663,$E$1:$V$1))&lt;(AVERAGE($E663:$V663)-_xlfn.STDEV.P($E663:$V663))),V663,(SLOPE($E663:$V663,$E$1:$V$1)*W$1+INTERCEPT($E663:$V663,$E$1:$V$1)))</f>
        <v>11318.577629597097</v>
      </c>
      <c r="X663" s="5">
        <f t="shared" si="671"/>
        <v>12021.302073492127</v>
      </c>
      <c r="Y663" s="5">
        <f t="shared" si="671"/>
        <v>12724.026517387159</v>
      </c>
      <c r="Z663" s="5">
        <f t="shared" si="671"/>
        <v>13426.750961282189</v>
      </c>
      <c r="AA663" s="5">
        <f t="shared" si="671"/>
        <v>14129.475405177218</v>
      </c>
      <c r="AB663" s="5">
        <f t="shared" si="671"/>
        <v>14832.199849072251</v>
      </c>
      <c r="AC663" s="5">
        <f t="shared" si="671"/>
        <v>14832.199849072251</v>
      </c>
      <c r="AD663" s="5">
        <f t="shared" si="671"/>
        <v>14832.199849072251</v>
      </c>
      <c r="AE663" s="5">
        <f t="shared" si="671"/>
        <v>14832.199849072251</v>
      </c>
      <c r="AF663" s="5">
        <f t="shared" si="671"/>
        <v>14832.199849072251</v>
      </c>
      <c r="AG663" s="5">
        <f t="shared" si="671"/>
        <v>14832.199849072251</v>
      </c>
      <c r="AH663" s="5">
        <f t="shared" si="671"/>
        <v>14832.199849072251</v>
      </c>
    </row>
    <row r="664" spans="1:34" x14ac:dyDescent="0.35">
      <c r="A664" t="s">
        <v>684</v>
      </c>
      <c r="B664" s="3" t="s">
        <v>1266</v>
      </c>
      <c r="C664" s="4" t="s">
        <v>1263</v>
      </c>
      <c r="D664" s="2">
        <f t="shared" si="651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ref="W664:AH664" si="672">IF(OR((SLOPE($E664:$V664,$E$1:$V$1)*W$1+INTERCEPT($E664:$V664,$E$1:$V$1))&gt;(AVERAGE($E664:$V664)+_xlfn.STDEV.P($E664:$V664)),(SLOPE($E664:$V664,$E$1:$V$1)*W$1+INTERCEPT($E664:$V664,$E$1:$V$1))&lt;(AVERAGE($E664:$V664)-_xlfn.STDEV.P($E664:$V664))),V664,(SLOPE($E664:$V664,$E$1:$V$1)*W$1+INTERCEPT($E664:$V664,$E$1:$V$1)))</f>
        <v>10010.820575158888</v>
      </c>
      <c r="X664" s="5">
        <f t="shared" si="672"/>
        <v>10577.447207476162</v>
      </c>
      <c r="Y664" s="5">
        <f t="shared" si="672"/>
        <v>11144.073839793435</v>
      </c>
      <c r="Z664" s="5">
        <f t="shared" si="672"/>
        <v>11710.700472110708</v>
      </c>
      <c r="AA664" s="5">
        <f t="shared" si="672"/>
        <v>12277.327104427981</v>
      </c>
      <c r="AB664" s="5">
        <f t="shared" si="672"/>
        <v>12843.953736745254</v>
      </c>
      <c r="AC664" s="5">
        <f t="shared" si="672"/>
        <v>12843.953736745254</v>
      </c>
      <c r="AD664" s="5">
        <f t="shared" si="672"/>
        <v>12843.953736745254</v>
      </c>
      <c r="AE664" s="5">
        <f t="shared" si="672"/>
        <v>12843.953736745254</v>
      </c>
      <c r="AF664" s="5">
        <f t="shared" si="672"/>
        <v>12843.953736745254</v>
      </c>
      <c r="AG664" s="5">
        <f t="shared" si="672"/>
        <v>12843.953736745254</v>
      </c>
      <c r="AH664" s="5">
        <f t="shared" si="672"/>
        <v>12843.953736745254</v>
      </c>
    </row>
    <row r="665" spans="1:34" x14ac:dyDescent="0.35">
      <c r="A665" t="s">
        <v>685</v>
      </c>
      <c r="B665" s="3" t="s">
        <v>1264</v>
      </c>
      <c r="C665" s="4" t="s">
        <v>1263</v>
      </c>
      <c r="D665" s="2">
        <f t="shared" si="651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ref="W665:AH665" si="673">IF(OR((SLOPE($E665:$V665,$E$1:$V$1)*W$1+INTERCEPT($E665:$V665,$E$1:$V$1))&gt;(AVERAGE($E665:$V665)+_xlfn.STDEV.P($E665:$V665)),(SLOPE($E665:$V665,$E$1:$V$1)*W$1+INTERCEPT($E665:$V665,$E$1:$V$1))&lt;(AVERAGE($E665:$V665)-_xlfn.STDEV.P($E665:$V665))),V665,(SLOPE($E665:$V665,$E$1:$V$1)*W$1+INTERCEPT($E665:$V665,$E$1:$V$1)))</f>
        <v>5780.9310954248358</v>
      </c>
      <c r="X665" s="5">
        <f t="shared" si="673"/>
        <v>5918.4571148262803</v>
      </c>
      <c r="Y665" s="5">
        <f t="shared" si="673"/>
        <v>6055.9831342277257</v>
      </c>
      <c r="Z665" s="5">
        <f t="shared" si="673"/>
        <v>6193.5091536291702</v>
      </c>
      <c r="AA665" s="5">
        <f t="shared" si="673"/>
        <v>6331.0351730306156</v>
      </c>
      <c r="AB665" s="5">
        <f t="shared" si="673"/>
        <v>6468.5611924320601</v>
      </c>
      <c r="AC665" s="5">
        <f t="shared" si="673"/>
        <v>6606.0872118335046</v>
      </c>
      <c r="AD665" s="5">
        <f t="shared" si="673"/>
        <v>6743.6132312349491</v>
      </c>
      <c r="AE665" s="5">
        <f t="shared" si="673"/>
        <v>6881.1392506363936</v>
      </c>
      <c r="AF665" s="5">
        <f t="shared" si="673"/>
        <v>7018.665270037839</v>
      </c>
      <c r="AG665" s="5">
        <f t="shared" si="673"/>
        <v>7018.665270037839</v>
      </c>
      <c r="AH665" s="5">
        <f t="shared" si="673"/>
        <v>7018.665270037839</v>
      </c>
    </row>
    <row r="666" spans="1:34" x14ac:dyDescent="0.35">
      <c r="A666" t="s">
        <v>686</v>
      </c>
      <c r="B666" s="3" t="s">
        <v>1264</v>
      </c>
      <c r="C666" s="4" t="s">
        <v>1263</v>
      </c>
      <c r="D666" s="2">
        <f t="shared" si="651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ref="W666:AH666" si="674">IF(OR((SLOPE($E666:$V666,$E$1:$V$1)*W$1+INTERCEPT($E666:$V666,$E$1:$V$1))&gt;(AVERAGE($E666:$V666)+_xlfn.STDEV.P($E666:$V666)),(SLOPE($E666:$V666,$E$1:$V$1)*W$1+INTERCEPT($E666:$V666,$E$1:$V$1))&lt;(AVERAGE($E666:$V666)-_xlfn.STDEV.P($E666:$V666))),V666,(SLOPE($E666:$V666,$E$1:$V$1)*W$1+INTERCEPT($E666:$V666,$E$1:$V$1)))</f>
        <v>4525.690884607212</v>
      </c>
      <c r="X666" s="5">
        <f t="shared" si="674"/>
        <v>4520.8900527124588</v>
      </c>
      <c r="Y666" s="5">
        <f t="shared" si="674"/>
        <v>4516.0892208177056</v>
      </c>
      <c r="Z666" s="5">
        <f t="shared" si="674"/>
        <v>4511.2883889229524</v>
      </c>
      <c r="AA666" s="5">
        <f t="shared" si="674"/>
        <v>4506.4875570281993</v>
      </c>
      <c r="AB666" s="5">
        <f t="shared" si="674"/>
        <v>4501.6867251334461</v>
      </c>
      <c r="AC666" s="5">
        <f t="shared" si="674"/>
        <v>4496.8858932386929</v>
      </c>
      <c r="AD666" s="5">
        <f t="shared" si="674"/>
        <v>4492.0850613439397</v>
      </c>
      <c r="AE666" s="5">
        <f t="shared" si="674"/>
        <v>4487.2842294491866</v>
      </c>
      <c r="AF666" s="5">
        <f t="shared" si="674"/>
        <v>4482.4833975544334</v>
      </c>
      <c r="AG666" s="5">
        <f t="shared" si="674"/>
        <v>4477.6825656596793</v>
      </c>
      <c r="AH666" s="5">
        <f t="shared" si="674"/>
        <v>4472.8817337649261</v>
      </c>
    </row>
    <row r="667" spans="1:34" x14ac:dyDescent="0.35">
      <c r="A667" t="s">
        <v>687</v>
      </c>
      <c r="B667" s="3" t="s">
        <v>1266</v>
      </c>
      <c r="C667" s="4" t="s">
        <v>1263</v>
      </c>
      <c r="D667" s="2">
        <f t="shared" si="651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ref="W667:AH667" si="675">IF(OR((SLOPE($E667:$V667,$E$1:$V$1)*W$1+INTERCEPT($E667:$V667,$E$1:$V$1))&gt;(AVERAGE($E667:$V667)+_xlfn.STDEV.P($E667:$V667)),(SLOPE($E667:$V667,$E$1:$V$1)*W$1+INTERCEPT($E667:$V667,$E$1:$V$1))&lt;(AVERAGE($E667:$V667)-_xlfn.STDEV.P($E667:$V667))),V667,(SLOPE($E667:$V667,$E$1:$V$1)*W$1+INTERCEPT($E667:$V667,$E$1:$V$1)))</f>
        <v>1324.9734619178971</v>
      </c>
      <c r="X667" s="5">
        <f t="shared" si="675"/>
        <v>989.22947234546791</v>
      </c>
      <c r="Y667" s="5">
        <f t="shared" si="675"/>
        <v>653.48548277303962</v>
      </c>
      <c r="Z667" s="5">
        <f t="shared" si="675"/>
        <v>317.74149320061133</v>
      </c>
      <c r="AA667" s="5">
        <f t="shared" si="675"/>
        <v>-18.00249637181787</v>
      </c>
      <c r="AB667" s="5">
        <f t="shared" si="675"/>
        <v>-353.74648594424616</v>
      </c>
      <c r="AC667" s="5">
        <f t="shared" si="675"/>
        <v>-689.49047551667445</v>
      </c>
      <c r="AD667" s="5">
        <f t="shared" si="675"/>
        <v>-1025.2344650891037</v>
      </c>
      <c r="AE667" s="5">
        <f t="shared" si="675"/>
        <v>-1360.9784546615329</v>
      </c>
      <c r="AF667" s="5">
        <f t="shared" si="675"/>
        <v>-1696.7224442339602</v>
      </c>
      <c r="AG667" s="5">
        <f t="shared" si="675"/>
        <v>-2032.4664338063894</v>
      </c>
      <c r="AH667" s="5">
        <f t="shared" si="675"/>
        <v>-2368.2104233788186</v>
      </c>
    </row>
    <row r="668" spans="1:34" x14ac:dyDescent="0.35">
      <c r="A668" t="s">
        <v>688</v>
      </c>
      <c r="B668" s="3" t="s">
        <v>1266</v>
      </c>
      <c r="C668" s="4" t="s">
        <v>1268</v>
      </c>
      <c r="D668" s="2">
        <f t="shared" si="651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ref="W668:AH668" si="676">IF(OR((SLOPE($E668:$V668,$E$1:$V$1)*W$1+INTERCEPT($E668:$V668,$E$1:$V$1))&gt;(AVERAGE($E668:$V668)+_xlfn.STDEV.P($E668:$V668)),(SLOPE($E668:$V668,$E$1:$V$1)*W$1+INTERCEPT($E668:$V668,$E$1:$V$1))&lt;(AVERAGE($E668:$V668)-_xlfn.STDEV.P($E668:$V668))),V668,(SLOPE($E668:$V668,$E$1:$V$1)*W$1+INTERCEPT($E668:$V668,$E$1:$V$1)))</f>
        <v>11137.472644340301</v>
      </c>
      <c r="X668" s="5">
        <f t="shared" si="676"/>
        <v>11838.503624918749</v>
      </c>
      <c r="Y668" s="5">
        <f t="shared" si="676"/>
        <v>12539.534605497196</v>
      </c>
      <c r="Z668" s="5">
        <f t="shared" si="676"/>
        <v>13240.565586075643</v>
      </c>
      <c r="AA668" s="5">
        <f t="shared" si="676"/>
        <v>13941.596566654091</v>
      </c>
      <c r="AB668" s="5">
        <f t="shared" si="676"/>
        <v>14642.62754723254</v>
      </c>
      <c r="AC668" s="5">
        <f t="shared" si="676"/>
        <v>15343.658527810985</v>
      </c>
      <c r="AD668" s="5">
        <f t="shared" si="676"/>
        <v>16044.689508389434</v>
      </c>
      <c r="AE668" s="5">
        <f t="shared" si="676"/>
        <v>16745.72048896788</v>
      </c>
      <c r="AF668" s="5">
        <f t="shared" si="676"/>
        <v>16745.72048896788</v>
      </c>
      <c r="AG668" s="5">
        <f t="shared" si="676"/>
        <v>16745.72048896788</v>
      </c>
      <c r="AH668" s="5">
        <f t="shared" si="676"/>
        <v>16745.72048896788</v>
      </c>
    </row>
    <row r="669" spans="1:34" x14ac:dyDescent="0.35">
      <c r="A669" t="s">
        <v>689</v>
      </c>
      <c r="B669" s="3" t="s">
        <v>1266</v>
      </c>
      <c r="C669" s="4" t="s">
        <v>1267</v>
      </c>
      <c r="D669" s="2">
        <f t="shared" si="651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ref="W669:AH669" si="677">IF(OR((SLOPE($E669:$V669,$E$1:$V$1)*W$1+INTERCEPT($E669:$V669,$E$1:$V$1))&gt;(AVERAGE($E669:$V669)+_xlfn.STDEV.P($E669:$V669)),(SLOPE($E669:$V669,$E$1:$V$1)*W$1+INTERCEPT($E669:$V669,$E$1:$V$1))&lt;(AVERAGE($E669:$V669)-_xlfn.STDEV.P($E669:$V669))),V669,(SLOPE($E669:$V669,$E$1:$V$1)*W$1+INTERCEPT($E669:$V669,$E$1:$V$1)))</f>
        <v>5280.9894117647063</v>
      </c>
      <c r="X669" s="5">
        <f t="shared" si="677"/>
        <v>5365.7093498452014</v>
      </c>
      <c r="Y669" s="5">
        <f t="shared" si="677"/>
        <v>5450.4292879256973</v>
      </c>
      <c r="Z669" s="5">
        <f t="shared" si="677"/>
        <v>5535.1492260061923</v>
      </c>
      <c r="AA669" s="5">
        <f t="shared" si="677"/>
        <v>5619.8691640866873</v>
      </c>
      <c r="AB669" s="5">
        <f t="shared" si="677"/>
        <v>5704.5891021671832</v>
      </c>
      <c r="AC669" s="5">
        <f t="shared" si="677"/>
        <v>5789.3090402476782</v>
      </c>
      <c r="AD669" s="5">
        <f t="shared" si="677"/>
        <v>5874.0289783281733</v>
      </c>
      <c r="AE669" s="5">
        <f t="shared" si="677"/>
        <v>5958.7489164086692</v>
      </c>
      <c r="AF669" s="5">
        <f t="shared" si="677"/>
        <v>6043.4688544891642</v>
      </c>
      <c r="AG669" s="5">
        <f t="shared" si="677"/>
        <v>6128.1887925696592</v>
      </c>
      <c r="AH669" s="5">
        <f t="shared" si="677"/>
        <v>6212.9087306501551</v>
      </c>
    </row>
    <row r="670" spans="1:34" x14ac:dyDescent="0.35">
      <c r="A670" t="s">
        <v>690</v>
      </c>
      <c r="B670" s="3" t="s">
        <v>1265</v>
      </c>
      <c r="C670" s="4" t="s">
        <v>1263</v>
      </c>
      <c r="D670" s="2">
        <f t="shared" si="651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ref="W670:AH670" si="678">IF(OR((SLOPE($E670:$V670,$E$1:$V$1)*W$1+INTERCEPT($E670:$V670,$E$1:$V$1))&gt;(AVERAGE($E670:$V670)+_xlfn.STDEV.P($E670:$V670)),(SLOPE($E670:$V670,$E$1:$V$1)*W$1+INTERCEPT($E670:$V670,$E$1:$V$1))&lt;(AVERAGE($E670:$V670)-_xlfn.STDEV.P($E670:$V670))),V670,(SLOPE($E670:$V670,$E$1:$V$1)*W$1+INTERCEPT($E670:$V670,$E$1:$V$1)))</f>
        <v>13132.609216275321</v>
      </c>
      <c r="X670" s="5">
        <f t="shared" si="678"/>
        <v>14044.979961827079</v>
      </c>
      <c r="Y670" s="5">
        <f t="shared" si="678"/>
        <v>14957.350707378837</v>
      </c>
      <c r="Z670" s="5">
        <f t="shared" si="678"/>
        <v>15869.721452930598</v>
      </c>
      <c r="AA670" s="5">
        <f t="shared" si="678"/>
        <v>16782.092198482358</v>
      </c>
      <c r="AB670" s="5">
        <f t="shared" si="678"/>
        <v>17694.462944034116</v>
      </c>
      <c r="AC670" s="5">
        <f t="shared" si="678"/>
        <v>18606.833689585874</v>
      </c>
      <c r="AD670" s="5">
        <f t="shared" si="678"/>
        <v>19519.204435137632</v>
      </c>
      <c r="AE670" s="5">
        <f t="shared" si="678"/>
        <v>20431.57518068939</v>
      </c>
      <c r="AF670" s="5">
        <f t="shared" si="678"/>
        <v>21343.945926241155</v>
      </c>
      <c r="AG670" s="5">
        <f t="shared" si="678"/>
        <v>22256.316671792913</v>
      </c>
      <c r="AH670" s="5">
        <f t="shared" si="678"/>
        <v>22256.316671792913</v>
      </c>
    </row>
    <row r="671" spans="1:34" x14ac:dyDescent="0.35">
      <c r="A671" t="s">
        <v>691</v>
      </c>
      <c r="B671" s="3" t="s">
        <v>1266</v>
      </c>
      <c r="C671" s="4" t="s">
        <v>1268</v>
      </c>
      <c r="D671" s="2">
        <f t="shared" si="651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ref="W671:AH671" si="679">IF(OR((SLOPE($E671:$V671,$E$1:$V$1)*W$1+INTERCEPT($E671:$V671,$E$1:$V$1))&gt;(AVERAGE($E671:$V671)+_xlfn.STDEV.P($E671:$V671)),(SLOPE($E671:$V671,$E$1:$V$1)*W$1+INTERCEPT($E671:$V671,$E$1:$V$1))&lt;(AVERAGE($E671:$V671)-_xlfn.STDEV.P($E671:$V671))),V671,(SLOPE($E671:$V671,$E$1:$V$1)*W$1+INTERCEPT($E671:$V671,$E$1:$V$1)))</f>
        <v>3542.1169963740331</v>
      </c>
      <c r="X671" s="5">
        <f t="shared" si="679"/>
        <v>3446.3910104809188</v>
      </c>
      <c r="Y671" s="5">
        <f t="shared" si="679"/>
        <v>3350.6650245878045</v>
      </c>
      <c r="Z671" s="5">
        <f t="shared" si="679"/>
        <v>3254.9390386946902</v>
      </c>
      <c r="AA671" s="5">
        <f t="shared" si="679"/>
        <v>3159.2130528015764</v>
      </c>
      <c r="AB671" s="5">
        <f t="shared" si="679"/>
        <v>3063.4870669084621</v>
      </c>
      <c r="AC671" s="5">
        <f t="shared" si="679"/>
        <v>2967.7610810153478</v>
      </c>
      <c r="AD671" s="5">
        <f t="shared" si="679"/>
        <v>2872.0350951222335</v>
      </c>
      <c r="AE671" s="5">
        <f t="shared" si="679"/>
        <v>2776.3091092291193</v>
      </c>
      <c r="AF671" s="5">
        <f t="shared" si="679"/>
        <v>2680.583123336005</v>
      </c>
      <c r="AG671" s="5">
        <f t="shared" si="679"/>
        <v>2584.8571374428911</v>
      </c>
      <c r="AH671" s="5">
        <f t="shared" si="679"/>
        <v>2489.1311515497769</v>
      </c>
    </row>
    <row r="672" spans="1:34" x14ac:dyDescent="0.35">
      <c r="A672" t="s">
        <v>692</v>
      </c>
      <c r="B672" s="3" t="s">
        <v>1266</v>
      </c>
      <c r="C672" s="4" t="s">
        <v>1267</v>
      </c>
      <c r="D672" s="2">
        <f t="shared" si="651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ref="W672:AH672" si="680">IF(OR((SLOPE($E672:$V672,$E$1:$V$1)*W$1+INTERCEPT($E672:$V672,$E$1:$V$1))&gt;(AVERAGE($E672:$V672)+_xlfn.STDEV.P($E672:$V672)),(SLOPE($E672:$V672,$E$1:$V$1)*W$1+INTERCEPT($E672:$V672,$E$1:$V$1))&lt;(AVERAGE($E672:$V672)-_xlfn.STDEV.P($E672:$V672))),V672,(SLOPE($E672:$V672,$E$1:$V$1)*W$1+INTERCEPT($E672:$V672,$E$1:$V$1)))</f>
        <v>-5737.2655775090898</v>
      </c>
      <c r="X672" s="5">
        <f t="shared" si="680"/>
        <v>-6807.8558048911691</v>
      </c>
      <c r="Y672" s="5">
        <f t="shared" si="680"/>
        <v>-7878.4460322732484</v>
      </c>
      <c r="Z672" s="5">
        <f t="shared" si="680"/>
        <v>-8949.0362596553277</v>
      </c>
      <c r="AA672" s="5">
        <f t="shared" si="680"/>
        <v>-10019.626487037407</v>
      </c>
      <c r="AB672" s="5">
        <f t="shared" si="680"/>
        <v>-11090.216714419483</v>
      </c>
      <c r="AC672" s="5">
        <f t="shared" si="680"/>
        <v>-12160.806941801562</v>
      </c>
      <c r="AD672" s="5">
        <f t="shared" si="680"/>
        <v>-13231.397169183641</v>
      </c>
      <c r="AE672" s="5">
        <f t="shared" si="680"/>
        <v>-13231.397169183641</v>
      </c>
      <c r="AF672" s="5">
        <f t="shared" si="680"/>
        <v>-13231.397169183641</v>
      </c>
      <c r="AG672" s="5">
        <f t="shared" si="680"/>
        <v>-13231.397169183641</v>
      </c>
      <c r="AH672" s="5">
        <f t="shared" si="680"/>
        <v>-13231.397169183641</v>
      </c>
    </row>
    <row r="673" spans="1:34" x14ac:dyDescent="0.35">
      <c r="A673" t="s">
        <v>693</v>
      </c>
      <c r="B673" s="3" t="s">
        <v>1264</v>
      </c>
      <c r="C673" s="4" t="s">
        <v>1263</v>
      </c>
      <c r="D673" s="2">
        <f t="shared" si="651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ref="W673:AH673" si="681">IF(OR((SLOPE($E673:$V673,$E$1:$V$1)*W$1+INTERCEPT($E673:$V673,$E$1:$V$1))&gt;(AVERAGE($E673:$V673)+_xlfn.STDEV.P($E673:$V673)),(SLOPE($E673:$V673,$E$1:$V$1)*W$1+INTERCEPT($E673:$V673,$E$1:$V$1))&lt;(AVERAGE($E673:$V673)-_xlfn.STDEV.P($E673:$V673))),V673,(SLOPE($E673:$V673,$E$1:$V$1)*W$1+INTERCEPT($E673:$V673,$E$1:$V$1)))</f>
        <v>0</v>
      </c>
      <c r="X673" s="5">
        <f t="shared" si="681"/>
        <v>0</v>
      </c>
      <c r="Y673" s="5">
        <f t="shared" si="681"/>
        <v>0</v>
      </c>
      <c r="Z673" s="5">
        <f t="shared" si="681"/>
        <v>0</v>
      </c>
      <c r="AA673" s="5">
        <f t="shared" si="681"/>
        <v>0</v>
      </c>
      <c r="AB673" s="5">
        <f t="shared" si="681"/>
        <v>0</v>
      </c>
      <c r="AC673" s="5">
        <f t="shared" si="681"/>
        <v>0</v>
      </c>
      <c r="AD673" s="5">
        <f t="shared" si="681"/>
        <v>0</v>
      </c>
      <c r="AE673" s="5">
        <f t="shared" si="681"/>
        <v>0</v>
      </c>
      <c r="AF673" s="5">
        <f t="shared" si="681"/>
        <v>0</v>
      </c>
      <c r="AG673" s="5">
        <f t="shared" si="681"/>
        <v>0</v>
      </c>
      <c r="AH673" s="5">
        <f t="shared" si="681"/>
        <v>0</v>
      </c>
    </row>
    <row r="674" spans="1:34" x14ac:dyDescent="0.35">
      <c r="A674" t="s">
        <v>694</v>
      </c>
      <c r="B674" s="3" t="s">
        <v>1266</v>
      </c>
      <c r="C674" s="4" t="s">
        <v>1267</v>
      </c>
      <c r="D674" s="2">
        <f t="shared" si="651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ref="W674:AH674" si="682">IF(OR((SLOPE($E674:$V674,$E$1:$V$1)*W$1+INTERCEPT($E674:$V674,$E$1:$V$1))&gt;(AVERAGE($E674:$V674)+_xlfn.STDEV.P($E674:$V674)),(SLOPE($E674:$V674,$E$1:$V$1)*W$1+INTERCEPT($E674:$V674,$E$1:$V$1))&lt;(AVERAGE($E674:$V674)-_xlfn.STDEV.P($E674:$V674))),V674,(SLOPE($E674:$V674,$E$1:$V$1)*W$1+INTERCEPT($E674:$V674,$E$1:$V$1)))</f>
        <v>14521.866721055034</v>
      </c>
      <c r="X674" s="5">
        <f t="shared" si="682"/>
        <v>15586.439657372979</v>
      </c>
      <c r="Y674" s="5">
        <f t="shared" si="682"/>
        <v>16651.012593690921</v>
      </c>
      <c r="Z674" s="5">
        <f t="shared" si="682"/>
        <v>17715.585530008866</v>
      </c>
      <c r="AA674" s="5">
        <f t="shared" si="682"/>
        <v>18780.158466326811</v>
      </c>
      <c r="AB674" s="5">
        <f t="shared" si="682"/>
        <v>19844.731402644753</v>
      </c>
      <c r="AC674" s="5">
        <f t="shared" si="682"/>
        <v>20909.304338962698</v>
      </c>
      <c r="AD674" s="5">
        <f t="shared" si="682"/>
        <v>21973.877275280644</v>
      </c>
      <c r="AE674" s="5">
        <f t="shared" si="682"/>
        <v>21973.877275280644</v>
      </c>
      <c r="AF674" s="5">
        <f t="shared" si="682"/>
        <v>21973.877275280644</v>
      </c>
      <c r="AG674" s="5">
        <f t="shared" si="682"/>
        <v>21973.877275280644</v>
      </c>
      <c r="AH674" s="5">
        <f t="shared" si="682"/>
        <v>21973.877275280644</v>
      </c>
    </row>
    <row r="675" spans="1:34" x14ac:dyDescent="0.35">
      <c r="A675" t="s">
        <v>695</v>
      </c>
      <c r="B675" s="3" t="s">
        <v>1266</v>
      </c>
      <c r="C675" s="4" t="s">
        <v>1267</v>
      </c>
      <c r="D675" s="2">
        <f t="shared" si="651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ref="W675:AH675" si="683">IF(OR((SLOPE($E675:$V675,$E$1:$V$1)*W$1+INTERCEPT($E675:$V675,$E$1:$V$1))&gt;(AVERAGE($E675:$V675)+_xlfn.STDEV.P($E675:$V675)),(SLOPE($E675:$V675,$E$1:$V$1)*W$1+INTERCEPT($E675:$V675,$E$1:$V$1))&lt;(AVERAGE($E675:$V675)-_xlfn.STDEV.P($E675:$V675))),V675,(SLOPE($E675:$V675,$E$1:$V$1)*W$1+INTERCEPT($E675:$V675,$E$1:$V$1)))</f>
        <v>0</v>
      </c>
      <c r="X675" s="5">
        <f t="shared" si="683"/>
        <v>0</v>
      </c>
      <c r="Y675" s="5">
        <f t="shared" si="683"/>
        <v>0</v>
      </c>
      <c r="Z675" s="5">
        <f t="shared" si="683"/>
        <v>0</v>
      </c>
      <c r="AA675" s="5">
        <f t="shared" si="683"/>
        <v>0</v>
      </c>
      <c r="AB675" s="5">
        <f t="shared" si="683"/>
        <v>0</v>
      </c>
      <c r="AC675" s="5">
        <f t="shared" si="683"/>
        <v>0</v>
      </c>
      <c r="AD675" s="5">
        <f t="shared" si="683"/>
        <v>0</v>
      </c>
      <c r="AE675" s="5">
        <f t="shared" si="683"/>
        <v>0</v>
      </c>
      <c r="AF675" s="5">
        <f t="shared" si="683"/>
        <v>0</v>
      </c>
      <c r="AG675" s="5">
        <f t="shared" si="683"/>
        <v>0</v>
      </c>
      <c r="AH675" s="5">
        <f t="shared" si="683"/>
        <v>0</v>
      </c>
    </row>
    <row r="676" spans="1:34" x14ac:dyDescent="0.35">
      <c r="A676" t="s">
        <v>696</v>
      </c>
      <c r="B676" s="3" t="s">
        <v>1262</v>
      </c>
      <c r="C676" s="4" t="s">
        <v>1263</v>
      </c>
      <c r="D676" s="2">
        <f t="shared" si="651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ref="W676:AH676" si="684">IF(OR((SLOPE($E676:$V676,$E$1:$V$1)*W$1+INTERCEPT($E676:$V676,$E$1:$V$1))&gt;(AVERAGE($E676:$V676)+_xlfn.STDEV.P($E676:$V676)),(SLOPE($E676:$V676,$E$1:$V$1)*W$1+INTERCEPT($E676:$V676,$E$1:$V$1))&lt;(AVERAGE($E676:$V676)-_xlfn.STDEV.P($E676:$V676))),V676,(SLOPE($E676:$V676,$E$1:$V$1)*W$1+INTERCEPT($E676:$V676,$E$1:$V$1)))</f>
        <v>12686.035085612417</v>
      </c>
      <c r="X676" s="5">
        <f t="shared" si="684"/>
        <v>13560.161178083945</v>
      </c>
      <c r="Y676" s="5">
        <f t="shared" si="684"/>
        <v>14434.287270555473</v>
      </c>
      <c r="Z676" s="5">
        <f t="shared" si="684"/>
        <v>14434.287270555473</v>
      </c>
      <c r="AA676" s="5">
        <f t="shared" si="684"/>
        <v>14434.287270555473</v>
      </c>
      <c r="AB676" s="5">
        <f t="shared" si="684"/>
        <v>14434.287270555473</v>
      </c>
      <c r="AC676" s="5">
        <f t="shared" si="684"/>
        <v>14434.287270555473</v>
      </c>
      <c r="AD676" s="5">
        <f t="shared" si="684"/>
        <v>14434.287270555473</v>
      </c>
      <c r="AE676" s="5">
        <f t="shared" si="684"/>
        <v>14434.287270555473</v>
      </c>
      <c r="AF676" s="5">
        <f t="shared" si="684"/>
        <v>14434.287270555473</v>
      </c>
      <c r="AG676" s="5">
        <f t="shared" si="684"/>
        <v>14434.287270555473</v>
      </c>
      <c r="AH676" s="5">
        <f t="shared" si="684"/>
        <v>14434.287270555473</v>
      </c>
    </row>
    <row r="677" spans="1:34" x14ac:dyDescent="0.35">
      <c r="A677" t="s">
        <v>697</v>
      </c>
      <c r="B677" s="3" t="s">
        <v>1266</v>
      </c>
      <c r="C677" s="4" t="s">
        <v>1268</v>
      </c>
      <c r="D677" s="2">
        <f t="shared" si="651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H677" si="685">IF(OR((SLOPE($E677:$V677,$E$1:$V$1)*W$1+INTERCEPT($E677:$V677,$E$1:$V$1))&gt;(AVERAGE($E677:$V677)+_xlfn.STDEV.P($E677:$V677)),(SLOPE($E677:$V677,$E$1:$V$1)*W$1+INTERCEPT($E677:$V677,$E$1:$V$1))&lt;(AVERAGE($E677:$V677)-_xlfn.STDEV.P($E677:$V677))),V677,(SLOPE($E677:$V677,$E$1:$V$1)*W$1+INTERCEPT($E677:$V677,$E$1:$V$1)))</f>
        <v>5139.6308151424182</v>
      </c>
      <c r="X677" s="5">
        <f t="shared" si="685"/>
        <v>5221.0519892204084</v>
      </c>
      <c r="Y677" s="5">
        <f t="shared" si="685"/>
        <v>5302.4731632983985</v>
      </c>
      <c r="Z677" s="5">
        <f t="shared" si="685"/>
        <v>5383.8943373763886</v>
      </c>
      <c r="AA677" s="5">
        <f t="shared" si="685"/>
        <v>5465.3155114543788</v>
      </c>
      <c r="AB677" s="5">
        <f t="shared" si="685"/>
        <v>5546.7366855323689</v>
      </c>
      <c r="AC677" s="5">
        <f t="shared" si="685"/>
        <v>5628.1578596103591</v>
      </c>
      <c r="AD677" s="5">
        <f t="shared" si="685"/>
        <v>5709.5790336883492</v>
      </c>
      <c r="AE677" s="5">
        <f t="shared" si="685"/>
        <v>5791.0002077663394</v>
      </c>
      <c r="AF677" s="5">
        <f t="shared" si="685"/>
        <v>5872.4213818443295</v>
      </c>
      <c r="AG677" s="5">
        <f t="shared" si="685"/>
        <v>5953.8425559223197</v>
      </c>
      <c r="AH677" s="5">
        <f t="shared" si="685"/>
        <v>6035.2637300003098</v>
      </c>
    </row>
    <row r="678" spans="1:34" x14ac:dyDescent="0.35">
      <c r="A678" t="s">
        <v>698</v>
      </c>
      <c r="B678" s="3" t="s">
        <v>1266</v>
      </c>
      <c r="C678" s="4" t="s">
        <v>1268</v>
      </c>
      <c r="D678" s="2">
        <f t="shared" si="651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ref="W678:AH678" si="686">IF(OR((SLOPE($E678:$V678,$E$1:$V$1)*W$1+INTERCEPT($E678:$V678,$E$1:$V$1))&gt;(AVERAGE($E678:$V678)+_xlfn.STDEV.P($E678:$V678)),(SLOPE($E678:$V678,$E$1:$V$1)*W$1+INTERCEPT($E678:$V678,$E$1:$V$1))&lt;(AVERAGE($E678:$V678)-_xlfn.STDEV.P($E678:$V678))),V678,(SLOPE($E678:$V678,$E$1:$V$1)*W$1+INTERCEPT($E678:$V678,$E$1:$V$1)))</f>
        <v>8123.2853333333333</v>
      </c>
      <c r="X678" s="5">
        <f t="shared" si="686"/>
        <v>8524.1053333333348</v>
      </c>
      <c r="Y678" s="5">
        <f t="shared" si="686"/>
        <v>8924.9253333333345</v>
      </c>
      <c r="Z678" s="5">
        <f t="shared" si="686"/>
        <v>9325.7453333333342</v>
      </c>
      <c r="AA678" s="5">
        <f t="shared" si="686"/>
        <v>9726.5653333333339</v>
      </c>
      <c r="AB678" s="5">
        <f t="shared" si="686"/>
        <v>10127.385333333334</v>
      </c>
      <c r="AC678" s="5">
        <f t="shared" si="686"/>
        <v>10528.205333333335</v>
      </c>
      <c r="AD678" s="5">
        <f t="shared" si="686"/>
        <v>10929.025333333335</v>
      </c>
      <c r="AE678" s="5">
        <f t="shared" si="686"/>
        <v>11329.845333333335</v>
      </c>
      <c r="AF678" s="5">
        <f t="shared" si="686"/>
        <v>11730.665333333334</v>
      </c>
      <c r="AG678" s="5">
        <f t="shared" si="686"/>
        <v>12131.485333333334</v>
      </c>
      <c r="AH678" s="5">
        <f t="shared" si="686"/>
        <v>12532.305333333336</v>
      </c>
    </row>
    <row r="679" spans="1:34" x14ac:dyDescent="0.35">
      <c r="A679" t="s">
        <v>699</v>
      </c>
      <c r="B679" s="3" t="s">
        <v>1265</v>
      </c>
      <c r="C679" s="4" t="s">
        <v>1267</v>
      </c>
      <c r="D679" s="2">
        <f t="shared" si="651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ref="W679:AH679" si="687">IF(OR((SLOPE($E679:$V679,$E$1:$V$1)*W$1+INTERCEPT($E679:$V679,$E$1:$V$1))&gt;(AVERAGE($E679:$V679)+_xlfn.STDEV.P($E679:$V679)),(SLOPE($E679:$V679,$E$1:$V$1)*W$1+INTERCEPT($E679:$V679,$E$1:$V$1))&lt;(AVERAGE($E679:$V679)-_xlfn.STDEV.P($E679:$V679))),V679,(SLOPE($E679:$V679,$E$1:$V$1)*W$1+INTERCEPT($E679:$V679,$E$1:$V$1)))</f>
        <v>17050.798085991013</v>
      </c>
      <c r="X679" s="5">
        <f t="shared" si="687"/>
        <v>18396.913724358725</v>
      </c>
      <c r="Y679" s="5">
        <f t="shared" si="687"/>
        <v>19743.029362726436</v>
      </c>
      <c r="Z679" s="5">
        <f t="shared" si="687"/>
        <v>21089.145001094148</v>
      </c>
      <c r="AA679" s="5">
        <f t="shared" si="687"/>
        <v>21089.145001094148</v>
      </c>
      <c r="AB679" s="5">
        <f t="shared" si="687"/>
        <v>21089.145001094148</v>
      </c>
      <c r="AC679" s="5">
        <f t="shared" si="687"/>
        <v>21089.145001094148</v>
      </c>
      <c r="AD679" s="5">
        <f t="shared" si="687"/>
        <v>21089.145001094148</v>
      </c>
      <c r="AE679" s="5">
        <f t="shared" si="687"/>
        <v>21089.145001094148</v>
      </c>
      <c r="AF679" s="5">
        <f t="shared" si="687"/>
        <v>21089.145001094148</v>
      </c>
      <c r="AG679" s="5">
        <f t="shared" si="687"/>
        <v>21089.145001094148</v>
      </c>
      <c r="AH679" s="5">
        <f t="shared" si="687"/>
        <v>21089.145001094148</v>
      </c>
    </row>
    <row r="680" spans="1:34" x14ac:dyDescent="0.35">
      <c r="A680" t="s">
        <v>700</v>
      </c>
      <c r="B680" s="3" t="s">
        <v>1266</v>
      </c>
      <c r="C680" s="4" t="s">
        <v>1263</v>
      </c>
      <c r="D680" s="2">
        <f t="shared" si="651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ref="W680:AH680" si="688">IF(OR((SLOPE($E680:$V680,$E$1:$V$1)*W$1+INTERCEPT($E680:$V680,$E$1:$V$1))&gt;(AVERAGE($E680:$V680)+_xlfn.STDEV.P($E680:$V680)),(SLOPE($E680:$V680,$E$1:$V$1)*W$1+INTERCEPT($E680:$V680,$E$1:$V$1))&lt;(AVERAGE($E680:$V680)-_xlfn.STDEV.P($E680:$V680))),V680,(SLOPE($E680:$V680,$E$1:$V$1)*W$1+INTERCEPT($E680:$V680,$E$1:$V$1)))</f>
        <v>-2481.9825749036954</v>
      </c>
      <c r="X680" s="5">
        <f t="shared" si="688"/>
        <v>-3195.629277825492</v>
      </c>
      <c r="Y680" s="5">
        <f t="shared" si="688"/>
        <v>-3909.2759807472885</v>
      </c>
      <c r="Z680" s="5">
        <f t="shared" si="688"/>
        <v>-4622.9226836690868</v>
      </c>
      <c r="AA680" s="5">
        <f t="shared" si="688"/>
        <v>-5336.5693865908834</v>
      </c>
      <c r="AB680" s="5">
        <f t="shared" si="688"/>
        <v>-6050.2160895126799</v>
      </c>
      <c r="AC680" s="5">
        <f t="shared" si="688"/>
        <v>-6763.8627924344764</v>
      </c>
      <c r="AD680" s="5">
        <f t="shared" si="688"/>
        <v>-7477.509495356273</v>
      </c>
      <c r="AE680" s="5">
        <f t="shared" si="688"/>
        <v>-7477.509495356273</v>
      </c>
      <c r="AF680" s="5">
        <f t="shared" si="688"/>
        <v>-7477.509495356273</v>
      </c>
      <c r="AG680" s="5">
        <f t="shared" si="688"/>
        <v>-7477.509495356273</v>
      </c>
      <c r="AH680" s="5">
        <f t="shared" si="688"/>
        <v>-7477.509495356273</v>
      </c>
    </row>
    <row r="681" spans="1:34" x14ac:dyDescent="0.35">
      <c r="A681" t="s">
        <v>701</v>
      </c>
      <c r="B681" s="3" t="s">
        <v>1265</v>
      </c>
      <c r="C681" s="4" t="s">
        <v>1263</v>
      </c>
      <c r="D681" s="2">
        <f t="shared" si="651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ref="W681:AH681" si="689">IF(OR((SLOPE($E681:$V681,$E$1:$V$1)*W$1+INTERCEPT($E681:$V681,$E$1:$V$1))&gt;(AVERAGE($E681:$V681)+_xlfn.STDEV.P($E681:$V681)),(SLOPE($E681:$V681,$E$1:$V$1)*W$1+INTERCEPT($E681:$V681,$E$1:$V$1))&lt;(AVERAGE($E681:$V681)-_xlfn.STDEV.P($E681:$V681))),V681,(SLOPE($E681:$V681,$E$1:$V$1)*W$1+INTERCEPT($E681:$V681,$E$1:$V$1)))</f>
        <v>-377.43822502834882</v>
      </c>
      <c r="X681" s="5">
        <f t="shared" si="689"/>
        <v>-869.46226580763687</v>
      </c>
      <c r="Y681" s="5">
        <f t="shared" si="689"/>
        <v>-1361.4863065869267</v>
      </c>
      <c r="Z681" s="5">
        <f t="shared" si="689"/>
        <v>-1853.5103473662148</v>
      </c>
      <c r="AA681" s="5">
        <f t="shared" si="689"/>
        <v>-1853.5103473662148</v>
      </c>
      <c r="AB681" s="5">
        <f t="shared" si="689"/>
        <v>-1853.5103473662148</v>
      </c>
      <c r="AC681" s="5">
        <f t="shared" si="689"/>
        <v>-1853.5103473662148</v>
      </c>
      <c r="AD681" s="5">
        <f t="shared" si="689"/>
        <v>-1853.5103473662148</v>
      </c>
      <c r="AE681" s="5">
        <f t="shared" si="689"/>
        <v>-1853.5103473662148</v>
      </c>
      <c r="AF681" s="5">
        <f t="shared" si="689"/>
        <v>-1853.5103473662148</v>
      </c>
      <c r="AG681" s="5">
        <f t="shared" si="689"/>
        <v>-1853.5103473662148</v>
      </c>
      <c r="AH681" s="5">
        <f t="shared" si="689"/>
        <v>-1853.5103473662148</v>
      </c>
    </row>
    <row r="682" spans="1:34" x14ac:dyDescent="0.35">
      <c r="A682" t="s">
        <v>702</v>
      </c>
      <c r="B682" s="3" t="s">
        <v>1264</v>
      </c>
      <c r="C682" s="4" t="s">
        <v>1263</v>
      </c>
      <c r="D682" s="2">
        <f t="shared" si="651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ref="W682:AH682" si="690">IF(OR((SLOPE($E682:$V682,$E$1:$V$1)*W$1+INTERCEPT($E682:$V682,$E$1:$V$1))&gt;(AVERAGE($E682:$V682)+_xlfn.STDEV.P($E682:$V682)),(SLOPE($E682:$V682,$E$1:$V$1)*W$1+INTERCEPT($E682:$V682,$E$1:$V$1))&lt;(AVERAGE($E682:$V682)-_xlfn.STDEV.P($E682:$V682))),V682,(SLOPE($E682:$V682,$E$1:$V$1)*W$1+INTERCEPT($E682:$V682,$E$1:$V$1)))</f>
        <v>15130.981019211549</v>
      </c>
      <c r="X682" s="5">
        <f t="shared" si="690"/>
        <v>16276.590779198888</v>
      </c>
      <c r="Y682" s="5">
        <f t="shared" si="690"/>
        <v>16276.590779198888</v>
      </c>
      <c r="Z682" s="5">
        <f t="shared" si="690"/>
        <v>16276.590779198888</v>
      </c>
      <c r="AA682" s="5">
        <f t="shared" si="690"/>
        <v>16276.590779198888</v>
      </c>
      <c r="AB682" s="5">
        <f t="shared" si="690"/>
        <v>16276.590779198888</v>
      </c>
      <c r="AC682" s="5">
        <f t="shared" si="690"/>
        <v>16276.590779198888</v>
      </c>
      <c r="AD682" s="5">
        <f t="shared" si="690"/>
        <v>16276.590779198888</v>
      </c>
      <c r="AE682" s="5">
        <f t="shared" si="690"/>
        <v>16276.590779198888</v>
      </c>
      <c r="AF682" s="5">
        <f t="shared" si="690"/>
        <v>16276.590779198888</v>
      </c>
      <c r="AG682" s="5">
        <f t="shared" si="690"/>
        <v>16276.590779198888</v>
      </c>
      <c r="AH682" s="5">
        <f t="shared" si="690"/>
        <v>16276.590779198888</v>
      </c>
    </row>
    <row r="683" spans="1:34" x14ac:dyDescent="0.35">
      <c r="A683" t="s">
        <v>703</v>
      </c>
      <c r="B683" s="3" t="s">
        <v>1264</v>
      </c>
      <c r="C683" s="4" t="s">
        <v>1263</v>
      </c>
      <c r="D683" s="2">
        <f t="shared" si="651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ref="W683:AH683" si="691">IF(OR((SLOPE($E683:$V683,$E$1:$V$1)*W$1+INTERCEPT($E683:$V683,$E$1:$V$1))&gt;(AVERAGE($E683:$V683)+_xlfn.STDEV.P($E683:$V683)),(SLOPE($E683:$V683,$E$1:$V$1)*W$1+INTERCEPT($E683:$V683,$E$1:$V$1))&lt;(AVERAGE($E683:$V683)-_xlfn.STDEV.P($E683:$V683))),V683,(SLOPE($E683:$V683,$E$1:$V$1)*W$1+INTERCEPT($E683:$V683,$E$1:$V$1)))</f>
        <v>-1918.2929934640506</v>
      </c>
      <c r="X683" s="5">
        <f t="shared" si="691"/>
        <v>-2567.0859635362904</v>
      </c>
      <c r="Y683" s="5">
        <f t="shared" si="691"/>
        <v>-3215.8789336085301</v>
      </c>
      <c r="Z683" s="5">
        <f t="shared" si="691"/>
        <v>-3864.6719036807699</v>
      </c>
      <c r="AA683" s="5">
        <f t="shared" si="691"/>
        <v>-4513.4648737530097</v>
      </c>
      <c r="AB683" s="5">
        <f t="shared" si="691"/>
        <v>-5162.2578438252494</v>
      </c>
      <c r="AC683" s="5">
        <f t="shared" si="691"/>
        <v>-5162.2578438252494</v>
      </c>
      <c r="AD683" s="5">
        <f t="shared" si="691"/>
        <v>-5162.2578438252494</v>
      </c>
      <c r="AE683" s="5">
        <f t="shared" si="691"/>
        <v>-5162.2578438252494</v>
      </c>
      <c r="AF683" s="5">
        <f t="shared" si="691"/>
        <v>-5162.2578438252494</v>
      </c>
      <c r="AG683" s="5">
        <f t="shared" si="691"/>
        <v>-5162.2578438252494</v>
      </c>
      <c r="AH683" s="5">
        <f t="shared" si="691"/>
        <v>-5162.2578438252494</v>
      </c>
    </row>
    <row r="684" spans="1:34" x14ac:dyDescent="0.35">
      <c r="A684" t="s">
        <v>704</v>
      </c>
      <c r="B684" s="3" t="s">
        <v>1266</v>
      </c>
      <c r="C684" s="4" t="s">
        <v>1267</v>
      </c>
      <c r="D684" s="2">
        <f t="shared" si="651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ref="W684:AH684" si="692">IF(OR((SLOPE($E684:$V684,$E$1:$V$1)*W$1+INTERCEPT($E684:$V684,$E$1:$V$1))&gt;(AVERAGE($E684:$V684)+_xlfn.STDEV.P($E684:$V684)),(SLOPE($E684:$V684,$E$1:$V$1)*W$1+INTERCEPT($E684:$V684,$E$1:$V$1))&lt;(AVERAGE($E684:$V684)-_xlfn.STDEV.P($E684:$V684))),V684,(SLOPE($E684:$V684,$E$1:$V$1)*W$1+INTERCEPT($E684:$V684,$E$1:$V$1)))</f>
        <v>-7494.2417216164795</v>
      </c>
      <c r="X684" s="5">
        <f t="shared" si="692"/>
        <v>-7494.2417216164795</v>
      </c>
      <c r="Y684" s="5">
        <f t="shared" si="692"/>
        <v>-7494.2417216164795</v>
      </c>
      <c r="Z684" s="5">
        <f t="shared" si="692"/>
        <v>-7494.2417216164795</v>
      </c>
      <c r="AA684" s="5">
        <f t="shared" si="692"/>
        <v>-7494.2417216164795</v>
      </c>
      <c r="AB684" s="5">
        <f t="shared" si="692"/>
        <v>-7494.2417216164795</v>
      </c>
      <c r="AC684" s="5">
        <f t="shared" si="692"/>
        <v>-7494.2417216164795</v>
      </c>
      <c r="AD684" s="5">
        <f t="shared" si="692"/>
        <v>-7494.2417216164795</v>
      </c>
      <c r="AE684" s="5">
        <f t="shared" si="692"/>
        <v>-7494.2417216164795</v>
      </c>
      <c r="AF684" s="5">
        <f t="shared" si="692"/>
        <v>-7494.2417216164795</v>
      </c>
      <c r="AG684" s="5">
        <f t="shared" si="692"/>
        <v>-7494.2417216164795</v>
      </c>
      <c r="AH684" s="5">
        <f t="shared" si="692"/>
        <v>-7494.2417216164795</v>
      </c>
    </row>
    <row r="685" spans="1:34" x14ac:dyDescent="0.35">
      <c r="A685" t="s">
        <v>705</v>
      </c>
      <c r="B685" s="3" t="s">
        <v>1266</v>
      </c>
      <c r="C685" s="4" t="s">
        <v>1267</v>
      </c>
      <c r="D685" s="2">
        <f t="shared" si="651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ref="W685:AH685" si="693">IF(OR((SLOPE($E685:$V685,$E$1:$V$1)*W$1+INTERCEPT($E685:$V685,$E$1:$V$1))&gt;(AVERAGE($E685:$V685)+_xlfn.STDEV.P($E685:$V685)),(SLOPE($E685:$V685,$E$1:$V$1)*W$1+INTERCEPT($E685:$V685,$E$1:$V$1))&lt;(AVERAGE($E685:$V685)-_xlfn.STDEV.P($E685:$V685))),V685,(SLOPE($E685:$V685,$E$1:$V$1)*W$1+INTERCEPT($E685:$V685,$E$1:$V$1)))</f>
        <v>6424.0985964508336</v>
      </c>
      <c r="X685" s="5">
        <f t="shared" si="693"/>
        <v>6658.1750635279896</v>
      </c>
      <c r="Y685" s="5">
        <f t="shared" si="693"/>
        <v>6892.2515306051455</v>
      </c>
      <c r="Z685" s="5">
        <f t="shared" si="693"/>
        <v>7126.3279976823014</v>
      </c>
      <c r="AA685" s="5">
        <f t="shared" si="693"/>
        <v>7360.4044647594574</v>
      </c>
      <c r="AB685" s="5">
        <f t="shared" si="693"/>
        <v>7594.4809318366133</v>
      </c>
      <c r="AC685" s="5">
        <f t="shared" si="693"/>
        <v>7828.5573989137692</v>
      </c>
      <c r="AD685" s="5">
        <f t="shared" si="693"/>
        <v>8062.6338659909252</v>
      </c>
      <c r="AE685" s="5">
        <f t="shared" si="693"/>
        <v>8296.7103330680802</v>
      </c>
      <c r="AF685" s="5">
        <f t="shared" si="693"/>
        <v>8530.7868001452371</v>
      </c>
      <c r="AG685" s="5">
        <f t="shared" si="693"/>
        <v>8764.8632672223939</v>
      </c>
      <c r="AH685" s="5">
        <f t="shared" si="693"/>
        <v>8998.9397342995489</v>
      </c>
    </row>
    <row r="686" spans="1:34" x14ac:dyDescent="0.35">
      <c r="A686" t="s">
        <v>706</v>
      </c>
      <c r="B686" s="3" t="s">
        <v>1266</v>
      </c>
      <c r="C686" s="4" t="s">
        <v>1263</v>
      </c>
      <c r="D686" s="2">
        <f t="shared" si="651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ref="W686:AH686" si="694">IF(OR((SLOPE($E686:$V686,$E$1:$V$1)*W$1+INTERCEPT($E686:$V686,$E$1:$V$1))&gt;(AVERAGE($E686:$V686)+_xlfn.STDEV.P($E686:$V686)),(SLOPE($E686:$V686,$E$1:$V$1)*W$1+INTERCEPT($E686:$V686,$E$1:$V$1))&lt;(AVERAGE($E686:$V686)-_xlfn.STDEV.P($E686:$V686))),V686,(SLOPE($E686:$V686,$E$1:$V$1)*W$1+INTERCEPT($E686:$V686,$E$1:$V$1)))</f>
        <v>-2456.5573133935413</v>
      </c>
      <c r="X686" s="5">
        <f t="shared" si="694"/>
        <v>-3154.7367603580224</v>
      </c>
      <c r="Y686" s="5">
        <f t="shared" si="694"/>
        <v>-3852.9162073225016</v>
      </c>
      <c r="Z686" s="5">
        <f t="shared" si="694"/>
        <v>-4551.0956542869826</v>
      </c>
      <c r="AA686" s="5">
        <f t="shared" si="694"/>
        <v>-5249.2751012514618</v>
      </c>
      <c r="AB686" s="5">
        <f t="shared" si="694"/>
        <v>-5947.454548215941</v>
      </c>
      <c r="AC686" s="5">
        <f t="shared" si="694"/>
        <v>-6645.6339951804221</v>
      </c>
      <c r="AD686" s="5">
        <f t="shared" si="694"/>
        <v>-7343.8134421449031</v>
      </c>
      <c r="AE686" s="5">
        <f t="shared" si="694"/>
        <v>-8041.9928891093805</v>
      </c>
      <c r="AF686" s="5">
        <f t="shared" si="694"/>
        <v>-8740.1723360738615</v>
      </c>
      <c r="AG686" s="5">
        <f t="shared" si="694"/>
        <v>-9438.3517830383425</v>
      </c>
      <c r="AH686" s="5">
        <f t="shared" si="694"/>
        <v>-10136.531230002824</v>
      </c>
    </row>
    <row r="687" spans="1:34" x14ac:dyDescent="0.35">
      <c r="A687" t="s">
        <v>707</v>
      </c>
      <c r="B687" s="3" t="s">
        <v>1265</v>
      </c>
      <c r="C687" s="4" t="s">
        <v>1267</v>
      </c>
      <c r="D687" s="2">
        <f t="shared" si="651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ref="W687:AH687" si="695">IF(OR((SLOPE($E687:$V687,$E$1:$V$1)*W$1+INTERCEPT($E687:$V687,$E$1:$V$1))&gt;(AVERAGE($E687:$V687)+_xlfn.STDEV.P($E687:$V687)),(SLOPE($E687:$V687,$E$1:$V$1)*W$1+INTERCEPT($E687:$V687,$E$1:$V$1))&lt;(AVERAGE($E687:$V687)-_xlfn.STDEV.P($E687:$V687))),V687,(SLOPE($E687:$V687,$E$1:$V$1)*W$1+INTERCEPT($E687:$V687,$E$1:$V$1)))</f>
        <v>13642.461638779056</v>
      </c>
      <c r="X687" s="5">
        <f t="shared" si="695"/>
        <v>14642.566909291054</v>
      </c>
      <c r="Y687" s="5">
        <f t="shared" si="695"/>
        <v>15642.672179803052</v>
      </c>
      <c r="Z687" s="5">
        <f t="shared" si="695"/>
        <v>16642.77745031505</v>
      </c>
      <c r="AA687" s="5">
        <f t="shared" si="695"/>
        <v>17642.882720827049</v>
      </c>
      <c r="AB687" s="5">
        <f t="shared" si="695"/>
        <v>18642.987991339047</v>
      </c>
      <c r="AC687" s="5">
        <f t="shared" si="695"/>
        <v>19643.093261851045</v>
      </c>
      <c r="AD687" s="5">
        <f t="shared" si="695"/>
        <v>20643.198532363043</v>
      </c>
      <c r="AE687" s="5">
        <f t="shared" si="695"/>
        <v>20643.198532363043</v>
      </c>
      <c r="AF687" s="5">
        <f t="shared" si="695"/>
        <v>20643.198532363043</v>
      </c>
      <c r="AG687" s="5">
        <f t="shared" si="695"/>
        <v>20643.198532363043</v>
      </c>
      <c r="AH687" s="5">
        <f t="shared" si="695"/>
        <v>20643.198532363043</v>
      </c>
    </row>
    <row r="688" spans="1:34" x14ac:dyDescent="0.35">
      <c r="A688" t="s">
        <v>708</v>
      </c>
      <c r="B688" s="3" t="s">
        <v>1266</v>
      </c>
      <c r="C688" s="4" t="s">
        <v>1267</v>
      </c>
      <c r="D688" s="2">
        <f t="shared" si="651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ref="W688:AH688" si="696">IF(OR((SLOPE($E688:$V688,$E$1:$V$1)*W$1+INTERCEPT($E688:$V688,$E$1:$V$1))&gt;(AVERAGE($E688:$V688)+_xlfn.STDEV.P($E688:$V688)),(SLOPE($E688:$V688,$E$1:$V$1)*W$1+INTERCEPT($E688:$V688,$E$1:$V$1))&lt;(AVERAGE($E688:$V688)-_xlfn.STDEV.P($E688:$V688))),V688,(SLOPE($E688:$V688,$E$1:$V$1)*W$1+INTERCEPT($E688:$V688,$E$1:$V$1)))</f>
        <v>4941.8194037636822</v>
      </c>
      <c r="X688" s="5">
        <f t="shared" si="696"/>
        <v>5026.5692765105377</v>
      </c>
      <c r="Y688" s="5">
        <f t="shared" si="696"/>
        <v>5111.3191492573924</v>
      </c>
      <c r="Z688" s="5">
        <f t="shared" si="696"/>
        <v>5196.0690220042479</v>
      </c>
      <c r="AA688" s="5">
        <f t="shared" si="696"/>
        <v>5280.8188947511026</v>
      </c>
      <c r="AB688" s="5">
        <f t="shared" si="696"/>
        <v>5365.5687674979581</v>
      </c>
      <c r="AC688" s="5">
        <f t="shared" si="696"/>
        <v>5450.3186402448137</v>
      </c>
      <c r="AD688" s="5">
        <f t="shared" si="696"/>
        <v>5535.0685129916683</v>
      </c>
      <c r="AE688" s="5">
        <f t="shared" si="696"/>
        <v>5619.8183857385229</v>
      </c>
      <c r="AF688" s="5">
        <f t="shared" si="696"/>
        <v>5704.5682584853785</v>
      </c>
      <c r="AG688" s="5">
        <f t="shared" si="696"/>
        <v>5789.318131232234</v>
      </c>
      <c r="AH688" s="5">
        <f t="shared" si="696"/>
        <v>5874.0680039790886</v>
      </c>
    </row>
    <row r="689" spans="1:34" x14ac:dyDescent="0.35">
      <c r="A689" t="s">
        <v>709</v>
      </c>
      <c r="B689" s="3" t="s">
        <v>1265</v>
      </c>
      <c r="C689" s="4" t="s">
        <v>1263</v>
      </c>
      <c r="D689" s="2">
        <f t="shared" si="651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ref="W689:AH689" si="697">IF(OR((SLOPE($E689:$V689,$E$1:$V$1)*W$1+INTERCEPT($E689:$V689,$E$1:$V$1))&gt;(AVERAGE($E689:$V689)+_xlfn.STDEV.P($E689:$V689)),(SLOPE($E689:$V689,$E$1:$V$1)*W$1+INTERCEPT($E689:$V689,$E$1:$V$1))&lt;(AVERAGE($E689:$V689)-_xlfn.STDEV.P($E689:$V689))),V689,(SLOPE($E689:$V689,$E$1:$V$1)*W$1+INTERCEPT($E689:$V689,$E$1:$V$1)))</f>
        <v>11995.136364288001</v>
      </c>
      <c r="X689" s="5">
        <f t="shared" si="697"/>
        <v>11995.136364288001</v>
      </c>
      <c r="Y689" s="5">
        <f t="shared" si="697"/>
        <v>11995.136364288001</v>
      </c>
      <c r="Z689" s="5">
        <f t="shared" si="697"/>
        <v>11995.136364288001</v>
      </c>
      <c r="AA689" s="5">
        <f t="shared" si="697"/>
        <v>11995.136364288001</v>
      </c>
      <c r="AB689" s="5">
        <f t="shared" si="697"/>
        <v>11995.136364288001</v>
      </c>
      <c r="AC689" s="5">
        <f t="shared" si="697"/>
        <v>11995.136364288001</v>
      </c>
      <c r="AD689" s="5">
        <f t="shared" si="697"/>
        <v>11995.136364288001</v>
      </c>
      <c r="AE689" s="5">
        <f t="shared" si="697"/>
        <v>11995.136364288001</v>
      </c>
      <c r="AF689" s="5">
        <f t="shared" si="697"/>
        <v>11995.136364288001</v>
      </c>
      <c r="AG689" s="5">
        <f t="shared" si="697"/>
        <v>11995.136364288001</v>
      </c>
      <c r="AH689" s="5">
        <f t="shared" si="697"/>
        <v>11995.136364288001</v>
      </c>
    </row>
    <row r="690" spans="1:34" x14ac:dyDescent="0.35">
      <c r="A690" t="s">
        <v>710</v>
      </c>
      <c r="B690" s="3" t="s">
        <v>1262</v>
      </c>
      <c r="C690" s="4" t="s">
        <v>1263</v>
      </c>
      <c r="D690" s="2">
        <f t="shared" si="651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ref="W690:AH690" si="698">IF(OR((SLOPE($E690:$V690,$E$1:$V$1)*W$1+INTERCEPT($E690:$V690,$E$1:$V$1))&gt;(AVERAGE($E690:$V690)+_xlfn.STDEV.P($E690:$V690)),(SLOPE($E690:$V690,$E$1:$V$1)*W$1+INTERCEPT($E690:$V690,$E$1:$V$1))&lt;(AVERAGE($E690:$V690)-_xlfn.STDEV.P($E690:$V690))),V690,(SLOPE($E690:$V690,$E$1:$V$1)*W$1+INTERCEPT($E690:$V690,$E$1:$V$1)))</f>
        <v>11709.006397562374</v>
      </c>
      <c r="X690" s="5">
        <f t="shared" si="698"/>
        <v>12509.416165886887</v>
      </c>
      <c r="Y690" s="5">
        <f t="shared" si="698"/>
        <v>13309.8259342114</v>
      </c>
      <c r="Z690" s="5">
        <f t="shared" si="698"/>
        <v>14110.235702535912</v>
      </c>
      <c r="AA690" s="5">
        <f t="shared" si="698"/>
        <v>14910.645470860425</v>
      </c>
      <c r="AB690" s="5">
        <f t="shared" si="698"/>
        <v>15711.055239184938</v>
      </c>
      <c r="AC690" s="5">
        <f t="shared" si="698"/>
        <v>15711.055239184938</v>
      </c>
      <c r="AD690" s="5">
        <f t="shared" si="698"/>
        <v>15711.055239184938</v>
      </c>
      <c r="AE690" s="5">
        <f t="shared" si="698"/>
        <v>15711.055239184938</v>
      </c>
      <c r="AF690" s="5">
        <f t="shared" si="698"/>
        <v>15711.055239184938</v>
      </c>
      <c r="AG690" s="5">
        <f t="shared" si="698"/>
        <v>15711.055239184938</v>
      </c>
      <c r="AH690" s="5">
        <f t="shared" si="698"/>
        <v>15711.055239184938</v>
      </c>
    </row>
    <row r="691" spans="1:34" x14ac:dyDescent="0.35">
      <c r="A691" t="s">
        <v>711</v>
      </c>
      <c r="B691" s="3" t="s">
        <v>1265</v>
      </c>
      <c r="C691" s="4" t="s">
        <v>1263</v>
      </c>
      <c r="D691" s="2">
        <f t="shared" si="651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ref="W691:AH691" si="699">IF(OR((SLOPE($E691:$V691,$E$1:$V$1)*W$1+INTERCEPT($E691:$V691,$E$1:$V$1))&gt;(AVERAGE($E691:$V691)+_xlfn.STDEV.P($E691:$V691)),(SLOPE($E691:$V691,$E$1:$V$1)*W$1+INTERCEPT($E691:$V691,$E$1:$V$1))&lt;(AVERAGE($E691:$V691)-_xlfn.STDEV.P($E691:$V691))),V691,(SLOPE($E691:$V691,$E$1:$V$1)*W$1+INTERCEPT($E691:$V691,$E$1:$V$1)))</f>
        <v>10662.399999999998</v>
      </c>
      <c r="X691" s="5">
        <f t="shared" si="699"/>
        <v>11355.621052631577</v>
      </c>
      <c r="Y691" s="5">
        <f t="shared" si="699"/>
        <v>12048.842105263155</v>
      </c>
      <c r="Z691" s="5">
        <f t="shared" si="699"/>
        <v>12742.063157894734</v>
      </c>
      <c r="AA691" s="5">
        <f t="shared" si="699"/>
        <v>12742.063157894734</v>
      </c>
      <c r="AB691" s="5">
        <f t="shared" si="699"/>
        <v>12742.063157894734</v>
      </c>
      <c r="AC691" s="5">
        <f t="shared" si="699"/>
        <v>12742.063157894734</v>
      </c>
      <c r="AD691" s="5">
        <f t="shared" si="699"/>
        <v>12742.063157894734</v>
      </c>
      <c r="AE691" s="5">
        <f t="shared" si="699"/>
        <v>12742.063157894734</v>
      </c>
      <c r="AF691" s="5">
        <f t="shared" si="699"/>
        <v>12742.063157894734</v>
      </c>
      <c r="AG691" s="5">
        <f t="shared" si="699"/>
        <v>12742.063157894734</v>
      </c>
      <c r="AH691" s="5">
        <f t="shared" si="699"/>
        <v>12742.063157894734</v>
      </c>
    </row>
    <row r="692" spans="1:34" x14ac:dyDescent="0.35">
      <c r="A692" t="s">
        <v>712</v>
      </c>
      <c r="B692" s="3" t="s">
        <v>1266</v>
      </c>
      <c r="C692" s="4" t="s">
        <v>1267</v>
      </c>
      <c r="D692" s="2">
        <f t="shared" si="651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ref="W692:AH692" si="700">IF(OR((SLOPE($E692:$V692,$E$1:$V$1)*W$1+INTERCEPT($E692:$V692,$E$1:$V$1))&gt;(AVERAGE($E692:$V692)+_xlfn.STDEV.P($E692:$V692)),(SLOPE($E692:$V692,$E$1:$V$1)*W$1+INTERCEPT($E692:$V692,$E$1:$V$1))&lt;(AVERAGE($E692:$V692)-_xlfn.STDEV.P($E692:$V692))),V692,(SLOPE($E692:$V692,$E$1:$V$1)*W$1+INTERCEPT($E692:$V692,$E$1:$V$1)))</f>
        <v>6202.0658998235194</v>
      </c>
      <c r="X692" s="5">
        <f t="shared" si="700"/>
        <v>6428.0521066996807</v>
      </c>
      <c r="Y692" s="5">
        <f t="shared" si="700"/>
        <v>6654.0383135758402</v>
      </c>
      <c r="Z692" s="5">
        <f t="shared" si="700"/>
        <v>6880.0245204520015</v>
      </c>
      <c r="AA692" s="5">
        <f t="shared" si="700"/>
        <v>7106.0107273281628</v>
      </c>
      <c r="AB692" s="5">
        <f t="shared" si="700"/>
        <v>7331.9969342043223</v>
      </c>
      <c r="AC692" s="5">
        <f t="shared" si="700"/>
        <v>7557.9831410804836</v>
      </c>
      <c r="AD692" s="5">
        <f t="shared" si="700"/>
        <v>7783.9693479566431</v>
      </c>
      <c r="AE692" s="5">
        <f t="shared" si="700"/>
        <v>8009.9555548328044</v>
      </c>
      <c r="AF692" s="5">
        <f t="shared" si="700"/>
        <v>8235.9417617089657</v>
      </c>
      <c r="AG692" s="5">
        <f t="shared" si="700"/>
        <v>8461.9279685851252</v>
      </c>
      <c r="AH692" s="5">
        <f t="shared" si="700"/>
        <v>8687.9141754612865</v>
      </c>
    </row>
    <row r="693" spans="1:34" x14ac:dyDescent="0.35">
      <c r="A693" t="s">
        <v>713</v>
      </c>
      <c r="B693" s="3" t="s">
        <v>1266</v>
      </c>
      <c r="C693" s="4" t="s">
        <v>1263</v>
      </c>
      <c r="D693" s="2">
        <f t="shared" si="651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H693" si="701">IF(OR((SLOPE($E693:$V693,$E$1:$V$1)*W$1+INTERCEPT($E693:$V693,$E$1:$V$1))&gt;(AVERAGE($E693:$V693)+_xlfn.STDEV.P($E693:$V693)),(SLOPE($E693:$V693,$E$1:$V$1)*W$1+INTERCEPT($E693:$V693,$E$1:$V$1))&lt;(AVERAGE($E693:$V693)-_xlfn.STDEV.P($E693:$V693))),V693,(SLOPE($E693:$V693,$E$1:$V$1)*W$1+INTERCEPT($E693:$V693,$E$1:$V$1)))</f>
        <v>7901.9822126643649</v>
      </c>
      <c r="X693" s="5">
        <f t="shared" si="701"/>
        <v>8307.2815289133814</v>
      </c>
      <c r="Y693" s="5">
        <f t="shared" si="701"/>
        <v>8712.580845162398</v>
      </c>
      <c r="Z693" s="5">
        <f t="shared" si="701"/>
        <v>9117.8801614114163</v>
      </c>
      <c r="AA693" s="5">
        <f t="shared" si="701"/>
        <v>9117.8801614114163</v>
      </c>
      <c r="AB693" s="5">
        <f t="shared" si="701"/>
        <v>9117.8801614114163</v>
      </c>
      <c r="AC693" s="5">
        <f t="shared" si="701"/>
        <v>9117.8801614114163</v>
      </c>
      <c r="AD693" s="5">
        <f t="shared" si="701"/>
        <v>9117.8801614114163</v>
      </c>
      <c r="AE693" s="5">
        <f t="shared" si="701"/>
        <v>9117.8801614114163</v>
      </c>
      <c r="AF693" s="5">
        <f t="shared" si="701"/>
        <v>9117.8801614114163</v>
      </c>
      <c r="AG693" s="5">
        <f t="shared" si="701"/>
        <v>9117.8801614114163</v>
      </c>
      <c r="AH693" s="5">
        <f t="shared" si="701"/>
        <v>9117.8801614114163</v>
      </c>
    </row>
    <row r="694" spans="1:34" x14ac:dyDescent="0.35">
      <c r="A694" t="s">
        <v>714</v>
      </c>
      <c r="B694" s="3" t="s">
        <v>1266</v>
      </c>
      <c r="C694" s="4" t="s">
        <v>1268</v>
      </c>
      <c r="D694" s="2">
        <f t="shared" si="651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ref="W694:AH694" si="702">IF(OR((SLOPE($E694:$V694,$E$1:$V$1)*W$1+INTERCEPT($E694:$V694,$E$1:$V$1))&gt;(AVERAGE($E694:$V694)+_xlfn.STDEV.P($E694:$V694)),(SLOPE($E694:$V694,$E$1:$V$1)*W$1+INTERCEPT($E694:$V694,$E$1:$V$1))&lt;(AVERAGE($E694:$V694)-_xlfn.STDEV.P($E694:$V694))),V694,(SLOPE($E694:$V694,$E$1:$V$1)*W$1+INTERCEPT($E694:$V694,$E$1:$V$1)))</f>
        <v>5323.6824972784834</v>
      </c>
      <c r="X694" s="5">
        <f t="shared" si="702"/>
        <v>5458.6204065038473</v>
      </c>
      <c r="Y694" s="5">
        <f t="shared" si="702"/>
        <v>5593.5583157292131</v>
      </c>
      <c r="Z694" s="5">
        <f t="shared" si="702"/>
        <v>5728.496224954577</v>
      </c>
      <c r="AA694" s="5">
        <f t="shared" si="702"/>
        <v>5863.4341341799427</v>
      </c>
      <c r="AB694" s="5">
        <f t="shared" si="702"/>
        <v>5998.3720434053075</v>
      </c>
      <c r="AC694" s="5">
        <f t="shared" si="702"/>
        <v>6133.3099526306723</v>
      </c>
      <c r="AD694" s="5">
        <f t="shared" si="702"/>
        <v>6268.2478618560372</v>
      </c>
      <c r="AE694" s="5">
        <f t="shared" si="702"/>
        <v>6403.185771081402</v>
      </c>
      <c r="AF694" s="5">
        <f t="shared" si="702"/>
        <v>6538.1236803067668</v>
      </c>
      <c r="AG694" s="5">
        <f t="shared" si="702"/>
        <v>6673.0615895321316</v>
      </c>
      <c r="AH694" s="5">
        <f t="shared" si="702"/>
        <v>6807.9994987574964</v>
      </c>
    </row>
    <row r="695" spans="1:34" x14ac:dyDescent="0.35">
      <c r="A695" t="s">
        <v>715</v>
      </c>
      <c r="B695" s="3" t="s">
        <v>1265</v>
      </c>
      <c r="C695" s="4" t="s">
        <v>1263</v>
      </c>
      <c r="D695" s="2">
        <f t="shared" si="651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ref="W695:AH695" si="703">IF(OR((SLOPE($E695:$V695,$E$1:$V$1)*W$1+INTERCEPT($E695:$V695,$E$1:$V$1))&gt;(AVERAGE($E695:$V695)+_xlfn.STDEV.P($E695:$V695)),(SLOPE($E695:$V695,$E$1:$V$1)*W$1+INTERCEPT($E695:$V695,$E$1:$V$1))&lt;(AVERAGE($E695:$V695)-_xlfn.STDEV.P($E695:$V695))),V695,(SLOPE($E695:$V695,$E$1:$V$1)*W$1+INTERCEPT($E695:$V695,$E$1:$V$1)))</f>
        <v>10130.768195333334</v>
      </c>
      <c r="X695" s="5">
        <f t="shared" si="703"/>
        <v>10779.402145397955</v>
      </c>
      <c r="Y695" s="5">
        <f t="shared" si="703"/>
        <v>11428.036095462576</v>
      </c>
      <c r="Z695" s="5">
        <f t="shared" si="703"/>
        <v>12076.670045527193</v>
      </c>
      <c r="AA695" s="5">
        <f t="shared" si="703"/>
        <v>12076.670045527193</v>
      </c>
      <c r="AB695" s="5">
        <f t="shared" si="703"/>
        <v>12076.670045527193</v>
      </c>
      <c r="AC695" s="5">
        <f t="shared" si="703"/>
        <v>12076.670045527193</v>
      </c>
      <c r="AD695" s="5">
        <f t="shared" si="703"/>
        <v>12076.670045527193</v>
      </c>
      <c r="AE695" s="5">
        <f t="shared" si="703"/>
        <v>12076.670045527193</v>
      </c>
      <c r="AF695" s="5">
        <f t="shared" si="703"/>
        <v>12076.670045527193</v>
      </c>
      <c r="AG695" s="5">
        <f t="shared" si="703"/>
        <v>12076.670045527193</v>
      </c>
      <c r="AH695" s="5">
        <f t="shared" si="703"/>
        <v>12076.670045527193</v>
      </c>
    </row>
    <row r="696" spans="1:34" x14ac:dyDescent="0.35">
      <c r="A696" t="s">
        <v>716</v>
      </c>
      <c r="B696" s="3" t="s">
        <v>1264</v>
      </c>
      <c r="C696" s="4" t="s">
        <v>1263</v>
      </c>
      <c r="D696" s="2">
        <f t="shared" si="651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ref="W696:AH696" si="704">IF(OR((SLOPE($E696:$V696,$E$1:$V$1)*W$1+INTERCEPT($E696:$V696,$E$1:$V$1))&gt;(AVERAGE($E696:$V696)+_xlfn.STDEV.P($E696:$V696)),(SLOPE($E696:$V696,$E$1:$V$1)*W$1+INTERCEPT($E696:$V696,$E$1:$V$1))&lt;(AVERAGE($E696:$V696)-_xlfn.STDEV.P($E696:$V696))),V696,(SLOPE($E696:$V696,$E$1:$V$1)*W$1+INTERCEPT($E696:$V696,$E$1:$V$1)))</f>
        <v>5384.7290814727803</v>
      </c>
      <c r="X696" s="5">
        <f t="shared" si="704"/>
        <v>5534.1241032365288</v>
      </c>
      <c r="Y696" s="5">
        <f t="shared" si="704"/>
        <v>5683.5191250002772</v>
      </c>
      <c r="Z696" s="5">
        <f t="shared" si="704"/>
        <v>5832.9141467640256</v>
      </c>
      <c r="AA696" s="5">
        <f t="shared" si="704"/>
        <v>5982.3091685277741</v>
      </c>
      <c r="AB696" s="5">
        <f t="shared" si="704"/>
        <v>6131.7041902915225</v>
      </c>
      <c r="AC696" s="5">
        <f t="shared" si="704"/>
        <v>6281.099212055271</v>
      </c>
      <c r="AD696" s="5">
        <f t="shared" si="704"/>
        <v>6430.4942338190203</v>
      </c>
      <c r="AE696" s="5">
        <f t="shared" si="704"/>
        <v>6579.8892555827697</v>
      </c>
      <c r="AF696" s="5">
        <f t="shared" si="704"/>
        <v>6729.2842773465181</v>
      </c>
      <c r="AG696" s="5">
        <f t="shared" si="704"/>
        <v>6878.6792991102666</v>
      </c>
      <c r="AH696" s="5">
        <f t="shared" si="704"/>
        <v>7028.074320874015</v>
      </c>
    </row>
    <row r="697" spans="1:34" x14ac:dyDescent="0.35">
      <c r="A697" t="s">
        <v>717</v>
      </c>
      <c r="B697" s="3" t="s">
        <v>1264</v>
      </c>
      <c r="C697" s="4" t="s">
        <v>1263</v>
      </c>
      <c r="D697" s="2">
        <f t="shared" si="651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ref="W697:AH697" si="705">IF(OR((SLOPE($E697:$V697,$E$1:$V$1)*W$1+INTERCEPT($E697:$V697,$E$1:$V$1))&gt;(AVERAGE($E697:$V697)+_xlfn.STDEV.P($E697:$V697)),(SLOPE($E697:$V697,$E$1:$V$1)*W$1+INTERCEPT($E697:$V697,$E$1:$V$1))&lt;(AVERAGE($E697:$V697)-_xlfn.STDEV.P($E697:$V697))),V697,(SLOPE($E697:$V697,$E$1:$V$1)*W$1+INTERCEPT($E697:$V697,$E$1:$V$1)))</f>
        <v>1718.9799529411739</v>
      </c>
      <c r="X697" s="5">
        <f t="shared" si="705"/>
        <v>1482.7340532507715</v>
      </c>
      <c r="Y697" s="5">
        <f t="shared" si="705"/>
        <v>1246.488153560369</v>
      </c>
      <c r="Z697" s="5">
        <f t="shared" si="705"/>
        <v>1010.2422538699666</v>
      </c>
      <c r="AA697" s="5">
        <f t="shared" si="705"/>
        <v>1010.2422538699666</v>
      </c>
      <c r="AB697" s="5">
        <f t="shared" si="705"/>
        <v>1010.2422538699666</v>
      </c>
      <c r="AC697" s="5">
        <f t="shared" si="705"/>
        <v>1010.2422538699666</v>
      </c>
      <c r="AD697" s="5">
        <f t="shared" si="705"/>
        <v>1010.2422538699666</v>
      </c>
      <c r="AE697" s="5">
        <f t="shared" si="705"/>
        <v>1010.2422538699666</v>
      </c>
      <c r="AF697" s="5">
        <f t="shared" si="705"/>
        <v>1010.2422538699666</v>
      </c>
      <c r="AG697" s="5">
        <f t="shared" si="705"/>
        <v>1010.2422538699666</v>
      </c>
      <c r="AH697" s="5">
        <f t="shared" si="705"/>
        <v>1010.2422538699666</v>
      </c>
    </row>
    <row r="698" spans="1:34" x14ac:dyDescent="0.35">
      <c r="A698" t="s">
        <v>718</v>
      </c>
      <c r="B698" s="3" t="s">
        <v>1265</v>
      </c>
      <c r="C698" s="4" t="s">
        <v>1263</v>
      </c>
      <c r="D698" s="2">
        <f t="shared" si="651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ref="W698:AH698" si="706">IF(OR((SLOPE($E698:$V698,$E$1:$V$1)*W$1+INTERCEPT($E698:$V698,$E$1:$V$1))&gt;(AVERAGE($E698:$V698)+_xlfn.STDEV.P($E698:$V698)),(SLOPE($E698:$V698,$E$1:$V$1)*W$1+INTERCEPT($E698:$V698,$E$1:$V$1))&lt;(AVERAGE($E698:$V698)-_xlfn.STDEV.P($E698:$V698))),V698,(SLOPE($E698:$V698,$E$1:$V$1)*W$1+INTERCEPT($E698:$V698,$E$1:$V$1)))</f>
        <v>-1427.4535312602329</v>
      </c>
      <c r="X698" s="5">
        <f t="shared" si="706"/>
        <v>-1993.3908096446376</v>
      </c>
      <c r="Y698" s="5">
        <f t="shared" si="706"/>
        <v>-2559.328088029044</v>
      </c>
      <c r="Z698" s="5">
        <f t="shared" si="706"/>
        <v>-3125.2653664134486</v>
      </c>
      <c r="AA698" s="5">
        <f t="shared" si="706"/>
        <v>-3691.2026447978551</v>
      </c>
      <c r="AB698" s="5">
        <f t="shared" si="706"/>
        <v>-4257.1399231822616</v>
      </c>
      <c r="AC698" s="5">
        <f t="shared" si="706"/>
        <v>-4823.0772015666662</v>
      </c>
      <c r="AD698" s="5">
        <f t="shared" si="706"/>
        <v>-5389.0144799510726</v>
      </c>
      <c r="AE698" s="5">
        <f t="shared" si="706"/>
        <v>-5954.9517583354773</v>
      </c>
      <c r="AF698" s="5">
        <f t="shared" si="706"/>
        <v>-6520.8890367198837</v>
      </c>
      <c r="AG698" s="5">
        <f t="shared" si="706"/>
        <v>-7086.8263151042884</v>
      </c>
      <c r="AH698" s="5">
        <f t="shared" si="706"/>
        <v>-7652.763593488693</v>
      </c>
    </row>
    <row r="699" spans="1:34" x14ac:dyDescent="0.35">
      <c r="A699" t="s">
        <v>719</v>
      </c>
      <c r="B699" s="3" t="s">
        <v>1266</v>
      </c>
      <c r="C699" s="4" t="s">
        <v>1267</v>
      </c>
      <c r="D699" s="2">
        <f t="shared" si="651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ref="W699:AH699" si="707">IF(OR((SLOPE($E699:$V699,$E$1:$V$1)*W$1+INTERCEPT($E699:$V699,$E$1:$V$1))&gt;(AVERAGE($E699:$V699)+_xlfn.STDEV.P($E699:$V699)),(SLOPE($E699:$V699,$E$1:$V$1)*W$1+INTERCEPT($E699:$V699,$E$1:$V$1))&lt;(AVERAGE($E699:$V699)-_xlfn.STDEV.P($E699:$V699))),V699,(SLOPE($E699:$V699,$E$1:$V$1)*W$1+INTERCEPT($E699:$V699,$E$1:$V$1)))</f>
        <v>-3143.3810988906189</v>
      </c>
      <c r="X699" s="5">
        <f t="shared" si="707"/>
        <v>-3889.4854217104967</v>
      </c>
      <c r="Y699" s="5">
        <f t="shared" si="707"/>
        <v>-4635.5897445303744</v>
      </c>
      <c r="Z699" s="5">
        <f t="shared" si="707"/>
        <v>-5381.694067350254</v>
      </c>
      <c r="AA699" s="5">
        <f t="shared" si="707"/>
        <v>-5381.694067350254</v>
      </c>
      <c r="AB699" s="5">
        <f t="shared" si="707"/>
        <v>-5381.694067350254</v>
      </c>
      <c r="AC699" s="5">
        <f t="shared" si="707"/>
        <v>-5381.694067350254</v>
      </c>
      <c r="AD699" s="5">
        <f t="shared" si="707"/>
        <v>-5381.694067350254</v>
      </c>
      <c r="AE699" s="5">
        <f t="shared" si="707"/>
        <v>-5381.694067350254</v>
      </c>
      <c r="AF699" s="5">
        <f t="shared" si="707"/>
        <v>-5381.694067350254</v>
      </c>
      <c r="AG699" s="5">
        <f t="shared" si="707"/>
        <v>-5381.694067350254</v>
      </c>
      <c r="AH699" s="5">
        <f t="shared" si="707"/>
        <v>-5381.694067350254</v>
      </c>
    </row>
    <row r="700" spans="1:34" x14ac:dyDescent="0.35">
      <c r="A700" t="s">
        <v>720</v>
      </c>
      <c r="B700" s="3" t="s">
        <v>1265</v>
      </c>
      <c r="C700" s="4" t="s">
        <v>1263</v>
      </c>
      <c r="D700" s="2">
        <f t="shared" si="651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ref="W700:AH700" si="708">IF(OR((SLOPE($E700:$V700,$E$1:$V$1)*W$1+INTERCEPT($E700:$V700,$E$1:$V$1))&gt;(AVERAGE($E700:$V700)+_xlfn.STDEV.P($E700:$V700)),(SLOPE($E700:$V700,$E$1:$V$1)*W$1+INTERCEPT($E700:$V700,$E$1:$V$1))&lt;(AVERAGE($E700:$V700)-_xlfn.STDEV.P($E700:$V700))),V700,(SLOPE($E700:$V700,$E$1:$V$1)*W$1+INTERCEPT($E700:$V700,$E$1:$V$1)))</f>
        <v>5164.1104881347292</v>
      </c>
      <c r="X700" s="5">
        <f t="shared" si="708"/>
        <v>5296.2525170020454</v>
      </c>
      <c r="Y700" s="5">
        <f t="shared" si="708"/>
        <v>5428.3945458693615</v>
      </c>
      <c r="Z700" s="5">
        <f t="shared" si="708"/>
        <v>5560.5365747366777</v>
      </c>
      <c r="AA700" s="5">
        <f t="shared" si="708"/>
        <v>5692.6786036039948</v>
      </c>
      <c r="AB700" s="5">
        <f t="shared" si="708"/>
        <v>5824.820632471311</v>
      </c>
      <c r="AC700" s="5">
        <f t="shared" si="708"/>
        <v>5956.9626613386281</v>
      </c>
      <c r="AD700" s="5">
        <f t="shared" si="708"/>
        <v>6089.1046902059443</v>
      </c>
      <c r="AE700" s="5">
        <f t="shared" si="708"/>
        <v>6221.2467190732605</v>
      </c>
      <c r="AF700" s="5">
        <f t="shared" si="708"/>
        <v>6353.3887479405766</v>
      </c>
      <c r="AG700" s="5">
        <f t="shared" si="708"/>
        <v>6485.5307768078937</v>
      </c>
      <c r="AH700" s="5">
        <f t="shared" si="708"/>
        <v>6617.6728056752108</v>
      </c>
    </row>
    <row r="701" spans="1:34" x14ac:dyDescent="0.35">
      <c r="A701" t="s">
        <v>721</v>
      </c>
      <c r="B701" s="3" t="s">
        <v>1264</v>
      </c>
      <c r="C701" s="4" t="s">
        <v>1267</v>
      </c>
      <c r="D701" s="2">
        <f t="shared" si="651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ref="W701:AH701" si="709">IF(OR((SLOPE($E701:$V701,$E$1:$V$1)*W$1+INTERCEPT($E701:$V701,$E$1:$V$1))&gt;(AVERAGE($E701:$V701)+_xlfn.STDEV.P($E701:$V701)),(SLOPE($E701:$V701,$E$1:$V$1)*W$1+INTERCEPT($E701:$V701,$E$1:$V$1))&lt;(AVERAGE($E701:$V701)-_xlfn.STDEV.P($E701:$V701))),V701,(SLOPE($E701:$V701,$E$1:$V$1)*W$1+INTERCEPT($E701:$V701,$E$1:$V$1)))</f>
        <v>10095.949730330212</v>
      </c>
      <c r="X701" s="5">
        <f t="shared" si="709"/>
        <v>10748.080454538147</v>
      </c>
      <c r="Y701" s="5">
        <f t="shared" si="709"/>
        <v>11400.211178746078</v>
      </c>
      <c r="Z701" s="5">
        <f t="shared" si="709"/>
        <v>12052.341902954009</v>
      </c>
      <c r="AA701" s="5">
        <f t="shared" si="709"/>
        <v>12704.472627161944</v>
      </c>
      <c r="AB701" s="5">
        <f t="shared" si="709"/>
        <v>13356.603351369875</v>
      </c>
      <c r="AC701" s="5">
        <f t="shared" si="709"/>
        <v>14008.73407557781</v>
      </c>
      <c r="AD701" s="5">
        <f t="shared" si="709"/>
        <v>14660.864799785741</v>
      </c>
      <c r="AE701" s="5">
        <f t="shared" si="709"/>
        <v>15312.995523993672</v>
      </c>
      <c r="AF701" s="5">
        <f t="shared" si="709"/>
        <v>15965.126248201603</v>
      </c>
      <c r="AG701" s="5">
        <f t="shared" si="709"/>
        <v>16617.256972409537</v>
      </c>
      <c r="AH701" s="5">
        <f t="shared" si="709"/>
        <v>17269.387696617468</v>
      </c>
    </row>
    <row r="702" spans="1:34" x14ac:dyDescent="0.35">
      <c r="A702" t="s">
        <v>722</v>
      </c>
      <c r="B702" s="3" t="s">
        <v>1264</v>
      </c>
      <c r="C702" s="4" t="s">
        <v>1263</v>
      </c>
      <c r="D702" s="2">
        <f t="shared" si="651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ref="W702:AH702" si="710">IF(OR((SLOPE($E702:$V702,$E$1:$V$1)*W$1+INTERCEPT($E702:$V702,$E$1:$V$1))&gt;(AVERAGE($E702:$V702)+_xlfn.STDEV.P($E702:$V702)),(SLOPE($E702:$V702,$E$1:$V$1)*W$1+INTERCEPT($E702:$V702,$E$1:$V$1))&lt;(AVERAGE($E702:$V702)-_xlfn.STDEV.P($E702:$V702))),V702,(SLOPE($E702:$V702,$E$1:$V$1)*W$1+INTERCEPT($E702:$V702,$E$1:$V$1)))</f>
        <v>4430.1482875816982</v>
      </c>
      <c r="X702" s="5">
        <f t="shared" si="710"/>
        <v>4487.1399903680758</v>
      </c>
      <c r="Y702" s="5">
        <f t="shared" si="710"/>
        <v>4544.1316931544543</v>
      </c>
      <c r="Z702" s="5">
        <f t="shared" si="710"/>
        <v>4601.1233959408319</v>
      </c>
      <c r="AA702" s="5">
        <f t="shared" si="710"/>
        <v>4658.1150987272094</v>
      </c>
      <c r="AB702" s="5">
        <f t="shared" si="710"/>
        <v>4715.106801513587</v>
      </c>
      <c r="AC702" s="5">
        <f t="shared" si="710"/>
        <v>4772.0985042999655</v>
      </c>
      <c r="AD702" s="5">
        <f t="shared" si="710"/>
        <v>4829.0902070863431</v>
      </c>
      <c r="AE702" s="5">
        <f t="shared" si="710"/>
        <v>4886.0819098727206</v>
      </c>
      <c r="AF702" s="5">
        <f t="shared" si="710"/>
        <v>4943.0736126590982</v>
      </c>
      <c r="AG702" s="5">
        <f t="shared" si="710"/>
        <v>5000.0653154454758</v>
      </c>
      <c r="AH702" s="5">
        <f t="shared" si="710"/>
        <v>5057.0570182318534</v>
      </c>
    </row>
    <row r="703" spans="1:34" x14ac:dyDescent="0.35">
      <c r="A703" t="s">
        <v>723</v>
      </c>
      <c r="B703" s="3" t="s">
        <v>1266</v>
      </c>
      <c r="C703" s="4" t="s">
        <v>1263</v>
      </c>
      <c r="D703" s="2">
        <f t="shared" si="651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ref="W703:AH703" si="711">IF(OR((SLOPE($E703:$V703,$E$1:$V$1)*W$1+INTERCEPT($E703:$V703,$E$1:$V$1))&gt;(AVERAGE($E703:$V703)+_xlfn.STDEV.P($E703:$V703)),(SLOPE($E703:$V703,$E$1:$V$1)*W$1+INTERCEPT($E703:$V703,$E$1:$V$1))&lt;(AVERAGE($E703:$V703)-_xlfn.STDEV.P($E703:$V703))),V703,(SLOPE($E703:$V703,$E$1:$V$1)*W$1+INTERCEPT($E703:$V703,$E$1:$V$1)))</f>
        <v>3716.2670195274914</v>
      </c>
      <c r="X703" s="5">
        <f t="shared" si="711"/>
        <v>3699.8510858960908</v>
      </c>
      <c r="Y703" s="5">
        <f t="shared" si="711"/>
        <v>3683.4351522646898</v>
      </c>
      <c r="Z703" s="5">
        <f t="shared" si="711"/>
        <v>3667.0192186332888</v>
      </c>
      <c r="AA703" s="5">
        <f t="shared" si="711"/>
        <v>3650.6032850018883</v>
      </c>
      <c r="AB703" s="5">
        <f t="shared" si="711"/>
        <v>3634.1873513704872</v>
      </c>
      <c r="AC703" s="5">
        <f t="shared" si="711"/>
        <v>3617.7714177390862</v>
      </c>
      <c r="AD703" s="5">
        <f t="shared" si="711"/>
        <v>3601.3554841076857</v>
      </c>
      <c r="AE703" s="5">
        <f t="shared" si="711"/>
        <v>3584.9395504762847</v>
      </c>
      <c r="AF703" s="5">
        <f t="shared" si="711"/>
        <v>3568.5236168448837</v>
      </c>
      <c r="AG703" s="5">
        <f t="shared" si="711"/>
        <v>3552.1076832134831</v>
      </c>
      <c r="AH703" s="5">
        <f t="shared" si="711"/>
        <v>3535.6917495820821</v>
      </c>
    </row>
    <row r="704" spans="1:34" x14ac:dyDescent="0.35">
      <c r="A704" t="s">
        <v>724</v>
      </c>
      <c r="B704" s="3" t="s">
        <v>1264</v>
      </c>
      <c r="C704" s="4" t="s">
        <v>1263</v>
      </c>
      <c r="D704" s="2">
        <f t="shared" si="651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ref="W704:AH704" si="712">IF(OR((SLOPE($E704:$V704,$E$1:$V$1)*W$1+INTERCEPT($E704:$V704,$E$1:$V$1))&gt;(AVERAGE($E704:$V704)+_xlfn.STDEV.P($E704:$V704)),(SLOPE($E704:$V704,$E$1:$V$1)*W$1+INTERCEPT($E704:$V704,$E$1:$V$1))&lt;(AVERAGE($E704:$V704)-_xlfn.STDEV.P($E704:$V704))),V704,(SLOPE($E704:$V704,$E$1:$V$1)*W$1+INTERCEPT($E704:$V704,$E$1:$V$1)))</f>
        <v>6035.6008466586627</v>
      </c>
      <c r="X704" s="5">
        <f t="shared" si="712"/>
        <v>6035.6008466586627</v>
      </c>
      <c r="Y704" s="5">
        <f t="shared" si="712"/>
        <v>6035.6008466586627</v>
      </c>
      <c r="Z704" s="5">
        <f t="shared" si="712"/>
        <v>6035.6008466586627</v>
      </c>
      <c r="AA704" s="5">
        <f t="shared" si="712"/>
        <v>6035.6008466586627</v>
      </c>
      <c r="AB704" s="5">
        <f t="shared" si="712"/>
        <v>6035.6008466586627</v>
      </c>
      <c r="AC704" s="5">
        <f t="shared" si="712"/>
        <v>6035.6008466586627</v>
      </c>
      <c r="AD704" s="5">
        <f t="shared" si="712"/>
        <v>6035.6008466586627</v>
      </c>
      <c r="AE704" s="5">
        <f t="shared" si="712"/>
        <v>6035.6008466586627</v>
      </c>
      <c r="AF704" s="5">
        <f t="shared" si="712"/>
        <v>6035.6008466586627</v>
      </c>
      <c r="AG704" s="5">
        <f t="shared" si="712"/>
        <v>6035.6008466586627</v>
      </c>
      <c r="AH704" s="5">
        <f t="shared" si="712"/>
        <v>6035.6008466586627</v>
      </c>
    </row>
    <row r="705" spans="1:34" x14ac:dyDescent="0.35">
      <c r="A705" t="s">
        <v>725</v>
      </c>
      <c r="B705" s="3" t="s">
        <v>1266</v>
      </c>
      <c r="C705" s="4" t="s">
        <v>1267</v>
      </c>
      <c r="D705" s="2">
        <f t="shared" si="651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ref="W705:AH705" si="713">IF(OR((SLOPE($E705:$V705,$E$1:$V$1)*W$1+INTERCEPT($E705:$V705,$E$1:$V$1))&gt;(AVERAGE($E705:$V705)+_xlfn.STDEV.P($E705:$V705)),(SLOPE($E705:$V705,$E$1:$V$1)*W$1+INTERCEPT($E705:$V705,$E$1:$V$1))&lt;(AVERAGE($E705:$V705)-_xlfn.STDEV.P($E705:$V705))),V705,(SLOPE($E705:$V705,$E$1:$V$1)*W$1+INTERCEPT($E705:$V705,$E$1:$V$1)))</f>
        <v>-4970.7351525521299</v>
      </c>
      <c r="X705" s="5">
        <f t="shared" si="713"/>
        <v>-5898.2886020714286</v>
      </c>
      <c r="Y705" s="5">
        <f t="shared" si="713"/>
        <v>-6825.8420515907237</v>
      </c>
      <c r="Z705" s="5">
        <f t="shared" si="713"/>
        <v>-7753.3955011100225</v>
      </c>
      <c r="AA705" s="5">
        <f t="shared" si="713"/>
        <v>-8680.9489506293212</v>
      </c>
      <c r="AB705" s="5">
        <f t="shared" si="713"/>
        <v>-9608.5024001486163</v>
      </c>
      <c r="AC705" s="5">
        <f t="shared" si="713"/>
        <v>-10536.055849667915</v>
      </c>
      <c r="AD705" s="5">
        <f t="shared" si="713"/>
        <v>-11463.60929918721</v>
      </c>
      <c r="AE705" s="5">
        <f t="shared" si="713"/>
        <v>-11463.60929918721</v>
      </c>
      <c r="AF705" s="5">
        <f t="shared" si="713"/>
        <v>-11463.60929918721</v>
      </c>
      <c r="AG705" s="5">
        <f t="shared" si="713"/>
        <v>-11463.60929918721</v>
      </c>
      <c r="AH705" s="5">
        <f t="shared" si="713"/>
        <v>-11463.60929918721</v>
      </c>
    </row>
    <row r="706" spans="1:34" x14ac:dyDescent="0.35">
      <c r="A706" t="s">
        <v>726</v>
      </c>
      <c r="B706" s="3" t="s">
        <v>1266</v>
      </c>
      <c r="C706" s="4" t="s">
        <v>1263</v>
      </c>
      <c r="D706" s="2">
        <f t="shared" si="651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ref="W706:AH706" si="714">IF(OR((SLOPE($E706:$V706,$E$1:$V$1)*W$1+INTERCEPT($E706:$V706,$E$1:$V$1))&gt;(AVERAGE($E706:$V706)+_xlfn.STDEV.P($E706:$V706)),(SLOPE($E706:$V706,$E$1:$V$1)*W$1+INTERCEPT($E706:$V706,$E$1:$V$1))&lt;(AVERAGE($E706:$V706)-_xlfn.STDEV.P($E706:$V706))),V706,(SLOPE($E706:$V706,$E$1:$V$1)*W$1+INTERCEPT($E706:$V706,$E$1:$V$1)))</f>
        <v>-3460.5529411764728</v>
      </c>
      <c r="X706" s="5">
        <f t="shared" si="714"/>
        <v>-4228.6848297213655</v>
      </c>
      <c r="Y706" s="5">
        <f t="shared" si="714"/>
        <v>-4996.8167182662582</v>
      </c>
      <c r="Z706" s="5">
        <f t="shared" si="714"/>
        <v>-5764.9486068111473</v>
      </c>
      <c r="AA706" s="5">
        <f t="shared" si="714"/>
        <v>-6533.08049535604</v>
      </c>
      <c r="AB706" s="5">
        <f t="shared" si="714"/>
        <v>-6533.08049535604</v>
      </c>
      <c r="AC706" s="5">
        <f t="shared" si="714"/>
        <v>-6533.08049535604</v>
      </c>
      <c r="AD706" s="5">
        <f t="shared" si="714"/>
        <v>-6533.08049535604</v>
      </c>
      <c r="AE706" s="5">
        <f t="shared" si="714"/>
        <v>-6533.08049535604</v>
      </c>
      <c r="AF706" s="5">
        <f t="shared" si="714"/>
        <v>-6533.08049535604</v>
      </c>
      <c r="AG706" s="5">
        <f t="shared" si="714"/>
        <v>-6533.08049535604</v>
      </c>
      <c r="AH706" s="5">
        <f t="shared" si="714"/>
        <v>-6533.08049535604</v>
      </c>
    </row>
    <row r="707" spans="1:34" x14ac:dyDescent="0.35">
      <c r="A707" t="s">
        <v>727</v>
      </c>
      <c r="B707" s="3" t="s">
        <v>1264</v>
      </c>
      <c r="C707" s="4" t="s">
        <v>1267</v>
      </c>
      <c r="D707" s="2">
        <f t="shared" si="651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ref="W707:AH707" si="715">IF(OR((SLOPE($E707:$V707,$E$1:$V$1)*W$1+INTERCEPT($E707:$V707,$E$1:$V$1))&gt;(AVERAGE($E707:$V707)+_xlfn.STDEV.P($E707:$V707)),(SLOPE($E707:$V707,$E$1:$V$1)*W$1+INTERCEPT($E707:$V707,$E$1:$V$1))&lt;(AVERAGE($E707:$V707)-_xlfn.STDEV.P($E707:$V707))),V707,(SLOPE($E707:$V707,$E$1:$V$1)*W$1+INTERCEPT($E707:$V707,$E$1:$V$1)))</f>
        <v>9904.6034296268772</v>
      </c>
      <c r="X707" s="5">
        <f t="shared" si="715"/>
        <v>10544.374464554929</v>
      </c>
      <c r="Y707" s="5">
        <f t="shared" si="715"/>
        <v>11184.14549948298</v>
      </c>
      <c r="Z707" s="5">
        <f t="shared" si="715"/>
        <v>11823.916534411032</v>
      </c>
      <c r="AA707" s="5">
        <f t="shared" si="715"/>
        <v>12463.687569339083</v>
      </c>
      <c r="AB707" s="5">
        <f t="shared" si="715"/>
        <v>13103.458604267134</v>
      </c>
      <c r="AC707" s="5">
        <f t="shared" si="715"/>
        <v>13743.229639195188</v>
      </c>
      <c r="AD707" s="5">
        <f t="shared" si="715"/>
        <v>14383.000674123237</v>
      </c>
      <c r="AE707" s="5">
        <f t="shared" si="715"/>
        <v>15022.771709051291</v>
      </c>
      <c r="AF707" s="5">
        <f t="shared" si="715"/>
        <v>15662.542743979344</v>
      </c>
      <c r="AG707" s="5">
        <f t="shared" si="715"/>
        <v>16302.313778907393</v>
      </c>
      <c r="AH707" s="5">
        <f t="shared" si="715"/>
        <v>16942.084813835449</v>
      </c>
    </row>
    <row r="708" spans="1:34" x14ac:dyDescent="0.35">
      <c r="A708" t="s">
        <v>728</v>
      </c>
      <c r="B708" s="3" t="s">
        <v>1266</v>
      </c>
      <c r="C708" s="4" t="s">
        <v>1267</v>
      </c>
      <c r="D708" s="2">
        <f t="shared" ref="D708:D771" si="716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ref="W708:AH708" si="717">IF(OR((SLOPE($E708:$V708,$E$1:$V$1)*W$1+INTERCEPT($E708:$V708,$E$1:$V$1))&gt;(AVERAGE($E708:$V708)+_xlfn.STDEV.P($E708:$V708)),(SLOPE($E708:$V708,$E$1:$V$1)*W$1+INTERCEPT($E708:$V708,$E$1:$V$1))&lt;(AVERAGE($E708:$V708)-_xlfn.STDEV.P($E708:$V708))),V708,(SLOPE($E708:$V708,$E$1:$V$1)*W$1+INTERCEPT($E708:$V708,$E$1:$V$1)))</f>
        <v>2159.7769830957113</v>
      </c>
      <c r="X708" s="5">
        <f t="shared" si="717"/>
        <v>1986.832435201205</v>
      </c>
      <c r="Y708" s="5">
        <f t="shared" si="717"/>
        <v>1813.8878873066992</v>
      </c>
      <c r="Z708" s="5">
        <f t="shared" si="717"/>
        <v>1640.9433394121929</v>
      </c>
      <c r="AA708" s="5">
        <f t="shared" si="717"/>
        <v>1467.9987915176866</v>
      </c>
      <c r="AB708" s="5">
        <f t="shared" si="717"/>
        <v>1295.0542436231808</v>
      </c>
      <c r="AC708" s="5">
        <f t="shared" si="717"/>
        <v>1122.1096957286745</v>
      </c>
      <c r="AD708" s="5">
        <f t="shared" si="717"/>
        <v>949.16514783416824</v>
      </c>
      <c r="AE708" s="5">
        <f t="shared" si="717"/>
        <v>776.22059993966195</v>
      </c>
      <c r="AF708" s="5">
        <f t="shared" si="717"/>
        <v>603.27605204515567</v>
      </c>
      <c r="AG708" s="5">
        <f t="shared" si="717"/>
        <v>430.33150415064938</v>
      </c>
      <c r="AH708" s="5">
        <f t="shared" si="717"/>
        <v>257.38695625614309</v>
      </c>
    </row>
    <row r="709" spans="1:34" x14ac:dyDescent="0.35">
      <c r="A709" t="s">
        <v>729</v>
      </c>
      <c r="B709" s="3" t="s">
        <v>1266</v>
      </c>
      <c r="C709" s="4" t="s">
        <v>1267</v>
      </c>
      <c r="D709" s="2">
        <f t="shared" si="716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H709" si="718">IF(OR((SLOPE($E709:$V709,$E$1:$V$1)*W$1+INTERCEPT($E709:$V709,$E$1:$V$1))&gt;(AVERAGE($E709:$V709)+_xlfn.STDEV.P($E709:$V709)),(SLOPE($E709:$V709,$E$1:$V$1)*W$1+INTERCEPT($E709:$V709,$E$1:$V$1))&lt;(AVERAGE($E709:$V709)-_xlfn.STDEV.P($E709:$V709))),V709,(SLOPE($E709:$V709,$E$1:$V$1)*W$1+INTERCEPT($E709:$V709,$E$1:$V$1)))</f>
        <v>5161.8392183006526</v>
      </c>
      <c r="X709" s="5">
        <f t="shared" si="718"/>
        <v>5305.2151196422419</v>
      </c>
      <c r="Y709" s="5">
        <f t="shared" si="718"/>
        <v>5448.5910209838312</v>
      </c>
      <c r="Z709" s="5">
        <f t="shared" si="718"/>
        <v>5591.9669223254205</v>
      </c>
      <c r="AA709" s="5">
        <f t="shared" si="718"/>
        <v>5735.3428236670097</v>
      </c>
      <c r="AB709" s="5">
        <f t="shared" si="718"/>
        <v>5878.718725008599</v>
      </c>
      <c r="AC709" s="5">
        <f t="shared" si="718"/>
        <v>6022.0946263501883</v>
      </c>
      <c r="AD709" s="5">
        <f t="shared" si="718"/>
        <v>6165.4705276917775</v>
      </c>
      <c r="AE709" s="5">
        <f t="shared" si="718"/>
        <v>6308.8464290333668</v>
      </c>
      <c r="AF709" s="5">
        <f t="shared" si="718"/>
        <v>6452.2223303749561</v>
      </c>
      <c r="AG709" s="5">
        <f t="shared" si="718"/>
        <v>6595.5982317165453</v>
      </c>
      <c r="AH709" s="5">
        <f t="shared" si="718"/>
        <v>6738.9741330581346</v>
      </c>
    </row>
    <row r="710" spans="1:34" x14ac:dyDescent="0.35">
      <c r="A710" t="s">
        <v>730</v>
      </c>
      <c r="B710" s="3" t="s">
        <v>1264</v>
      </c>
      <c r="C710" s="4" t="s">
        <v>1263</v>
      </c>
      <c r="D710" s="2">
        <f t="shared" si="716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ref="W710:AH710" si="719">IF(OR((SLOPE($E710:$V710,$E$1:$V$1)*W$1+INTERCEPT($E710:$V710,$E$1:$V$1))&gt;(AVERAGE($E710:$V710)+_xlfn.STDEV.P($E710:$V710)),(SLOPE($E710:$V710,$E$1:$V$1)*W$1+INTERCEPT($E710:$V710,$E$1:$V$1))&lt;(AVERAGE($E710:$V710)-_xlfn.STDEV.P($E710:$V710))),V710,(SLOPE($E710:$V710,$E$1:$V$1)*W$1+INTERCEPT($E710:$V710,$E$1:$V$1)))</f>
        <v>1727.6312391102274</v>
      </c>
      <c r="X710" s="5">
        <f t="shared" si="719"/>
        <v>1509.8736427611047</v>
      </c>
      <c r="Y710" s="5">
        <f t="shared" si="719"/>
        <v>1292.1160464119812</v>
      </c>
      <c r="Z710" s="5">
        <f t="shared" si="719"/>
        <v>1074.3584500628585</v>
      </c>
      <c r="AA710" s="5">
        <f t="shared" si="719"/>
        <v>856.60085371373498</v>
      </c>
      <c r="AB710" s="5">
        <f t="shared" si="719"/>
        <v>638.84325736461233</v>
      </c>
      <c r="AC710" s="5">
        <f t="shared" si="719"/>
        <v>421.08566101548877</v>
      </c>
      <c r="AD710" s="5">
        <f t="shared" si="719"/>
        <v>203.32806466636612</v>
      </c>
      <c r="AE710" s="5">
        <f t="shared" si="719"/>
        <v>-14.429531682757442</v>
      </c>
      <c r="AF710" s="5">
        <f t="shared" si="719"/>
        <v>-232.18712803188009</v>
      </c>
      <c r="AG710" s="5">
        <f t="shared" si="719"/>
        <v>-449.94472438100365</v>
      </c>
      <c r="AH710" s="5">
        <f t="shared" si="719"/>
        <v>-667.7023207301263</v>
      </c>
    </row>
    <row r="711" spans="1:34" x14ac:dyDescent="0.35">
      <c r="A711" t="s">
        <v>731</v>
      </c>
      <c r="B711" s="3" t="s">
        <v>1266</v>
      </c>
      <c r="C711" s="4" t="s">
        <v>1266</v>
      </c>
      <c r="D711" s="2">
        <f t="shared" si="716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ref="W711:AH711" si="720">IF(OR((SLOPE($E711:$V711,$E$1:$V$1)*W$1+INTERCEPT($E711:$V711,$E$1:$V$1))&gt;(AVERAGE($E711:$V711)+_xlfn.STDEV.P($E711:$V711)),(SLOPE($E711:$V711,$E$1:$V$1)*W$1+INTERCEPT($E711:$V711,$E$1:$V$1))&lt;(AVERAGE($E711:$V711)-_xlfn.STDEV.P($E711:$V711))),V711,(SLOPE($E711:$V711,$E$1:$V$1)*W$1+INTERCEPT($E711:$V711,$E$1:$V$1)))</f>
        <v>7667.058697336025</v>
      </c>
      <c r="X711" s="5">
        <f t="shared" si="720"/>
        <v>8075.6221327485755</v>
      </c>
      <c r="Y711" s="5">
        <f t="shared" si="720"/>
        <v>8484.1855681611269</v>
      </c>
      <c r="Z711" s="5">
        <f t="shared" si="720"/>
        <v>8892.7490035736773</v>
      </c>
      <c r="AA711" s="5">
        <f t="shared" si="720"/>
        <v>9301.3124389862278</v>
      </c>
      <c r="AB711" s="5">
        <f t="shared" si="720"/>
        <v>9709.8758743987783</v>
      </c>
      <c r="AC711" s="5">
        <f t="shared" si="720"/>
        <v>10118.439309811329</v>
      </c>
      <c r="AD711" s="5">
        <f t="shared" si="720"/>
        <v>10527.002745223879</v>
      </c>
      <c r="AE711" s="5">
        <f t="shared" si="720"/>
        <v>10935.566180636426</v>
      </c>
      <c r="AF711" s="5">
        <f t="shared" si="720"/>
        <v>11344.129616048976</v>
      </c>
      <c r="AG711" s="5">
        <f t="shared" si="720"/>
        <v>11752.693051461527</v>
      </c>
      <c r="AH711" s="5">
        <f t="shared" si="720"/>
        <v>12161.256486874077</v>
      </c>
    </row>
    <row r="712" spans="1:34" x14ac:dyDescent="0.35">
      <c r="A712" t="s">
        <v>732</v>
      </c>
      <c r="B712" s="3" t="s">
        <v>1265</v>
      </c>
      <c r="C712" s="4" t="s">
        <v>1263</v>
      </c>
      <c r="D712" s="2">
        <f t="shared" si="716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ref="W712:AH712" si="721">IF(OR((SLOPE($E712:$V712,$E$1:$V$1)*W$1+INTERCEPT($E712:$V712,$E$1:$V$1))&gt;(AVERAGE($E712:$V712)+_xlfn.STDEV.P($E712:$V712)),(SLOPE($E712:$V712,$E$1:$V$1)*W$1+INTERCEPT($E712:$V712,$E$1:$V$1))&lt;(AVERAGE($E712:$V712)-_xlfn.STDEV.P($E712:$V712))),V712,(SLOPE($E712:$V712,$E$1:$V$1)*W$1+INTERCEPT($E712:$V712,$E$1:$V$1)))</f>
        <v>-3151.0879647058828</v>
      </c>
      <c r="X712" s="5">
        <f t="shared" si="721"/>
        <v>-3879.7918136222906</v>
      </c>
      <c r="Y712" s="5">
        <f t="shared" si="721"/>
        <v>-3879.7918136222906</v>
      </c>
      <c r="Z712" s="5">
        <f t="shared" si="721"/>
        <v>-3879.7918136222906</v>
      </c>
      <c r="AA712" s="5">
        <f t="shared" si="721"/>
        <v>-3879.7918136222906</v>
      </c>
      <c r="AB712" s="5">
        <f t="shared" si="721"/>
        <v>-3879.7918136222906</v>
      </c>
      <c r="AC712" s="5">
        <f t="shared" si="721"/>
        <v>-3879.7918136222906</v>
      </c>
      <c r="AD712" s="5">
        <f t="shared" si="721"/>
        <v>-3879.7918136222906</v>
      </c>
      <c r="AE712" s="5">
        <f t="shared" si="721"/>
        <v>-3879.7918136222906</v>
      </c>
      <c r="AF712" s="5">
        <f t="shared" si="721"/>
        <v>-3879.7918136222906</v>
      </c>
      <c r="AG712" s="5">
        <f t="shared" si="721"/>
        <v>-3879.7918136222906</v>
      </c>
      <c r="AH712" s="5">
        <f t="shared" si="721"/>
        <v>-3879.7918136222906</v>
      </c>
    </row>
    <row r="713" spans="1:34" x14ac:dyDescent="0.35">
      <c r="A713" t="s">
        <v>733</v>
      </c>
      <c r="B713" s="3" t="s">
        <v>1266</v>
      </c>
      <c r="C713" s="4" t="s">
        <v>1263</v>
      </c>
      <c r="D713" s="2">
        <f t="shared" si="716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ref="W713:AH713" si="722">IF(OR((SLOPE($E713:$V713,$E$1:$V$1)*W$1+INTERCEPT($E713:$V713,$E$1:$V$1))&gt;(AVERAGE($E713:$V713)+_xlfn.STDEV.P($E713:$V713)),(SLOPE($E713:$V713,$E$1:$V$1)*W$1+INTERCEPT($E713:$V713,$E$1:$V$1))&lt;(AVERAGE($E713:$V713)-_xlfn.STDEV.P($E713:$V713))),V713,(SLOPE($E713:$V713,$E$1:$V$1)*W$1+INTERCEPT($E713:$V713,$E$1:$V$1)))</f>
        <v>3584.1409414495574</v>
      </c>
      <c r="X713" s="5">
        <f t="shared" si="722"/>
        <v>3568.8804769806775</v>
      </c>
      <c r="Y713" s="5">
        <f t="shared" si="722"/>
        <v>3553.6200125117971</v>
      </c>
      <c r="Z713" s="5">
        <f t="shared" si="722"/>
        <v>3538.3595480429171</v>
      </c>
      <c r="AA713" s="5">
        <f t="shared" si="722"/>
        <v>3523.0990835740367</v>
      </c>
      <c r="AB713" s="5">
        <f t="shared" si="722"/>
        <v>3507.8386191051568</v>
      </c>
      <c r="AC713" s="5">
        <f t="shared" si="722"/>
        <v>3492.5781546362764</v>
      </c>
      <c r="AD713" s="5">
        <f t="shared" si="722"/>
        <v>3477.317690167396</v>
      </c>
      <c r="AE713" s="5">
        <f t="shared" si="722"/>
        <v>3462.057225698516</v>
      </c>
      <c r="AF713" s="5">
        <f t="shared" si="722"/>
        <v>3446.7967612296361</v>
      </c>
      <c r="AG713" s="5">
        <f t="shared" si="722"/>
        <v>3431.5362967607557</v>
      </c>
      <c r="AH713" s="5">
        <f t="shared" si="722"/>
        <v>3416.2758322918753</v>
      </c>
    </row>
    <row r="714" spans="1:34" x14ac:dyDescent="0.35">
      <c r="A714" t="s">
        <v>734</v>
      </c>
      <c r="B714" s="3" t="s">
        <v>1265</v>
      </c>
      <c r="C714" s="4" t="s">
        <v>1263</v>
      </c>
      <c r="D714" s="2">
        <f t="shared" si="716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ref="W714:AH714" si="723">IF(OR((SLOPE($E714:$V714,$E$1:$V$1)*W$1+INTERCEPT($E714:$V714,$E$1:$V$1))&gt;(AVERAGE($E714:$V714)+_xlfn.STDEV.P($E714:$V714)),(SLOPE($E714:$V714,$E$1:$V$1)*W$1+INTERCEPT($E714:$V714,$E$1:$V$1))&lt;(AVERAGE($E714:$V714)-_xlfn.STDEV.P($E714:$V714))),V714,(SLOPE($E714:$V714,$E$1:$V$1)*W$1+INTERCEPT($E714:$V714,$E$1:$V$1)))</f>
        <v>2367.7408467310429</v>
      </c>
      <c r="X714" s="5">
        <f t="shared" si="723"/>
        <v>2228.5070576032631</v>
      </c>
      <c r="Y714" s="5">
        <f t="shared" si="723"/>
        <v>2089.2732684754837</v>
      </c>
      <c r="Z714" s="5">
        <f t="shared" si="723"/>
        <v>1950.0394793477044</v>
      </c>
      <c r="AA714" s="5">
        <f t="shared" si="723"/>
        <v>1810.8056902199246</v>
      </c>
      <c r="AB714" s="5">
        <f t="shared" si="723"/>
        <v>1671.5719010921453</v>
      </c>
      <c r="AC714" s="5">
        <f t="shared" si="723"/>
        <v>1532.3381119643659</v>
      </c>
      <c r="AD714" s="5">
        <f t="shared" si="723"/>
        <v>1393.1043228365861</v>
      </c>
      <c r="AE714" s="5">
        <f t="shared" si="723"/>
        <v>1253.8705337088068</v>
      </c>
      <c r="AF714" s="5">
        <f t="shared" si="723"/>
        <v>1114.6367445810274</v>
      </c>
      <c r="AG714" s="5">
        <f t="shared" si="723"/>
        <v>975.40295545324761</v>
      </c>
      <c r="AH714" s="5">
        <f t="shared" si="723"/>
        <v>836.16916632546781</v>
      </c>
    </row>
    <row r="715" spans="1:34" x14ac:dyDescent="0.35">
      <c r="A715" t="s">
        <v>735</v>
      </c>
      <c r="B715" s="3" t="s">
        <v>1266</v>
      </c>
      <c r="C715" s="4" t="s">
        <v>1266</v>
      </c>
      <c r="D715" s="2">
        <f t="shared" si="716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ref="W715:AH715" si="724">IF(OR((SLOPE($E715:$V715,$E$1:$V$1)*W$1+INTERCEPT($E715:$V715,$E$1:$V$1))&gt;(AVERAGE($E715:$V715)+_xlfn.STDEV.P($E715:$V715)),(SLOPE($E715:$V715,$E$1:$V$1)*W$1+INTERCEPT($E715:$V715,$E$1:$V$1))&lt;(AVERAGE($E715:$V715)-_xlfn.STDEV.P($E715:$V715))),V715,(SLOPE($E715:$V715,$E$1:$V$1)*W$1+INTERCEPT($E715:$V715,$E$1:$V$1)))</f>
        <v>7497.6762652190773</v>
      </c>
      <c r="X715" s="5">
        <f t="shared" si="724"/>
        <v>7903.8702891970388</v>
      </c>
      <c r="Y715" s="5">
        <f t="shared" si="724"/>
        <v>8310.0643131750003</v>
      </c>
      <c r="Z715" s="5">
        <f t="shared" si="724"/>
        <v>8716.2583371529636</v>
      </c>
      <c r="AA715" s="5">
        <f t="shared" si="724"/>
        <v>9122.4523611309269</v>
      </c>
      <c r="AB715" s="5">
        <f t="shared" si="724"/>
        <v>9528.6463851088884</v>
      </c>
      <c r="AC715" s="5">
        <f t="shared" si="724"/>
        <v>9934.8404090868517</v>
      </c>
      <c r="AD715" s="5">
        <f t="shared" si="724"/>
        <v>10341.034433064813</v>
      </c>
      <c r="AE715" s="5">
        <f t="shared" si="724"/>
        <v>10747.228457042776</v>
      </c>
      <c r="AF715" s="5">
        <f t="shared" si="724"/>
        <v>11153.42248102074</v>
      </c>
      <c r="AG715" s="5">
        <f t="shared" si="724"/>
        <v>11559.616504998701</v>
      </c>
      <c r="AH715" s="5">
        <f t="shared" si="724"/>
        <v>11965.810528976665</v>
      </c>
    </row>
    <row r="716" spans="1:34" x14ac:dyDescent="0.35">
      <c r="A716" t="s">
        <v>736</v>
      </c>
      <c r="B716" s="3" t="s">
        <v>1266</v>
      </c>
      <c r="C716" s="4" t="s">
        <v>1267</v>
      </c>
      <c r="D716" s="2">
        <f t="shared" si="716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ref="W716:AH716" si="725">IF(OR((SLOPE($E716:$V716,$E$1:$V$1)*W$1+INTERCEPT($E716:$V716,$E$1:$V$1))&gt;(AVERAGE($E716:$V716)+_xlfn.STDEV.P($E716:$V716)),(SLOPE($E716:$V716,$E$1:$V$1)*W$1+INTERCEPT($E716:$V716,$E$1:$V$1))&lt;(AVERAGE($E716:$V716)-_xlfn.STDEV.P($E716:$V716))),V716,(SLOPE($E716:$V716,$E$1:$V$1)*W$1+INTERCEPT($E716:$V716,$E$1:$V$1)))</f>
        <v>8120.9403304309235</v>
      </c>
      <c r="X716" s="5">
        <f t="shared" si="725"/>
        <v>8593.8054140698678</v>
      </c>
      <c r="Y716" s="5">
        <f t="shared" si="725"/>
        <v>9066.670497708812</v>
      </c>
      <c r="Z716" s="5">
        <f t="shared" si="725"/>
        <v>9539.5355813477563</v>
      </c>
      <c r="AA716" s="5">
        <f t="shared" si="725"/>
        <v>10012.400664986701</v>
      </c>
      <c r="AB716" s="5">
        <f t="shared" si="725"/>
        <v>10485.265748625643</v>
      </c>
      <c r="AC716" s="5">
        <f t="shared" si="725"/>
        <v>10958.130832264587</v>
      </c>
      <c r="AD716" s="5">
        <f t="shared" si="725"/>
        <v>11430.995915903532</v>
      </c>
      <c r="AE716" s="5">
        <f t="shared" si="725"/>
        <v>11903.860999542476</v>
      </c>
      <c r="AF716" s="5">
        <f t="shared" si="725"/>
        <v>12376.72608318142</v>
      </c>
      <c r="AG716" s="5">
        <f t="shared" si="725"/>
        <v>12376.72608318142</v>
      </c>
      <c r="AH716" s="5">
        <f t="shared" si="725"/>
        <v>12376.72608318142</v>
      </c>
    </row>
    <row r="717" spans="1:34" x14ac:dyDescent="0.35">
      <c r="A717" t="s">
        <v>737</v>
      </c>
      <c r="B717" s="3" t="s">
        <v>1266</v>
      </c>
      <c r="C717" s="4" t="s">
        <v>1263</v>
      </c>
      <c r="D717" s="2">
        <f t="shared" si="716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ref="W717:AH717" si="726">IF(OR((SLOPE($E717:$V717,$E$1:$V$1)*W$1+INTERCEPT($E717:$V717,$E$1:$V$1))&gt;(AVERAGE($E717:$V717)+_xlfn.STDEV.P($E717:$V717)),(SLOPE($E717:$V717,$E$1:$V$1)*W$1+INTERCEPT($E717:$V717,$E$1:$V$1))&lt;(AVERAGE($E717:$V717)-_xlfn.STDEV.P($E717:$V717))),V717,(SLOPE($E717:$V717,$E$1:$V$1)*W$1+INTERCEPT($E717:$V717,$E$1:$V$1)))</f>
        <v>-3746.3897200365027</v>
      </c>
      <c r="X717" s="5">
        <f t="shared" si="726"/>
        <v>-4522.088483456977</v>
      </c>
      <c r="Y717" s="5">
        <f t="shared" si="726"/>
        <v>-5297.7872468774513</v>
      </c>
      <c r="Z717" s="5">
        <f t="shared" si="726"/>
        <v>-6073.4860102979255</v>
      </c>
      <c r="AA717" s="5">
        <f t="shared" si="726"/>
        <v>-6849.1847737183998</v>
      </c>
      <c r="AB717" s="5">
        <f t="shared" si="726"/>
        <v>-7624.8835371388741</v>
      </c>
      <c r="AC717" s="5">
        <f t="shared" si="726"/>
        <v>-7624.8835371388741</v>
      </c>
      <c r="AD717" s="5">
        <f t="shared" si="726"/>
        <v>-7624.8835371388741</v>
      </c>
      <c r="AE717" s="5">
        <f t="shared" si="726"/>
        <v>-7624.8835371388741</v>
      </c>
      <c r="AF717" s="5">
        <f t="shared" si="726"/>
        <v>-7624.8835371388741</v>
      </c>
      <c r="AG717" s="5">
        <f t="shared" si="726"/>
        <v>-7624.8835371388741</v>
      </c>
      <c r="AH717" s="5">
        <f t="shared" si="726"/>
        <v>-7624.8835371388741</v>
      </c>
    </row>
    <row r="718" spans="1:34" x14ac:dyDescent="0.35">
      <c r="A718" t="s">
        <v>738</v>
      </c>
      <c r="B718" s="3" t="s">
        <v>1266</v>
      </c>
      <c r="C718" s="4" t="s">
        <v>1263</v>
      </c>
      <c r="D718" s="2">
        <f t="shared" si="716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ref="W718:AH718" si="727">IF(OR((SLOPE($E718:$V718,$E$1:$V$1)*W$1+INTERCEPT($E718:$V718,$E$1:$V$1))&gt;(AVERAGE($E718:$V718)+_xlfn.STDEV.P($E718:$V718)),(SLOPE($E718:$V718,$E$1:$V$1)*W$1+INTERCEPT($E718:$V718,$E$1:$V$1))&lt;(AVERAGE($E718:$V718)-_xlfn.STDEV.P($E718:$V718))),V718,(SLOPE($E718:$V718,$E$1:$V$1)*W$1+INTERCEPT($E718:$V718,$E$1:$V$1)))</f>
        <v>882.91889411764623</v>
      </c>
      <c r="X718" s="5">
        <f t="shared" si="727"/>
        <v>596.91441981424123</v>
      </c>
      <c r="Y718" s="5">
        <f t="shared" si="727"/>
        <v>310.90994551083531</v>
      </c>
      <c r="Z718" s="5">
        <f t="shared" si="727"/>
        <v>24.9054712074294</v>
      </c>
      <c r="AA718" s="5">
        <f t="shared" si="727"/>
        <v>24.9054712074294</v>
      </c>
      <c r="AB718" s="5">
        <f t="shared" si="727"/>
        <v>24.9054712074294</v>
      </c>
      <c r="AC718" s="5">
        <f t="shared" si="727"/>
        <v>24.9054712074294</v>
      </c>
      <c r="AD718" s="5">
        <f t="shared" si="727"/>
        <v>24.9054712074294</v>
      </c>
      <c r="AE718" s="5">
        <f t="shared" si="727"/>
        <v>24.9054712074294</v>
      </c>
      <c r="AF718" s="5">
        <f t="shared" si="727"/>
        <v>24.9054712074294</v>
      </c>
      <c r="AG718" s="5">
        <f t="shared" si="727"/>
        <v>24.9054712074294</v>
      </c>
      <c r="AH718" s="5">
        <f t="shared" si="727"/>
        <v>24.9054712074294</v>
      </c>
    </row>
    <row r="719" spans="1:34" x14ac:dyDescent="0.35">
      <c r="A719" t="s">
        <v>739</v>
      </c>
      <c r="B719" s="3" t="s">
        <v>1265</v>
      </c>
      <c r="C719" s="4" t="s">
        <v>1263</v>
      </c>
      <c r="D719" s="2">
        <f t="shared" si="716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ref="W719:AH719" si="728">IF(OR((SLOPE($E719:$V719,$E$1:$V$1)*W$1+INTERCEPT($E719:$V719,$E$1:$V$1))&gt;(AVERAGE($E719:$V719)+_xlfn.STDEV.P($E719:$V719)),(SLOPE($E719:$V719,$E$1:$V$1)*W$1+INTERCEPT($E719:$V719,$E$1:$V$1))&lt;(AVERAGE($E719:$V719)-_xlfn.STDEV.P($E719:$V719))),V719,(SLOPE($E719:$V719,$E$1:$V$1)*W$1+INTERCEPT($E719:$V719,$E$1:$V$1)))</f>
        <v>8248.2964026372974</v>
      </c>
      <c r="X719" s="5">
        <f t="shared" si="728"/>
        <v>8770.5578734175542</v>
      </c>
      <c r="Y719" s="5">
        <f t="shared" si="728"/>
        <v>9292.8193441978146</v>
      </c>
      <c r="Z719" s="5">
        <f t="shared" si="728"/>
        <v>9815.0808149780714</v>
      </c>
      <c r="AA719" s="5">
        <f t="shared" si="728"/>
        <v>10337.342285758328</v>
      </c>
      <c r="AB719" s="5">
        <f t="shared" si="728"/>
        <v>10859.603756538589</v>
      </c>
      <c r="AC719" s="5">
        <f t="shared" si="728"/>
        <v>11381.865227318845</v>
      </c>
      <c r="AD719" s="5">
        <f t="shared" si="728"/>
        <v>11904.126698099102</v>
      </c>
      <c r="AE719" s="5">
        <f t="shared" si="728"/>
        <v>12426.388168879359</v>
      </c>
      <c r="AF719" s="5">
        <f t="shared" si="728"/>
        <v>12948.649639659619</v>
      </c>
      <c r="AG719" s="5">
        <f t="shared" si="728"/>
        <v>13470.911110439876</v>
      </c>
      <c r="AH719" s="5">
        <f t="shared" si="728"/>
        <v>13993.172581220133</v>
      </c>
    </row>
    <row r="720" spans="1:34" x14ac:dyDescent="0.35">
      <c r="A720" t="s">
        <v>740</v>
      </c>
      <c r="B720" s="3" t="s">
        <v>1264</v>
      </c>
      <c r="C720" s="4" t="s">
        <v>1263</v>
      </c>
      <c r="D720" s="2">
        <f t="shared" si="716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ref="W720:AH720" si="729">IF(OR((SLOPE($E720:$V720,$E$1:$V$1)*W$1+INTERCEPT($E720:$V720,$E$1:$V$1))&gt;(AVERAGE($E720:$V720)+_xlfn.STDEV.P($E720:$V720)),(SLOPE($E720:$V720,$E$1:$V$1)*W$1+INTERCEPT($E720:$V720,$E$1:$V$1))&lt;(AVERAGE($E720:$V720)-_xlfn.STDEV.P($E720:$V720))),V720,(SLOPE($E720:$V720,$E$1:$V$1)*W$1+INTERCEPT($E720:$V720,$E$1:$V$1)))</f>
        <v>4226.4238121586022</v>
      </c>
      <c r="X720" s="5">
        <f t="shared" si="729"/>
        <v>4298.3246231345747</v>
      </c>
      <c r="Y720" s="5">
        <f t="shared" si="729"/>
        <v>4370.2254341105481</v>
      </c>
      <c r="Z720" s="5">
        <f t="shared" si="729"/>
        <v>4442.1262450865215</v>
      </c>
      <c r="AA720" s="5">
        <f t="shared" si="729"/>
        <v>4514.0270560624949</v>
      </c>
      <c r="AB720" s="5">
        <f t="shared" si="729"/>
        <v>4585.9278670384683</v>
      </c>
      <c r="AC720" s="5">
        <f t="shared" si="729"/>
        <v>4657.8286780144417</v>
      </c>
      <c r="AD720" s="5">
        <f t="shared" si="729"/>
        <v>4729.7294889904151</v>
      </c>
      <c r="AE720" s="5">
        <f t="shared" si="729"/>
        <v>4801.6302999663885</v>
      </c>
      <c r="AF720" s="5">
        <f t="shared" si="729"/>
        <v>4801.6302999663885</v>
      </c>
      <c r="AG720" s="5">
        <f t="shared" si="729"/>
        <v>4801.6302999663885</v>
      </c>
      <c r="AH720" s="5">
        <f t="shared" si="729"/>
        <v>4801.6302999663885</v>
      </c>
    </row>
    <row r="721" spans="1:34" x14ac:dyDescent="0.35">
      <c r="A721" t="s">
        <v>741</v>
      </c>
      <c r="B721" s="3" t="s">
        <v>1266</v>
      </c>
      <c r="C721" s="4" t="s">
        <v>1267</v>
      </c>
      <c r="D721" s="2">
        <f t="shared" si="716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ref="W721:AH721" si="730">IF(OR((SLOPE($E721:$V721,$E$1:$V$1)*W$1+INTERCEPT($E721:$V721,$E$1:$V$1))&gt;(AVERAGE($E721:$V721)+_xlfn.STDEV.P($E721:$V721)),(SLOPE($E721:$V721,$E$1:$V$1)*W$1+INTERCEPT($E721:$V721,$E$1:$V$1))&lt;(AVERAGE($E721:$V721)-_xlfn.STDEV.P($E721:$V721))),V721,(SLOPE($E721:$V721,$E$1:$V$1)*W$1+INTERCEPT($E721:$V721,$E$1:$V$1)))</f>
        <v>-837.84944516937867</v>
      </c>
      <c r="X721" s="5">
        <f t="shared" si="730"/>
        <v>-1300.8715069735099</v>
      </c>
      <c r="Y721" s="5">
        <f t="shared" si="730"/>
        <v>-1763.8935687776393</v>
      </c>
      <c r="Z721" s="5">
        <f t="shared" si="730"/>
        <v>-2226.9156305817705</v>
      </c>
      <c r="AA721" s="5">
        <f t="shared" si="730"/>
        <v>-2689.9376923859018</v>
      </c>
      <c r="AB721" s="5">
        <f t="shared" si="730"/>
        <v>-3152.9597541900312</v>
      </c>
      <c r="AC721" s="5">
        <f t="shared" si="730"/>
        <v>-3615.9818159941624</v>
      </c>
      <c r="AD721" s="5">
        <f t="shared" si="730"/>
        <v>-4079.0038777982918</v>
      </c>
      <c r="AE721" s="5">
        <f t="shared" si="730"/>
        <v>-4542.025939602423</v>
      </c>
      <c r="AF721" s="5">
        <f t="shared" si="730"/>
        <v>-5005.0480014065542</v>
      </c>
      <c r="AG721" s="5">
        <f t="shared" si="730"/>
        <v>-5468.0700632106837</v>
      </c>
      <c r="AH721" s="5">
        <f t="shared" si="730"/>
        <v>-5931.0921250148149</v>
      </c>
    </row>
    <row r="722" spans="1:34" x14ac:dyDescent="0.35">
      <c r="A722" t="s">
        <v>742</v>
      </c>
      <c r="B722" s="3" t="s">
        <v>1265</v>
      </c>
      <c r="C722" s="4" t="s">
        <v>1263</v>
      </c>
      <c r="D722" s="2">
        <f t="shared" si="716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ref="W722:AH722" si="731">IF(OR((SLOPE($E722:$V722,$E$1:$V$1)*W$1+INTERCEPT($E722:$V722,$E$1:$V$1))&gt;(AVERAGE($E722:$V722)+_xlfn.STDEV.P($E722:$V722)),(SLOPE($E722:$V722,$E$1:$V$1)*W$1+INTERCEPT($E722:$V722,$E$1:$V$1))&lt;(AVERAGE($E722:$V722)-_xlfn.STDEV.P($E722:$V722))),V722,(SLOPE($E722:$V722,$E$1:$V$1)*W$1+INTERCEPT($E722:$V722,$E$1:$V$1)))</f>
        <v>10121.755137254902</v>
      </c>
      <c r="X722" s="5">
        <f t="shared" si="731"/>
        <v>10815.719432404541</v>
      </c>
      <c r="Y722" s="5">
        <f t="shared" si="731"/>
        <v>11509.68372755418</v>
      </c>
      <c r="Z722" s="5">
        <f t="shared" si="731"/>
        <v>12203.648022703819</v>
      </c>
      <c r="AA722" s="5">
        <f t="shared" si="731"/>
        <v>12897.612317853458</v>
      </c>
      <c r="AB722" s="5">
        <f t="shared" si="731"/>
        <v>12897.612317853458</v>
      </c>
      <c r="AC722" s="5">
        <f t="shared" si="731"/>
        <v>12897.612317853458</v>
      </c>
      <c r="AD722" s="5">
        <f t="shared" si="731"/>
        <v>12897.612317853458</v>
      </c>
      <c r="AE722" s="5">
        <f t="shared" si="731"/>
        <v>12897.612317853458</v>
      </c>
      <c r="AF722" s="5">
        <f t="shared" si="731"/>
        <v>12897.612317853458</v>
      </c>
      <c r="AG722" s="5">
        <f t="shared" si="731"/>
        <v>12897.612317853458</v>
      </c>
      <c r="AH722" s="5">
        <f t="shared" si="731"/>
        <v>12897.612317853458</v>
      </c>
    </row>
    <row r="723" spans="1:34" x14ac:dyDescent="0.35">
      <c r="A723" t="s">
        <v>743</v>
      </c>
      <c r="B723" s="3" t="s">
        <v>1265</v>
      </c>
      <c r="C723" s="4" t="s">
        <v>1263</v>
      </c>
      <c r="D723" s="2">
        <f t="shared" si="716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ref="W723:AH723" si="732">IF(OR((SLOPE($E723:$V723,$E$1:$V$1)*W$1+INTERCEPT($E723:$V723,$E$1:$V$1))&gt;(AVERAGE($E723:$V723)+_xlfn.STDEV.P($E723:$V723)),(SLOPE($E723:$V723,$E$1:$V$1)*W$1+INTERCEPT($E723:$V723,$E$1:$V$1))&lt;(AVERAGE($E723:$V723)-_xlfn.STDEV.P($E723:$V723))),V723,(SLOPE($E723:$V723,$E$1:$V$1)*W$1+INTERCEPT($E723:$V723,$E$1:$V$1)))</f>
        <v>-1010.4163657669023</v>
      </c>
      <c r="X723" s="5">
        <f t="shared" si="732"/>
        <v>-1486.6846363738887</v>
      </c>
      <c r="Y723" s="5">
        <f t="shared" si="732"/>
        <v>-1962.9529069808732</v>
      </c>
      <c r="Z723" s="5">
        <f t="shared" si="732"/>
        <v>-2439.2211775878595</v>
      </c>
      <c r="AA723" s="5">
        <f t="shared" si="732"/>
        <v>-2915.489448194844</v>
      </c>
      <c r="AB723" s="5">
        <f t="shared" si="732"/>
        <v>-3391.7577188018286</v>
      </c>
      <c r="AC723" s="5">
        <f t="shared" si="732"/>
        <v>-3868.0259894088149</v>
      </c>
      <c r="AD723" s="5">
        <f t="shared" si="732"/>
        <v>-4344.2942600157994</v>
      </c>
      <c r="AE723" s="5">
        <f t="shared" si="732"/>
        <v>-4344.2942600157994</v>
      </c>
      <c r="AF723" s="5">
        <f t="shared" si="732"/>
        <v>-4344.2942600157994</v>
      </c>
      <c r="AG723" s="5">
        <f t="shared" si="732"/>
        <v>-4344.2942600157994</v>
      </c>
      <c r="AH723" s="5">
        <f t="shared" si="732"/>
        <v>-4344.2942600157994</v>
      </c>
    </row>
    <row r="724" spans="1:34" x14ac:dyDescent="0.35">
      <c r="A724" t="s">
        <v>744</v>
      </c>
      <c r="B724" s="3" t="s">
        <v>1266</v>
      </c>
      <c r="C724" s="4" t="s">
        <v>1263</v>
      </c>
      <c r="D724" s="2">
        <f t="shared" si="716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ref="W724:AH724" si="733">IF(OR((SLOPE($E724:$V724,$E$1:$V$1)*W$1+INTERCEPT($E724:$V724,$E$1:$V$1))&gt;(AVERAGE($E724:$V724)+_xlfn.STDEV.P($E724:$V724)),(SLOPE($E724:$V724,$E$1:$V$1)*W$1+INTERCEPT($E724:$V724,$E$1:$V$1))&lt;(AVERAGE($E724:$V724)-_xlfn.STDEV.P($E724:$V724))),V724,(SLOPE($E724:$V724,$E$1:$V$1)*W$1+INTERCEPT($E724:$V724,$E$1:$V$1)))</f>
        <v>-2538.8486977997745</v>
      </c>
      <c r="X724" s="5">
        <f t="shared" si="733"/>
        <v>-3172.4832624458977</v>
      </c>
      <c r="Y724" s="5">
        <f t="shared" si="733"/>
        <v>-3806.1178270920209</v>
      </c>
      <c r="Z724" s="5">
        <f t="shared" si="733"/>
        <v>-4439.7523917381441</v>
      </c>
      <c r="AA724" s="5">
        <f t="shared" si="733"/>
        <v>-5073.3869563842673</v>
      </c>
      <c r="AB724" s="5">
        <f t="shared" si="733"/>
        <v>-5707.0215210303904</v>
      </c>
      <c r="AC724" s="5">
        <f t="shared" si="733"/>
        <v>-6340.6560856765154</v>
      </c>
      <c r="AD724" s="5">
        <f t="shared" si="733"/>
        <v>-6340.6560856765154</v>
      </c>
      <c r="AE724" s="5">
        <f t="shared" si="733"/>
        <v>-6340.6560856765154</v>
      </c>
      <c r="AF724" s="5">
        <f t="shared" si="733"/>
        <v>-6340.6560856765154</v>
      </c>
      <c r="AG724" s="5">
        <f t="shared" si="733"/>
        <v>-6340.6560856765154</v>
      </c>
      <c r="AH724" s="5">
        <f t="shared" si="733"/>
        <v>-6340.6560856765154</v>
      </c>
    </row>
    <row r="725" spans="1:34" x14ac:dyDescent="0.35">
      <c r="A725" t="s">
        <v>745</v>
      </c>
      <c r="B725" s="3" t="s">
        <v>1266</v>
      </c>
      <c r="C725" s="4" t="s">
        <v>1266</v>
      </c>
      <c r="D725" s="2">
        <f t="shared" si="716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H725" si="734">IF(OR((SLOPE($E725:$V725,$E$1:$V$1)*W$1+INTERCEPT($E725:$V725,$E$1:$V$1))&gt;(AVERAGE($E725:$V725)+_xlfn.STDEV.P($E725:$V725)),(SLOPE($E725:$V725,$E$1:$V$1)*W$1+INTERCEPT($E725:$V725,$E$1:$V$1))&lt;(AVERAGE($E725:$V725)-_xlfn.STDEV.P($E725:$V725))),V725,(SLOPE($E725:$V725,$E$1:$V$1)*W$1+INTERCEPT($E725:$V725,$E$1:$V$1)))</f>
        <v>7033.0293366838996</v>
      </c>
      <c r="X725" s="5">
        <f t="shared" si="734"/>
        <v>7409.6077252620453</v>
      </c>
      <c r="Y725" s="5">
        <f t="shared" si="734"/>
        <v>7786.186113840191</v>
      </c>
      <c r="Z725" s="5">
        <f t="shared" si="734"/>
        <v>8162.7645024183385</v>
      </c>
      <c r="AA725" s="5">
        <f t="shared" si="734"/>
        <v>8539.3428909964841</v>
      </c>
      <c r="AB725" s="5">
        <f t="shared" si="734"/>
        <v>8915.9212795746298</v>
      </c>
      <c r="AC725" s="5">
        <f t="shared" si="734"/>
        <v>9292.4996681527755</v>
      </c>
      <c r="AD725" s="5">
        <f t="shared" si="734"/>
        <v>9669.0780567309212</v>
      </c>
      <c r="AE725" s="5">
        <f t="shared" si="734"/>
        <v>10045.656445309069</v>
      </c>
      <c r="AF725" s="5">
        <f t="shared" si="734"/>
        <v>10422.234833887214</v>
      </c>
      <c r="AG725" s="5">
        <f t="shared" si="734"/>
        <v>10798.81322246536</v>
      </c>
      <c r="AH725" s="5">
        <f t="shared" si="734"/>
        <v>11175.391611043508</v>
      </c>
    </row>
    <row r="726" spans="1:34" x14ac:dyDescent="0.35">
      <c r="A726" t="s">
        <v>746</v>
      </c>
      <c r="B726" s="3" t="s">
        <v>1265</v>
      </c>
      <c r="C726" s="4" t="s">
        <v>1263</v>
      </c>
      <c r="D726" s="2">
        <f t="shared" si="716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ref="W726:AH726" si="735">IF(OR((SLOPE($E726:$V726,$E$1:$V$1)*W$1+INTERCEPT($E726:$V726,$E$1:$V$1))&gt;(AVERAGE($E726:$V726)+_xlfn.STDEV.P($E726:$V726)),(SLOPE($E726:$V726,$E$1:$V$1)*W$1+INTERCEPT($E726:$V726,$E$1:$V$1))&lt;(AVERAGE($E726:$V726)-_xlfn.STDEV.P($E726:$V726))),V726,(SLOPE($E726:$V726,$E$1:$V$1)*W$1+INTERCEPT($E726:$V726,$E$1:$V$1)))</f>
        <v>9059.3351750554339</v>
      </c>
      <c r="X726" s="5">
        <f t="shared" si="735"/>
        <v>9059.3351750554339</v>
      </c>
      <c r="Y726" s="5">
        <f t="shared" si="735"/>
        <v>9059.3351750554339</v>
      </c>
      <c r="Z726" s="5">
        <f t="shared" si="735"/>
        <v>9059.3351750554339</v>
      </c>
      <c r="AA726" s="5">
        <f t="shared" si="735"/>
        <v>9059.3351750554339</v>
      </c>
      <c r="AB726" s="5">
        <f t="shared" si="735"/>
        <v>9059.3351750554339</v>
      </c>
      <c r="AC726" s="5">
        <f t="shared" si="735"/>
        <v>9059.3351750554339</v>
      </c>
      <c r="AD726" s="5">
        <f t="shared" si="735"/>
        <v>9059.3351750554339</v>
      </c>
      <c r="AE726" s="5">
        <f t="shared" si="735"/>
        <v>9059.3351750554339</v>
      </c>
      <c r="AF726" s="5">
        <f t="shared" si="735"/>
        <v>9059.3351750554339</v>
      </c>
      <c r="AG726" s="5">
        <f t="shared" si="735"/>
        <v>9059.3351750554339</v>
      </c>
      <c r="AH726" s="5">
        <f t="shared" si="735"/>
        <v>9059.3351750554339</v>
      </c>
    </row>
    <row r="727" spans="1:34" x14ac:dyDescent="0.35">
      <c r="A727" t="s">
        <v>747</v>
      </c>
      <c r="B727" s="3" t="s">
        <v>1266</v>
      </c>
      <c r="C727" s="4" t="s">
        <v>1266</v>
      </c>
      <c r="D727" s="2">
        <f t="shared" si="716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ref="W727:AH727" si="736">IF(OR((SLOPE($E727:$V727,$E$1:$V$1)*W$1+INTERCEPT($E727:$V727,$E$1:$V$1))&gt;(AVERAGE($E727:$V727)+_xlfn.STDEV.P($E727:$V727)),(SLOPE($E727:$V727,$E$1:$V$1)*W$1+INTERCEPT($E727:$V727,$E$1:$V$1))&lt;(AVERAGE($E727:$V727)-_xlfn.STDEV.P($E727:$V727))),V727,(SLOPE($E727:$V727,$E$1:$V$1)*W$1+INTERCEPT($E727:$V727,$E$1:$V$1)))</f>
        <v>6448.6360625907473</v>
      </c>
      <c r="X727" s="5">
        <f t="shared" si="736"/>
        <v>6766.825341994896</v>
      </c>
      <c r="Y727" s="5">
        <f t="shared" si="736"/>
        <v>7085.0146213990447</v>
      </c>
      <c r="Z727" s="5">
        <f t="shared" si="736"/>
        <v>7403.2039008031934</v>
      </c>
      <c r="AA727" s="5">
        <f t="shared" si="736"/>
        <v>7721.3931802073421</v>
      </c>
      <c r="AB727" s="5">
        <f t="shared" si="736"/>
        <v>8039.5824596114908</v>
      </c>
      <c r="AC727" s="5">
        <f t="shared" si="736"/>
        <v>8357.7717390156395</v>
      </c>
      <c r="AD727" s="5">
        <f t="shared" si="736"/>
        <v>8675.9610184197882</v>
      </c>
      <c r="AE727" s="5">
        <f t="shared" si="736"/>
        <v>8994.1502978239369</v>
      </c>
      <c r="AF727" s="5">
        <f t="shared" si="736"/>
        <v>9312.3395772280855</v>
      </c>
      <c r="AG727" s="5">
        <f t="shared" si="736"/>
        <v>9630.5288566322342</v>
      </c>
      <c r="AH727" s="5">
        <f t="shared" si="736"/>
        <v>9948.7181360363829</v>
      </c>
    </row>
    <row r="728" spans="1:34" x14ac:dyDescent="0.35">
      <c r="A728" t="s">
        <v>748</v>
      </c>
      <c r="B728" s="3" t="s">
        <v>1264</v>
      </c>
      <c r="C728" s="4" t="s">
        <v>1263</v>
      </c>
      <c r="D728" s="2">
        <f t="shared" si="716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ref="W728:AH728" si="737">IF(OR((SLOPE($E728:$V728,$E$1:$V$1)*W$1+INTERCEPT($E728:$V728,$E$1:$V$1))&gt;(AVERAGE($E728:$V728)+_xlfn.STDEV.P($E728:$V728)),(SLOPE($E728:$V728,$E$1:$V$1)*W$1+INTERCEPT($E728:$V728,$E$1:$V$1))&lt;(AVERAGE($E728:$V728)-_xlfn.STDEV.P($E728:$V728))),V728,(SLOPE($E728:$V728,$E$1:$V$1)*W$1+INTERCEPT($E728:$V728,$E$1:$V$1)))</f>
        <v>3593.1100470588235</v>
      </c>
      <c r="X728" s="5">
        <f t="shared" si="737"/>
        <v>3617.0147046439624</v>
      </c>
      <c r="Y728" s="5">
        <f t="shared" si="737"/>
        <v>3640.9193622291023</v>
      </c>
      <c r="Z728" s="5">
        <f t="shared" si="737"/>
        <v>3664.8240198142412</v>
      </c>
      <c r="AA728" s="5">
        <f t="shared" si="737"/>
        <v>3688.728677399381</v>
      </c>
      <c r="AB728" s="5">
        <f t="shared" si="737"/>
        <v>3712.6333349845199</v>
      </c>
      <c r="AC728" s="5">
        <f t="shared" si="737"/>
        <v>3736.5379925696598</v>
      </c>
      <c r="AD728" s="5">
        <f t="shared" si="737"/>
        <v>3760.4426501547987</v>
      </c>
      <c r="AE728" s="5">
        <f t="shared" si="737"/>
        <v>3784.3473077399385</v>
      </c>
      <c r="AF728" s="5">
        <f t="shared" si="737"/>
        <v>3808.2519653250779</v>
      </c>
      <c r="AG728" s="5">
        <f t="shared" si="737"/>
        <v>3832.1566229102173</v>
      </c>
      <c r="AH728" s="5">
        <f t="shared" si="737"/>
        <v>3856.0612804953566</v>
      </c>
    </row>
    <row r="729" spans="1:34" x14ac:dyDescent="0.35">
      <c r="A729" t="s">
        <v>749</v>
      </c>
      <c r="B729" s="3" t="s">
        <v>1264</v>
      </c>
      <c r="C729" s="4" t="s">
        <v>1263</v>
      </c>
      <c r="D729" s="2">
        <f t="shared" si="716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ref="W729:AH729" si="738">IF(OR((SLOPE($E729:$V729,$E$1:$V$1)*W$1+INTERCEPT($E729:$V729,$E$1:$V$1))&gt;(AVERAGE($E729:$V729)+_xlfn.STDEV.P($E729:$V729)),(SLOPE($E729:$V729,$E$1:$V$1)*W$1+INTERCEPT($E729:$V729,$E$1:$V$1))&lt;(AVERAGE($E729:$V729)-_xlfn.STDEV.P($E729:$V729))),V729,(SLOPE($E729:$V729,$E$1:$V$1)*W$1+INTERCEPT($E729:$V729,$E$1:$V$1)))</f>
        <v>10003.686274509802</v>
      </c>
      <c r="X729" s="5">
        <f t="shared" si="738"/>
        <v>10698.679215686274</v>
      </c>
      <c r="Y729" s="5">
        <f t="shared" si="738"/>
        <v>11393.672156862744</v>
      </c>
      <c r="Z729" s="5">
        <f t="shared" si="738"/>
        <v>12088.665098039215</v>
      </c>
      <c r="AA729" s="5">
        <f t="shared" si="738"/>
        <v>12783.658039215685</v>
      </c>
      <c r="AB729" s="5">
        <f t="shared" si="738"/>
        <v>13478.650980392154</v>
      </c>
      <c r="AC729" s="5">
        <f t="shared" si="738"/>
        <v>14173.643921568626</v>
      </c>
      <c r="AD729" s="5">
        <f t="shared" si="738"/>
        <v>14868.636862745097</v>
      </c>
      <c r="AE729" s="5">
        <f t="shared" si="738"/>
        <v>15563.629803921565</v>
      </c>
      <c r="AF729" s="5">
        <f t="shared" si="738"/>
        <v>16258.622745098037</v>
      </c>
      <c r="AG729" s="5">
        <f t="shared" si="738"/>
        <v>16953.615686274508</v>
      </c>
      <c r="AH729" s="5">
        <f t="shared" si="738"/>
        <v>16953.615686274508</v>
      </c>
    </row>
    <row r="730" spans="1:34" x14ac:dyDescent="0.35">
      <c r="A730" t="s">
        <v>750</v>
      </c>
      <c r="B730" s="3" t="s">
        <v>1266</v>
      </c>
      <c r="C730" s="4" t="s">
        <v>1267</v>
      </c>
      <c r="D730" s="2">
        <f t="shared" si="716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ref="W730:AH730" si="739">IF(OR((SLOPE($E730:$V730,$E$1:$V$1)*W$1+INTERCEPT($E730:$V730,$E$1:$V$1))&gt;(AVERAGE($E730:$V730)+_xlfn.STDEV.P($E730:$V730)),(SLOPE($E730:$V730,$E$1:$V$1)*W$1+INTERCEPT($E730:$V730,$E$1:$V$1))&lt;(AVERAGE($E730:$V730)-_xlfn.STDEV.P($E730:$V730))),V730,(SLOPE($E730:$V730,$E$1:$V$1)*W$1+INTERCEPT($E730:$V730,$E$1:$V$1)))</f>
        <v>-1995.515697665156</v>
      </c>
      <c r="X730" s="5">
        <f t="shared" si="739"/>
        <v>-2562.6622643699902</v>
      </c>
      <c r="Y730" s="5">
        <f t="shared" si="739"/>
        <v>-3129.8088310748244</v>
      </c>
      <c r="Z730" s="5">
        <f t="shared" si="739"/>
        <v>-3696.9553977796586</v>
      </c>
      <c r="AA730" s="5">
        <f t="shared" si="739"/>
        <v>-4264.1019644844928</v>
      </c>
      <c r="AB730" s="5">
        <f t="shared" si="739"/>
        <v>-4831.248531189327</v>
      </c>
      <c r="AC730" s="5">
        <f t="shared" si="739"/>
        <v>-5398.3950978941593</v>
      </c>
      <c r="AD730" s="5">
        <f t="shared" si="739"/>
        <v>-5965.5416645989935</v>
      </c>
      <c r="AE730" s="5">
        <f t="shared" si="739"/>
        <v>-6532.6882313038277</v>
      </c>
      <c r="AF730" s="5">
        <f t="shared" si="739"/>
        <v>-7099.8347980086619</v>
      </c>
      <c r="AG730" s="5">
        <f t="shared" si="739"/>
        <v>-7666.9813647134961</v>
      </c>
      <c r="AH730" s="5">
        <f t="shared" si="739"/>
        <v>-8234.1279314183284</v>
      </c>
    </row>
    <row r="731" spans="1:34" x14ac:dyDescent="0.35">
      <c r="A731" t="s">
        <v>751</v>
      </c>
      <c r="B731" s="3" t="s">
        <v>1264</v>
      </c>
      <c r="C731" s="4" t="s">
        <v>1263</v>
      </c>
      <c r="D731" s="2">
        <f t="shared" si="716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ref="W731:AH731" si="740">IF(OR((SLOPE($E731:$V731,$E$1:$V$1)*W$1+INTERCEPT($E731:$V731,$E$1:$V$1))&gt;(AVERAGE($E731:$V731)+_xlfn.STDEV.P($E731:$V731)),(SLOPE($E731:$V731,$E$1:$V$1)*W$1+INTERCEPT($E731:$V731,$E$1:$V$1))&lt;(AVERAGE($E731:$V731)-_xlfn.STDEV.P($E731:$V731))),V731,(SLOPE($E731:$V731,$E$1:$V$1)*W$1+INTERCEPT($E731:$V731,$E$1:$V$1)))</f>
        <v>8267.1103981492251</v>
      </c>
      <c r="X731" s="5">
        <f t="shared" si="740"/>
        <v>8780.4719678617694</v>
      </c>
      <c r="Y731" s="5">
        <f t="shared" si="740"/>
        <v>9293.8335375743118</v>
      </c>
      <c r="Z731" s="5">
        <f t="shared" si="740"/>
        <v>9807.1951072868542</v>
      </c>
      <c r="AA731" s="5">
        <f t="shared" si="740"/>
        <v>10320.556676999398</v>
      </c>
      <c r="AB731" s="5">
        <f t="shared" si="740"/>
        <v>10320.556676999398</v>
      </c>
      <c r="AC731" s="5">
        <f t="shared" si="740"/>
        <v>10320.556676999398</v>
      </c>
      <c r="AD731" s="5">
        <f t="shared" si="740"/>
        <v>10320.556676999398</v>
      </c>
      <c r="AE731" s="5">
        <f t="shared" si="740"/>
        <v>10320.556676999398</v>
      </c>
      <c r="AF731" s="5">
        <f t="shared" si="740"/>
        <v>10320.556676999398</v>
      </c>
      <c r="AG731" s="5">
        <f t="shared" si="740"/>
        <v>10320.556676999398</v>
      </c>
      <c r="AH731" s="5">
        <f t="shared" si="740"/>
        <v>10320.556676999398</v>
      </c>
    </row>
    <row r="732" spans="1:34" x14ac:dyDescent="0.35">
      <c r="A732" t="s">
        <v>752</v>
      </c>
      <c r="B732" s="3" t="s">
        <v>1265</v>
      </c>
      <c r="C732" s="4" t="s">
        <v>1263</v>
      </c>
      <c r="D732" s="2">
        <f t="shared" si="716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ref="W732:AH732" si="741">IF(OR((SLOPE($E732:$V732,$E$1:$V$1)*W$1+INTERCEPT($E732:$V732,$E$1:$V$1))&gt;(AVERAGE($E732:$V732)+_xlfn.STDEV.P($E732:$V732)),(SLOPE($E732:$V732,$E$1:$V$1)*W$1+INTERCEPT($E732:$V732,$E$1:$V$1))&lt;(AVERAGE($E732:$V732)-_xlfn.STDEV.P($E732:$V732))),V732,(SLOPE($E732:$V732,$E$1:$V$1)*W$1+INTERCEPT($E732:$V732,$E$1:$V$1)))</f>
        <v>3751.8900165152072</v>
      </c>
      <c r="X732" s="5">
        <f t="shared" si="741"/>
        <v>3796.0327820013672</v>
      </c>
      <c r="Y732" s="5">
        <f t="shared" si="741"/>
        <v>3840.1755474875272</v>
      </c>
      <c r="Z732" s="5">
        <f t="shared" si="741"/>
        <v>3884.3183129736872</v>
      </c>
      <c r="AA732" s="5">
        <f t="shared" si="741"/>
        <v>3928.4610784598476</v>
      </c>
      <c r="AB732" s="5">
        <f t="shared" si="741"/>
        <v>3972.6038439460081</v>
      </c>
      <c r="AC732" s="5">
        <f t="shared" si="741"/>
        <v>4016.746609432168</v>
      </c>
      <c r="AD732" s="5">
        <f t="shared" si="741"/>
        <v>4060.889374918328</v>
      </c>
      <c r="AE732" s="5">
        <f t="shared" si="741"/>
        <v>4105.032140404488</v>
      </c>
      <c r="AF732" s="5">
        <f t="shared" si="741"/>
        <v>4149.174905890648</v>
      </c>
      <c r="AG732" s="5">
        <f t="shared" si="741"/>
        <v>4193.3176713768089</v>
      </c>
      <c r="AH732" s="5">
        <f t="shared" si="741"/>
        <v>4237.4604368629689</v>
      </c>
    </row>
    <row r="733" spans="1:34" x14ac:dyDescent="0.35">
      <c r="A733" t="s">
        <v>753</v>
      </c>
      <c r="B733" s="3" t="s">
        <v>1262</v>
      </c>
      <c r="C733" s="4" t="s">
        <v>1263</v>
      </c>
      <c r="D733" s="2">
        <f t="shared" si="716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ref="W733:AH733" si="742">IF(OR((SLOPE($E733:$V733,$E$1:$V$1)*W$1+INTERCEPT($E733:$V733,$E$1:$V$1))&gt;(AVERAGE($E733:$V733)+_xlfn.STDEV.P($E733:$V733)),(SLOPE($E733:$V733,$E$1:$V$1)*W$1+INTERCEPT($E733:$V733,$E$1:$V$1))&lt;(AVERAGE($E733:$V733)-_xlfn.STDEV.P($E733:$V733))),V733,(SLOPE($E733:$V733,$E$1:$V$1)*W$1+INTERCEPT($E733:$V733,$E$1:$V$1)))</f>
        <v>3713.6442614840244</v>
      </c>
      <c r="X733" s="5">
        <f t="shared" si="742"/>
        <v>3767.782906729542</v>
      </c>
      <c r="Y733" s="5">
        <f t="shared" si="742"/>
        <v>3821.9215519750596</v>
      </c>
      <c r="Z733" s="5">
        <f t="shared" si="742"/>
        <v>3876.0601972205777</v>
      </c>
      <c r="AA733" s="5">
        <f t="shared" si="742"/>
        <v>3930.1988424660958</v>
      </c>
      <c r="AB733" s="5">
        <f t="shared" si="742"/>
        <v>3984.3374877116134</v>
      </c>
      <c r="AC733" s="5">
        <f t="shared" si="742"/>
        <v>4038.4761329571311</v>
      </c>
      <c r="AD733" s="5">
        <f t="shared" si="742"/>
        <v>4092.6147782026492</v>
      </c>
      <c r="AE733" s="5">
        <f t="shared" si="742"/>
        <v>4146.7534234481664</v>
      </c>
      <c r="AF733" s="5">
        <f t="shared" si="742"/>
        <v>4200.8920686936845</v>
      </c>
      <c r="AG733" s="5">
        <f t="shared" si="742"/>
        <v>4255.0307139392025</v>
      </c>
      <c r="AH733" s="5">
        <f t="shared" si="742"/>
        <v>4309.1693591847197</v>
      </c>
    </row>
    <row r="734" spans="1:34" x14ac:dyDescent="0.35">
      <c r="A734" t="s">
        <v>754</v>
      </c>
      <c r="B734" s="3" t="s">
        <v>1266</v>
      </c>
      <c r="C734" s="4" t="s">
        <v>1267</v>
      </c>
      <c r="D734" s="2">
        <f t="shared" si="716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ref="W734:AH734" si="743">IF(OR((SLOPE($E734:$V734,$E$1:$V$1)*W$1+INTERCEPT($E734:$V734,$E$1:$V$1))&gt;(AVERAGE($E734:$V734)+_xlfn.STDEV.P($E734:$V734)),(SLOPE($E734:$V734,$E$1:$V$1)*W$1+INTERCEPT($E734:$V734,$E$1:$V$1))&lt;(AVERAGE($E734:$V734)-_xlfn.STDEV.P($E734:$V734))),V734,(SLOPE($E734:$V734,$E$1:$V$1)*W$1+INTERCEPT($E734:$V734,$E$1:$V$1)))</f>
        <v>13315.399703772831</v>
      </c>
      <c r="X734" s="5">
        <f t="shared" si="743"/>
        <v>14366.615469860162</v>
      </c>
      <c r="Y734" s="5">
        <f t="shared" si="743"/>
        <v>15417.831235947489</v>
      </c>
      <c r="Z734" s="5">
        <f t="shared" si="743"/>
        <v>16469.047002034822</v>
      </c>
      <c r="AA734" s="5">
        <f t="shared" si="743"/>
        <v>16469.047002034822</v>
      </c>
      <c r="AB734" s="5">
        <f t="shared" si="743"/>
        <v>16469.047002034822</v>
      </c>
      <c r="AC734" s="5">
        <f t="shared" si="743"/>
        <v>16469.047002034822</v>
      </c>
      <c r="AD734" s="5">
        <f t="shared" si="743"/>
        <v>16469.047002034822</v>
      </c>
      <c r="AE734" s="5">
        <f t="shared" si="743"/>
        <v>16469.047002034822</v>
      </c>
      <c r="AF734" s="5">
        <f t="shared" si="743"/>
        <v>16469.047002034822</v>
      </c>
      <c r="AG734" s="5">
        <f t="shared" si="743"/>
        <v>16469.047002034822</v>
      </c>
      <c r="AH734" s="5">
        <f t="shared" si="743"/>
        <v>16469.047002034822</v>
      </c>
    </row>
    <row r="735" spans="1:34" x14ac:dyDescent="0.35">
      <c r="A735" t="s">
        <v>755</v>
      </c>
      <c r="B735" s="3" t="s">
        <v>1266</v>
      </c>
      <c r="C735" s="4" t="s">
        <v>1263</v>
      </c>
      <c r="D735" s="2">
        <f t="shared" si="716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ref="W735:AH735" si="744">IF(OR((SLOPE($E735:$V735,$E$1:$V$1)*W$1+INTERCEPT($E735:$V735,$E$1:$V$1))&gt;(AVERAGE($E735:$V735)+_xlfn.STDEV.P($E735:$V735)),(SLOPE($E735:$V735,$E$1:$V$1)*W$1+INTERCEPT($E735:$V735,$E$1:$V$1))&lt;(AVERAGE($E735:$V735)-_xlfn.STDEV.P($E735:$V735))),V735,(SLOPE($E735:$V735,$E$1:$V$1)*W$1+INTERCEPT($E735:$V735,$E$1:$V$1)))</f>
        <v>2038.2273169344503</v>
      </c>
      <c r="X735" s="5">
        <f t="shared" si="744"/>
        <v>1903.1637811767414</v>
      </c>
      <c r="Y735" s="5">
        <f t="shared" si="744"/>
        <v>1768.100245419032</v>
      </c>
      <c r="Z735" s="5">
        <f t="shared" si="744"/>
        <v>1633.0367096613231</v>
      </c>
      <c r="AA735" s="5">
        <f t="shared" si="744"/>
        <v>1497.9731739036142</v>
      </c>
      <c r="AB735" s="5">
        <f t="shared" si="744"/>
        <v>1362.9096381459053</v>
      </c>
      <c r="AC735" s="5">
        <f t="shared" si="744"/>
        <v>1227.8461023881964</v>
      </c>
      <c r="AD735" s="5">
        <f t="shared" si="744"/>
        <v>1092.7825666304875</v>
      </c>
      <c r="AE735" s="5">
        <f t="shared" si="744"/>
        <v>957.7190308727786</v>
      </c>
      <c r="AF735" s="5">
        <f t="shared" si="744"/>
        <v>822.65549511506924</v>
      </c>
      <c r="AG735" s="5">
        <f t="shared" si="744"/>
        <v>687.59195935736034</v>
      </c>
      <c r="AH735" s="5">
        <f t="shared" si="744"/>
        <v>552.52842359965143</v>
      </c>
    </row>
    <row r="736" spans="1:34" x14ac:dyDescent="0.35">
      <c r="A736" t="s">
        <v>756</v>
      </c>
      <c r="B736" s="3" t="s">
        <v>1266</v>
      </c>
      <c r="C736" s="4" t="s">
        <v>1267</v>
      </c>
      <c r="D736" s="2">
        <f t="shared" si="716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ref="W736:AH736" si="745">IF(OR((SLOPE($E736:$V736,$E$1:$V$1)*W$1+INTERCEPT($E736:$V736,$E$1:$V$1))&gt;(AVERAGE($E736:$V736)+_xlfn.STDEV.P($E736:$V736)),(SLOPE($E736:$V736,$E$1:$V$1)*W$1+INTERCEPT($E736:$V736,$E$1:$V$1))&lt;(AVERAGE($E736:$V736)-_xlfn.STDEV.P($E736:$V736))),V736,(SLOPE($E736:$V736,$E$1:$V$1)*W$1+INTERCEPT($E736:$V736,$E$1:$V$1)))</f>
        <v>5618.513713508466</v>
      </c>
      <c r="X736" s="5">
        <f t="shared" si="745"/>
        <v>5860.4901282330975</v>
      </c>
      <c r="Y736" s="5">
        <f t="shared" si="745"/>
        <v>6102.466542957729</v>
      </c>
      <c r="Z736" s="5">
        <f t="shared" si="745"/>
        <v>6344.4429576823604</v>
      </c>
      <c r="AA736" s="5">
        <f t="shared" si="745"/>
        <v>6586.4193724069919</v>
      </c>
      <c r="AB736" s="5">
        <f t="shared" si="745"/>
        <v>6828.3957871316234</v>
      </c>
      <c r="AC736" s="5">
        <f t="shared" si="745"/>
        <v>7070.3722018562548</v>
      </c>
      <c r="AD736" s="5">
        <f t="shared" si="745"/>
        <v>7312.3486165808881</v>
      </c>
      <c r="AE736" s="5">
        <f t="shared" si="745"/>
        <v>7554.3250313055196</v>
      </c>
      <c r="AF736" s="5">
        <f t="shared" si="745"/>
        <v>7796.3014460301511</v>
      </c>
      <c r="AG736" s="5">
        <f t="shared" si="745"/>
        <v>8038.2778607547825</v>
      </c>
      <c r="AH736" s="5">
        <f t="shared" si="745"/>
        <v>8280.254275479414</v>
      </c>
    </row>
    <row r="737" spans="1:34" x14ac:dyDescent="0.35">
      <c r="A737" t="s">
        <v>757</v>
      </c>
      <c r="B737" s="3" t="s">
        <v>1266</v>
      </c>
      <c r="C737" s="4" t="s">
        <v>1263</v>
      </c>
      <c r="D737" s="2">
        <f t="shared" si="716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ref="W737:AH737" si="746">IF(OR((SLOPE($E737:$V737,$E$1:$V$1)*W$1+INTERCEPT($E737:$V737,$E$1:$V$1))&gt;(AVERAGE($E737:$V737)+_xlfn.STDEV.P($E737:$V737)),(SLOPE($E737:$V737,$E$1:$V$1)*W$1+INTERCEPT($E737:$V737,$E$1:$V$1))&lt;(AVERAGE($E737:$V737)-_xlfn.STDEV.P($E737:$V737))),V737,(SLOPE($E737:$V737,$E$1:$V$1)*W$1+INTERCEPT($E737:$V737,$E$1:$V$1)))</f>
        <v>3755.3008132556242</v>
      </c>
      <c r="X737" s="5">
        <f t="shared" si="746"/>
        <v>3802.563806614914</v>
      </c>
      <c r="Y737" s="5">
        <f t="shared" si="746"/>
        <v>3849.8267999742038</v>
      </c>
      <c r="Z737" s="5">
        <f t="shared" si="746"/>
        <v>3897.0897933334941</v>
      </c>
      <c r="AA737" s="5">
        <f t="shared" si="746"/>
        <v>3944.3527866927843</v>
      </c>
      <c r="AB737" s="5">
        <f t="shared" si="746"/>
        <v>3991.6157800520741</v>
      </c>
      <c r="AC737" s="5">
        <f t="shared" si="746"/>
        <v>4038.8787734113639</v>
      </c>
      <c r="AD737" s="5">
        <f t="shared" si="746"/>
        <v>4086.1417667706542</v>
      </c>
      <c r="AE737" s="5">
        <f t="shared" si="746"/>
        <v>4133.4047601299444</v>
      </c>
      <c r="AF737" s="5">
        <f t="shared" si="746"/>
        <v>4180.6677534892342</v>
      </c>
      <c r="AG737" s="5">
        <f t="shared" si="746"/>
        <v>4227.930746848524</v>
      </c>
      <c r="AH737" s="5">
        <f t="shared" si="746"/>
        <v>4275.1937402078147</v>
      </c>
    </row>
    <row r="738" spans="1:34" x14ac:dyDescent="0.35">
      <c r="A738" t="s">
        <v>758</v>
      </c>
      <c r="B738" s="3" t="s">
        <v>1266</v>
      </c>
      <c r="C738" s="4" t="s">
        <v>1267</v>
      </c>
      <c r="D738" s="2">
        <f t="shared" si="716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ref="W738:AH738" si="747">IF(OR((SLOPE($E738:$V738,$E$1:$V$1)*W$1+INTERCEPT($E738:$V738,$E$1:$V$1))&gt;(AVERAGE($E738:$V738)+_xlfn.STDEV.P($E738:$V738)),(SLOPE($E738:$V738,$E$1:$V$1)*W$1+INTERCEPT($E738:$V738,$E$1:$V$1))&lt;(AVERAGE($E738:$V738)-_xlfn.STDEV.P($E738:$V738))),V738,(SLOPE($E738:$V738,$E$1:$V$1)*W$1+INTERCEPT($E738:$V738,$E$1:$V$1)))</f>
        <v>2712.7669354753571</v>
      </c>
      <c r="X738" s="5">
        <f t="shared" si="747"/>
        <v>2651.5767038480935</v>
      </c>
      <c r="Y738" s="5">
        <f t="shared" si="747"/>
        <v>2590.38647222083</v>
      </c>
      <c r="Z738" s="5">
        <f t="shared" si="747"/>
        <v>2529.196240593566</v>
      </c>
      <c r="AA738" s="5">
        <f t="shared" si="747"/>
        <v>2468.0060089663025</v>
      </c>
      <c r="AB738" s="5">
        <f t="shared" si="747"/>
        <v>2406.8157773390385</v>
      </c>
      <c r="AC738" s="5">
        <f t="shared" si="747"/>
        <v>2345.625545711775</v>
      </c>
      <c r="AD738" s="5">
        <f t="shared" si="747"/>
        <v>2284.4353140845114</v>
      </c>
      <c r="AE738" s="5">
        <f t="shared" si="747"/>
        <v>2223.2450824572479</v>
      </c>
      <c r="AF738" s="5">
        <f t="shared" si="747"/>
        <v>2162.0548508299839</v>
      </c>
      <c r="AG738" s="5">
        <f t="shared" si="747"/>
        <v>2100.8646192027204</v>
      </c>
      <c r="AH738" s="5">
        <f t="shared" si="747"/>
        <v>2039.6743875754566</v>
      </c>
    </row>
    <row r="739" spans="1:34" x14ac:dyDescent="0.35">
      <c r="A739" t="s">
        <v>759</v>
      </c>
      <c r="B739" s="3" t="s">
        <v>1264</v>
      </c>
      <c r="C739" s="4" t="s">
        <v>1263</v>
      </c>
      <c r="D739" s="2">
        <f t="shared" si="716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ref="W739:AH739" si="748">IF(OR((SLOPE($E739:$V739,$E$1:$V$1)*W$1+INTERCEPT($E739:$V739,$E$1:$V$1))&gt;(AVERAGE($E739:$V739)+_xlfn.STDEV.P($E739:$V739)),(SLOPE($E739:$V739,$E$1:$V$1)*W$1+INTERCEPT($E739:$V739,$E$1:$V$1))&lt;(AVERAGE($E739:$V739)-_xlfn.STDEV.P($E739:$V739))),V739,(SLOPE($E739:$V739,$E$1:$V$1)*W$1+INTERCEPT($E739:$V739,$E$1:$V$1)))</f>
        <v>3557.4267380854981</v>
      </c>
      <c r="X739" s="5">
        <f t="shared" si="748"/>
        <v>3600.9961963585847</v>
      </c>
      <c r="Y739" s="5">
        <f t="shared" si="748"/>
        <v>3644.5656546316714</v>
      </c>
      <c r="Z739" s="5">
        <f t="shared" si="748"/>
        <v>3688.135112904758</v>
      </c>
      <c r="AA739" s="5">
        <f t="shared" si="748"/>
        <v>3731.7045711778446</v>
      </c>
      <c r="AB739" s="5">
        <f t="shared" si="748"/>
        <v>3775.2740294509313</v>
      </c>
      <c r="AC739" s="5">
        <f t="shared" si="748"/>
        <v>3818.8434877240179</v>
      </c>
      <c r="AD739" s="5">
        <f t="shared" si="748"/>
        <v>3862.4129459971041</v>
      </c>
      <c r="AE739" s="5">
        <f t="shared" si="748"/>
        <v>3905.9824042701907</v>
      </c>
      <c r="AF739" s="5">
        <f t="shared" si="748"/>
        <v>3949.5518625432774</v>
      </c>
      <c r="AG739" s="5">
        <f t="shared" si="748"/>
        <v>3993.1213208163635</v>
      </c>
      <c r="AH739" s="5">
        <f t="shared" si="748"/>
        <v>4036.6907790894502</v>
      </c>
    </row>
    <row r="740" spans="1:34" x14ac:dyDescent="0.35">
      <c r="A740" t="s">
        <v>760</v>
      </c>
      <c r="B740" s="3" t="s">
        <v>1266</v>
      </c>
      <c r="C740" s="4" t="s">
        <v>1267</v>
      </c>
      <c r="D740" s="2">
        <f t="shared" si="716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ref="W740:AH740" si="749">IF(OR((SLOPE($E740:$V740,$E$1:$V$1)*W$1+INTERCEPT($E740:$V740,$E$1:$V$1))&gt;(AVERAGE($E740:$V740)+_xlfn.STDEV.P($E740:$V740)),(SLOPE($E740:$V740,$E$1:$V$1)*W$1+INTERCEPT($E740:$V740,$E$1:$V$1))&lt;(AVERAGE($E740:$V740)-_xlfn.STDEV.P($E740:$V740))),V740,(SLOPE($E740:$V740,$E$1:$V$1)*W$1+INTERCEPT($E740:$V740,$E$1:$V$1)))</f>
        <v>-1542.5127188835995</v>
      </c>
      <c r="X740" s="5">
        <f t="shared" si="749"/>
        <v>-2042.5340339531103</v>
      </c>
      <c r="Y740" s="5">
        <f t="shared" si="749"/>
        <v>-2542.5553490226212</v>
      </c>
      <c r="Z740" s="5">
        <f t="shared" si="749"/>
        <v>-3042.576664092132</v>
      </c>
      <c r="AA740" s="5">
        <f t="shared" si="749"/>
        <v>-3542.5979791616428</v>
      </c>
      <c r="AB740" s="5">
        <f t="shared" si="749"/>
        <v>-4042.6192942311518</v>
      </c>
      <c r="AC740" s="5">
        <f t="shared" si="749"/>
        <v>-4542.6406093006626</v>
      </c>
      <c r="AD740" s="5">
        <f t="shared" si="749"/>
        <v>-4542.6406093006626</v>
      </c>
      <c r="AE740" s="5">
        <f t="shared" si="749"/>
        <v>-4542.6406093006626</v>
      </c>
      <c r="AF740" s="5">
        <f t="shared" si="749"/>
        <v>-4542.6406093006626</v>
      </c>
      <c r="AG740" s="5">
        <f t="shared" si="749"/>
        <v>-4542.6406093006626</v>
      </c>
      <c r="AH740" s="5">
        <f t="shared" si="749"/>
        <v>-4542.6406093006626</v>
      </c>
    </row>
    <row r="741" spans="1:34" x14ac:dyDescent="0.35">
      <c r="A741" t="s">
        <v>761</v>
      </c>
      <c r="B741" s="3" t="s">
        <v>1264</v>
      </c>
      <c r="C741" s="4" t="s">
        <v>1263</v>
      </c>
      <c r="D741" s="2">
        <f t="shared" si="716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H741" si="750">IF(OR((SLOPE($E741:$V741,$E$1:$V$1)*W$1+INTERCEPT($E741:$V741,$E$1:$V$1))&gt;(AVERAGE($E741:$V741)+_xlfn.STDEV.P($E741:$V741)),(SLOPE($E741:$V741,$E$1:$V$1)*W$1+INTERCEPT($E741:$V741,$E$1:$V$1))&lt;(AVERAGE($E741:$V741)-_xlfn.STDEV.P($E741:$V741))),V741,(SLOPE($E741:$V741,$E$1:$V$1)*W$1+INTERCEPT($E741:$V741,$E$1:$V$1)))</f>
        <v>4021.4434509803914</v>
      </c>
      <c r="X741" s="5">
        <f t="shared" si="750"/>
        <v>4107.1931475748188</v>
      </c>
      <c r="Y741" s="5">
        <f t="shared" si="750"/>
        <v>4192.9428441692462</v>
      </c>
      <c r="Z741" s="5">
        <f t="shared" si="750"/>
        <v>4278.6925407636736</v>
      </c>
      <c r="AA741" s="5">
        <f t="shared" si="750"/>
        <v>4364.4422373581001</v>
      </c>
      <c r="AB741" s="5">
        <f t="shared" si="750"/>
        <v>4450.1919339525275</v>
      </c>
      <c r="AC741" s="5">
        <f t="shared" si="750"/>
        <v>4535.9416305469549</v>
      </c>
      <c r="AD741" s="5">
        <f t="shared" si="750"/>
        <v>4621.6913271413814</v>
      </c>
      <c r="AE741" s="5">
        <f t="shared" si="750"/>
        <v>4707.4410237358097</v>
      </c>
      <c r="AF741" s="5">
        <f t="shared" si="750"/>
        <v>4793.1907203302362</v>
      </c>
      <c r="AG741" s="5">
        <f t="shared" si="750"/>
        <v>4878.9404169246636</v>
      </c>
      <c r="AH741" s="5">
        <f t="shared" si="750"/>
        <v>4964.690113519091</v>
      </c>
    </row>
    <row r="742" spans="1:34" x14ac:dyDescent="0.35">
      <c r="A742" t="s">
        <v>762</v>
      </c>
      <c r="B742" s="3" t="s">
        <v>1266</v>
      </c>
      <c r="C742" s="4" t="s">
        <v>1266</v>
      </c>
      <c r="D742" s="2">
        <f t="shared" si="716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ref="W742:AH742" si="751">IF(OR((SLOPE($E742:$V742,$E$1:$V$1)*W$1+INTERCEPT($E742:$V742,$E$1:$V$1))&gt;(AVERAGE($E742:$V742)+_xlfn.STDEV.P($E742:$V742)),(SLOPE($E742:$V742,$E$1:$V$1)*W$1+INTERCEPT($E742:$V742,$E$1:$V$1))&lt;(AVERAGE($E742:$V742)-_xlfn.STDEV.P($E742:$V742))),V742,(SLOPE($E742:$V742,$E$1:$V$1)*W$1+INTERCEPT($E742:$V742,$E$1:$V$1)))</f>
        <v>5959.2392887581291</v>
      </c>
      <c r="X742" s="5">
        <f t="shared" si="751"/>
        <v>6253.2807010323786</v>
      </c>
      <c r="Y742" s="5">
        <f t="shared" si="751"/>
        <v>6547.3221133066281</v>
      </c>
      <c r="Z742" s="5">
        <f t="shared" si="751"/>
        <v>6841.3635255808786</v>
      </c>
      <c r="AA742" s="5">
        <f t="shared" si="751"/>
        <v>7135.4049378551281</v>
      </c>
      <c r="AB742" s="5">
        <f t="shared" si="751"/>
        <v>7429.4463501293776</v>
      </c>
      <c r="AC742" s="5">
        <f t="shared" si="751"/>
        <v>7723.4877624036271</v>
      </c>
      <c r="AD742" s="5">
        <f t="shared" si="751"/>
        <v>8017.5291746778767</v>
      </c>
      <c r="AE742" s="5">
        <f t="shared" si="751"/>
        <v>8311.5705869521262</v>
      </c>
      <c r="AF742" s="5">
        <f t="shared" si="751"/>
        <v>8605.6119992263775</v>
      </c>
      <c r="AG742" s="5">
        <f t="shared" si="751"/>
        <v>8899.653411500627</v>
      </c>
      <c r="AH742" s="5">
        <f t="shared" si="751"/>
        <v>9193.6948237748766</v>
      </c>
    </row>
    <row r="743" spans="1:34" x14ac:dyDescent="0.35">
      <c r="A743" t="s">
        <v>763</v>
      </c>
      <c r="B743" s="3" t="s">
        <v>1266</v>
      </c>
      <c r="C743" s="4" t="s">
        <v>1267</v>
      </c>
      <c r="D743" s="2">
        <f t="shared" si="716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ref="W743:AH743" si="752">IF(OR((SLOPE($E743:$V743,$E$1:$V$1)*W$1+INTERCEPT($E743:$V743,$E$1:$V$1))&gt;(AVERAGE($E743:$V743)+_xlfn.STDEV.P($E743:$V743)),(SLOPE($E743:$V743,$E$1:$V$1)*W$1+INTERCEPT($E743:$V743,$E$1:$V$1))&lt;(AVERAGE($E743:$V743)-_xlfn.STDEV.P($E743:$V743))),V743,(SLOPE($E743:$V743,$E$1:$V$1)*W$1+INTERCEPT($E743:$V743,$E$1:$V$1)))</f>
        <v>4045.9975111111112</v>
      </c>
      <c r="X743" s="5">
        <f t="shared" si="752"/>
        <v>4138.8946339181284</v>
      </c>
      <c r="Y743" s="5">
        <f t="shared" si="752"/>
        <v>4231.7917567251461</v>
      </c>
      <c r="Z743" s="5">
        <f t="shared" si="752"/>
        <v>4324.6888795321638</v>
      </c>
      <c r="AA743" s="5">
        <f t="shared" si="752"/>
        <v>4417.5860023391815</v>
      </c>
      <c r="AB743" s="5">
        <f t="shared" si="752"/>
        <v>4510.4831251461983</v>
      </c>
      <c r="AC743" s="5">
        <f t="shared" si="752"/>
        <v>4603.3802479532169</v>
      </c>
      <c r="AD743" s="5">
        <f t="shared" si="752"/>
        <v>4696.2773707602337</v>
      </c>
      <c r="AE743" s="5">
        <f t="shared" si="752"/>
        <v>4789.1744935672514</v>
      </c>
      <c r="AF743" s="5">
        <f t="shared" si="752"/>
        <v>4882.0716163742691</v>
      </c>
      <c r="AG743" s="5">
        <f t="shared" si="752"/>
        <v>4974.9687391812859</v>
      </c>
      <c r="AH743" s="5">
        <f t="shared" si="752"/>
        <v>5067.8658619883045</v>
      </c>
    </row>
    <row r="744" spans="1:34" x14ac:dyDescent="0.35">
      <c r="A744" t="s">
        <v>764</v>
      </c>
      <c r="B744" s="3" t="s">
        <v>1266</v>
      </c>
      <c r="C744" s="4" t="s">
        <v>1266</v>
      </c>
      <c r="D744" s="2">
        <f t="shared" si="716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ref="W744:AH744" si="753">IF(OR((SLOPE($E744:$V744,$E$1:$V$1)*W$1+INTERCEPT($E744:$V744,$E$1:$V$1))&gt;(AVERAGE($E744:$V744)+_xlfn.STDEV.P($E744:$V744)),(SLOPE($E744:$V744,$E$1:$V$1)*W$1+INTERCEPT($E744:$V744,$E$1:$V$1))&lt;(AVERAGE($E744:$V744)-_xlfn.STDEV.P($E744:$V744))),V744,(SLOPE($E744:$V744,$E$1:$V$1)*W$1+INTERCEPT($E744:$V744,$E$1:$V$1)))</f>
        <v>-741.21307189542404</v>
      </c>
      <c r="X744" s="5">
        <f t="shared" si="753"/>
        <v>-1150.8308221534207</v>
      </c>
      <c r="Y744" s="5">
        <f t="shared" si="753"/>
        <v>-1560.4485724114202</v>
      </c>
      <c r="Z744" s="5">
        <f t="shared" si="753"/>
        <v>-1970.0663226694178</v>
      </c>
      <c r="AA744" s="5">
        <f t="shared" si="753"/>
        <v>-2379.6840729274154</v>
      </c>
      <c r="AB744" s="5">
        <f t="shared" si="753"/>
        <v>-2789.301823185413</v>
      </c>
      <c r="AC744" s="5">
        <f t="shared" si="753"/>
        <v>-3198.9195734434106</v>
      </c>
      <c r="AD744" s="5">
        <f t="shared" si="753"/>
        <v>-3608.5373237014082</v>
      </c>
      <c r="AE744" s="5">
        <f t="shared" si="753"/>
        <v>-4018.1550739594059</v>
      </c>
      <c r="AF744" s="5">
        <f t="shared" si="753"/>
        <v>-4427.7728242174053</v>
      </c>
      <c r="AG744" s="5">
        <f t="shared" si="753"/>
        <v>-4837.3905744754029</v>
      </c>
      <c r="AH744" s="5">
        <f t="shared" si="753"/>
        <v>-5247.0083247334005</v>
      </c>
    </row>
    <row r="745" spans="1:34" x14ac:dyDescent="0.35">
      <c r="A745" t="s">
        <v>765</v>
      </c>
      <c r="B745" s="3" t="s">
        <v>1266</v>
      </c>
      <c r="C745" s="4" t="s">
        <v>1267</v>
      </c>
      <c r="D745" s="2">
        <f t="shared" si="716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ref="W745:AH745" si="754">IF(OR((SLOPE($E745:$V745,$E$1:$V$1)*W$1+INTERCEPT($E745:$V745,$E$1:$V$1))&gt;(AVERAGE($E745:$V745)+_xlfn.STDEV.P($E745:$V745)),(SLOPE($E745:$V745,$E$1:$V$1)*W$1+INTERCEPT($E745:$V745,$E$1:$V$1))&lt;(AVERAGE($E745:$V745)-_xlfn.STDEV.P($E745:$V745))),V745,(SLOPE($E745:$V745,$E$1:$V$1)*W$1+INTERCEPT($E745:$V745,$E$1:$V$1)))</f>
        <v>11435.894649163354</v>
      </c>
      <c r="X745" s="5">
        <f t="shared" si="754"/>
        <v>12309.604766671589</v>
      </c>
      <c r="Y745" s="5">
        <f t="shared" si="754"/>
        <v>13183.314884179825</v>
      </c>
      <c r="Z745" s="5">
        <f t="shared" si="754"/>
        <v>14057.02500168806</v>
      </c>
      <c r="AA745" s="5">
        <f t="shared" si="754"/>
        <v>14930.735119196299</v>
      </c>
      <c r="AB745" s="5">
        <f t="shared" si="754"/>
        <v>15804.445236704534</v>
      </c>
      <c r="AC745" s="5">
        <f t="shared" si="754"/>
        <v>15804.445236704534</v>
      </c>
      <c r="AD745" s="5">
        <f t="shared" si="754"/>
        <v>15804.445236704534</v>
      </c>
      <c r="AE745" s="5">
        <f t="shared" si="754"/>
        <v>15804.445236704534</v>
      </c>
      <c r="AF745" s="5">
        <f t="shared" si="754"/>
        <v>15804.445236704534</v>
      </c>
      <c r="AG745" s="5">
        <f t="shared" si="754"/>
        <v>15804.445236704534</v>
      </c>
      <c r="AH745" s="5">
        <f t="shared" si="754"/>
        <v>15804.445236704534</v>
      </c>
    </row>
    <row r="746" spans="1:34" x14ac:dyDescent="0.35">
      <c r="A746" t="s">
        <v>766</v>
      </c>
      <c r="B746" s="3" t="s">
        <v>1266</v>
      </c>
      <c r="C746" s="4" t="s">
        <v>1267</v>
      </c>
      <c r="D746" s="2">
        <f t="shared" si="716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ref="W746:AH746" si="755">IF(OR((SLOPE($E746:$V746,$E$1:$V$1)*W$1+INTERCEPT($E746:$V746,$E$1:$V$1))&gt;(AVERAGE($E746:$V746)+_xlfn.STDEV.P($E746:$V746)),(SLOPE($E746:$V746,$E$1:$V$1)*W$1+INTERCEPT($E746:$V746,$E$1:$V$1))&lt;(AVERAGE($E746:$V746)-_xlfn.STDEV.P($E746:$V746))),V746,(SLOPE($E746:$V746,$E$1:$V$1)*W$1+INTERCEPT($E746:$V746,$E$1:$V$1)))</f>
        <v>-2442.7445537312124</v>
      </c>
      <c r="X746" s="5">
        <f t="shared" si="755"/>
        <v>-3028.8732365676642</v>
      </c>
      <c r="Y746" s="5">
        <f t="shared" si="755"/>
        <v>-3615.0019194041142</v>
      </c>
      <c r="Z746" s="5">
        <f t="shared" si="755"/>
        <v>-4201.1306022405661</v>
      </c>
      <c r="AA746" s="5">
        <f t="shared" si="755"/>
        <v>-4201.1306022405661</v>
      </c>
      <c r="AB746" s="5">
        <f t="shared" si="755"/>
        <v>-4201.1306022405661</v>
      </c>
      <c r="AC746" s="5">
        <f t="shared" si="755"/>
        <v>-4201.1306022405661</v>
      </c>
      <c r="AD746" s="5">
        <f t="shared" si="755"/>
        <v>-4201.1306022405661</v>
      </c>
      <c r="AE746" s="5">
        <f t="shared" si="755"/>
        <v>-4201.1306022405661</v>
      </c>
      <c r="AF746" s="5">
        <f t="shared" si="755"/>
        <v>-4201.1306022405661</v>
      </c>
      <c r="AG746" s="5">
        <f t="shared" si="755"/>
        <v>-4201.1306022405661</v>
      </c>
      <c r="AH746" s="5">
        <f t="shared" si="755"/>
        <v>-4201.1306022405661</v>
      </c>
    </row>
    <row r="747" spans="1:34" x14ac:dyDescent="0.35">
      <c r="A747" t="s">
        <v>767</v>
      </c>
      <c r="B747" s="3" t="s">
        <v>1265</v>
      </c>
      <c r="C747" s="4" t="s">
        <v>1263</v>
      </c>
      <c r="D747" s="2">
        <f t="shared" si="716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ref="W747:AH747" si="756">IF(OR((SLOPE($E747:$V747,$E$1:$V$1)*W$1+INTERCEPT($E747:$V747,$E$1:$V$1))&gt;(AVERAGE($E747:$V747)+_xlfn.STDEV.P($E747:$V747)),(SLOPE($E747:$V747,$E$1:$V$1)*W$1+INTERCEPT($E747:$V747,$E$1:$V$1))&lt;(AVERAGE($E747:$V747)-_xlfn.STDEV.P($E747:$V747))),V747,(SLOPE($E747:$V747,$E$1:$V$1)*W$1+INTERCEPT($E747:$V747,$E$1:$V$1)))</f>
        <v>0</v>
      </c>
      <c r="X747" s="5">
        <f t="shared" si="756"/>
        <v>0</v>
      </c>
      <c r="Y747" s="5">
        <f t="shared" si="756"/>
        <v>0</v>
      </c>
      <c r="Z747" s="5">
        <f t="shared" si="756"/>
        <v>0</v>
      </c>
      <c r="AA747" s="5">
        <f t="shared" si="756"/>
        <v>0</v>
      </c>
      <c r="AB747" s="5">
        <f t="shared" si="756"/>
        <v>0</v>
      </c>
      <c r="AC747" s="5">
        <f t="shared" si="756"/>
        <v>0</v>
      </c>
      <c r="AD747" s="5">
        <f t="shared" si="756"/>
        <v>0</v>
      </c>
      <c r="AE747" s="5">
        <f t="shared" si="756"/>
        <v>0</v>
      </c>
      <c r="AF747" s="5">
        <f t="shared" si="756"/>
        <v>0</v>
      </c>
      <c r="AG747" s="5">
        <f t="shared" si="756"/>
        <v>0</v>
      </c>
      <c r="AH747" s="5">
        <f t="shared" si="756"/>
        <v>0</v>
      </c>
    </row>
    <row r="748" spans="1:34" x14ac:dyDescent="0.35">
      <c r="A748" t="s">
        <v>768</v>
      </c>
      <c r="B748" s="3" t="s">
        <v>1264</v>
      </c>
      <c r="C748" s="4" t="s">
        <v>1263</v>
      </c>
      <c r="D748" s="2">
        <f t="shared" si="716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ref="W748:AH748" si="757">IF(OR((SLOPE($E748:$V748,$E$1:$V$1)*W$1+INTERCEPT($E748:$V748,$E$1:$V$1))&gt;(AVERAGE($E748:$V748)+_xlfn.STDEV.P($E748:$V748)),(SLOPE($E748:$V748,$E$1:$V$1)*W$1+INTERCEPT($E748:$V748,$E$1:$V$1))&lt;(AVERAGE($E748:$V748)-_xlfn.STDEV.P($E748:$V748))),V748,(SLOPE($E748:$V748,$E$1:$V$1)*W$1+INTERCEPT($E748:$V748,$E$1:$V$1)))</f>
        <v>1252.4269333333327</v>
      </c>
      <c r="X748" s="5">
        <f t="shared" si="757"/>
        <v>1057.4745361403502</v>
      </c>
      <c r="Y748" s="5">
        <f t="shared" si="757"/>
        <v>862.52213894736769</v>
      </c>
      <c r="Z748" s="5">
        <f t="shared" si="757"/>
        <v>862.52213894736769</v>
      </c>
      <c r="AA748" s="5">
        <f t="shared" si="757"/>
        <v>862.52213894736769</v>
      </c>
      <c r="AB748" s="5">
        <f t="shared" si="757"/>
        <v>862.52213894736769</v>
      </c>
      <c r="AC748" s="5">
        <f t="shared" si="757"/>
        <v>862.52213894736769</v>
      </c>
      <c r="AD748" s="5">
        <f t="shared" si="757"/>
        <v>862.52213894736769</v>
      </c>
      <c r="AE748" s="5">
        <f t="shared" si="757"/>
        <v>862.52213894736769</v>
      </c>
      <c r="AF748" s="5">
        <f t="shared" si="757"/>
        <v>862.52213894736769</v>
      </c>
      <c r="AG748" s="5">
        <f t="shared" si="757"/>
        <v>862.52213894736769</v>
      </c>
      <c r="AH748" s="5">
        <f t="shared" si="757"/>
        <v>862.52213894736769</v>
      </c>
    </row>
    <row r="749" spans="1:34" x14ac:dyDescent="0.35">
      <c r="A749" t="s">
        <v>769</v>
      </c>
      <c r="B749" s="3" t="s">
        <v>1265</v>
      </c>
      <c r="C749" s="4" t="s">
        <v>1268</v>
      </c>
      <c r="D749" s="2">
        <f t="shared" si="716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ref="W749:AH749" si="758">IF(OR((SLOPE($E749:$V749,$E$1:$V$1)*W$1+INTERCEPT($E749:$V749,$E$1:$V$1))&gt;(AVERAGE($E749:$V749)+_xlfn.STDEV.P($E749:$V749)),(SLOPE($E749:$V749,$E$1:$V$1)*W$1+INTERCEPT($E749:$V749,$E$1:$V$1))&lt;(AVERAGE($E749:$V749)-_xlfn.STDEV.P($E749:$V749))),V749,(SLOPE($E749:$V749,$E$1:$V$1)*W$1+INTERCEPT($E749:$V749,$E$1:$V$1)))</f>
        <v>10747.717647058824</v>
      </c>
      <c r="X749" s="5">
        <f t="shared" si="758"/>
        <v>11553.077399380807</v>
      </c>
      <c r="Y749" s="5">
        <f t="shared" si="758"/>
        <v>11553.077399380807</v>
      </c>
      <c r="Z749" s="5">
        <f t="shared" si="758"/>
        <v>11553.077399380807</v>
      </c>
      <c r="AA749" s="5">
        <f t="shared" si="758"/>
        <v>11553.077399380807</v>
      </c>
      <c r="AB749" s="5">
        <f t="shared" si="758"/>
        <v>11553.077399380807</v>
      </c>
      <c r="AC749" s="5">
        <f t="shared" si="758"/>
        <v>11553.077399380807</v>
      </c>
      <c r="AD749" s="5">
        <f t="shared" si="758"/>
        <v>11553.077399380807</v>
      </c>
      <c r="AE749" s="5">
        <f t="shared" si="758"/>
        <v>11553.077399380807</v>
      </c>
      <c r="AF749" s="5">
        <f t="shared" si="758"/>
        <v>11553.077399380807</v>
      </c>
      <c r="AG749" s="5">
        <f t="shared" si="758"/>
        <v>11553.077399380807</v>
      </c>
      <c r="AH749" s="5">
        <f t="shared" si="758"/>
        <v>11553.077399380807</v>
      </c>
    </row>
    <row r="750" spans="1:34" x14ac:dyDescent="0.35">
      <c r="A750" t="s">
        <v>770</v>
      </c>
      <c r="B750" s="3" t="s">
        <v>1264</v>
      </c>
      <c r="C750" s="4" t="s">
        <v>1263</v>
      </c>
      <c r="D750" s="2">
        <f t="shared" si="716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ref="W750:AH750" si="759">IF(OR((SLOPE($E750:$V750,$E$1:$V$1)*W$1+INTERCEPT($E750:$V750,$E$1:$V$1))&gt;(AVERAGE($E750:$V750)+_xlfn.STDEV.P($E750:$V750)),(SLOPE($E750:$V750,$E$1:$V$1)*W$1+INTERCEPT($E750:$V750,$E$1:$V$1))&lt;(AVERAGE($E750:$V750)-_xlfn.STDEV.P($E750:$V750))),V750,(SLOPE($E750:$V750,$E$1:$V$1)*W$1+INTERCEPT($E750:$V750,$E$1:$V$1)))</f>
        <v>264.10155909952027</v>
      </c>
      <c r="X750" s="5">
        <f t="shared" si="759"/>
        <v>-30.851401640636141</v>
      </c>
      <c r="Y750" s="5">
        <f t="shared" si="759"/>
        <v>-325.80436238079346</v>
      </c>
      <c r="Z750" s="5">
        <f t="shared" si="759"/>
        <v>-620.75732312094988</v>
      </c>
      <c r="AA750" s="5">
        <f t="shared" si="759"/>
        <v>-915.7102838611072</v>
      </c>
      <c r="AB750" s="5">
        <f t="shared" si="759"/>
        <v>-1210.6632446012645</v>
      </c>
      <c r="AC750" s="5">
        <f t="shared" si="759"/>
        <v>-1505.6162053414209</v>
      </c>
      <c r="AD750" s="5">
        <f t="shared" si="759"/>
        <v>-1800.5691660815783</v>
      </c>
      <c r="AE750" s="5">
        <f t="shared" si="759"/>
        <v>-2095.5221268217347</v>
      </c>
      <c r="AF750" s="5">
        <f t="shared" si="759"/>
        <v>-2390.475087561892</v>
      </c>
      <c r="AG750" s="5">
        <f t="shared" si="759"/>
        <v>-2685.4280483020484</v>
      </c>
      <c r="AH750" s="5">
        <f t="shared" si="759"/>
        <v>-2980.3810090422048</v>
      </c>
    </row>
    <row r="751" spans="1:34" x14ac:dyDescent="0.35">
      <c r="A751" t="s">
        <v>771</v>
      </c>
      <c r="B751" s="3" t="s">
        <v>1266</v>
      </c>
      <c r="C751" s="4" t="s">
        <v>1266</v>
      </c>
      <c r="D751" s="2">
        <f t="shared" si="716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ref="W751:AH751" si="760">IF(OR((SLOPE($E751:$V751,$E$1:$V$1)*W$1+INTERCEPT($E751:$V751,$E$1:$V$1))&gt;(AVERAGE($E751:$V751)+_xlfn.STDEV.P($E751:$V751)),(SLOPE($E751:$V751,$E$1:$V$1)*W$1+INTERCEPT($E751:$V751,$E$1:$V$1))&lt;(AVERAGE($E751:$V751)-_xlfn.STDEV.P($E751:$V751))),V751,(SLOPE($E751:$V751,$E$1:$V$1)*W$1+INTERCEPT($E751:$V751,$E$1:$V$1)))</f>
        <v>5755.4530618900271</v>
      </c>
      <c r="X751" s="5">
        <f t="shared" si="760"/>
        <v>6039.4392327069691</v>
      </c>
      <c r="Y751" s="5">
        <f t="shared" si="760"/>
        <v>6323.425403523911</v>
      </c>
      <c r="Z751" s="5">
        <f t="shared" si="760"/>
        <v>6607.4115743408538</v>
      </c>
      <c r="AA751" s="5">
        <f t="shared" si="760"/>
        <v>6891.3977451577957</v>
      </c>
      <c r="AB751" s="5">
        <f t="shared" si="760"/>
        <v>7175.3839159747376</v>
      </c>
      <c r="AC751" s="5">
        <f t="shared" si="760"/>
        <v>7459.3700867916796</v>
      </c>
      <c r="AD751" s="5">
        <f t="shared" si="760"/>
        <v>7743.3562576086215</v>
      </c>
      <c r="AE751" s="5">
        <f t="shared" si="760"/>
        <v>8027.3424284255643</v>
      </c>
      <c r="AF751" s="5">
        <f t="shared" si="760"/>
        <v>8311.3285992425062</v>
      </c>
      <c r="AG751" s="5">
        <f t="shared" si="760"/>
        <v>8595.3147700594491</v>
      </c>
      <c r="AH751" s="5">
        <f t="shared" si="760"/>
        <v>8879.3009408763901</v>
      </c>
    </row>
    <row r="752" spans="1:34" x14ac:dyDescent="0.35">
      <c r="A752" t="s">
        <v>772</v>
      </c>
      <c r="B752" s="3" t="s">
        <v>1264</v>
      </c>
      <c r="C752" s="4" t="s">
        <v>1263</v>
      </c>
      <c r="D752" s="2">
        <f t="shared" si="716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ref="W752:AH752" si="761">IF(OR((SLOPE($E752:$V752,$E$1:$V$1)*W$1+INTERCEPT($E752:$V752,$E$1:$V$1))&gt;(AVERAGE($E752:$V752)+_xlfn.STDEV.P($E752:$V752)),(SLOPE($E752:$V752,$E$1:$V$1)*W$1+INTERCEPT($E752:$V752,$E$1:$V$1))&lt;(AVERAGE($E752:$V752)-_xlfn.STDEV.P($E752:$V752))),V752,(SLOPE($E752:$V752,$E$1:$V$1)*W$1+INTERCEPT($E752:$V752,$E$1:$V$1)))</f>
        <v>2553.0527647058825</v>
      </c>
      <c r="X752" s="5">
        <f t="shared" si="761"/>
        <v>2505.2732136222912</v>
      </c>
      <c r="Y752" s="5">
        <f t="shared" si="761"/>
        <v>2457.4936625386999</v>
      </c>
      <c r="Z752" s="5">
        <f t="shared" si="761"/>
        <v>2409.7141114551087</v>
      </c>
      <c r="AA752" s="5">
        <f t="shared" si="761"/>
        <v>2361.9345603715174</v>
      </c>
      <c r="AB752" s="5">
        <f t="shared" si="761"/>
        <v>2314.1550092879261</v>
      </c>
      <c r="AC752" s="5">
        <f t="shared" si="761"/>
        <v>2266.3754582043348</v>
      </c>
      <c r="AD752" s="5">
        <f t="shared" si="761"/>
        <v>2218.5959071207435</v>
      </c>
      <c r="AE752" s="5">
        <f t="shared" si="761"/>
        <v>2170.8163560371522</v>
      </c>
      <c r="AF752" s="5">
        <f t="shared" si="761"/>
        <v>2123.0368049535609</v>
      </c>
      <c r="AG752" s="5">
        <f t="shared" si="761"/>
        <v>2075.2572538699696</v>
      </c>
      <c r="AH752" s="5">
        <f t="shared" si="761"/>
        <v>2027.4777027863779</v>
      </c>
    </row>
    <row r="753" spans="1:34" x14ac:dyDescent="0.35">
      <c r="A753" t="s">
        <v>773</v>
      </c>
      <c r="B753" s="3" t="s">
        <v>1264</v>
      </c>
      <c r="C753" s="4" t="s">
        <v>1263</v>
      </c>
      <c r="D753" s="2">
        <f t="shared" si="716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ref="W753:AH753" si="762">IF(OR((SLOPE($E753:$V753,$E$1:$V$1)*W$1+INTERCEPT($E753:$V753,$E$1:$V$1))&gt;(AVERAGE($E753:$V753)+_xlfn.STDEV.P($E753:$V753)),(SLOPE($E753:$V753,$E$1:$V$1)*W$1+INTERCEPT($E753:$V753,$E$1:$V$1))&lt;(AVERAGE($E753:$V753)-_xlfn.STDEV.P($E753:$V753))),V753,(SLOPE($E753:$V753,$E$1:$V$1)*W$1+INTERCEPT($E753:$V753,$E$1:$V$1)))</f>
        <v>-4996.7454534483677</v>
      </c>
      <c r="X753" s="5">
        <f t="shared" si="762"/>
        <v>-5842.0595339189567</v>
      </c>
      <c r="Y753" s="5">
        <f t="shared" si="762"/>
        <v>-6687.3736143895439</v>
      </c>
      <c r="Z753" s="5">
        <f t="shared" si="762"/>
        <v>-7532.6876948601312</v>
      </c>
      <c r="AA753" s="5">
        <f t="shared" si="762"/>
        <v>-8378.0017753307184</v>
      </c>
      <c r="AB753" s="5">
        <f t="shared" si="762"/>
        <v>-9223.3158558013092</v>
      </c>
      <c r="AC753" s="5">
        <f t="shared" si="762"/>
        <v>-9223.3158558013092</v>
      </c>
      <c r="AD753" s="5">
        <f t="shared" si="762"/>
        <v>-9223.3158558013092</v>
      </c>
      <c r="AE753" s="5">
        <f t="shared" si="762"/>
        <v>-9223.3158558013092</v>
      </c>
      <c r="AF753" s="5">
        <f t="shared" si="762"/>
        <v>-9223.3158558013092</v>
      </c>
      <c r="AG753" s="5">
        <f t="shared" si="762"/>
        <v>-9223.3158558013092</v>
      </c>
      <c r="AH753" s="5">
        <f t="shared" si="762"/>
        <v>-9223.3158558013092</v>
      </c>
    </row>
    <row r="754" spans="1:34" x14ac:dyDescent="0.35">
      <c r="A754" t="s">
        <v>774</v>
      </c>
      <c r="B754" s="3" t="s">
        <v>1264</v>
      </c>
      <c r="C754" s="4" t="s">
        <v>1263</v>
      </c>
      <c r="D754" s="2">
        <f t="shared" si="716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ref="W754:AH754" si="763">IF(OR((SLOPE($E754:$V754,$E$1:$V$1)*W$1+INTERCEPT($E754:$V754,$E$1:$V$1))&gt;(AVERAGE($E754:$V754)+_xlfn.STDEV.P($E754:$V754)),(SLOPE($E754:$V754,$E$1:$V$1)*W$1+INTERCEPT($E754:$V754,$E$1:$V$1))&lt;(AVERAGE($E754:$V754)-_xlfn.STDEV.P($E754:$V754))),V754,(SLOPE($E754:$V754,$E$1:$V$1)*W$1+INTERCEPT($E754:$V754,$E$1:$V$1)))</f>
        <v>4342.3915294117651</v>
      </c>
      <c r="X754" s="5">
        <f t="shared" si="763"/>
        <v>4490.5068482972138</v>
      </c>
      <c r="Y754" s="5">
        <f t="shared" si="763"/>
        <v>4638.6221671826625</v>
      </c>
      <c r="Z754" s="5">
        <f t="shared" si="763"/>
        <v>4786.737486068112</v>
      </c>
      <c r="AA754" s="5">
        <f t="shared" si="763"/>
        <v>4934.8528049535598</v>
      </c>
      <c r="AB754" s="5">
        <f t="shared" si="763"/>
        <v>4934.8528049535598</v>
      </c>
      <c r="AC754" s="5">
        <f t="shared" si="763"/>
        <v>4934.8528049535598</v>
      </c>
      <c r="AD754" s="5">
        <f t="shared" si="763"/>
        <v>4934.8528049535598</v>
      </c>
      <c r="AE754" s="5">
        <f t="shared" si="763"/>
        <v>4934.8528049535598</v>
      </c>
      <c r="AF754" s="5">
        <f t="shared" si="763"/>
        <v>4934.8528049535598</v>
      </c>
      <c r="AG754" s="5">
        <f t="shared" si="763"/>
        <v>4934.8528049535598</v>
      </c>
      <c r="AH754" s="5">
        <f t="shared" si="763"/>
        <v>4934.8528049535598</v>
      </c>
    </row>
    <row r="755" spans="1:34" x14ac:dyDescent="0.35">
      <c r="A755" t="s">
        <v>775</v>
      </c>
      <c r="B755" s="3" t="s">
        <v>1266</v>
      </c>
      <c r="C755" s="4" t="s">
        <v>1267</v>
      </c>
      <c r="D755" s="2">
        <f t="shared" si="716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ref="W755:AH755" si="764">IF(OR((SLOPE($E755:$V755,$E$1:$V$1)*W$1+INTERCEPT($E755:$V755,$E$1:$V$1))&gt;(AVERAGE($E755:$V755)+_xlfn.STDEV.P($E755:$V755)),(SLOPE($E755:$V755,$E$1:$V$1)*W$1+INTERCEPT($E755:$V755,$E$1:$V$1))&lt;(AVERAGE($E755:$V755)-_xlfn.STDEV.P($E755:$V755))),V755,(SLOPE($E755:$V755,$E$1:$V$1)*W$1+INTERCEPT($E755:$V755,$E$1:$V$1)))</f>
        <v>8605.7066666666669</v>
      </c>
      <c r="X755" s="5">
        <f t="shared" si="764"/>
        <v>9194.2733473684202</v>
      </c>
      <c r="Y755" s="5">
        <f t="shared" si="764"/>
        <v>9782.8400280701753</v>
      </c>
      <c r="Z755" s="5">
        <f t="shared" si="764"/>
        <v>10371.40670877193</v>
      </c>
      <c r="AA755" s="5">
        <f t="shared" si="764"/>
        <v>10959.973389473684</v>
      </c>
      <c r="AB755" s="5">
        <f t="shared" si="764"/>
        <v>11548.540070175439</v>
      </c>
      <c r="AC755" s="5">
        <f t="shared" si="764"/>
        <v>12137.106750877194</v>
      </c>
      <c r="AD755" s="5">
        <f t="shared" si="764"/>
        <v>12137.106750877194</v>
      </c>
      <c r="AE755" s="5">
        <f t="shared" si="764"/>
        <v>12137.106750877194</v>
      </c>
      <c r="AF755" s="5">
        <f t="shared" si="764"/>
        <v>12137.106750877194</v>
      </c>
      <c r="AG755" s="5">
        <f t="shared" si="764"/>
        <v>12137.106750877194</v>
      </c>
      <c r="AH755" s="5">
        <f t="shared" si="764"/>
        <v>12137.106750877194</v>
      </c>
    </row>
    <row r="756" spans="1:34" x14ac:dyDescent="0.35">
      <c r="A756" t="s">
        <v>776</v>
      </c>
      <c r="B756" s="3" t="s">
        <v>1266</v>
      </c>
      <c r="C756" s="4" t="s">
        <v>1267</v>
      </c>
      <c r="D756" s="2">
        <f t="shared" si="716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ref="W756:AH756" si="765">IF(OR((SLOPE($E756:$V756,$E$1:$V$1)*W$1+INTERCEPT($E756:$V756,$E$1:$V$1))&gt;(AVERAGE($E756:$V756)+_xlfn.STDEV.P($E756:$V756)),(SLOPE($E756:$V756,$E$1:$V$1)*W$1+INTERCEPT($E756:$V756,$E$1:$V$1))&lt;(AVERAGE($E756:$V756)-_xlfn.STDEV.P($E756:$V756))),V756,(SLOPE($E756:$V756,$E$1:$V$1)*W$1+INTERCEPT($E756:$V756,$E$1:$V$1)))</f>
        <v>8849.3811480061868</v>
      </c>
      <c r="X756" s="5">
        <f t="shared" si="765"/>
        <v>9464.180259341354</v>
      </c>
      <c r="Y756" s="5">
        <f t="shared" si="765"/>
        <v>10078.979370676519</v>
      </c>
      <c r="Z756" s="5">
        <f t="shared" si="765"/>
        <v>10693.778482011687</v>
      </c>
      <c r="AA756" s="5">
        <f t="shared" si="765"/>
        <v>11308.577593346854</v>
      </c>
      <c r="AB756" s="5">
        <f t="shared" si="765"/>
        <v>11923.376704682019</v>
      </c>
      <c r="AC756" s="5">
        <f t="shared" si="765"/>
        <v>12538.175816017187</v>
      </c>
      <c r="AD756" s="5">
        <f t="shared" si="765"/>
        <v>13152.974927352354</v>
      </c>
      <c r="AE756" s="5">
        <f t="shared" si="765"/>
        <v>13767.774038687521</v>
      </c>
      <c r="AF756" s="5">
        <f t="shared" si="765"/>
        <v>14382.573150022688</v>
      </c>
      <c r="AG756" s="5">
        <f t="shared" si="765"/>
        <v>14997.372261357852</v>
      </c>
      <c r="AH756" s="5">
        <f t="shared" si="765"/>
        <v>14997.372261357852</v>
      </c>
    </row>
    <row r="757" spans="1:34" x14ac:dyDescent="0.35">
      <c r="A757" t="s">
        <v>777</v>
      </c>
      <c r="B757" s="3" t="s">
        <v>1266</v>
      </c>
      <c r="C757" s="4" t="s">
        <v>1263</v>
      </c>
      <c r="D757" s="2">
        <f t="shared" si="716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H757" si="766">IF(OR((SLOPE($E757:$V757,$E$1:$V$1)*W$1+INTERCEPT($E757:$V757,$E$1:$V$1))&gt;(AVERAGE($E757:$V757)+_xlfn.STDEV.P($E757:$V757)),(SLOPE($E757:$V757,$E$1:$V$1)*W$1+INTERCEPT($E757:$V757,$E$1:$V$1))&lt;(AVERAGE($E757:$V757)-_xlfn.STDEV.P($E757:$V757))),V757,(SLOPE($E757:$V757,$E$1:$V$1)*W$1+INTERCEPT($E757:$V757,$E$1:$V$1)))</f>
        <v>-2800.4310384041692</v>
      </c>
      <c r="X757" s="5">
        <f t="shared" si="766"/>
        <v>-3408.4193559524429</v>
      </c>
      <c r="Y757" s="5">
        <f t="shared" si="766"/>
        <v>-4016.4076735007147</v>
      </c>
      <c r="Z757" s="5">
        <f t="shared" si="766"/>
        <v>-4624.3959910489884</v>
      </c>
      <c r="AA757" s="5">
        <f t="shared" si="766"/>
        <v>-5232.3843085972621</v>
      </c>
      <c r="AB757" s="5">
        <f t="shared" si="766"/>
        <v>-5840.372626145534</v>
      </c>
      <c r="AC757" s="5">
        <f t="shared" si="766"/>
        <v>-6448.3609436938077</v>
      </c>
      <c r="AD757" s="5">
        <f t="shared" si="766"/>
        <v>-7056.3492612420814</v>
      </c>
      <c r="AE757" s="5">
        <f t="shared" si="766"/>
        <v>-7664.3375787903533</v>
      </c>
      <c r="AF757" s="5">
        <f t="shared" si="766"/>
        <v>-8272.3258963386288</v>
      </c>
      <c r="AG757" s="5">
        <f t="shared" si="766"/>
        <v>-8880.3142138869007</v>
      </c>
      <c r="AH757" s="5">
        <f t="shared" si="766"/>
        <v>-8880.3142138869007</v>
      </c>
    </row>
    <row r="758" spans="1:34" x14ac:dyDescent="0.35">
      <c r="A758" t="s">
        <v>778</v>
      </c>
      <c r="B758" s="3" t="s">
        <v>1262</v>
      </c>
      <c r="C758" s="4" t="s">
        <v>1263</v>
      </c>
      <c r="D758" s="2">
        <f t="shared" si="716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ref="W758:AH758" si="767">IF(OR((SLOPE($E758:$V758,$E$1:$V$1)*W$1+INTERCEPT($E758:$V758,$E$1:$V$1))&gt;(AVERAGE($E758:$V758)+_xlfn.STDEV.P($E758:$V758)),(SLOPE($E758:$V758,$E$1:$V$1)*W$1+INTERCEPT($E758:$V758,$E$1:$V$1))&lt;(AVERAGE($E758:$V758)-_xlfn.STDEV.P($E758:$V758))),V758,(SLOPE($E758:$V758,$E$1:$V$1)*W$1+INTERCEPT($E758:$V758,$E$1:$V$1)))</f>
        <v>24245.827200000007</v>
      </c>
      <c r="X758" s="5">
        <f t="shared" si="767"/>
        <v>24245.827200000007</v>
      </c>
      <c r="Y758" s="5">
        <f t="shared" si="767"/>
        <v>24245.827200000007</v>
      </c>
      <c r="Z758" s="5">
        <f t="shared" si="767"/>
        <v>24245.827200000007</v>
      </c>
      <c r="AA758" s="5">
        <f t="shared" si="767"/>
        <v>24245.827200000007</v>
      </c>
      <c r="AB758" s="5">
        <f t="shared" si="767"/>
        <v>24245.827200000007</v>
      </c>
      <c r="AC758" s="5">
        <f t="shared" si="767"/>
        <v>24245.827200000007</v>
      </c>
      <c r="AD758" s="5">
        <f t="shared" si="767"/>
        <v>24245.827200000007</v>
      </c>
      <c r="AE758" s="5">
        <f t="shared" si="767"/>
        <v>24245.827200000007</v>
      </c>
      <c r="AF758" s="5">
        <f t="shared" si="767"/>
        <v>24245.827200000007</v>
      </c>
      <c r="AG758" s="5">
        <f t="shared" si="767"/>
        <v>24245.827200000007</v>
      </c>
      <c r="AH758" s="5">
        <f t="shared" si="767"/>
        <v>24245.827200000007</v>
      </c>
    </row>
    <row r="759" spans="1:34" x14ac:dyDescent="0.35">
      <c r="A759" t="s">
        <v>779</v>
      </c>
      <c r="B759" s="3" t="s">
        <v>1266</v>
      </c>
      <c r="C759" s="4" t="s">
        <v>1267</v>
      </c>
      <c r="D759" s="2">
        <f t="shared" si="716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ref="W759:AH759" si="768">IF(OR((SLOPE($E759:$V759,$E$1:$V$1)*W$1+INTERCEPT($E759:$V759,$E$1:$V$1))&gt;(AVERAGE($E759:$V759)+_xlfn.STDEV.P($E759:$V759)),(SLOPE($E759:$V759,$E$1:$V$1)*W$1+INTERCEPT($E759:$V759,$E$1:$V$1))&lt;(AVERAGE($E759:$V759)-_xlfn.STDEV.P($E759:$V759))),V759,(SLOPE($E759:$V759,$E$1:$V$1)*W$1+INTERCEPT($E759:$V759,$E$1:$V$1)))</f>
        <v>1316.1828828800435</v>
      </c>
      <c r="X759" s="5">
        <f t="shared" si="768"/>
        <v>1144.2604297574348</v>
      </c>
      <c r="Y759" s="5">
        <f t="shared" si="768"/>
        <v>972.33797663482619</v>
      </c>
      <c r="Z759" s="5">
        <f t="shared" si="768"/>
        <v>800.41552351221799</v>
      </c>
      <c r="AA759" s="5">
        <f t="shared" si="768"/>
        <v>628.49307038960933</v>
      </c>
      <c r="AB759" s="5">
        <f t="shared" si="768"/>
        <v>456.57061726700067</v>
      </c>
      <c r="AC759" s="5">
        <f t="shared" si="768"/>
        <v>284.64816414439247</v>
      </c>
      <c r="AD759" s="5">
        <f t="shared" si="768"/>
        <v>112.72571102178335</v>
      </c>
      <c r="AE759" s="5">
        <f t="shared" si="768"/>
        <v>-59.196742100824849</v>
      </c>
      <c r="AF759" s="5">
        <f t="shared" si="768"/>
        <v>-231.11919522343305</v>
      </c>
      <c r="AG759" s="5">
        <f t="shared" si="768"/>
        <v>-403.04164834604217</v>
      </c>
      <c r="AH759" s="5">
        <f t="shared" si="768"/>
        <v>-574.96410146865037</v>
      </c>
    </row>
    <row r="760" spans="1:34" x14ac:dyDescent="0.35">
      <c r="A760" t="s">
        <v>780</v>
      </c>
      <c r="B760" s="3" t="s">
        <v>1265</v>
      </c>
      <c r="C760" s="4" t="s">
        <v>1263</v>
      </c>
      <c r="D760" s="2">
        <f t="shared" si="716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ref="W760:AH760" si="769">IF(OR((SLOPE($E760:$V760,$E$1:$V$1)*W$1+INTERCEPT($E760:$V760,$E$1:$V$1))&gt;(AVERAGE($E760:$V760)+_xlfn.STDEV.P($E760:$V760)),(SLOPE($E760:$V760,$E$1:$V$1)*W$1+INTERCEPT($E760:$V760,$E$1:$V$1))&lt;(AVERAGE($E760:$V760)-_xlfn.STDEV.P($E760:$V760))),V760,(SLOPE($E760:$V760,$E$1:$V$1)*W$1+INTERCEPT($E760:$V760,$E$1:$V$1)))</f>
        <v>1351.0054535947706</v>
      </c>
      <c r="X760" s="5">
        <f t="shared" si="769"/>
        <v>1185.3062849673197</v>
      </c>
      <c r="Y760" s="5">
        <f t="shared" si="769"/>
        <v>1019.6071163398683</v>
      </c>
      <c r="Z760" s="5">
        <f t="shared" si="769"/>
        <v>853.90794771241735</v>
      </c>
      <c r="AA760" s="5">
        <f t="shared" si="769"/>
        <v>688.20877908496641</v>
      </c>
      <c r="AB760" s="5">
        <f t="shared" si="769"/>
        <v>522.50961045751546</v>
      </c>
      <c r="AC760" s="5">
        <f t="shared" si="769"/>
        <v>356.81044183006452</v>
      </c>
      <c r="AD760" s="5">
        <f t="shared" si="769"/>
        <v>191.11127320261312</v>
      </c>
      <c r="AE760" s="5">
        <f t="shared" si="769"/>
        <v>25.41210457516263</v>
      </c>
      <c r="AF760" s="5">
        <f t="shared" si="769"/>
        <v>-140.28706405228877</v>
      </c>
      <c r="AG760" s="5">
        <f t="shared" si="769"/>
        <v>-305.98623267973926</v>
      </c>
      <c r="AH760" s="5">
        <f t="shared" si="769"/>
        <v>-471.68540130719066</v>
      </c>
    </row>
    <row r="761" spans="1:34" x14ac:dyDescent="0.35">
      <c r="A761" t="s">
        <v>781</v>
      </c>
      <c r="B761" s="3" t="s">
        <v>1264</v>
      </c>
      <c r="C761" s="4" t="s">
        <v>1263</v>
      </c>
      <c r="D761" s="2">
        <f t="shared" si="716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ref="W761:AH761" si="770">IF(OR((SLOPE($E761:$V761,$E$1:$V$1)*W$1+INTERCEPT($E761:$V761,$E$1:$V$1))&gt;(AVERAGE($E761:$V761)+_xlfn.STDEV.P($E761:$V761)),(SLOPE($E761:$V761,$E$1:$V$1)*W$1+INTERCEPT($E761:$V761,$E$1:$V$1))&lt;(AVERAGE($E761:$V761)-_xlfn.STDEV.P($E761:$V761))),V761,(SLOPE($E761:$V761,$E$1:$V$1)*W$1+INTERCEPT($E761:$V761,$E$1:$V$1)))</f>
        <v>3792.7616679738549</v>
      </c>
      <c r="X761" s="5">
        <f t="shared" si="770"/>
        <v>3888.9511862401087</v>
      </c>
      <c r="Y761" s="5">
        <f t="shared" si="770"/>
        <v>3985.1407045063625</v>
      </c>
      <c r="Z761" s="5">
        <f t="shared" si="770"/>
        <v>4081.3302227726163</v>
      </c>
      <c r="AA761" s="5">
        <f t="shared" si="770"/>
        <v>4177.5197410388701</v>
      </c>
      <c r="AB761" s="5">
        <f t="shared" si="770"/>
        <v>4273.7092593051239</v>
      </c>
      <c r="AC761" s="5">
        <f t="shared" si="770"/>
        <v>4369.8987775713777</v>
      </c>
      <c r="AD761" s="5">
        <f t="shared" si="770"/>
        <v>4466.0882958376314</v>
      </c>
      <c r="AE761" s="5">
        <f t="shared" si="770"/>
        <v>4562.2778141038852</v>
      </c>
      <c r="AF761" s="5">
        <f t="shared" si="770"/>
        <v>4658.467332370139</v>
      </c>
      <c r="AG761" s="5">
        <f t="shared" si="770"/>
        <v>4754.6568506363928</v>
      </c>
      <c r="AH761" s="5">
        <f t="shared" si="770"/>
        <v>4850.8463689026466</v>
      </c>
    </row>
    <row r="762" spans="1:34" x14ac:dyDescent="0.35">
      <c r="A762" t="s">
        <v>782</v>
      </c>
      <c r="B762" s="3" t="s">
        <v>1266</v>
      </c>
      <c r="C762" s="4" t="s">
        <v>1266</v>
      </c>
      <c r="D762" s="2">
        <f t="shared" si="716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ref="W762:AH762" si="771">IF(OR((SLOPE($E762:$V762,$E$1:$V$1)*W$1+INTERCEPT($E762:$V762,$E$1:$V$1))&gt;(AVERAGE($E762:$V762)+_xlfn.STDEV.P($E762:$V762)),(SLOPE($E762:$V762,$E$1:$V$1)*W$1+INTERCEPT($E762:$V762,$E$1:$V$1))&lt;(AVERAGE($E762:$V762)-_xlfn.STDEV.P($E762:$V762))),V762,(SLOPE($E762:$V762,$E$1:$V$1)*W$1+INTERCEPT($E762:$V762,$E$1:$V$1)))</f>
        <v>5494.9291808423259</v>
      </c>
      <c r="X762" s="5">
        <f t="shared" si="771"/>
        <v>5766.0605548970452</v>
      </c>
      <c r="Y762" s="5">
        <f t="shared" si="771"/>
        <v>6037.1919289517646</v>
      </c>
      <c r="Z762" s="5">
        <f t="shared" si="771"/>
        <v>6308.3233030064857</v>
      </c>
      <c r="AA762" s="5">
        <f t="shared" si="771"/>
        <v>6579.4546770612051</v>
      </c>
      <c r="AB762" s="5">
        <f t="shared" si="771"/>
        <v>6850.5860511159244</v>
      </c>
      <c r="AC762" s="5">
        <f t="shared" si="771"/>
        <v>7121.7174251706456</v>
      </c>
      <c r="AD762" s="5">
        <f t="shared" si="771"/>
        <v>7392.8487992253649</v>
      </c>
      <c r="AE762" s="5">
        <f t="shared" si="771"/>
        <v>7663.9801732800861</v>
      </c>
      <c r="AF762" s="5">
        <f t="shared" si="771"/>
        <v>7935.1115473348054</v>
      </c>
      <c r="AG762" s="5">
        <f t="shared" si="771"/>
        <v>8206.2429213895248</v>
      </c>
      <c r="AH762" s="5">
        <f t="shared" si="771"/>
        <v>8477.3742954442459</v>
      </c>
    </row>
    <row r="763" spans="1:34" x14ac:dyDescent="0.35">
      <c r="A763" t="s">
        <v>783</v>
      </c>
      <c r="B763" s="3" t="s">
        <v>1266</v>
      </c>
      <c r="C763" s="4" t="s">
        <v>1268</v>
      </c>
      <c r="D763" s="2">
        <f t="shared" si="716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ref="W763:AH763" si="772">IF(OR((SLOPE($E763:$V763,$E$1:$V$1)*W$1+INTERCEPT($E763:$V763,$E$1:$V$1))&gt;(AVERAGE($E763:$V763)+_xlfn.STDEV.P($E763:$V763)),(SLOPE($E763:$V763,$E$1:$V$1)*W$1+INTERCEPT($E763:$V763,$E$1:$V$1))&lt;(AVERAGE($E763:$V763)-_xlfn.STDEV.P($E763:$V763))),V763,(SLOPE($E763:$V763,$E$1:$V$1)*W$1+INTERCEPT($E763:$V763,$E$1:$V$1)))</f>
        <v>3782.4334506264786</v>
      </c>
      <c r="X763" s="5">
        <f t="shared" si="772"/>
        <v>3873.6278491779162</v>
      </c>
      <c r="Y763" s="5">
        <f t="shared" si="772"/>
        <v>3964.8222477293539</v>
      </c>
      <c r="Z763" s="5">
        <f t="shared" si="772"/>
        <v>4056.0166462807911</v>
      </c>
      <c r="AA763" s="5">
        <f t="shared" si="772"/>
        <v>4147.2110448322292</v>
      </c>
      <c r="AB763" s="5">
        <f t="shared" si="772"/>
        <v>4238.4054433836664</v>
      </c>
      <c r="AC763" s="5">
        <f t="shared" si="772"/>
        <v>4329.5998419351035</v>
      </c>
      <c r="AD763" s="5">
        <f t="shared" si="772"/>
        <v>4420.7942404865407</v>
      </c>
      <c r="AE763" s="5">
        <f t="shared" si="772"/>
        <v>4511.9886390379779</v>
      </c>
      <c r="AF763" s="5">
        <f t="shared" si="772"/>
        <v>4603.183037589416</v>
      </c>
      <c r="AG763" s="5">
        <f t="shared" si="772"/>
        <v>4694.3774361408532</v>
      </c>
      <c r="AH763" s="5">
        <f t="shared" si="772"/>
        <v>4785.5718346922913</v>
      </c>
    </row>
    <row r="764" spans="1:34" x14ac:dyDescent="0.35">
      <c r="A764" t="s">
        <v>784</v>
      </c>
      <c r="B764" s="3" t="s">
        <v>1264</v>
      </c>
      <c r="C764" s="4" t="s">
        <v>1263</v>
      </c>
      <c r="D764" s="2">
        <f t="shared" si="716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ref="W764:AH764" si="773">IF(OR((SLOPE($E764:$V764,$E$1:$V$1)*W$1+INTERCEPT($E764:$V764,$E$1:$V$1))&gt;(AVERAGE($E764:$V764)+_xlfn.STDEV.P($E764:$V764)),(SLOPE($E764:$V764,$E$1:$V$1)*W$1+INTERCEPT($E764:$V764,$E$1:$V$1))&lt;(AVERAGE($E764:$V764)-_xlfn.STDEV.P($E764:$V764))),V764,(SLOPE($E764:$V764,$E$1:$V$1)*W$1+INTERCEPT($E764:$V764,$E$1:$V$1)))</f>
        <v>4844.3608867634466</v>
      </c>
      <c r="X764" s="5">
        <f t="shared" si="773"/>
        <v>5050.4675691033754</v>
      </c>
      <c r="Y764" s="5">
        <f t="shared" si="773"/>
        <v>5256.5742514433023</v>
      </c>
      <c r="Z764" s="5">
        <f t="shared" si="773"/>
        <v>5462.6809337832292</v>
      </c>
      <c r="AA764" s="5">
        <f t="shared" si="773"/>
        <v>5668.7876161231579</v>
      </c>
      <c r="AB764" s="5">
        <f t="shared" si="773"/>
        <v>5874.8942984630849</v>
      </c>
      <c r="AC764" s="5">
        <f t="shared" si="773"/>
        <v>6081.0009808030118</v>
      </c>
      <c r="AD764" s="5">
        <f t="shared" si="773"/>
        <v>6287.1076631429405</v>
      </c>
      <c r="AE764" s="5">
        <f t="shared" si="773"/>
        <v>6493.2143454828674</v>
      </c>
      <c r="AF764" s="5">
        <f t="shared" si="773"/>
        <v>6699.3210278227943</v>
      </c>
      <c r="AG764" s="5">
        <f t="shared" si="773"/>
        <v>6905.4277101627231</v>
      </c>
      <c r="AH764" s="5">
        <f t="shared" si="773"/>
        <v>7111.53439250265</v>
      </c>
    </row>
    <row r="765" spans="1:34" x14ac:dyDescent="0.35">
      <c r="A765" t="s">
        <v>785</v>
      </c>
      <c r="B765" s="3" t="s">
        <v>1266</v>
      </c>
      <c r="C765" s="4" t="s">
        <v>1266</v>
      </c>
      <c r="D765" s="2">
        <f t="shared" si="716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ref="W765:AH765" si="774">IF(OR((SLOPE($E765:$V765,$E$1:$V$1)*W$1+INTERCEPT($E765:$V765,$E$1:$V$1))&gt;(AVERAGE($E765:$V765)+_xlfn.STDEV.P($E765:$V765)),(SLOPE($E765:$V765,$E$1:$V$1)*W$1+INTERCEPT($E765:$V765,$E$1:$V$1))&lt;(AVERAGE($E765:$V765)-_xlfn.STDEV.P($E765:$V765))),V765,(SLOPE($E765:$V765,$E$1:$V$1)*W$1+INTERCEPT($E765:$V765,$E$1:$V$1)))</f>
        <v>5734.8478149721223</v>
      </c>
      <c r="X765" s="5">
        <f t="shared" si="774"/>
        <v>6035.2509346482348</v>
      </c>
      <c r="Y765" s="5">
        <f t="shared" si="774"/>
        <v>6335.6540543243473</v>
      </c>
      <c r="Z765" s="5">
        <f t="shared" si="774"/>
        <v>6636.0571740004607</v>
      </c>
      <c r="AA765" s="5">
        <f t="shared" si="774"/>
        <v>6936.4602936765732</v>
      </c>
      <c r="AB765" s="5">
        <f t="shared" si="774"/>
        <v>7236.8634133526857</v>
      </c>
      <c r="AC765" s="5">
        <f t="shared" si="774"/>
        <v>7537.2665330287982</v>
      </c>
      <c r="AD765" s="5">
        <f t="shared" si="774"/>
        <v>7837.6696527049107</v>
      </c>
      <c r="AE765" s="5">
        <f t="shared" si="774"/>
        <v>8138.0727723810242</v>
      </c>
      <c r="AF765" s="5">
        <f t="shared" si="774"/>
        <v>8438.4758920571367</v>
      </c>
      <c r="AG765" s="5">
        <f t="shared" si="774"/>
        <v>8738.8790117332501</v>
      </c>
      <c r="AH765" s="5">
        <f t="shared" si="774"/>
        <v>9039.2821314093635</v>
      </c>
    </row>
    <row r="766" spans="1:34" x14ac:dyDescent="0.35">
      <c r="A766" t="s">
        <v>786</v>
      </c>
      <c r="B766" s="3" t="s">
        <v>1266</v>
      </c>
      <c r="C766" s="4" t="s">
        <v>1266</v>
      </c>
      <c r="D766" s="2">
        <f t="shared" si="716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ref="W766:AH766" si="775">IF(OR((SLOPE($E766:$V766,$E$1:$V$1)*W$1+INTERCEPT($E766:$V766,$E$1:$V$1))&gt;(AVERAGE($E766:$V766)+_xlfn.STDEV.P($E766:$V766)),(SLOPE($E766:$V766,$E$1:$V$1)*W$1+INTERCEPT($E766:$V766,$E$1:$V$1))&lt;(AVERAGE($E766:$V766)-_xlfn.STDEV.P($E766:$V766))),V766,(SLOPE($E766:$V766,$E$1:$V$1)*W$1+INTERCEPT($E766:$V766,$E$1:$V$1)))</f>
        <v>6407.4705882352928</v>
      </c>
      <c r="X766" s="5">
        <f t="shared" si="775"/>
        <v>6780.2043343653231</v>
      </c>
      <c r="Y766" s="5">
        <f t="shared" si="775"/>
        <v>7152.9380804953544</v>
      </c>
      <c r="Z766" s="5">
        <f t="shared" si="775"/>
        <v>7525.6718266253847</v>
      </c>
      <c r="AA766" s="5">
        <f t="shared" si="775"/>
        <v>7898.4055727554151</v>
      </c>
      <c r="AB766" s="5">
        <f t="shared" si="775"/>
        <v>8271.1393188854472</v>
      </c>
      <c r="AC766" s="5">
        <f t="shared" si="775"/>
        <v>8643.8730650154776</v>
      </c>
      <c r="AD766" s="5">
        <f t="shared" si="775"/>
        <v>9016.6068111455079</v>
      </c>
      <c r="AE766" s="5">
        <f t="shared" si="775"/>
        <v>9389.34055727554</v>
      </c>
      <c r="AF766" s="5">
        <f t="shared" si="775"/>
        <v>9762.0743034055704</v>
      </c>
      <c r="AG766" s="5">
        <f t="shared" si="775"/>
        <v>10134.808049535601</v>
      </c>
      <c r="AH766" s="5">
        <f t="shared" si="775"/>
        <v>10507.541795665631</v>
      </c>
    </row>
    <row r="767" spans="1:34" x14ac:dyDescent="0.35">
      <c r="A767" t="s">
        <v>787</v>
      </c>
      <c r="B767" s="3" t="s">
        <v>1264</v>
      </c>
      <c r="C767" s="4" t="s">
        <v>1263</v>
      </c>
      <c r="D767" s="2">
        <f t="shared" si="716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ref="W767:AH767" si="776">IF(OR((SLOPE($E767:$V767,$E$1:$V$1)*W$1+INTERCEPT($E767:$V767,$E$1:$V$1))&gt;(AVERAGE($E767:$V767)+_xlfn.STDEV.P($E767:$V767)),(SLOPE($E767:$V767,$E$1:$V$1)*W$1+INTERCEPT($E767:$V767,$E$1:$V$1))&lt;(AVERAGE($E767:$V767)-_xlfn.STDEV.P($E767:$V767))),V767,(SLOPE($E767:$V767,$E$1:$V$1)*W$1+INTERCEPT($E767:$V767,$E$1:$V$1)))</f>
        <v>3371.1620084068254</v>
      </c>
      <c r="X767" s="5">
        <f t="shared" si="776"/>
        <v>3425.5004970059808</v>
      </c>
      <c r="Y767" s="5">
        <f t="shared" si="776"/>
        <v>3479.8389856051353</v>
      </c>
      <c r="Z767" s="5">
        <f t="shared" si="776"/>
        <v>3534.1774742042903</v>
      </c>
      <c r="AA767" s="5">
        <f t="shared" si="776"/>
        <v>3588.5159628034453</v>
      </c>
      <c r="AB767" s="5">
        <f t="shared" si="776"/>
        <v>3642.8544514025998</v>
      </c>
      <c r="AC767" s="5">
        <f t="shared" si="776"/>
        <v>3697.1929400017548</v>
      </c>
      <c r="AD767" s="5">
        <f t="shared" si="776"/>
        <v>3751.5314286009097</v>
      </c>
      <c r="AE767" s="5">
        <f t="shared" si="776"/>
        <v>3805.8699172000643</v>
      </c>
      <c r="AF767" s="5">
        <f t="shared" si="776"/>
        <v>3860.2084057992192</v>
      </c>
      <c r="AG767" s="5">
        <f t="shared" si="776"/>
        <v>3914.5468943983742</v>
      </c>
      <c r="AH767" s="5">
        <f t="shared" si="776"/>
        <v>3968.8853829975287</v>
      </c>
    </row>
    <row r="768" spans="1:34" x14ac:dyDescent="0.35">
      <c r="A768" t="s">
        <v>788</v>
      </c>
      <c r="B768" s="3" t="s">
        <v>1264</v>
      </c>
      <c r="C768" s="4" t="s">
        <v>1263</v>
      </c>
      <c r="D768" s="2">
        <f t="shared" si="716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ref="W768:AH768" si="777">IF(OR((SLOPE($E768:$V768,$E$1:$V$1)*W$1+INTERCEPT($E768:$V768,$E$1:$V$1))&gt;(AVERAGE($E768:$V768)+_xlfn.STDEV.P($E768:$V768)),(SLOPE($E768:$V768,$E$1:$V$1)*W$1+INTERCEPT($E768:$V768,$E$1:$V$1))&lt;(AVERAGE($E768:$V768)-_xlfn.STDEV.P($E768:$V768))),V768,(SLOPE($E768:$V768,$E$1:$V$1)*W$1+INTERCEPT($E768:$V768,$E$1:$V$1)))</f>
        <v>3840.8252235294112</v>
      </c>
      <c r="X768" s="5">
        <f t="shared" si="777"/>
        <v>3944.726826006191</v>
      </c>
      <c r="Y768" s="5">
        <f t="shared" si="777"/>
        <v>4048.6284284829708</v>
      </c>
      <c r="Z768" s="5">
        <f t="shared" si="777"/>
        <v>4152.5300309597515</v>
      </c>
      <c r="AA768" s="5">
        <f t="shared" si="777"/>
        <v>4256.4316334365312</v>
      </c>
      <c r="AB768" s="5">
        <f t="shared" si="777"/>
        <v>4360.3332359133119</v>
      </c>
      <c r="AC768" s="5">
        <f t="shared" si="777"/>
        <v>4464.2348383900917</v>
      </c>
      <c r="AD768" s="5">
        <f t="shared" si="777"/>
        <v>4568.1364408668715</v>
      </c>
      <c r="AE768" s="5">
        <f t="shared" si="777"/>
        <v>4672.0380433436521</v>
      </c>
      <c r="AF768" s="5">
        <f t="shared" si="777"/>
        <v>4775.9396458204319</v>
      </c>
      <c r="AG768" s="5">
        <f t="shared" si="777"/>
        <v>4879.8412482972126</v>
      </c>
      <c r="AH768" s="5">
        <f t="shared" si="777"/>
        <v>4983.7428507739924</v>
      </c>
    </row>
    <row r="769" spans="1:34" x14ac:dyDescent="0.35">
      <c r="A769" t="s">
        <v>789</v>
      </c>
      <c r="B769" s="3" t="s">
        <v>1266</v>
      </c>
      <c r="C769" s="4" t="s">
        <v>1267</v>
      </c>
      <c r="D769" s="2">
        <f t="shared" si="716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ref="W769:AH769" si="778">IF(OR((SLOPE($E769:$V769,$E$1:$V$1)*W$1+INTERCEPT($E769:$V769,$E$1:$V$1))&gt;(AVERAGE($E769:$V769)+_xlfn.STDEV.P($E769:$V769)),(SLOPE($E769:$V769,$E$1:$V$1)*W$1+INTERCEPT($E769:$V769,$E$1:$V$1))&lt;(AVERAGE($E769:$V769)-_xlfn.STDEV.P($E769:$V769))),V769,(SLOPE($E769:$V769,$E$1:$V$1)*W$1+INTERCEPT($E769:$V769,$E$1:$V$1)))</f>
        <v>10403.226113268838</v>
      </c>
      <c r="X769" s="5">
        <f t="shared" si="778"/>
        <v>11198.039653331824</v>
      </c>
      <c r="Y769" s="5">
        <f t="shared" si="778"/>
        <v>11992.853193394809</v>
      </c>
      <c r="Z769" s="5">
        <f t="shared" si="778"/>
        <v>12787.666733457792</v>
      </c>
      <c r="AA769" s="5">
        <f t="shared" si="778"/>
        <v>13582.480273520776</v>
      </c>
      <c r="AB769" s="5">
        <f t="shared" si="778"/>
        <v>14377.293813583759</v>
      </c>
      <c r="AC769" s="5">
        <f t="shared" si="778"/>
        <v>14377.293813583759</v>
      </c>
      <c r="AD769" s="5">
        <f t="shared" si="778"/>
        <v>14377.293813583759</v>
      </c>
      <c r="AE769" s="5">
        <f t="shared" si="778"/>
        <v>14377.293813583759</v>
      </c>
      <c r="AF769" s="5">
        <f t="shared" si="778"/>
        <v>14377.293813583759</v>
      </c>
      <c r="AG769" s="5">
        <f t="shared" si="778"/>
        <v>14377.293813583759</v>
      </c>
      <c r="AH769" s="5">
        <f t="shared" si="778"/>
        <v>14377.293813583759</v>
      </c>
    </row>
    <row r="770" spans="1:34" x14ac:dyDescent="0.35">
      <c r="A770" t="s">
        <v>790</v>
      </c>
      <c r="B770" s="3" t="s">
        <v>1266</v>
      </c>
      <c r="C770" s="4" t="s">
        <v>1266</v>
      </c>
      <c r="D770" s="2">
        <f t="shared" si="716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ref="W770:AH770" si="779">IF(OR((SLOPE($E770:$V770,$E$1:$V$1)*W$1+INTERCEPT($E770:$V770,$E$1:$V$1))&gt;(AVERAGE($E770:$V770)+_xlfn.STDEV.P($E770:$V770)),(SLOPE($E770:$V770,$E$1:$V$1)*W$1+INTERCEPT($E770:$V770,$E$1:$V$1))&lt;(AVERAGE($E770:$V770)-_xlfn.STDEV.P($E770:$V770))),V770,(SLOPE($E770:$V770,$E$1:$V$1)*W$1+INTERCEPT($E770:$V770,$E$1:$V$1)))</f>
        <v>5367.3670412277806</v>
      </c>
      <c r="X770" s="5">
        <f t="shared" si="779"/>
        <v>5632.2042307620459</v>
      </c>
      <c r="Y770" s="5">
        <f t="shared" si="779"/>
        <v>5897.041420296312</v>
      </c>
      <c r="Z770" s="5">
        <f t="shared" si="779"/>
        <v>6161.8786098305773</v>
      </c>
      <c r="AA770" s="5">
        <f t="shared" si="779"/>
        <v>6426.7157993648425</v>
      </c>
      <c r="AB770" s="5">
        <f t="shared" si="779"/>
        <v>6691.5529888991086</v>
      </c>
      <c r="AC770" s="5">
        <f t="shared" si="779"/>
        <v>6956.3901784333739</v>
      </c>
      <c r="AD770" s="5">
        <f t="shared" si="779"/>
        <v>7221.2273679676391</v>
      </c>
      <c r="AE770" s="5">
        <f t="shared" si="779"/>
        <v>7486.0645575019043</v>
      </c>
      <c r="AF770" s="5">
        <f t="shared" si="779"/>
        <v>7750.9017470361705</v>
      </c>
      <c r="AG770" s="5">
        <f t="shared" si="779"/>
        <v>8015.7389365704357</v>
      </c>
      <c r="AH770" s="5">
        <f t="shared" si="779"/>
        <v>8280.576126104701</v>
      </c>
    </row>
    <row r="771" spans="1:34" x14ac:dyDescent="0.35">
      <c r="A771" t="s">
        <v>791</v>
      </c>
      <c r="B771" s="3" t="s">
        <v>1266</v>
      </c>
      <c r="C771" s="4" t="s">
        <v>1266</v>
      </c>
      <c r="D771" s="2">
        <f t="shared" si="716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ref="W771:AH771" si="780">IF(OR((SLOPE($E771:$V771,$E$1:$V$1)*W$1+INTERCEPT($E771:$V771,$E$1:$V$1))&gt;(AVERAGE($E771:$V771)+_xlfn.STDEV.P($E771:$V771)),(SLOPE($E771:$V771,$E$1:$V$1)*W$1+INTERCEPT($E771:$V771,$E$1:$V$1))&lt;(AVERAGE($E771:$V771)-_xlfn.STDEV.P($E771:$V771))),V771,(SLOPE($E771:$V771,$E$1:$V$1)*W$1+INTERCEPT($E771:$V771,$E$1:$V$1)))</f>
        <v>6396.2923629184061</v>
      </c>
      <c r="X771" s="5">
        <f t="shared" si="780"/>
        <v>6770.74424074333</v>
      </c>
      <c r="Y771" s="5">
        <f t="shared" si="780"/>
        <v>7145.196118568254</v>
      </c>
      <c r="Z771" s="5">
        <f t="shared" si="780"/>
        <v>7519.6479963931779</v>
      </c>
      <c r="AA771" s="5">
        <f t="shared" si="780"/>
        <v>7894.0998742181018</v>
      </c>
      <c r="AB771" s="5">
        <f t="shared" si="780"/>
        <v>8268.5517520430276</v>
      </c>
      <c r="AC771" s="5">
        <f t="shared" si="780"/>
        <v>8643.0036298679515</v>
      </c>
      <c r="AD771" s="5">
        <f t="shared" si="780"/>
        <v>9017.4555076928755</v>
      </c>
      <c r="AE771" s="5">
        <f t="shared" si="780"/>
        <v>9391.9073855177994</v>
      </c>
      <c r="AF771" s="5">
        <f t="shared" si="780"/>
        <v>9766.3592633427234</v>
      </c>
      <c r="AG771" s="5">
        <f t="shared" si="780"/>
        <v>10140.811141167647</v>
      </c>
      <c r="AH771" s="5">
        <f t="shared" si="780"/>
        <v>10515.263018992571</v>
      </c>
    </row>
    <row r="772" spans="1:34" x14ac:dyDescent="0.35">
      <c r="A772" t="s">
        <v>792</v>
      </c>
      <c r="B772" s="3" t="s">
        <v>1266</v>
      </c>
      <c r="C772" s="4" t="s">
        <v>1267</v>
      </c>
      <c r="D772" s="2">
        <f t="shared" ref="D772:D835" si="781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ref="W772:AH772" si="782">IF(OR((SLOPE($E772:$V772,$E$1:$V$1)*W$1+INTERCEPT($E772:$V772,$E$1:$V$1))&gt;(AVERAGE($E772:$V772)+_xlfn.STDEV.P($E772:$V772)),(SLOPE($E772:$V772,$E$1:$V$1)*W$1+INTERCEPT($E772:$V772,$E$1:$V$1))&lt;(AVERAGE($E772:$V772)-_xlfn.STDEV.P($E772:$V772))),V772,(SLOPE($E772:$V772,$E$1:$V$1)*W$1+INTERCEPT($E772:$V772,$E$1:$V$1)))</f>
        <v>9088.4730550292588</v>
      </c>
      <c r="X772" s="5">
        <f t="shared" si="782"/>
        <v>9748.5433465937476</v>
      </c>
      <c r="Y772" s="5">
        <f t="shared" si="782"/>
        <v>10408.613638158238</v>
      </c>
      <c r="Z772" s="5">
        <f t="shared" si="782"/>
        <v>11068.683929722727</v>
      </c>
      <c r="AA772" s="5">
        <f t="shared" si="782"/>
        <v>11728.754221287216</v>
      </c>
      <c r="AB772" s="5">
        <f t="shared" si="782"/>
        <v>11728.754221287216</v>
      </c>
      <c r="AC772" s="5">
        <f t="shared" si="782"/>
        <v>11728.754221287216</v>
      </c>
      <c r="AD772" s="5">
        <f t="shared" si="782"/>
        <v>11728.754221287216</v>
      </c>
      <c r="AE772" s="5">
        <f t="shared" si="782"/>
        <v>11728.754221287216</v>
      </c>
      <c r="AF772" s="5">
        <f t="shared" si="782"/>
        <v>11728.754221287216</v>
      </c>
      <c r="AG772" s="5">
        <f t="shared" si="782"/>
        <v>11728.754221287216</v>
      </c>
      <c r="AH772" s="5">
        <f t="shared" si="782"/>
        <v>11728.754221287216</v>
      </c>
    </row>
    <row r="773" spans="1:34" x14ac:dyDescent="0.35">
      <c r="A773" t="s">
        <v>793</v>
      </c>
      <c r="B773" s="3" t="s">
        <v>1266</v>
      </c>
      <c r="C773" s="4" t="s">
        <v>1266</v>
      </c>
      <c r="D773" s="2">
        <f t="shared" si="781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H773" si="783">IF(OR((SLOPE($E773:$V773,$E$1:$V$1)*W$1+INTERCEPT($E773:$V773,$E$1:$V$1))&gt;(AVERAGE($E773:$V773)+_xlfn.STDEV.P($E773:$V773)),(SLOPE($E773:$V773,$E$1:$V$1)*W$1+INTERCEPT($E773:$V773,$E$1:$V$1))&lt;(AVERAGE($E773:$V773)-_xlfn.STDEV.P($E773:$V773))),V773,(SLOPE($E773:$V773,$E$1:$V$1)*W$1+INTERCEPT($E773:$V773,$E$1:$V$1)))</f>
        <v>5934.7699378203615</v>
      </c>
      <c r="X773" s="5">
        <f t="shared" si="783"/>
        <v>6264.4793788103816</v>
      </c>
      <c r="Y773" s="5">
        <f t="shared" si="783"/>
        <v>6594.1888198004017</v>
      </c>
      <c r="Z773" s="5">
        <f t="shared" si="783"/>
        <v>6923.8982607904218</v>
      </c>
      <c r="AA773" s="5">
        <f t="shared" si="783"/>
        <v>7253.6077017804419</v>
      </c>
      <c r="AB773" s="5">
        <f t="shared" si="783"/>
        <v>7583.3171427704619</v>
      </c>
      <c r="AC773" s="5">
        <f t="shared" si="783"/>
        <v>7913.026583760482</v>
      </c>
      <c r="AD773" s="5">
        <f t="shared" si="783"/>
        <v>8242.7360247505021</v>
      </c>
      <c r="AE773" s="5">
        <f t="shared" si="783"/>
        <v>8572.4454657405222</v>
      </c>
      <c r="AF773" s="5">
        <f t="shared" si="783"/>
        <v>8902.1549067305423</v>
      </c>
      <c r="AG773" s="5">
        <f t="shared" si="783"/>
        <v>9231.8643477205624</v>
      </c>
      <c r="AH773" s="5">
        <f t="shared" si="783"/>
        <v>9561.5737887105824</v>
      </c>
    </row>
    <row r="774" spans="1:34" x14ac:dyDescent="0.35">
      <c r="A774" t="s">
        <v>794</v>
      </c>
      <c r="B774" s="3" t="s">
        <v>1264</v>
      </c>
      <c r="C774" s="4" t="s">
        <v>1267</v>
      </c>
      <c r="D774" s="2">
        <f t="shared" si="781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ref="W774:AH774" si="784">IF(OR((SLOPE($E774:$V774,$E$1:$V$1)*W$1+INTERCEPT($E774:$V774,$E$1:$V$1))&gt;(AVERAGE($E774:$V774)+_xlfn.STDEV.P($E774:$V774)),(SLOPE($E774:$V774,$E$1:$V$1)*W$1+INTERCEPT($E774:$V774,$E$1:$V$1))&lt;(AVERAGE($E774:$V774)-_xlfn.STDEV.P($E774:$V774))),V774,(SLOPE($E774:$V774,$E$1:$V$1)*W$1+INTERCEPT($E774:$V774,$E$1:$V$1)))</f>
        <v>7220.3294111116174</v>
      </c>
      <c r="X774" s="5">
        <f t="shared" si="784"/>
        <v>7686.7143252264814</v>
      </c>
      <c r="Y774" s="5">
        <f t="shared" si="784"/>
        <v>8153.0992393413471</v>
      </c>
      <c r="Z774" s="5">
        <f t="shared" si="784"/>
        <v>8619.4841534562129</v>
      </c>
      <c r="AA774" s="5">
        <f t="shared" si="784"/>
        <v>9085.8690675710786</v>
      </c>
      <c r="AB774" s="5">
        <f t="shared" si="784"/>
        <v>9552.2539816859426</v>
      </c>
      <c r="AC774" s="5">
        <f t="shared" si="784"/>
        <v>10018.638895800808</v>
      </c>
      <c r="AD774" s="5">
        <f t="shared" si="784"/>
        <v>10485.023809915674</v>
      </c>
      <c r="AE774" s="5">
        <f t="shared" si="784"/>
        <v>10951.408724030538</v>
      </c>
      <c r="AF774" s="5">
        <f t="shared" si="784"/>
        <v>11417.793638145404</v>
      </c>
      <c r="AG774" s="5">
        <f t="shared" si="784"/>
        <v>11884.178552260269</v>
      </c>
      <c r="AH774" s="5">
        <f t="shared" si="784"/>
        <v>12350.563466375135</v>
      </c>
    </row>
    <row r="775" spans="1:34" x14ac:dyDescent="0.35">
      <c r="A775" t="s">
        <v>795</v>
      </c>
      <c r="B775" s="3" t="s">
        <v>1264</v>
      </c>
      <c r="C775" s="4" t="s">
        <v>1263</v>
      </c>
      <c r="D775" s="2">
        <f t="shared" si="781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ref="W775:AH775" si="785">IF(OR((SLOPE($E775:$V775,$E$1:$V$1)*W$1+INTERCEPT($E775:$V775,$E$1:$V$1))&gt;(AVERAGE($E775:$V775)+_xlfn.STDEV.P($E775:$V775)),(SLOPE($E775:$V775,$E$1:$V$1)*W$1+INTERCEPT($E775:$V775,$E$1:$V$1))&lt;(AVERAGE($E775:$V775)-_xlfn.STDEV.P($E775:$V775))),V775,(SLOPE($E775:$V775,$E$1:$V$1)*W$1+INTERCEPT($E775:$V775,$E$1:$V$1)))</f>
        <v>-425.24364810814586</v>
      </c>
      <c r="X775" s="5">
        <f t="shared" si="785"/>
        <v>-762.89451144884333</v>
      </c>
      <c r="Y775" s="5">
        <f t="shared" si="785"/>
        <v>-1100.5453747895408</v>
      </c>
      <c r="Z775" s="5">
        <f t="shared" si="785"/>
        <v>-1438.1962381302383</v>
      </c>
      <c r="AA775" s="5">
        <f t="shared" si="785"/>
        <v>-1775.8471014709357</v>
      </c>
      <c r="AB775" s="5">
        <f t="shared" si="785"/>
        <v>-2113.4979648116332</v>
      </c>
      <c r="AC775" s="5">
        <f t="shared" si="785"/>
        <v>-2451.1488281523307</v>
      </c>
      <c r="AD775" s="5">
        <f t="shared" si="785"/>
        <v>-2788.7996914930281</v>
      </c>
      <c r="AE775" s="5">
        <f t="shared" si="785"/>
        <v>-3126.4505548337256</v>
      </c>
      <c r="AF775" s="5">
        <f t="shared" si="785"/>
        <v>-3464.1014181744231</v>
      </c>
      <c r="AG775" s="5">
        <f t="shared" si="785"/>
        <v>-3801.7522815151206</v>
      </c>
      <c r="AH775" s="5">
        <f t="shared" si="785"/>
        <v>-4139.403144855818</v>
      </c>
    </row>
    <row r="776" spans="1:34" x14ac:dyDescent="0.35">
      <c r="A776" t="s">
        <v>796</v>
      </c>
      <c r="B776" s="3" t="s">
        <v>1266</v>
      </c>
      <c r="C776" s="4" t="s">
        <v>1263</v>
      </c>
      <c r="D776" s="2">
        <f t="shared" si="781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ref="W776:AH776" si="786">IF(OR((SLOPE($E776:$V776,$E$1:$V$1)*W$1+INTERCEPT($E776:$V776,$E$1:$V$1))&gt;(AVERAGE($E776:$V776)+_xlfn.STDEV.P($E776:$V776)),(SLOPE($E776:$V776,$E$1:$V$1)*W$1+INTERCEPT($E776:$V776,$E$1:$V$1))&lt;(AVERAGE($E776:$V776)-_xlfn.STDEV.P($E776:$V776))),V776,(SLOPE($E776:$V776,$E$1:$V$1)*W$1+INTERCEPT($E776:$V776,$E$1:$V$1)))</f>
        <v>-2609.4676229994129</v>
      </c>
      <c r="X776" s="5">
        <f t="shared" si="786"/>
        <v>-3175.9967779927065</v>
      </c>
      <c r="Y776" s="5">
        <f t="shared" si="786"/>
        <v>-3742.525932986</v>
      </c>
      <c r="Z776" s="5">
        <f t="shared" si="786"/>
        <v>-4309.0550879792936</v>
      </c>
      <c r="AA776" s="5">
        <f t="shared" si="786"/>
        <v>-4875.5842429725872</v>
      </c>
      <c r="AB776" s="5">
        <f t="shared" si="786"/>
        <v>-5442.1133979658825</v>
      </c>
      <c r="AC776" s="5">
        <f t="shared" si="786"/>
        <v>-6008.6425529591761</v>
      </c>
      <c r="AD776" s="5">
        <f t="shared" si="786"/>
        <v>-6575.1717079524697</v>
      </c>
      <c r="AE776" s="5">
        <f t="shared" si="786"/>
        <v>-7141.7008629457632</v>
      </c>
      <c r="AF776" s="5">
        <f t="shared" si="786"/>
        <v>-7708.2300179390568</v>
      </c>
      <c r="AG776" s="5">
        <f t="shared" si="786"/>
        <v>-8274.7591729323485</v>
      </c>
      <c r="AH776" s="5">
        <f t="shared" si="786"/>
        <v>-8274.7591729323485</v>
      </c>
    </row>
    <row r="777" spans="1:34" x14ac:dyDescent="0.35">
      <c r="A777" t="s">
        <v>797</v>
      </c>
      <c r="B777" s="3" t="s">
        <v>1265</v>
      </c>
      <c r="C777" s="4" t="s">
        <v>1263</v>
      </c>
      <c r="D777" s="2">
        <f t="shared" si="781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ref="W777:AH777" si="787">IF(OR((SLOPE($E777:$V777,$E$1:$V$1)*W$1+INTERCEPT($E777:$V777,$E$1:$V$1))&gt;(AVERAGE($E777:$V777)+_xlfn.STDEV.P($E777:$V777)),(SLOPE($E777:$V777,$E$1:$V$1)*W$1+INTERCEPT($E777:$V777,$E$1:$V$1))&lt;(AVERAGE($E777:$V777)-_xlfn.STDEV.P($E777:$V777))),V777,(SLOPE($E777:$V777,$E$1:$V$1)*W$1+INTERCEPT($E777:$V777,$E$1:$V$1)))</f>
        <v>6733.6244266666654</v>
      </c>
      <c r="X777" s="5">
        <f t="shared" si="787"/>
        <v>7156.0527045614017</v>
      </c>
      <c r="Y777" s="5">
        <f t="shared" si="787"/>
        <v>7578.480982456138</v>
      </c>
      <c r="Z777" s="5">
        <f t="shared" si="787"/>
        <v>8000.9092603508761</v>
      </c>
      <c r="AA777" s="5">
        <f t="shared" si="787"/>
        <v>8000.9092603508761</v>
      </c>
      <c r="AB777" s="5">
        <f t="shared" si="787"/>
        <v>8000.9092603508761</v>
      </c>
      <c r="AC777" s="5">
        <f t="shared" si="787"/>
        <v>8000.9092603508761</v>
      </c>
      <c r="AD777" s="5">
        <f t="shared" si="787"/>
        <v>8000.9092603508761</v>
      </c>
      <c r="AE777" s="5">
        <f t="shared" si="787"/>
        <v>8000.9092603508761</v>
      </c>
      <c r="AF777" s="5">
        <f t="shared" si="787"/>
        <v>8000.9092603508761</v>
      </c>
      <c r="AG777" s="5">
        <f t="shared" si="787"/>
        <v>8000.9092603508761</v>
      </c>
      <c r="AH777" s="5">
        <f t="shared" si="787"/>
        <v>8000.9092603508761</v>
      </c>
    </row>
    <row r="778" spans="1:34" x14ac:dyDescent="0.35">
      <c r="A778" t="s">
        <v>798</v>
      </c>
      <c r="B778" s="3" t="s">
        <v>1265</v>
      </c>
      <c r="C778" s="4" t="s">
        <v>1263</v>
      </c>
      <c r="D778" s="2">
        <f t="shared" si="781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ref="W778:AH778" si="788">IF(OR((SLOPE($E778:$V778,$E$1:$V$1)*W$1+INTERCEPT($E778:$V778,$E$1:$V$1))&gt;(AVERAGE($E778:$V778)+_xlfn.STDEV.P($E778:$V778)),(SLOPE($E778:$V778,$E$1:$V$1)*W$1+INTERCEPT($E778:$V778,$E$1:$V$1))&lt;(AVERAGE($E778:$V778)-_xlfn.STDEV.P($E778:$V778))),V778,(SLOPE($E778:$V778,$E$1:$V$1)*W$1+INTERCEPT($E778:$V778,$E$1:$V$1)))</f>
        <v>4584.6589266920928</v>
      </c>
      <c r="X778" s="5">
        <f t="shared" si="788"/>
        <v>4780.2619506326091</v>
      </c>
      <c r="Y778" s="5">
        <f t="shared" si="788"/>
        <v>4975.8649745731254</v>
      </c>
      <c r="Z778" s="5">
        <f t="shared" si="788"/>
        <v>5171.4679985136418</v>
      </c>
      <c r="AA778" s="5">
        <f t="shared" si="788"/>
        <v>5367.0710224541581</v>
      </c>
      <c r="AB778" s="5">
        <f t="shared" si="788"/>
        <v>5562.6740463946735</v>
      </c>
      <c r="AC778" s="5">
        <f t="shared" si="788"/>
        <v>5758.2770703351898</v>
      </c>
      <c r="AD778" s="5">
        <f t="shared" si="788"/>
        <v>5953.8800942757061</v>
      </c>
      <c r="AE778" s="5">
        <f t="shared" si="788"/>
        <v>6149.4831182162225</v>
      </c>
      <c r="AF778" s="5">
        <f t="shared" si="788"/>
        <v>6149.4831182162225</v>
      </c>
      <c r="AG778" s="5">
        <f t="shared" si="788"/>
        <v>6149.4831182162225</v>
      </c>
      <c r="AH778" s="5">
        <f t="shared" si="788"/>
        <v>6149.4831182162225</v>
      </c>
    </row>
    <row r="779" spans="1:34" x14ac:dyDescent="0.35">
      <c r="A779" t="s">
        <v>799</v>
      </c>
      <c r="B779" s="3" t="s">
        <v>1266</v>
      </c>
      <c r="C779" s="4" t="s">
        <v>1267</v>
      </c>
      <c r="D779" s="2">
        <f t="shared" si="781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ref="W779:AH779" si="789">IF(OR((SLOPE($E779:$V779,$E$1:$V$1)*W$1+INTERCEPT($E779:$V779,$E$1:$V$1))&gt;(AVERAGE($E779:$V779)+_xlfn.STDEV.P($E779:$V779)),(SLOPE($E779:$V779,$E$1:$V$1)*W$1+INTERCEPT($E779:$V779,$E$1:$V$1))&lt;(AVERAGE($E779:$V779)-_xlfn.STDEV.P($E779:$V779))),V779,(SLOPE($E779:$V779,$E$1:$V$1)*W$1+INTERCEPT($E779:$V779,$E$1:$V$1)))</f>
        <v>233.7908496732025</v>
      </c>
      <c r="X779" s="5">
        <f t="shared" si="789"/>
        <v>-28.149294805641148</v>
      </c>
      <c r="Y779" s="5">
        <f t="shared" si="789"/>
        <v>-290.08943928448571</v>
      </c>
      <c r="Z779" s="5">
        <f t="shared" si="789"/>
        <v>-552.02958376332936</v>
      </c>
      <c r="AA779" s="5">
        <f t="shared" si="789"/>
        <v>-813.96972824217391</v>
      </c>
      <c r="AB779" s="5">
        <f t="shared" si="789"/>
        <v>-1075.9098727210185</v>
      </c>
      <c r="AC779" s="5">
        <f t="shared" si="789"/>
        <v>-1337.8500171998621</v>
      </c>
      <c r="AD779" s="5">
        <f t="shared" si="789"/>
        <v>-1599.7901616787067</v>
      </c>
      <c r="AE779" s="5">
        <f t="shared" si="789"/>
        <v>-1861.7303061575503</v>
      </c>
      <c r="AF779" s="5">
        <f t="shared" si="789"/>
        <v>-2123.6704506363949</v>
      </c>
      <c r="AG779" s="5">
        <f t="shared" si="789"/>
        <v>-2385.6105951152385</v>
      </c>
      <c r="AH779" s="5">
        <f t="shared" si="789"/>
        <v>-2647.5507395940831</v>
      </c>
    </row>
    <row r="780" spans="1:34" x14ac:dyDescent="0.35">
      <c r="A780" t="s">
        <v>800</v>
      </c>
      <c r="B780" s="3" t="s">
        <v>1266</v>
      </c>
      <c r="C780" s="4" t="s">
        <v>1267</v>
      </c>
      <c r="D780" s="2">
        <f t="shared" si="781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ref="W780:AH780" si="790">IF(OR((SLOPE($E780:$V780,$E$1:$V$1)*W$1+INTERCEPT($E780:$V780,$E$1:$V$1))&gt;(AVERAGE($E780:$V780)+_xlfn.STDEV.P($E780:$V780)),(SLOPE($E780:$V780,$E$1:$V$1)*W$1+INTERCEPT($E780:$V780,$E$1:$V$1))&lt;(AVERAGE($E780:$V780)-_xlfn.STDEV.P($E780:$V780))),V780,(SLOPE($E780:$V780,$E$1:$V$1)*W$1+INTERCEPT($E780:$V780,$E$1:$V$1)))</f>
        <v>-4426.4097870636888</v>
      </c>
      <c r="X780" s="5">
        <f t="shared" si="790"/>
        <v>-5175.2385104391251</v>
      </c>
      <c r="Y780" s="5">
        <f t="shared" si="790"/>
        <v>-5924.0672338145614</v>
      </c>
      <c r="Z780" s="5">
        <f t="shared" si="790"/>
        <v>-6672.8959571899977</v>
      </c>
      <c r="AA780" s="5">
        <f t="shared" si="790"/>
        <v>-7421.7246805654322</v>
      </c>
      <c r="AB780" s="5">
        <f t="shared" si="790"/>
        <v>-8170.5534039408703</v>
      </c>
      <c r="AC780" s="5">
        <f t="shared" si="790"/>
        <v>-8170.5534039408703</v>
      </c>
      <c r="AD780" s="5">
        <f t="shared" si="790"/>
        <v>-8170.5534039408703</v>
      </c>
      <c r="AE780" s="5">
        <f t="shared" si="790"/>
        <v>-8170.5534039408703</v>
      </c>
      <c r="AF780" s="5">
        <f t="shared" si="790"/>
        <v>-8170.5534039408703</v>
      </c>
      <c r="AG780" s="5">
        <f t="shared" si="790"/>
        <v>-8170.5534039408703</v>
      </c>
      <c r="AH780" s="5">
        <f t="shared" si="790"/>
        <v>-8170.5534039408703</v>
      </c>
    </row>
    <row r="781" spans="1:34" x14ac:dyDescent="0.35">
      <c r="A781" t="s">
        <v>801</v>
      </c>
      <c r="B781" s="3" t="s">
        <v>1266</v>
      </c>
      <c r="C781" s="4" t="s">
        <v>1263</v>
      </c>
      <c r="D781" s="2">
        <f t="shared" si="781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ref="W781:AH781" si="791">IF(OR((SLOPE($E781:$V781,$E$1:$V$1)*W$1+INTERCEPT($E781:$V781,$E$1:$V$1))&gt;(AVERAGE($E781:$V781)+_xlfn.STDEV.P($E781:$V781)),(SLOPE($E781:$V781,$E$1:$V$1)*W$1+INTERCEPT($E781:$V781,$E$1:$V$1))&lt;(AVERAGE($E781:$V781)-_xlfn.STDEV.P($E781:$V781))),V781,(SLOPE($E781:$V781,$E$1:$V$1)*W$1+INTERCEPT($E781:$V781,$E$1:$V$1)))</f>
        <v>5044.4848265514956</v>
      </c>
      <c r="X781" s="5">
        <f t="shared" si="791"/>
        <v>5293.3903278616035</v>
      </c>
      <c r="Y781" s="5">
        <f t="shared" si="791"/>
        <v>5542.2958291717096</v>
      </c>
      <c r="Z781" s="5">
        <f t="shared" si="791"/>
        <v>5791.2013304818156</v>
      </c>
      <c r="AA781" s="5">
        <f t="shared" si="791"/>
        <v>6040.1068317919235</v>
      </c>
      <c r="AB781" s="5">
        <f t="shared" si="791"/>
        <v>6289.0123331020295</v>
      </c>
      <c r="AC781" s="5">
        <f t="shared" si="791"/>
        <v>6537.9178344121374</v>
      </c>
      <c r="AD781" s="5">
        <f t="shared" si="791"/>
        <v>6786.8233357222434</v>
      </c>
      <c r="AE781" s="5">
        <f t="shared" si="791"/>
        <v>7035.7288370323495</v>
      </c>
      <c r="AF781" s="5">
        <f t="shared" si="791"/>
        <v>7284.6343383424573</v>
      </c>
      <c r="AG781" s="5">
        <f t="shared" si="791"/>
        <v>7533.5398396525634</v>
      </c>
      <c r="AH781" s="5">
        <f t="shared" si="791"/>
        <v>7782.4453409626694</v>
      </c>
    </row>
    <row r="782" spans="1:34" x14ac:dyDescent="0.35">
      <c r="A782" t="s">
        <v>802</v>
      </c>
      <c r="B782" s="3" t="s">
        <v>1266</v>
      </c>
      <c r="C782" s="4" t="s">
        <v>1263</v>
      </c>
      <c r="D782" s="2">
        <f t="shared" si="781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ref="W782:AH782" si="792">IF(OR((SLOPE($E782:$V782,$E$1:$V$1)*W$1+INTERCEPT($E782:$V782,$E$1:$V$1))&gt;(AVERAGE($E782:$V782)+_xlfn.STDEV.P($E782:$V782)),(SLOPE($E782:$V782,$E$1:$V$1)*W$1+INTERCEPT($E782:$V782,$E$1:$V$1))&lt;(AVERAGE($E782:$V782)-_xlfn.STDEV.P($E782:$V782))),V782,(SLOPE($E782:$V782,$E$1:$V$1)*W$1+INTERCEPT($E782:$V782,$E$1:$V$1)))</f>
        <v>6135.5102117647057</v>
      </c>
      <c r="X782" s="5">
        <f t="shared" si="792"/>
        <v>6501.7903393188853</v>
      </c>
      <c r="Y782" s="5">
        <f t="shared" si="792"/>
        <v>6868.0704668730641</v>
      </c>
      <c r="Z782" s="5">
        <f t="shared" si="792"/>
        <v>6868.0704668730641</v>
      </c>
      <c r="AA782" s="5">
        <f t="shared" si="792"/>
        <v>6868.0704668730641</v>
      </c>
      <c r="AB782" s="5">
        <f t="shared" si="792"/>
        <v>6868.0704668730641</v>
      </c>
      <c r="AC782" s="5">
        <f t="shared" si="792"/>
        <v>6868.0704668730641</v>
      </c>
      <c r="AD782" s="5">
        <f t="shared" si="792"/>
        <v>6868.0704668730641</v>
      </c>
      <c r="AE782" s="5">
        <f t="shared" si="792"/>
        <v>6868.0704668730641</v>
      </c>
      <c r="AF782" s="5">
        <f t="shared" si="792"/>
        <v>6868.0704668730641</v>
      </c>
      <c r="AG782" s="5">
        <f t="shared" si="792"/>
        <v>6868.0704668730641</v>
      </c>
      <c r="AH782" s="5">
        <f t="shared" si="792"/>
        <v>6868.0704668730641</v>
      </c>
    </row>
    <row r="783" spans="1:34" x14ac:dyDescent="0.35">
      <c r="A783" t="s">
        <v>803</v>
      </c>
      <c r="B783" s="3" t="s">
        <v>1264</v>
      </c>
      <c r="C783" s="4" t="s">
        <v>1263</v>
      </c>
      <c r="D783" s="2">
        <f t="shared" si="781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ref="W783:AH783" si="793">IF(OR((SLOPE($E783:$V783,$E$1:$V$1)*W$1+INTERCEPT($E783:$V783,$E$1:$V$1))&gt;(AVERAGE($E783:$V783)+_xlfn.STDEV.P($E783:$V783)),(SLOPE($E783:$V783,$E$1:$V$1)*W$1+INTERCEPT($E783:$V783,$E$1:$V$1))&lt;(AVERAGE($E783:$V783)-_xlfn.STDEV.P($E783:$V783))),V783,(SLOPE($E783:$V783,$E$1:$V$1)*W$1+INTERCEPT($E783:$V783,$E$1:$V$1)))</f>
        <v>1568.480125127508</v>
      </c>
      <c r="X783" s="5">
        <f t="shared" si="793"/>
        <v>1455.050465616479</v>
      </c>
      <c r="Y783" s="5">
        <f t="shared" si="793"/>
        <v>1341.6208061054494</v>
      </c>
      <c r="Z783" s="5">
        <f t="shared" si="793"/>
        <v>1228.1911465944204</v>
      </c>
      <c r="AA783" s="5">
        <f t="shared" si="793"/>
        <v>1114.7614870833913</v>
      </c>
      <c r="AB783" s="5">
        <f t="shared" si="793"/>
        <v>1001.3318275723623</v>
      </c>
      <c r="AC783" s="5">
        <f t="shared" si="793"/>
        <v>887.90216806133321</v>
      </c>
      <c r="AD783" s="5">
        <f t="shared" si="793"/>
        <v>774.4725085503037</v>
      </c>
      <c r="AE783" s="5">
        <f t="shared" si="793"/>
        <v>661.04284903927464</v>
      </c>
      <c r="AF783" s="5">
        <f t="shared" si="793"/>
        <v>547.61318952824558</v>
      </c>
      <c r="AG783" s="5">
        <f t="shared" si="793"/>
        <v>434.18353001721653</v>
      </c>
      <c r="AH783" s="5">
        <f t="shared" si="793"/>
        <v>320.75387050618701</v>
      </c>
    </row>
    <row r="784" spans="1:34" x14ac:dyDescent="0.35">
      <c r="A784" t="s">
        <v>804</v>
      </c>
      <c r="B784" s="3" t="s">
        <v>1264</v>
      </c>
      <c r="C784" s="4" t="s">
        <v>1263</v>
      </c>
      <c r="D784" s="2">
        <f t="shared" si="781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ref="W784:AH784" si="794">IF(OR((SLOPE($E784:$V784,$E$1:$V$1)*W$1+INTERCEPT($E784:$V784,$E$1:$V$1))&gt;(AVERAGE($E784:$V784)+_xlfn.STDEV.P($E784:$V784)),(SLOPE($E784:$V784,$E$1:$V$1)*W$1+INTERCEPT($E784:$V784,$E$1:$V$1))&lt;(AVERAGE($E784:$V784)-_xlfn.STDEV.P($E784:$V784))),V784,(SLOPE($E784:$V784,$E$1:$V$1)*W$1+INTERCEPT($E784:$V784,$E$1:$V$1)))</f>
        <v>662.21928541176521</v>
      </c>
      <c r="X784" s="5">
        <f t="shared" si="794"/>
        <v>454.58357671826616</v>
      </c>
      <c r="Y784" s="5">
        <f t="shared" si="794"/>
        <v>454.58357671826616</v>
      </c>
      <c r="Z784" s="5">
        <f t="shared" si="794"/>
        <v>454.58357671826616</v>
      </c>
      <c r="AA784" s="5">
        <f t="shared" si="794"/>
        <v>454.58357671826616</v>
      </c>
      <c r="AB784" s="5">
        <f t="shared" si="794"/>
        <v>454.58357671826616</v>
      </c>
      <c r="AC784" s="5">
        <f t="shared" si="794"/>
        <v>454.58357671826616</v>
      </c>
      <c r="AD784" s="5">
        <f t="shared" si="794"/>
        <v>454.58357671826616</v>
      </c>
      <c r="AE784" s="5">
        <f t="shared" si="794"/>
        <v>454.58357671826616</v>
      </c>
      <c r="AF784" s="5">
        <f t="shared" si="794"/>
        <v>454.58357671826616</v>
      </c>
      <c r="AG784" s="5">
        <f t="shared" si="794"/>
        <v>454.58357671826616</v>
      </c>
      <c r="AH784" s="5">
        <f t="shared" si="794"/>
        <v>454.58357671826616</v>
      </c>
    </row>
    <row r="785" spans="1:34" x14ac:dyDescent="0.35">
      <c r="A785" t="s">
        <v>805</v>
      </c>
      <c r="B785" s="3" t="s">
        <v>1266</v>
      </c>
      <c r="C785" s="4" t="s">
        <v>1267</v>
      </c>
      <c r="D785" s="2">
        <f t="shared" si="781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ref="W785:AH785" si="795">IF(OR((SLOPE($E785:$V785,$E$1:$V$1)*W$1+INTERCEPT($E785:$V785,$E$1:$V$1))&gt;(AVERAGE($E785:$V785)+_xlfn.STDEV.P($E785:$V785)),(SLOPE($E785:$V785,$E$1:$V$1)*W$1+INTERCEPT($E785:$V785,$E$1:$V$1))&lt;(AVERAGE($E785:$V785)-_xlfn.STDEV.P($E785:$V785))),V785,(SLOPE($E785:$V785,$E$1:$V$1)*W$1+INTERCEPT($E785:$V785,$E$1:$V$1)))</f>
        <v>8666.348467231026</v>
      </c>
      <c r="X785" s="5">
        <f t="shared" si="795"/>
        <v>9301.6634864453299</v>
      </c>
      <c r="Y785" s="5">
        <f t="shared" si="795"/>
        <v>9936.9785056596356</v>
      </c>
      <c r="Z785" s="5">
        <f t="shared" si="795"/>
        <v>10572.29352487394</v>
      </c>
      <c r="AA785" s="5">
        <f t="shared" si="795"/>
        <v>11207.608544088243</v>
      </c>
      <c r="AB785" s="5">
        <f t="shared" si="795"/>
        <v>11842.923563302549</v>
      </c>
      <c r="AC785" s="5">
        <f t="shared" si="795"/>
        <v>12478.238582516853</v>
      </c>
      <c r="AD785" s="5">
        <f t="shared" si="795"/>
        <v>13113.553601731157</v>
      </c>
      <c r="AE785" s="5">
        <f t="shared" si="795"/>
        <v>13113.553601731157</v>
      </c>
      <c r="AF785" s="5">
        <f t="shared" si="795"/>
        <v>13113.553601731157</v>
      </c>
      <c r="AG785" s="5">
        <f t="shared" si="795"/>
        <v>13113.553601731157</v>
      </c>
      <c r="AH785" s="5">
        <f t="shared" si="795"/>
        <v>13113.553601731157</v>
      </c>
    </row>
    <row r="786" spans="1:34" x14ac:dyDescent="0.35">
      <c r="A786" t="s">
        <v>806</v>
      </c>
      <c r="B786" s="3" t="s">
        <v>1266</v>
      </c>
      <c r="C786" s="4" t="s">
        <v>1263</v>
      </c>
      <c r="D786" s="2">
        <f t="shared" si="781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ref="W786:AH786" si="796">IF(OR((SLOPE($E786:$V786,$E$1:$V$1)*W$1+INTERCEPT($E786:$V786,$E$1:$V$1))&gt;(AVERAGE($E786:$V786)+_xlfn.STDEV.P($E786:$V786)),(SLOPE($E786:$V786,$E$1:$V$1)*W$1+INTERCEPT($E786:$V786,$E$1:$V$1))&lt;(AVERAGE($E786:$V786)-_xlfn.STDEV.P($E786:$V786))),V786,(SLOPE($E786:$V786,$E$1:$V$1)*W$1+INTERCEPT($E786:$V786,$E$1:$V$1)))</f>
        <v>-604.9413176470589</v>
      </c>
      <c r="X786" s="5">
        <f t="shared" si="796"/>
        <v>-944.91951950464409</v>
      </c>
      <c r="Y786" s="5">
        <f t="shared" si="796"/>
        <v>-1284.8977213622293</v>
      </c>
      <c r="Z786" s="5">
        <f t="shared" si="796"/>
        <v>-1624.8759232198145</v>
      </c>
      <c r="AA786" s="5">
        <f t="shared" si="796"/>
        <v>-1964.8541250773997</v>
      </c>
      <c r="AB786" s="5">
        <f t="shared" si="796"/>
        <v>-1964.8541250773997</v>
      </c>
      <c r="AC786" s="5">
        <f t="shared" si="796"/>
        <v>-1964.8541250773997</v>
      </c>
      <c r="AD786" s="5">
        <f t="shared" si="796"/>
        <v>-1964.8541250773997</v>
      </c>
      <c r="AE786" s="5">
        <f t="shared" si="796"/>
        <v>-1964.8541250773997</v>
      </c>
      <c r="AF786" s="5">
        <f t="shared" si="796"/>
        <v>-1964.8541250773997</v>
      </c>
      <c r="AG786" s="5">
        <f t="shared" si="796"/>
        <v>-1964.8541250773997</v>
      </c>
      <c r="AH786" s="5">
        <f t="shared" si="796"/>
        <v>-1964.8541250773997</v>
      </c>
    </row>
    <row r="787" spans="1:34" x14ac:dyDescent="0.35">
      <c r="A787" t="s">
        <v>807</v>
      </c>
      <c r="B787" s="3" t="s">
        <v>1266</v>
      </c>
      <c r="C787" s="4" t="s">
        <v>1267</v>
      </c>
      <c r="D787" s="2">
        <f t="shared" si="781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ref="W787:AH787" si="797">IF(OR((SLOPE($E787:$V787,$E$1:$V$1)*W$1+INTERCEPT($E787:$V787,$E$1:$V$1))&gt;(AVERAGE($E787:$V787)+_xlfn.STDEV.P($E787:$V787)),(SLOPE($E787:$V787,$E$1:$V$1)*W$1+INTERCEPT($E787:$V787,$E$1:$V$1))&lt;(AVERAGE($E787:$V787)-_xlfn.STDEV.P($E787:$V787))),V787,(SLOPE($E787:$V787,$E$1:$V$1)*W$1+INTERCEPT($E787:$V787,$E$1:$V$1)))</f>
        <v>8418.0320630834394</v>
      </c>
      <c r="X787" s="5">
        <f t="shared" si="797"/>
        <v>9029.3596397824076</v>
      </c>
      <c r="Y787" s="5">
        <f t="shared" si="797"/>
        <v>9640.6872164813722</v>
      </c>
      <c r="Z787" s="5">
        <f t="shared" si="797"/>
        <v>10252.014793180337</v>
      </c>
      <c r="AA787" s="5">
        <f t="shared" si="797"/>
        <v>10863.342369879305</v>
      </c>
      <c r="AB787" s="5">
        <f t="shared" si="797"/>
        <v>10863.342369879305</v>
      </c>
      <c r="AC787" s="5">
        <f t="shared" si="797"/>
        <v>10863.342369879305</v>
      </c>
      <c r="AD787" s="5">
        <f t="shared" si="797"/>
        <v>10863.342369879305</v>
      </c>
      <c r="AE787" s="5">
        <f t="shared" si="797"/>
        <v>10863.342369879305</v>
      </c>
      <c r="AF787" s="5">
        <f t="shared" si="797"/>
        <v>10863.342369879305</v>
      </c>
      <c r="AG787" s="5">
        <f t="shared" si="797"/>
        <v>10863.342369879305</v>
      </c>
      <c r="AH787" s="5">
        <f t="shared" si="797"/>
        <v>10863.342369879305</v>
      </c>
    </row>
    <row r="788" spans="1:34" x14ac:dyDescent="0.35">
      <c r="A788" t="s">
        <v>808</v>
      </c>
      <c r="B788" s="3" t="s">
        <v>1266</v>
      </c>
      <c r="C788" s="4" t="s">
        <v>1266</v>
      </c>
      <c r="D788" s="2">
        <f t="shared" si="781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ref="W788:AH788" si="798">IF(OR((SLOPE($E788:$V788,$E$1:$V$1)*W$1+INTERCEPT($E788:$V788,$E$1:$V$1))&gt;(AVERAGE($E788:$V788)+_xlfn.STDEV.P($E788:$V788)),(SLOPE($E788:$V788,$E$1:$V$1)*W$1+INTERCEPT($E788:$V788,$E$1:$V$1))&lt;(AVERAGE($E788:$V788)-_xlfn.STDEV.P($E788:$V788))),V788,(SLOPE($E788:$V788,$E$1:$V$1)*W$1+INTERCEPT($E788:$V788,$E$1:$V$1)))</f>
        <v>-2449.5644444444451</v>
      </c>
      <c r="X788" s="5">
        <f t="shared" si="798"/>
        <v>-2981.3777777777786</v>
      </c>
      <c r="Y788" s="5">
        <f t="shared" si="798"/>
        <v>-3513.1911111111121</v>
      </c>
      <c r="Z788" s="5">
        <f t="shared" si="798"/>
        <v>-4045.0044444444457</v>
      </c>
      <c r="AA788" s="5">
        <f t="shared" si="798"/>
        <v>-4576.8177777777792</v>
      </c>
      <c r="AB788" s="5">
        <f t="shared" si="798"/>
        <v>-5108.6311111111108</v>
      </c>
      <c r="AC788" s="5">
        <f t="shared" si="798"/>
        <v>-5640.4444444444443</v>
      </c>
      <c r="AD788" s="5">
        <f t="shared" si="798"/>
        <v>-6172.2577777777778</v>
      </c>
      <c r="AE788" s="5">
        <f t="shared" si="798"/>
        <v>-6704.0711111111113</v>
      </c>
      <c r="AF788" s="5">
        <f t="shared" si="798"/>
        <v>-7235.8844444444449</v>
      </c>
      <c r="AG788" s="5">
        <f t="shared" si="798"/>
        <v>-7767.6977777777784</v>
      </c>
      <c r="AH788" s="5">
        <f t="shared" si="798"/>
        <v>-7767.6977777777784</v>
      </c>
    </row>
    <row r="789" spans="1:34" x14ac:dyDescent="0.35">
      <c r="A789" t="s">
        <v>809</v>
      </c>
      <c r="B789" s="3" t="s">
        <v>1264</v>
      </c>
      <c r="C789" s="4" t="s">
        <v>1263</v>
      </c>
      <c r="D789" s="2">
        <f t="shared" si="781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H789" si="799">IF(OR((SLOPE($E789:$V789,$E$1:$V$1)*W$1+INTERCEPT($E789:$V789,$E$1:$V$1))&gt;(AVERAGE($E789:$V789)+_xlfn.STDEV.P($E789:$V789)),(SLOPE($E789:$V789,$E$1:$V$1)*W$1+INTERCEPT($E789:$V789,$E$1:$V$1))&lt;(AVERAGE($E789:$V789)-_xlfn.STDEV.P($E789:$V789))),V789,(SLOPE($E789:$V789,$E$1:$V$1)*W$1+INTERCEPT($E789:$V789,$E$1:$V$1)))</f>
        <v>4900.5502072462023</v>
      </c>
      <c r="X789" s="5">
        <f t="shared" si="799"/>
        <v>5142.8847726675185</v>
      </c>
      <c r="Y789" s="5">
        <f t="shared" si="799"/>
        <v>5385.2193380888339</v>
      </c>
      <c r="Z789" s="5">
        <f t="shared" si="799"/>
        <v>5627.5539035101501</v>
      </c>
      <c r="AA789" s="5">
        <f t="shared" si="799"/>
        <v>5869.8884689314655</v>
      </c>
      <c r="AB789" s="5">
        <f t="shared" si="799"/>
        <v>6112.2230343527808</v>
      </c>
      <c r="AC789" s="5">
        <f t="shared" si="799"/>
        <v>6354.5575997740971</v>
      </c>
      <c r="AD789" s="5">
        <f t="shared" si="799"/>
        <v>6596.8921651954124</v>
      </c>
      <c r="AE789" s="5">
        <f t="shared" si="799"/>
        <v>6839.2267306167287</v>
      </c>
      <c r="AF789" s="5">
        <f t="shared" si="799"/>
        <v>7081.561296038044</v>
      </c>
      <c r="AG789" s="5">
        <f t="shared" si="799"/>
        <v>7323.8958614593603</v>
      </c>
      <c r="AH789" s="5">
        <f t="shared" si="799"/>
        <v>7566.2304268806756</v>
      </c>
    </row>
    <row r="790" spans="1:34" x14ac:dyDescent="0.35">
      <c r="A790" t="s">
        <v>810</v>
      </c>
      <c r="B790" s="3" t="s">
        <v>1264</v>
      </c>
      <c r="C790" s="4" t="s">
        <v>1267</v>
      </c>
      <c r="D790" s="2">
        <f t="shared" si="781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ref="W790:AH790" si="800">IF(OR((SLOPE($E790:$V790,$E$1:$V$1)*W$1+INTERCEPT($E790:$V790,$E$1:$V$1))&gt;(AVERAGE($E790:$V790)+_xlfn.STDEV.P($E790:$V790)),(SLOPE($E790:$V790,$E$1:$V$1)*W$1+INTERCEPT($E790:$V790,$E$1:$V$1))&lt;(AVERAGE($E790:$V790)-_xlfn.STDEV.P($E790:$V790))),V790,(SLOPE($E790:$V790,$E$1:$V$1)*W$1+INTERCEPT($E790:$V790,$E$1:$V$1)))</f>
        <v>3926.3910912769384</v>
      </c>
      <c r="X790" s="5">
        <f t="shared" si="800"/>
        <v>4069.4579731453291</v>
      </c>
      <c r="Y790" s="5">
        <f t="shared" si="800"/>
        <v>4212.5248550137194</v>
      </c>
      <c r="Z790" s="5">
        <f t="shared" si="800"/>
        <v>4355.5917368821101</v>
      </c>
      <c r="AA790" s="5">
        <f t="shared" si="800"/>
        <v>4498.6586187505</v>
      </c>
      <c r="AB790" s="5">
        <f t="shared" si="800"/>
        <v>4641.7255006188907</v>
      </c>
      <c r="AC790" s="5">
        <f t="shared" si="800"/>
        <v>4784.7923824872814</v>
      </c>
      <c r="AD790" s="5">
        <f t="shared" si="800"/>
        <v>4927.8592643556713</v>
      </c>
      <c r="AE790" s="5">
        <f t="shared" si="800"/>
        <v>5070.926146224062</v>
      </c>
      <c r="AF790" s="5">
        <f t="shared" si="800"/>
        <v>5213.9930280924527</v>
      </c>
      <c r="AG790" s="5">
        <f t="shared" si="800"/>
        <v>5357.0599099608426</v>
      </c>
      <c r="AH790" s="5">
        <f t="shared" si="800"/>
        <v>5500.1267918292342</v>
      </c>
    </row>
    <row r="791" spans="1:34" x14ac:dyDescent="0.35">
      <c r="A791" t="s">
        <v>811</v>
      </c>
      <c r="B791" s="3" t="s">
        <v>1265</v>
      </c>
      <c r="C791" s="4" t="s">
        <v>1263</v>
      </c>
      <c r="D791" s="2">
        <f t="shared" si="781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ref="W791:AH791" si="801">IF(OR((SLOPE($E791:$V791,$E$1:$V$1)*W$1+INTERCEPT($E791:$V791,$E$1:$V$1))&gt;(AVERAGE($E791:$V791)+_xlfn.STDEV.P($E791:$V791)),(SLOPE($E791:$V791,$E$1:$V$1)*W$1+INTERCEPT($E791:$V791,$E$1:$V$1))&lt;(AVERAGE($E791:$V791)-_xlfn.STDEV.P($E791:$V791))),V791,(SLOPE($E791:$V791,$E$1:$V$1)*W$1+INTERCEPT($E791:$V791,$E$1:$V$1)))</f>
        <v>6751.7680803688618</v>
      </c>
      <c r="X791" s="5">
        <f t="shared" si="801"/>
        <v>7193.3634131862382</v>
      </c>
      <c r="Y791" s="5">
        <f t="shared" si="801"/>
        <v>7634.9587460036128</v>
      </c>
      <c r="Z791" s="5">
        <f t="shared" si="801"/>
        <v>8076.5540788209873</v>
      </c>
      <c r="AA791" s="5">
        <f t="shared" si="801"/>
        <v>8518.1494116383637</v>
      </c>
      <c r="AB791" s="5">
        <f t="shared" si="801"/>
        <v>8959.7447444557383</v>
      </c>
      <c r="AC791" s="5">
        <f t="shared" si="801"/>
        <v>9401.3400772731129</v>
      </c>
      <c r="AD791" s="5">
        <f t="shared" si="801"/>
        <v>9842.9354100904893</v>
      </c>
      <c r="AE791" s="5">
        <f t="shared" si="801"/>
        <v>10284.530742907864</v>
      </c>
      <c r="AF791" s="5">
        <f t="shared" si="801"/>
        <v>10284.530742907864</v>
      </c>
      <c r="AG791" s="5">
        <f t="shared" si="801"/>
        <v>10284.530742907864</v>
      </c>
      <c r="AH791" s="5">
        <f t="shared" si="801"/>
        <v>10284.530742907864</v>
      </c>
    </row>
    <row r="792" spans="1:34" x14ac:dyDescent="0.35">
      <c r="A792" t="s">
        <v>812</v>
      </c>
      <c r="B792" s="3" t="s">
        <v>1264</v>
      </c>
      <c r="C792" s="4" t="s">
        <v>1263</v>
      </c>
      <c r="D792" s="2">
        <f t="shared" si="781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ref="W792:AH792" si="802">IF(OR((SLOPE($E792:$V792,$E$1:$V$1)*W$1+INTERCEPT($E792:$V792,$E$1:$V$1))&gt;(AVERAGE($E792:$V792)+_xlfn.STDEV.P($E792:$V792)),(SLOPE($E792:$V792,$E$1:$V$1)*W$1+INTERCEPT($E792:$V792,$E$1:$V$1))&lt;(AVERAGE($E792:$V792)-_xlfn.STDEV.P($E792:$V792))),V792,(SLOPE($E792:$V792,$E$1:$V$1)*W$1+INTERCEPT($E792:$V792,$E$1:$V$1)))</f>
        <v>666.10869996539441</v>
      </c>
      <c r="X792" s="5">
        <f t="shared" si="802"/>
        <v>467.60929493493586</v>
      </c>
      <c r="Y792" s="5">
        <f t="shared" si="802"/>
        <v>269.10988990447731</v>
      </c>
      <c r="Z792" s="5">
        <f t="shared" si="802"/>
        <v>70.610484874018766</v>
      </c>
      <c r="AA792" s="5">
        <f t="shared" si="802"/>
        <v>-127.88892015643978</v>
      </c>
      <c r="AB792" s="5">
        <f t="shared" si="802"/>
        <v>-326.38832518689924</v>
      </c>
      <c r="AC792" s="5">
        <f t="shared" si="802"/>
        <v>-524.88773021735778</v>
      </c>
      <c r="AD792" s="5">
        <f t="shared" si="802"/>
        <v>-723.38713524781633</v>
      </c>
      <c r="AE792" s="5">
        <f t="shared" si="802"/>
        <v>-921.88654027827488</v>
      </c>
      <c r="AF792" s="5">
        <f t="shared" si="802"/>
        <v>-1120.3859453087334</v>
      </c>
      <c r="AG792" s="5">
        <f t="shared" si="802"/>
        <v>-1318.885350339192</v>
      </c>
      <c r="AH792" s="5">
        <f t="shared" si="802"/>
        <v>-1517.3847553696505</v>
      </c>
    </row>
    <row r="793" spans="1:34" x14ac:dyDescent="0.35">
      <c r="A793" t="s">
        <v>813</v>
      </c>
      <c r="B793" s="3" t="s">
        <v>1264</v>
      </c>
      <c r="C793" s="4" t="s">
        <v>1263</v>
      </c>
      <c r="D793" s="2">
        <f t="shared" si="781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ref="W793:AH793" si="803">IF(OR((SLOPE($E793:$V793,$E$1:$V$1)*W$1+INTERCEPT($E793:$V793,$E$1:$V$1))&gt;(AVERAGE($E793:$V793)+_xlfn.STDEV.P($E793:$V793)),(SLOPE($E793:$V793,$E$1:$V$1)*W$1+INTERCEPT($E793:$V793,$E$1:$V$1))&lt;(AVERAGE($E793:$V793)-_xlfn.STDEV.P($E793:$V793))),V793,(SLOPE($E793:$V793,$E$1:$V$1)*W$1+INTERCEPT($E793:$V793,$E$1:$V$1)))</f>
        <v>1148.0609045751639</v>
      </c>
      <c r="X793" s="5">
        <f t="shared" si="803"/>
        <v>1000.8125974544209</v>
      </c>
      <c r="Y793" s="5">
        <f t="shared" si="803"/>
        <v>853.56429033367795</v>
      </c>
      <c r="Z793" s="5">
        <f t="shared" si="803"/>
        <v>706.31598321293495</v>
      </c>
      <c r="AA793" s="5">
        <f t="shared" si="803"/>
        <v>559.06767609219196</v>
      </c>
      <c r="AB793" s="5">
        <f t="shared" si="803"/>
        <v>411.81936897144851</v>
      </c>
      <c r="AC793" s="5">
        <f t="shared" si="803"/>
        <v>264.57106185070552</v>
      </c>
      <c r="AD793" s="5">
        <f t="shared" si="803"/>
        <v>117.32275472996253</v>
      </c>
      <c r="AE793" s="5">
        <f t="shared" si="803"/>
        <v>-29.925552390780467</v>
      </c>
      <c r="AF793" s="5">
        <f t="shared" si="803"/>
        <v>-177.17385951152346</v>
      </c>
      <c r="AG793" s="5">
        <f t="shared" si="803"/>
        <v>-324.422166632266</v>
      </c>
      <c r="AH793" s="5">
        <f t="shared" si="803"/>
        <v>-471.67047375300945</v>
      </c>
    </row>
    <row r="794" spans="1:34" x14ac:dyDescent="0.35">
      <c r="A794" t="s">
        <v>814</v>
      </c>
      <c r="B794" s="3" t="s">
        <v>1266</v>
      </c>
      <c r="C794" s="4" t="s">
        <v>1263</v>
      </c>
      <c r="D794" s="2">
        <f t="shared" si="781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ref="W794:AH794" si="804">IF(OR((SLOPE($E794:$V794,$E$1:$V$1)*W$1+INTERCEPT($E794:$V794,$E$1:$V$1))&gt;(AVERAGE($E794:$V794)+_xlfn.STDEV.P($E794:$V794)),(SLOPE($E794:$V794,$E$1:$V$1)*W$1+INTERCEPT($E794:$V794,$E$1:$V$1))&lt;(AVERAGE($E794:$V794)-_xlfn.STDEV.P($E794:$V794))),V794,(SLOPE($E794:$V794,$E$1:$V$1)*W$1+INTERCEPT($E794:$V794,$E$1:$V$1)))</f>
        <v>0</v>
      </c>
      <c r="X794" s="5">
        <f t="shared" si="804"/>
        <v>0</v>
      </c>
      <c r="Y794" s="5">
        <f t="shared" si="804"/>
        <v>0</v>
      </c>
      <c r="Z794" s="5">
        <f t="shared" si="804"/>
        <v>0</v>
      </c>
      <c r="AA794" s="5">
        <f t="shared" si="804"/>
        <v>0</v>
      </c>
      <c r="AB794" s="5">
        <f t="shared" si="804"/>
        <v>0</v>
      </c>
      <c r="AC794" s="5">
        <f t="shared" si="804"/>
        <v>0</v>
      </c>
      <c r="AD794" s="5">
        <f t="shared" si="804"/>
        <v>0</v>
      </c>
      <c r="AE794" s="5">
        <f t="shared" si="804"/>
        <v>0</v>
      </c>
      <c r="AF794" s="5">
        <f t="shared" si="804"/>
        <v>0</v>
      </c>
      <c r="AG794" s="5">
        <f t="shared" si="804"/>
        <v>0</v>
      </c>
      <c r="AH794" s="5">
        <f t="shared" si="804"/>
        <v>0</v>
      </c>
    </row>
    <row r="795" spans="1:34" x14ac:dyDescent="0.35">
      <c r="A795" t="s">
        <v>815</v>
      </c>
      <c r="B795" s="3" t="s">
        <v>1262</v>
      </c>
      <c r="C795" s="4" t="s">
        <v>1263</v>
      </c>
      <c r="D795" s="2">
        <f t="shared" si="781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ref="W795:AH795" si="805">IF(OR((SLOPE($E795:$V795,$E$1:$V$1)*W$1+INTERCEPT($E795:$V795,$E$1:$V$1))&gt;(AVERAGE($E795:$V795)+_xlfn.STDEV.P($E795:$V795)),(SLOPE($E795:$V795,$E$1:$V$1)*W$1+INTERCEPT($E795:$V795,$E$1:$V$1))&lt;(AVERAGE($E795:$V795)-_xlfn.STDEV.P($E795:$V795))),V795,(SLOPE($E795:$V795,$E$1:$V$1)*W$1+INTERCEPT($E795:$V795,$E$1:$V$1)))</f>
        <v>1889.9524183006538</v>
      </c>
      <c r="X795" s="5">
        <f t="shared" si="805"/>
        <v>1822.3577020983835</v>
      </c>
      <c r="Y795" s="5">
        <f t="shared" si="805"/>
        <v>1754.7629858961129</v>
      </c>
      <c r="Z795" s="5">
        <f t="shared" si="805"/>
        <v>1687.1682696938426</v>
      </c>
      <c r="AA795" s="5">
        <f t="shared" si="805"/>
        <v>1619.5735534915723</v>
      </c>
      <c r="AB795" s="5">
        <f t="shared" si="805"/>
        <v>1551.9788372893017</v>
      </c>
      <c r="AC795" s="5">
        <f t="shared" si="805"/>
        <v>1484.3841210870314</v>
      </c>
      <c r="AD795" s="5">
        <f t="shared" si="805"/>
        <v>1416.7894048847611</v>
      </c>
      <c r="AE795" s="5">
        <f t="shared" si="805"/>
        <v>1349.1946886824908</v>
      </c>
      <c r="AF795" s="5">
        <f t="shared" si="805"/>
        <v>1281.5999724802202</v>
      </c>
      <c r="AG795" s="5">
        <f t="shared" si="805"/>
        <v>1214.0052562779499</v>
      </c>
      <c r="AH795" s="5">
        <f t="shared" si="805"/>
        <v>1146.4105400756796</v>
      </c>
    </row>
    <row r="796" spans="1:34" x14ac:dyDescent="0.35">
      <c r="A796" t="s">
        <v>816</v>
      </c>
      <c r="B796" s="3" t="s">
        <v>1266</v>
      </c>
      <c r="C796" s="4" t="s">
        <v>1266</v>
      </c>
      <c r="D796" s="2">
        <f t="shared" si="781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ref="W796:AH796" si="806">IF(OR((SLOPE($E796:$V796,$E$1:$V$1)*W$1+INTERCEPT($E796:$V796,$E$1:$V$1))&gt;(AVERAGE($E796:$V796)+_xlfn.STDEV.P($E796:$V796)),(SLOPE($E796:$V796,$E$1:$V$1)*W$1+INTERCEPT($E796:$V796,$E$1:$V$1))&lt;(AVERAGE($E796:$V796)-_xlfn.STDEV.P($E796:$V796))),V796,(SLOPE($E796:$V796,$E$1:$V$1)*W$1+INTERCEPT($E796:$V796,$E$1:$V$1)))</f>
        <v>7446.8470588235277</v>
      </c>
      <c r="X796" s="5">
        <f t="shared" si="806"/>
        <v>7964.2069597523196</v>
      </c>
      <c r="Y796" s="5">
        <f t="shared" si="806"/>
        <v>8481.5668606811123</v>
      </c>
      <c r="Z796" s="5">
        <f t="shared" si="806"/>
        <v>8998.926761609906</v>
      </c>
      <c r="AA796" s="5">
        <f t="shared" si="806"/>
        <v>9516.286662538696</v>
      </c>
      <c r="AB796" s="5">
        <f t="shared" si="806"/>
        <v>10033.64656346749</v>
      </c>
      <c r="AC796" s="5">
        <f t="shared" si="806"/>
        <v>10551.006464396283</v>
      </c>
      <c r="AD796" s="5">
        <f t="shared" si="806"/>
        <v>11068.366365325073</v>
      </c>
      <c r="AE796" s="5">
        <f t="shared" si="806"/>
        <v>11585.726266253867</v>
      </c>
      <c r="AF796" s="5">
        <f t="shared" si="806"/>
        <v>12103.086167182661</v>
      </c>
      <c r="AG796" s="5">
        <f t="shared" si="806"/>
        <v>12620.446068111451</v>
      </c>
      <c r="AH796" s="5">
        <f t="shared" si="806"/>
        <v>12620.446068111451</v>
      </c>
    </row>
    <row r="797" spans="1:34" x14ac:dyDescent="0.35">
      <c r="A797" t="s">
        <v>817</v>
      </c>
      <c r="B797" s="3" t="s">
        <v>1264</v>
      </c>
      <c r="C797" s="4" t="s">
        <v>1263</v>
      </c>
      <c r="D797" s="2">
        <f t="shared" si="781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ref="W797:AH797" si="807">IF(OR((SLOPE($E797:$V797,$E$1:$V$1)*W$1+INTERCEPT($E797:$V797,$E$1:$V$1))&gt;(AVERAGE($E797:$V797)+_xlfn.STDEV.P($E797:$V797)),(SLOPE($E797:$V797,$E$1:$V$1)*W$1+INTERCEPT($E797:$V797,$E$1:$V$1))&lt;(AVERAGE($E797:$V797)-_xlfn.STDEV.P($E797:$V797))),V797,(SLOPE($E797:$V797,$E$1:$V$1)*W$1+INTERCEPT($E797:$V797,$E$1:$V$1)))</f>
        <v>2887.1169233946703</v>
      </c>
      <c r="X797" s="5">
        <f t="shared" si="807"/>
        <v>2925.8782227322049</v>
      </c>
      <c r="Y797" s="5">
        <f t="shared" si="807"/>
        <v>2964.6395220697395</v>
      </c>
      <c r="Z797" s="5">
        <f t="shared" si="807"/>
        <v>3003.4008214072737</v>
      </c>
      <c r="AA797" s="5">
        <f t="shared" si="807"/>
        <v>3042.1621207448084</v>
      </c>
      <c r="AB797" s="5">
        <f t="shared" si="807"/>
        <v>3080.923420082343</v>
      </c>
      <c r="AC797" s="5">
        <f t="shared" si="807"/>
        <v>3119.6847194198772</v>
      </c>
      <c r="AD797" s="5">
        <f t="shared" si="807"/>
        <v>3158.4460187574118</v>
      </c>
      <c r="AE797" s="5">
        <f t="shared" si="807"/>
        <v>3197.2073180949465</v>
      </c>
      <c r="AF797" s="5">
        <f t="shared" si="807"/>
        <v>3235.9686174324806</v>
      </c>
      <c r="AG797" s="5">
        <f t="shared" si="807"/>
        <v>3274.7299167700157</v>
      </c>
      <c r="AH797" s="5">
        <f t="shared" si="807"/>
        <v>3313.4912161075499</v>
      </c>
    </row>
    <row r="798" spans="1:34" x14ac:dyDescent="0.35">
      <c r="A798" t="s">
        <v>818</v>
      </c>
      <c r="B798" s="3" t="s">
        <v>1264</v>
      </c>
      <c r="C798" s="4" t="s">
        <v>1263</v>
      </c>
      <c r="D798" s="2">
        <f t="shared" si="781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ref="W798:AH798" si="808">IF(OR((SLOPE($E798:$V798,$E$1:$V$1)*W$1+INTERCEPT($E798:$V798,$E$1:$V$1))&gt;(AVERAGE($E798:$V798)+_xlfn.STDEV.P($E798:$V798)),(SLOPE($E798:$V798,$E$1:$V$1)*W$1+INTERCEPT($E798:$V798,$E$1:$V$1))&lt;(AVERAGE($E798:$V798)-_xlfn.STDEV.P($E798:$V798))),V798,(SLOPE($E798:$V798,$E$1:$V$1)*W$1+INTERCEPT($E798:$V798,$E$1:$V$1)))</f>
        <v>1726.3341740510805</v>
      </c>
      <c r="X798" s="5">
        <f t="shared" si="808"/>
        <v>1643.7608133391993</v>
      </c>
      <c r="Y798" s="5">
        <f t="shared" si="808"/>
        <v>1561.1874526273184</v>
      </c>
      <c r="Z798" s="5">
        <f t="shared" si="808"/>
        <v>1478.6140919154373</v>
      </c>
      <c r="AA798" s="5">
        <f t="shared" si="808"/>
        <v>1396.0407312035563</v>
      </c>
      <c r="AB798" s="5">
        <f t="shared" si="808"/>
        <v>1313.4673704916754</v>
      </c>
      <c r="AC798" s="5">
        <f t="shared" si="808"/>
        <v>1230.8940097797945</v>
      </c>
      <c r="AD798" s="5">
        <f t="shared" si="808"/>
        <v>1148.3206490679131</v>
      </c>
      <c r="AE798" s="5">
        <f t="shared" si="808"/>
        <v>1065.7472883560322</v>
      </c>
      <c r="AF798" s="5">
        <f t="shared" si="808"/>
        <v>983.17392764415126</v>
      </c>
      <c r="AG798" s="5">
        <f t="shared" si="808"/>
        <v>900.60056693227034</v>
      </c>
      <c r="AH798" s="5">
        <f t="shared" si="808"/>
        <v>818.02720622038896</v>
      </c>
    </row>
    <row r="799" spans="1:34" x14ac:dyDescent="0.35">
      <c r="A799" t="s">
        <v>819</v>
      </c>
      <c r="B799" s="3" t="s">
        <v>1266</v>
      </c>
      <c r="C799" s="4" t="s">
        <v>1263</v>
      </c>
      <c r="D799" s="2">
        <f t="shared" si="781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ref="W799:AH799" si="809">IF(OR((SLOPE($E799:$V799,$E$1:$V$1)*W$1+INTERCEPT($E799:$V799,$E$1:$V$1))&gt;(AVERAGE($E799:$V799)+_xlfn.STDEV.P($E799:$V799)),(SLOPE($E799:$V799,$E$1:$V$1)*W$1+INTERCEPT($E799:$V799,$E$1:$V$1))&lt;(AVERAGE($E799:$V799)-_xlfn.STDEV.P($E799:$V799))),V799,(SLOPE($E799:$V799,$E$1:$V$1)*W$1+INTERCEPT($E799:$V799,$E$1:$V$1)))</f>
        <v>-1467.0149386311004</v>
      </c>
      <c r="X799" s="5">
        <f t="shared" si="809"/>
        <v>-1883.9560264525717</v>
      </c>
      <c r="Y799" s="5">
        <f t="shared" si="809"/>
        <v>-2300.8971142740411</v>
      </c>
      <c r="Z799" s="5">
        <f t="shared" si="809"/>
        <v>-2717.8382020955123</v>
      </c>
      <c r="AA799" s="5">
        <f t="shared" si="809"/>
        <v>-3134.7792899169835</v>
      </c>
      <c r="AB799" s="5">
        <f t="shared" si="809"/>
        <v>-3551.720377738453</v>
      </c>
      <c r="AC799" s="5">
        <f t="shared" si="809"/>
        <v>-3968.6614655599242</v>
      </c>
      <c r="AD799" s="5">
        <f t="shared" si="809"/>
        <v>-4385.6025533813954</v>
      </c>
      <c r="AE799" s="5">
        <f t="shared" si="809"/>
        <v>-4802.5436412028666</v>
      </c>
      <c r="AF799" s="5">
        <f t="shared" si="809"/>
        <v>-5219.484729024336</v>
      </c>
      <c r="AG799" s="5">
        <f t="shared" si="809"/>
        <v>-5636.4258168458073</v>
      </c>
      <c r="AH799" s="5">
        <f t="shared" si="809"/>
        <v>-6053.3669046672785</v>
      </c>
    </row>
    <row r="800" spans="1:34" x14ac:dyDescent="0.35">
      <c r="A800" t="s">
        <v>820</v>
      </c>
      <c r="B800" s="3" t="s">
        <v>1265</v>
      </c>
      <c r="C800" s="4" t="s">
        <v>1263</v>
      </c>
      <c r="D800" s="2">
        <f t="shared" si="781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ref="W800:AH800" si="810">IF(OR((SLOPE($E800:$V800,$E$1:$V$1)*W$1+INTERCEPT($E800:$V800,$E$1:$V$1))&gt;(AVERAGE($E800:$V800)+_xlfn.STDEV.P($E800:$V800)),(SLOPE($E800:$V800,$E$1:$V$1)*W$1+INTERCEPT($E800:$V800,$E$1:$V$1))&lt;(AVERAGE($E800:$V800)-_xlfn.STDEV.P($E800:$V800))),V800,(SLOPE($E800:$V800,$E$1:$V$1)*W$1+INTERCEPT($E800:$V800,$E$1:$V$1)))</f>
        <v>8115.4727657941512</v>
      </c>
      <c r="X800" s="5">
        <f t="shared" si="810"/>
        <v>8115.4727657941512</v>
      </c>
      <c r="Y800" s="5">
        <f t="shared" si="810"/>
        <v>8115.4727657941512</v>
      </c>
      <c r="Z800" s="5">
        <f t="shared" si="810"/>
        <v>8115.4727657941512</v>
      </c>
      <c r="AA800" s="5">
        <f t="shared" si="810"/>
        <v>8115.4727657941512</v>
      </c>
      <c r="AB800" s="5">
        <f t="shared" si="810"/>
        <v>8115.4727657941512</v>
      </c>
      <c r="AC800" s="5">
        <f t="shared" si="810"/>
        <v>8115.4727657941512</v>
      </c>
      <c r="AD800" s="5">
        <f t="shared" si="810"/>
        <v>8115.4727657941512</v>
      </c>
      <c r="AE800" s="5">
        <f t="shared" si="810"/>
        <v>8115.4727657941512</v>
      </c>
      <c r="AF800" s="5">
        <f t="shared" si="810"/>
        <v>8115.4727657941512</v>
      </c>
      <c r="AG800" s="5">
        <f t="shared" si="810"/>
        <v>8115.4727657941512</v>
      </c>
      <c r="AH800" s="5">
        <f t="shared" si="810"/>
        <v>8115.4727657941512</v>
      </c>
    </row>
    <row r="801" spans="1:34" x14ac:dyDescent="0.35">
      <c r="A801" t="s">
        <v>821</v>
      </c>
      <c r="B801" s="3" t="s">
        <v>1266</v>
      </c>
      <c r="C801" s="4" t="s">
        <v>1263</v>
      </c>
      <c r="D801" s="2">
        <f t="shared" si="781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ref="W801:AH801" si="811">IF(OR((SLOPE($E801:$V801,$E$1:$V$1)*W$1+INTERCEPT($E801:$V801,$E$1:$V$1))&gt;(AVERAGE($E801:$V801)+_xlfn.STDEV.P($E801:$V801)),(SLOPE($E801:$V801,$E$1:$V$1)*W$1+INTERCEPT($E801:$V801,$E$1:$V$1))&lt;(AVERAGE($E801:$V801)-_xlfn.STDEV.P($E801:$V801))),V801,(SLOPE($E801:$V801,$E$1:$V$1)*W$1+INTERCEPT($E801:$V801,$E$1:$V$1)))</f>
        <v>4612.5845751633988</v>
      </c>
      <c r="X801" s="5">
        <f t="shared" si="811"/>
        <v>4840.1792088063285</v>
      </c>
      <c r="Y801" s="5">
        <f t="shared" si="811"/>
        <v>5067.77384244926</v>
      </c>
      <c r="Z801" s="5">
        <f t="shared" si="811"/>
        <v>5295.3684760921915</v>
      </c>
      <c r="AA801" s="5">
        <f t="shared" si="811"/>
        <v>5522.9631097351212</v>
      </c>
      <c r="AB801" s="5">
        <f t="shared" si="811"/>
        <v>5750.5577433780527</v>
      </c>
      <c r="AC801" s="5">
        <f t="shared" si="811"/>
        <v>5978.1523770209824</v>
      </c>
      <c r="AD801" s="5">
        <f t="shared" si="811"/>
        <v>6205.7470106639139</v>
      </c>
      <c r="AE801" s="5">
        <f t="shared" si="811"/>
        <v>6433.3416443068454</v>
      </c>
      <c r="AF801" s="5">
        <f t="shared" si="811"/>
        <v>6660.9362779497751</v>
      </c>
      <c r="AG801" s="5">
        <f t="shared" si="811"/>
        <v>6888.5309115927066</v>
      </c>
      <c r="AH801" s="5">
        <f t="shared" si="811"/>
        <v>7116.1255452356381</v>
      </c>
    </row>
    <row r="802" spans="1:34" x14ac:dyDescent="0.35">
      <c r="A802" t="s">
        <v>822</v>
      </c>
      <c r="B802" s="3" t="s">
        <v>1266</v>
      </c>
      <c r="C802" s="4" t="s">
        <v>1267</v>
      </c>
      <c r="D802" s="2">
        <f t="shared" si="781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ref="W802:AH802" si="812">IF(OR((SLOPE($E802:$V802,$E$1:$V$1)*W$1+INTERCEPT($E802:$V802,$E$1:$V$1))&gt;(AVERAGE($E802:$V802)+_xlfn.STDEV.P($E802:$V802)),(SLOPE($E802:$V802,$E$1:$V$1)*W$1+INTERCEPT($E802:$V802,$E$1:$V$1))&lt;(AVERAGE($E802:$V802)-_xlfn.STDEV.P($E802:$V802))),V802,(SLOPE($E802:$V802,$E$1:$V$1)*W$1+INTERCEPT($E802:$V802,$E$1:$V$1)))</f>
        <v>285.34521537711498</v>
      </c>
      <c r="X802" s="5">
        <f t="shared" si="812"/>
        <v>60.072676921497987</v>
      </c>
      <c r="Y802" s="5">
        <f t="shared" si="812"/>
        <v>-165.19986153411992</v>
      </c>
      <c r="Z802" s="5">
        <f t="shared" si="812"/>
        <v>-390.47239998973782</v>
      </c>
      <c r="AA802" s="5">
        <f t="shared" si="812"/>
        <v>-615.74493844535573</v>
      </c>
      <c r="AB802" s="5">
        <f t="shared" si="812"/>
        <v>-841.01747690097272</v>
      </c>
      <c r="AC802" s="5">
        <f t="shared" si="812"/>
        <v>-1066.2900153565906</v>
      </c>
      <c r="AD802" s="5">
        <f t="shared" si="812"/>
        <v>-1291.5625538122085</v>
      </c>
      <c r="AE802" s="5">
        <f t="shared" si="812"/>
        <v>-1516.8350922678255</v>
      </c>
      <c r="AF802" s="5">
        <f t="shared" si="812"/>
        <v>-1742.1076307234434</v>
      </c>
      <c r="AG802" s="5">
        <f t="shared" si="812"/>
        <v>-1967.3801691790613</v>
      </c>
      <c r="AH802" s="5">
        <f t="shared" si="812"/>
        <v>-2192.6527076346792</v>
      </c>
    </row>
    <row r="803" spans="1:34" x14ac:dyDescent="0.35">
      <c r="A803" t="s">
        <v>823</v>
      </c>
      <c r="B803" s="3" t="s">
        <v>1264</v>
      </c>
      <c r="C803" s="4" t="s">
        <v>1263</v>
      </c>
      <c r="D803" s="2">
        <f t="shared" si="781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ref="W803:AH803" si="813">IF(OR((SLOPE($E803:$V803,$E$1:$V$1)*W$1+INTERCEPT($E803:$V803,$E$1:$V$1))&gt;(AVERAGE($E803:$V803)+_xlfn.STDEV.P($E803:$V803)),(SLOPE($E803:$V803,$E$1:$V$1)*W$1+INTERCEPT($E803:$V803,$E$1:$V$1))&lt;(AVERAGE($E803:$V803)-_xlfn.STDEV.P($E803:$V803))),V803,(SLOPE($E803:$V803,$E$1:$V$1)*W$1+INTERCEPT($E803:$V803,$E$1:$V$1)))</f>
        <v>1627.50514265732</v>
      </c>
      <c r="X803" s="5">
        <f t="shared" si="813"/>
        <v>1546.2642053165509</v>
      </c>
      <c r="Y803" s="5">
        <f t="shared" si="813"/>
        <v>1465.0232679757819</v>
      </c>
      <c r="Z803" s="5">
        <f t="shared" si="813"/>
        <v>1383.7823306350128</v>
      </c>
      <c r="AA803" s="5">
        <f t="shared" si="813"/>
        <v>1302.5413932942438</v>
      </c>
      <c r="AB803" s="5">
        <f t="shared" si="813"/>
        <v>1221.3004559534747</v>
      </c>
      <c r="AC803" s="5">
        <f t="shared" si="813"/>
        <v>1140.0595186127055</v>
      </c>
      <c r="AD803" s="5">
        <f t="shared" si="813"/>
        <v>1058.8185812719366</v>
      </c>
      <c r="AE803" s="5">
        <f t="shared" si="813"/>
        <v>977.57764393116713</v>
      </c>
      <c r="AF803" s="5">
        <f t="shared" si="813"/>
        <v>896.33670659039808</v>
      </c>
      <c r="AG803" s="5">
        <f t="shared" si="813"/>
        <v>815.09576924962903</v>
      </c>
      <c r="AH803" s="5">
        <f t="shared" si="813"/>
        <v>733.85483190885998</v>
      </c>
    </row>
    <row r="804" spans="1:34" x14ac:dyDescent="0.35">
      <c r="A804" t="s">
        <v>824</v>
      </c>
      <c r="B804" s="3" t="s">
        <v>1265</v>
      </c>
      <c r="C804" s="4" t="s">
        <v>1263</v>
      </c>
      <c r="D804" s="2">
        <f t="shared" si="781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ref="W804:AH804" si="814">IF(OR((SLOPE($E804:$V804,$E$1:$V$1)*W$1+INTERCEPT($E804:$V804,$E$1:$V$1))&gt;(AVERAGE($E804:$V804)+_xlfn.STDEV.P($E804:$V804)),(SLOPE($E804:$V804,$E$1:$V$1)*W$1+INTERCEPT($E804:$V804,$E$1:$V$1))&lt;(AVERAGE($E804:$V804)-_xlfn.STDEV.P($E804:$V804))),V804,(SLOPE($E804:$V804,$E$1:$V$1)*W$1+INTERCEPT($E804:$V804,$E$1:$V$1)))</f>
        <v>5712.8952331909022</v>
      </c>
      <c r="X804" s="5">
        <f t="shared" si="814"/>
        <v>6070.2057877201896</v>
      </c>
      <c r="Y804" s="5">
        <f t="shared" si="814"/>
        <v>6070.2057877201896</v>
      </c>
      <c r="Z804" s="5">
        <f t="shared" si="814"/>
        <v>6070.2057877201896</v>
      </c>
      <c r="AA804" s="5">
        <f t="shared" si="814"/>
        <v>6070.2057877201896</v>
      </c>
      <c r="AB804" s="5">
        <f t="shared" si="814"/>
        <v>6070.2057877201896</v>
      </c>
      <c r="AC804" s="5">
        <f t="shared" si="814"/>
        <v>6070.2057877201896</v>
      </c>
      <c r="AD804" s="5">
        <f t="shared" si="814"/>
        <v>6070.2057877201896</v>
      </c>
      <c r="AE804" s="5">
        <f t="shared" si="814"/>
        <v>6070.2057877201896</v>
      </c>
      <c r="AF804" s="5">
        <f t="shared" si="814"/>
        <v>6070.2057877201896</v>
      </c>
      <c r="AG804" s="5">
        <f t="shared" si="814"/>
        <v>6070.2057877201896</v>
      </c>
      <c r="AH804" s="5">
        <f t="shared" si="814"/>
        <v>6070.2057877201896</v>
      </c>
    </row>
    <row r="805" spans="1:34" x14ac:dyDescent="0.35">
      <c r="A805" t="s">
        <v>825</v>
      </c>
      <c r="B805" s="3" t="s">
        <v>1266</v>
      </c>
      <c r="C805" s="4" t="s">
        <v>1267</v>
      </c>
      <c r="D805" s="2">
        <f t="shared" si="781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H805" si="815">IF(OR((SLOPE($E805:$V805,$E$1:$V$1)*W$1+INTERCEPT($E805:$V805,$E$1:$V$1))&gt;(AVERAGE($E805:$V805)+_xlfn.STDEV.P($E805:$V805)),(SLOPE($E805:$V805,$E$1:$V$1)*W$1+INTERCEPT($E805:$V805,$E$1:$V$1))&lt;(AVERAGE($E805:$V805)-_xlfn.STDEV.P($E805:$V805))),V805,(SLOPE($E805:$V805,$E$1:$V$1)*W$1+INTERCEPT($E805:$V805,$E$1:$V$1)))</f>
        <v>4735.5526119620081</v>
      </c>
      <c r="X805" s="5">
        <f t="shared" si="815"/>
        <v>4983.6356143183129</v>
      </c>
      <c r="Y805" s="5">
        <f t="shared" si="815"/>
        <v>5231.7186166746178</v>
      </c>
      <c r="Z805" s="5">
        <f t="shared" si="815"/>
        <v>5479.8016190309227</v>
      </c>
      <c r="AA805" s="5">
        <f t="shared" si="815"/>
        <v>5727.8846213872275</v>
      </c>
      <c r="AB805" s="5">
        <f t="shared" si="815"/>
        <v>5975.9676237435342</v>
      </c>
      <c r="AC805" s="5">
        <f t="shared" si="815"/>
        <v>6224.0506260998391</v>
      </c>
      <c r="AD805" s="5">
        <f t="shared" si="815"/>
        <v>6472.1336284561439</v>
      </c>
      <c r="AE805" s="5">
        <f t="shared" si="815"/>
        <v>6720.2166308124488</v>
      </c>
      <c r="AF805" s="5">
        <f t="shared" si="815"/>
        <v>6968.2996331687536</v>
      </c>
      <c r="AG805" s="5">
        <f t="shared" si="815"/>
        <v>7216.3826355250585</v>
      </c>
      <c r="AH805" s="5">
        <f t="shared" si="815"/>
        <v>7464.4656378813634</v>
      </c>
    </row>
    <row r="806" spans="1:34" x14ac:dyDescent="0.35">
      <c r="A806" t="s">
        <v>826</v>
      </c>
      <c r="B806" s="3" t="s">
        <v>1266</v>
      </c>
      <c r="C806" s="4" t="s">
        <v>1266</v>
      </c>
      <c r="D806" s="2">
        <f t="shared" si="781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ref="W806:AH806" si="816">IF(OR((SLOPE($E806:$V806,$E$1:$V$1)*W$1+INTERCEPT($E806:$V806,$E$1:$V$1))&gt;(AVERAGE($E806:$V806)+_xlfn.STDEV.P($E806:$V806)),(SLOPE($E806:$V806,$E$1:$V$1)*W$1+INTERCEPT($E806:$V806,$E$1:$V$1))&lt;(AVERAGE($E806:$V806)-_xlfn.STDEV.P($E806:$V806))),V806,(SLOPE($E806:$V806,$E$1:$V$1)*W$1+INTERCEPT($E806:$V806,$E$1:$V$1)))</f>
        <v>1946.4865769075673</v>
      </c>
      <c r="X806" s="5">
        <f t="shared" si="816"/>
        <v>1902.5808646464943</v>
      </c>
      <c r="Y806" s="5">
        <f t="shared" si="816"/>
        <v>1858.6751523854214</v>
      </c>
      <c r="Z806" s="5">
        <f t="shared" si="816"/>
        <v>1814.7694401243484</v>
      </c>
      <c r="AA806" s="5">
        <f t="shared" si="816"/>
        <v>1770.8637278632755</v>
      </c>
      <c r="AB806" s="5">
        <f t="shared" si="816"/>
        <v>1726.9580156022023</v>
      </c>
      <c r="AC806" s="5">
        <f t="shared" si="816"/>
        <v>1683.0523033411293</v>
      </c>
      <c r="AD806" s="5">
        <f t="shared" si="816"/>
        <v>1639.1465910800564</v>
      </c>
      <c r="AE806" s="5">
        <f t="shared" si="816"/>
        <v>1595.2408788189834</v>
      </c>
      <c r="AF806" s="5">
        <f t="shared" si="816"/>
        <v>1551.3351665579105</v>
      </c>
      <c r="AG806" s="5">
        <f t="shared" si="816"/>
        <v>1507.4294542968375</v>
      </c>
      <c r="AH806" s="5">
        <f t="shared" si="816"/>
        <v>1463.5237420357646</v>
      </c>
    </row>
    <row r="807" spans="1:34" x14ac:dyDescent="0.35">
      <c r="A807" t="s">
        <v>827</v>
      </c>
      <c r="B807" s="3" t="s">
        <v>1264</v>
      </c>
      <c r="C807" s="4" t="s">
        <v>1263</v>
      </c>
      <c r="D807" s="2">
        <f t="shared" si="781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ref="W807:AH807" si="817">IF(OR((SLOPE($E807:$V807,$E$1:$V$1)*W$1+INTERCEPT($E807:$V807,$E$1:$V$1))&gt;(AVERAGE($E807:$V807)+_xlfn.STDEV.P($E807:$V807)),(SLOPE($E807:$V807,$E$1:$V$1)*W$1+INTERCEPT($E807:$V807,$E$1:$V$1))&lt;(AVERAGE($E807:$V807)-_xlfn.STDEV.P($E807:$V807))),V807,(SLOPE($E807:$V807,$E$1:$V$1)*W$1+INTERCEPT($E807:$V807,$E$1:$V$1)))</f>
        <v>-2479.1552693622834</v>
      </c>
      <c r="X807" s="5">
        <f t="shared" si="817"/>
        <v>-2988.3082470229965</v>
      </c>
      <c r="Y807" s="5">
        <f t="shared" si="817"/>
        <v>-3497.4612246837078</v>
      </c>
      <c r="Z807" s="5">
        <f t="shared" si="817"/>
        <v>-4006.614202344419</v>
      </c>
      <c r="AA807" s="5">
        <f t="shared" si="817"/>
        <v>-4515.7671800051321</v>
      </c>
      <c r="AB807" s="5">
        <f t="shared" si="817"/>
        <v>-4515.7671800051321</v>
      </c>
      <c r="AC807" s="5">
        <f t="shared" si="817"/>
        <v>-4515.7671800051321</v>
      </c>
      <c r="AD807" s="5">
        <f t="shared" si="817"/>
        <v>-4515.7671800051321</v>
      </c>
      <c r="AE807" s="5">
        <f t="shared" si="817"/>
        <v>-4515.7671800051321</v>
      </c>
      <c r="AF807" s="5">
        <f t="shared" si="817"/>
        <v>-4515.7671800051321</v>
      </c>
      <c r="AG807" s="5">
        <f t="shared" si="817"/>
        <v>-4515.7671800051321</v>
      </c>
      <c r="AH807" s="5">
        <f t="shared" si="817"/>
        <v>-4515.7671800051321</v>
      </c>
    </row>
    <row r="808" spans="1:34" x14ac:dyDescent="0.35">
      <c r="A808" t="s">
        <v>828</v>
      </c>
      <c r="B808" s="3" t="s">
        <v>1266</v>
      </c>
      <c r="C808" s="4" t="s">
        <v>1263</v>
      </c>
      <c r="D808" s="2">
        <f t="shared" si="781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ref="W808:AH808" si="818">IF(OR((SLOPE($E808:$V808,$E$1:$V$1)*W$1+INTERCEPT($E808:$V808,$E$1:$V$1))&gt;(AVERAGE($E808:$V808)+_xlfn.STDEV.P($E808:$V808)),(SLOPE($E808:$V808,$E$1:$V$1)*W$1+INTERCEPT($E808:$V808,$E$1:$V$1))&lt;(AVERAGE($E808:$V808)-_xlfn.STDEV.P($E808:$V808))),V808,(SLOPE($E808:$V808,$E$1:$V$1)*W$1+INTERCEPT($E808:$V808,$E$1:$V$1)))</f>
        <v>2425.5</v>
      </c>
      <c r="X808" s="5">
        <f t="shared" si="818"/>
        <v>2425.5</v>
      </c>
      <c r="Y808" s="5">
        <f t="shared" si="818"/>
        <v>2425.5</v>
      </c>
      <c r="Z808" s="5">
        <f t="shared" si="818"/>
        <v>2425.5</v>
      </c>
      <c r="AA808" s="5">
        <f t="shared" si="818"/>
        <v>2425.5</v>
      </c>
      <c r="AB808" s="5">
        <f t="shared" si="818"/>
        <v>2425.5</v>
      </c>
      <c r="AC808" s="5">
        <f t="shared" si="818"/>
        <v>2425.5</v>
      </c>
      <c r="AD808" s="5">
        <f t="shared" si="818"/>
        <v>2425.5</v>
      </c>
      <c r="AE808" s="5">
        <f t="shared" si="818"/>
        <v>2425.5</v>
      </c>
      <c r="AF808" s="5">
        <f t="shared" si="818"/>
        <v>2425.5</v>
      </c>
      <c r="AG808" s="5">
        <f t="shared" si="818"/>
        <v>2425.5</v>
      </c>
      <c r="AH808" s="5">
        <f t="shared" si="818"/>
        <v>2425.5</v>
      </c>
    </row>
    <row r="809" spans="1:34" x14ac:dyDescent="0.35">
      <c r="A809" t="s">
        <v>829</v>
      </c>
      <c r="B809" s="3" t="s">
        <v>1264</v>
      </c>
      <c r="C809" s="4" t="s">
        <v>1263</v>
      </c>
      <c r="D809" s="2">
        <f t="shared" si="781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ref="W809:AH809" si="819">IF(OR((SLOPE($E809:$V809,$E$1:$V$1)*W$1+INTERCEPT($E809:$V809,$E$1:$V$1))&gt;(AVERAGE($E809:$V809)+_xlfn.STDEV.P($E809:$V809)),(SLOPE($E809:$V809,$E$1:$V$1)*W$1+INTERCEPT($E809:$V809,$E$1:$V$1))&lt;(AVERAGE($E809:$V809)-_xlfn.STDEV.P($E809:$V809))),V809,(SLOPE($E809:$V809,$E$1:$V$1)*W$1+INTERCEPT($E809:$V809,$E$1:$V$1)))</f>
        <v>2553.2247857372781</v>
      </c>
      <c r="X809" s="5">
        <f t="shared" si="819"/>
        <v>2574.4376222307328</v>
      </c>
      <c r="Y809" s="5">
        <f t="shared" si="819"/>
        <v>2595.650458724187</v>
      </c>
      <c r="Z809" s="5">
        <f t="shared" si="819"/>
        <v>2616.8632952176413</v>
      </c>
      <c r="AA809" s="5">
        <f t="shared" si="819"/>
        <v>2638.076131711096</v>
      </c>
      <c r="AB809" s="5">
        <f t="shared" si="819"/>
        <v>2659.2889682045507</v>
      </c>
      <c r="AC809" s="5">
        <f t="shared" si="819"/>
        <v>2680.5018046980049</v>
      </c>
      <c r="AD809" s="5">
        <f t="shared" si="819"/>
        <v>2701.7146411914591</v>
      </c>
      <c r="AE809" s="5">
        <f t="shared" si="819"/>
        <v>2722.9274776849138</v>
      </c>
      <c r="AF809" s="5">
        <f t="shared" si="819"/>
        <v>2744.140314178368</v>
      </c>
      <c r="AG809" s="5">
        <f t="shared" si="819"/>
        <v>2765.3531506718227</v>
      </c>
      <c r="AH809" s="5">
        <f t="shared" si="819"/>
        <v>2786.565987165277</v>
      </c>
    </row>
    <row r="810" spans="1:34" x14ac:dyDescent="0.35">
      <c r="A810" t="s">
        <v>830</v>
      </c>
      <c r="B810" s="3" t="s">
        <v>1264</v>
      </c>
      <c r="C810" s="4" t="s">
        <v>1263</v>
      </c>
      <c r="D810" s="2">
        <f t="shared" si="781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ref="W810:AH810" si="820">IF(OR((SLOPE($E810:$V810,$E$1:$V$1)*W$1+INTERCEPT($E810:$V810,$E$1:$V$1))&gt;(AVERAGE($E810:$V810)+_xlfn.STDEV.P($E810:$V810)),(SLOPE($E810:$V810,$E$1:$V$1)*W$1+INTERCEPT($E810:$V810,$E$1:$V$1))&lt;(AVERAGE($E810:$V810)-_xlfn.STDEV.P($E810:$V810))),V810,(SLOPE($E810:$V810,$E$1:$V$1)*W$1+INTERCEPT($E810:$V810,$E$1:$V$1)))</f>
        <v>3784.1329043686437</v>
      </c>
      <c r="X810" s="5">
        <f t="shared" si="820"/>
        <v>3935.8691492523676</v>
      </c>
      <c r="Y810" s="5">
        <f t="shared" si="820"/>
        <v>4087.6053941360915</v>
      </c>
      <c r="Z810" s="5">
        <f t="shared" si="820"/>
        <v>4239.3416390198163</v>
      </c>
      <c r="AA810" s="5">
        <f t="shared" si="820"/>
        <v>4391.0778839035402</v>
      </c>
      <c r="AB810" s="5">
        <f t="shared" si="820"/>
        <v>4542.8141287872641</v>
      </c>
      <c r="AC810" s="5">
        <f t="shared" si="820"/>
        <v>4694.5503736709879</v>
      </c>
      <c r="AD810" s="5">
        <f t="shared" si="820"/>
        <v>4846.2866185547118</v>
      </c>
      <c r="AE810" s="5">
        <f t="shared" si="820"/>
        <v>4998.0228634384366</v>
      </c>
      <c r="AF810" s="5">
        <f t="shared" si="820"/>
        <v>5149.7591083221605</v>
      </c>
      <c r="AG810" s="5">
        <f t="shared" si="820"/>
        <v>5301.4953532058844</v>
      </c>
      <c r="AH810" s="5">
        <f t="shared" si="820"/>
        <v>5453.2315980896092</v>
      </c>
    </row>
    <row r="811" spans="1:34" x14ac:dyDescent="0.35">
      <c r="A811" t="s">
        <v>831</v>
      </c>
      <c r="B811" s="3" t="s">
        <v>1264</v>
      </c>
      <c r="C811" s="4" t="s">
        <v>1267</v>
      </c>
      <c r="D811" s="2">
        <f t="shared" si="781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ref="W811:AH811" si="821">IF(OR((SLOPE($E811:$V811,$E$1:$V$1)*W$1+INTERCEPT($E811:$V811,$E$1:$V$1))&gt;(AVERAGE($E811:$V811)+_xlfn.STDEV.P($E811:$V811)),(SLOPE($E811:$V811,$E$1:$V$1)*W$1+INTERCEPT($E811:$V811,$E$1:$V$1))&lt;(AVERAGE($E811:$V811)-_xlfn.STDEV.P($E811:$V811))),V811,(SLOPE($E811:$V811,$E$1:$V$1)*W$1+INTERCEPT($E811:$V811,$E$1:$V$1)))</f>
        <v>5231.2333852494721</v>
      </c>
      <c r="X811" s="5">
        <f t="shared" si="821"/>
        <v>5535.543360568694</v>
      </c>
      <c r="Y811" s="5">
        <f t="shared" si="821"/>
        <v>5839.8533358879149</v>
      </c>
      <c r="Z811" s="5">
        <f t="shared" si="821"/>
        <v>6144.1633112071368</v>
      </c>
      <c r="AA811" s="5">
        <f t="shared" si="821"/>
        <v>6448.4732865263577</v>
      </c>
      <c r="AB811" s="5">
        <f t="shared" si="821"/>
        <v>6752.7832618455786</v>
      </c>
      <c r="AC811" s="5">
        <f t="shared" si="821"/>
        <v>7057.0932371648005</v>
      </c>
      <c r="AD811" s="5">
        <f t="shared" si="821"/>
        <v>7361.4032124840214</v>
      </c>
      <c r="AE811" s="5">
        <f t="shared" si="821"/>
        <v>7665.7131878032424</v>
      </c>
      <c r="AF811" s="5">
        <f t="shared" si="821"/>
        <v>7970.0231631224642</v>
      </c>
      <c r="AG811" s="5">
        <f t="shared" si="821"/>
        <v>8274.3331384416852</v>
      </c>
      <c r="AH811" s="5">
        <f t="shared" si="821"/>
        <v>8578.643113760907</v>
      </c>
    </row>
    <row r="812" spans="1:34" x14ac:dyDescent="0.35">
      <c r="A812" t="s">
        <v>832</v>
      </c>
      <c r="B812" s="3" t="s">
        <v>1264</v>
      </c>
      <c r="C812" s="4" t="s">
        <v>1263</v>
      </c>
      <c r="D812" s="2">
        <f t="shared" si="781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ref="W812:AH812" si="822">IF(OR((SLOPE($E812:$V812,$E$1:$V$1)*W$1+INTERCEPT($E812:$V812,$E$1:$V$1))&gt;(AVERAGE($E812:$V812)+_xlfn.STDEV.P($E812:$V812)),(SLOPE($E812:$V812,$E$1:$V$1)*W$1+INTERCEPT($E812:$V812,$E$1:$V$1))&lt;(AVERAGE($E812:$V812)-_xlfn.STDEV.P($E812:$V812))),V812,(SLOPE($E812:$V812,$E$1:$V$1)*W$1+INTERCEPT($E812:$V812,$E$1:$V$1)))</f>
        <v>3376.0039299717132</v>
      </c>
      <c r="X812" s="5">
        <f t="shared" si="822"/>
        <v>3495.8941763456746</v>
      </c>
      <c r="Y812" s="5">
        <f t="shared" si="822"/>
        <v>3615.7844227196356</v>
      </c>
      <c r="Z812" s="5">
        <f t="shared" si="822"/>
        <v>3735.674669093597</v>
      </c>
      <c r="AA812" s="5">
        <f t="shared" si="822"/>
        <v>3735.674669093597</v>
      </c>
      <c r="AB812" s="5">
        <f t="shared" si="822"/>
        <v>3735.674669093597</v>
      </c>
      <c r="AC812" s="5">
        <f t="shared" si="822"/>
        <v>3735.674669093597</v>
      </c>
      <c r="AD812" s="5">
        <f t="shared" si="822"/>
        <v>3735.674669093597</v>
      </c>
      <c r="AE812" s="5">
        <f t="shared" si="822"/>
        <v>3735.674669093597</v>
      </c>
      <c r="AF812" s="5">
        <f t="shared" si="822"/>
        <v>3735.674669093597</v>
      </c>
      <c r="AG812" s="5">
        <f t="shared" si="822"/>
        <v>3735.674669093597</v>
      </c>
      <c r="AH812" s="5">
        <f t="shared" si="822"/>
        <v>3735.674669093597</v>
      </c>
    </row>
    <row r="813" spans="1:34" x14ac:dyDescent="0.35">
      <c r="A813" t="s">
        <v>833</v>
      </c>
      <c r="B813" s="3" t="s">
        <v>1264</v>
      </c>
      <c r="C813" s="4" t="s">
        <v>1263</v>
      </c>
      <c r="D813" s="2">
        <f t="shared" si="781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ref="W813:AH813" si="823">IF(OR((SLOPE($E813:$V813,$E$1:$V$1)*W$1+INTERCEPT($E813:$V813,$E$1:$V$1))&gt;(AVERAGE($E813:$V813)+_xlfn.STDEV.P($E813:$V813)),(SLOPE($E813:$V813,$E$1:$V$1)*W$1+INTERCEPT($E813:$V813,$E$1:$V$1))&lt;(AVERAGE($E813:$V813)-_xlfn.STDEV.P($E813:$V813))),V813,(SLOPE($E813:$V813,$E$1:$V$1)*W$1+INTERCEPT($E813:$V813,$E$1:$V$1)))</f>
        <v>1557.7276784313726</v>
      </c>
      <c r="X813" s="5">
        <f t="shared" si="823"/>
        <v>1478.227469143447</v>
      </c>
      <c r="Y813" s="5">
        <f t="shared" si="823"/>
        <v>1398.7272598555212</v>
      </c>
      <c r="Z813" s="5">
        <f t="shared" si="823"/>
        <v>1319.2270505675956</v>
      </c>
      <c r="AA813" s="5">
        <f t="shared" si="823"/>
        <v>1239.7268412796698</v>
      </c>
      <c r="AB813" s="5">
        <f t="shared" si="823"/>
        <v>1160.2266319917439</v>
      </c>
      <c r="AC813" s="5">
        <f t="shared" si="823"/>
        <v>1160.2266319917439</v>
      </c>
      <c r="AD813" s="5">
        <f t="shared" si="823"/>
        <v>1160.2266319917439</v>
      </c>
      <c r="AE813" s="5">
        <f t="shared" si="823"/>
        <v>1160.2266319917439</v>
      </c>
      <c r="AF813" s="5">
        <f t="shared" si="823"/>
        <v>1160.2266319917439</v>
      </c>
      <c r="AG813" s="5">
        <f t="shared" si="823"/>
        <v>1160.2266319917439</v>
      </c>
      <c r="AH813" s="5">
        <f t="shared" si="823"/>
        <v>1160.2266319917439</v>
      </c>
    </row>
    <row r="814" spans="1:34" x14ac:dyDescent="0.35">
      <c r="A814" t="s">
        <v>834</v>
      </c>
      <c r="B814" s="3" t="s">
        <v>1266</v>
      </c>
      <c r="C814" s="4" t="s">
        <v>1267</v>
      </c>
      <c r="D814" s="2">
        <f t="shared" si="781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ref="W814:AH814" si="824">IF(OR((SLOPE($E814:$V814,$E$1:$V$1)*W$1+INTERCEPT($E814:$V814,$E$1:$V$1))&gt;(AVERAGE($E814:$V814)+_xlfn.STDEV.P($E814:$V814)),(SLOPE($E814:$V814,$E$1:$V$1)*W$1+INTERCEPT($E814:$V814,$E$1:$V$1))&lt;(AVERAGE($E814:$V814)-_xlfn.STDEV.P($E814:$V814))),V814,(SLOPE($E814:$V814,$E$1:$V$1)*W$1+INTERCEPT($E814:$V814,$E$1:$V$1)))</f>
        <v>5690.6078968494021</v>
      </c>
      <c r="X814" s="5">
        <f t="shared" si="824"/>
        <v>6047.1622763512441</v>
      </c>
      <c r="Y814" s="5">
        <f t="shared" si="824"/>
        <v>6403.7166558530862</v>
      </c>
      <c r="Z814" s="5">
        <f t="shared" si="824"/>
        <v>6760.2710353549301</v>
      </c>
      <c r="AA814" s="5">
        <f t="shared" si="824"/>
        <v>7116.8254148567721</v>
      </c>
      <c r="AB814" s="5">
        <f t="shared" si="824"/>
        <v>7473.3797943586142</v>
      </c>
      <c r="AC814" s="5">
        <f t="shared" si="824"/>
        <v>7829.9341738604562</v>
      </c>
      <c r="AD814" s="5">
        <f t="shared" si="824"/>
        <v>8186.4885533622983</v>
      </c>
      <c r="AE814" s="5">
        <f t="shared" si="824"/>
        <v>8543.0429328641403</v>
      </c>
      <c r="AF814" s="5">
        <f t="shared" si="824"/>
        <v>8899.5973123659842</v>
      </c>
      <c r="AG814" s="5">
        <f t="shared" si="824"/>
        <v>8899.5973123659842</v>
      </c>
      <c r="AH814" s="5">
        <f t="shared" si="824"/>
        <v>8899.5973123659842</v>
      </c>
    </row>
    <row r="815" spans="1:34" x14ac:dyDescent="0.35">
      <c r="A815" t="s">
        <v>835</v>
      </c>
      <c r="B815" s="3" t="s">
        <v>1266</v>
      </c>
      <c r="C815" s="4" t="s">
        <v>1267</v>
      </c>
      <c r="D815" s="2">
        <f t="shared" si="781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ref="W815:AH815" si="825">IF(OR((SLOPE($E815:$V815,$E$1:$V$1)*W$1+INTERCEPT($E815:$V815,$E$1:$V$1))&gt;(AVERAGE($E815:$V815)+_xlfn.STDEV.P($E815:$V815)),(SLOPE($E815:$V815,$E$1:$V$1)*W$1+INTERCEPT($E815:$V815,$E$1:$V$1))&lt;(AVERAGE($E815:$V815)-_xlfn.STDEV.P($E815:$V815))),V815,(SLOPE($E815:$V815,$E$1:$V$1)*W$1+INTERCEPT($E815:$V815,$E$1:$V$1)))</f>
        <v>-3790.7832242776349</v>
      </c>
      <c r="X815" s="5">
        <f t="shared" si="825"/>
        <v>-4432.0811381591902</v>
      </c>
      <c r="Y815" s="5">
        <f t="shared" si="825"/>
        <v>-5073.3790520407456</v>
      </c>
      <c r="Z815" s="5">
        <f t="shared" si="825"/>
        <v>-5714.6769659222991</v>
      </c>
      <c r="AA815" s="5">
        <f t="shared" si="825"/>
        <v>-6355.9748798038545</v>
      </c>
      <c r="AB815" s="5">
        <f t="shared" si="825"/>
        <v>-6997.2727936854099</v>
      </c>
      <c r="AC815" s="5">
        <f t="shared" si="825"/>
        <v>-6997.2727936854099</v>
      </c>
      <c r="AD815" s="5">
        <f t="shared" si="825"/>
        <v>-6997.2727936854099</v>
      </c>
      <c r="AE815" s="5">
        <f t="shared" si="825"/>
        <v>-6997.2727936854099</v>
      </c>
      <c r="AF815" s="5">
        <f t="shared" si="825"/>
        <v>-6997.2727936854099</v>
      </c>
      <c r="AG815" s="5">
        <f t="shared" si="825"/>
        <v>-6997.2727936854099</v>
      </c>
      <c r="AH815" s="5">
        <f t="shared" si="825"/>
        <v>-6997.2727936854099</v>
      </c>
    </row>
    <row r="816" spans="1:34" x14ac:dyDescent="0.35">
      <c r="A816" t="s">
        <v>836</v>
      </c>
      <c r="B816" s="3" t="s">
        <v>1266</v>
      </c>
      <c r="C816" s="4" t="s">
        <v>1263</v>
      </c>
      <c r="D816" s="2">
        <f t="shared" si="781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ref="W816:AH816" si="826">IF(OR((SLOPE($E816:$V816,$E$1:$V$1)*W$1+INTERCEPT($E816:$V816,$E$1:$V$1))&gt;(AVERAGE($E816:$V816)+_xlfn.STDEV.P($E816:$V816)),(SLOPE($E816:$V816,$E$1:$V$1)*W$1+INTERCEPT($E816:$V816,$E$1:$V$1))&lt;(AVERAGE($E816:$V816)-_xlfn.STDEV.P($E816:$V816))),V816,(SLOPE($E816:$V816,$E$1:$V$1)*W$1+INTERCEPT($E816:$V816,$E$1:$V$1)))</f>
        <v>-2373.890557346881</v>
      </c>
      <c r="X816" s="5">
        <f t="shared" si="826"/>
        <v>-2865.6105310934972</v>
      </c>
      <c r="Y816" s="5">
        <f t="shared" si="826"/>
        <v>-3357.3305048401135</v>
      </c>
      <c r="Z816" s="5">
        <f t="shared" si="826"/>
        <v>-3849.0504785867297</v>
      </c>
      <c r="AA816" s="5">
        <f t="shared" si="826"/>
        <v>-4340.7704523333459</v>
      </c>
      <c r="AB816" s="5">
        <f t="shared" si="826"/>
        <v>-4832.4904260799622</v>
      </c>
      <c r="AC816" s="5">
        <f t="shared" si="826"/>
        <v>-4832.4904260799622</v>
      </c>
      <c r="AD816" s="5">
        <f t="shared" si="826"/>
        <v>-4832.4904260799622</v>
      </c>
      <c r="AE816" s="5">
        <f t="shared" si="826"/>
        <v>-4832.4904260799622</v>
      </c>
      <c r="AF816" s="5">
        <f t="shared" si="826"/>
        <v>-4832.4904260799622</v>
      </c>
      <c r="AG816" s="5">
        <f t="shared" si="826"/>
        <v>-4832.4904260799622</v>
      </c>
      <c r="AH816" s="5">
        <f t="shared" si="826"/>
        <v>-4832.4904260799622</v>
      </c>
    </row>
    <row r="817" spans="1:34" x14ac:dyDescent="0.35">
      <c r="A817" t="s">
        <v>837</v>
      </c>
      <c r="B817" s="3" t="s">
        <v>1266</v>
      </c>
      <c r="C817" s="4" t="s">
        <v>1266</v>
      </c>
      <c r="D817" s="2">
        <f t="shared" si="781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ref="W817:AH817" si="827">IF(OR((SLOPE($E817:$V817,$E$1:$V$1)*W$1+INTERCEPT($E817:$V817,$E$1:$V$1))&gt;(AVERAGE($E817:$V817)+_xlfn.STDEV.P($E817:$V817)),(SLOPE($E817:$V817,$E$1:$V$1)*W$1+INTERCEPT($E817:$V817,$E$1:$V$1))&lt;(AVERAGE($E817:$V817)-_xlfn.STDEV.P($E817:$V817))),V817,(SLOPE($E817:$V817,$E$1:$V$1)*W$1+INTERCEPT($E817:$V817,$E$1:$V$1)))</f>
        <v>4324.2326207686465</v>
      </c>
      <c r="X817" s="5">
        <f t="shared" si="827"/>
        <v>4537.5993619249939</v>
      </c>
      <c r="Y817" s="5">
        <f t="shared" si="827"/>
        <v>4750.9661030813413</v>
      </c>
      <c r="Z817" s="5">
        <f t="shared" si="827"/>
        <v>4964.3328442376887</v>
      </c>
      <c r="AA817" s="5">
        <f t="shared" si="827"/>
        <v>5177.6995853940361</v>
      </c>
      <c r="AB817" s="5">
        <f t="shared" si="827"/>
        <v>5391.0663265503845</v>
      </c>
      <c r="AC817" s="5">
        <f t="shared" si="827"/>
        <v>5604.4330677067319</v>
      </c>
      <c r="AD817" s="5">
        <f t="shared" si="827"/>
        <v>5817.7998088630793</v>
      </c>
      <c r="AE817" s="5">
        <f t="shared" si="827"/>
        <v>6031.1665500194276</v>
      </c>
      <c r="AF817" s="5">
        <f t="shared" si="827"/>
        <v>6244.533291175775</v>
      </c>
      <c r="AG817" s="5">
        <f t="shared" si="827"/>
        <v>6457.9000323321225</v>
      </c>
      <c r="AH817" s="5">
        <f t="shared" si="827"/>
        <v>6671.2667734884699</v>
      </c>
    </row>
    <row r="818" spans="1:34" x14ac:dyDescent="0.35">
      <c r="A818" t="s">
        <v>838</v>
      </c>
      <c r="B818" s="3" t="s">
        <v>1264</v>
      </c>
      <c r="C818" s="4" t="s">
        <v>1263</v>
      </c>
      <c r="D818" s="2">
        <f t="shared" si="781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ref="W818:AH818" si="828">IF(OR((SLOPE($E818:$V818,$E$1:$V$1)*W$1+INTERCEPT($E818:$V818,$E$1:$V$1))&gt;(AVERAGE($E818:$V818)+_xlfn.STDEV.P($E818:$V818)),(SLOPE($E818:$V818,$E$1:$V$1)*W$1+INTERCEPT($E818:$V818,$E$1:$V$1))&lt;(AVERAGE($E818:$V818)-_xlfn.STDEV.P($E818:$V818))),V818,(SLOPE($E818:$V818,$E$1:$V$1)*W$1+INTERCEPT($E818:$V818,$E$1:$V$1)))</f>
        <v>584.42061725490157</v>
      </c>
      <c r="X818" s="5">
        <f t="shared" si="828"/>
        <v>404.23288994840004</v>
      </c>
      <c r="Y818" s="5">
        <f t="shared" si="828"/>
        <v>404.23288994840004</v>
      </c>
      <c r="Z818" s="5">
        <f t="shared" si="828"/>
        <v>404.23288994840004</v>
      </c>
      <c r="AA818" s="5">
        <f t="shared" si="828"/>
        <v>404.23288994840004</v>
      </c>
      <c r="AB818" s="5">
        <f t="shared" si="828"/>
        <v>404.23288994840004</v>
      </c>
      <c r="AC818" s="5">
        <f t="shared" si="828"/>
        <v>404.23288994840004</v>
      </c>
      <c r="AD818" s="5">
        <f t="shared" si="828"/>
        <v>404.23288994840004</v>
      </c>
      <c r="AE818" s="5">
        <f t="shared" si="828"/>
        <v>404.23288994840004</v>
      </c>
      <c r="AF818" s="5">
        <f t="shared" si="828"/>
        <v>404.23288994840004</v>
      </c>
      <c r="AG818" s="5">
        <f t="shared" si="828"/>
        <v>404.23288994840004</v>
      </c>
      <c r="AH818" s="5">
        <f t="shared" si="828"/>
        <v>404.23288994840004</v>
      </c>
    </row>
    <row r="819" spans="1:34" x14ac:dyDescent="0.35">
      <c r="A819" t="s">
        <v>839</v>
      </c>
      <c r="B819" s="3" t="s">
        <v>1264</v>
      </c>
      <c r="C819" s="4" t="s">
        <v>1263</v>
      </c>
      <c r="D819" s="2">
        <f t="shared" si="781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ref="W819:AH819" si="829">IF(OR((SLOPE($E819:$V819,$E$1:$V$1)*W$1+INTERCEPT($E819:$V819,$E$1:$V$1))&gt;(AVERAGE($E819:$V819)+_xlfn.STDEV.P($E819:$V819)),(SLOPE($E819:$V819,$E$1:$V$1)*W$1+INTERCEPT($E819:$V819,$E$1:$V$1))&lt;(AVERAGE($E819:$V819)-_xlfn.STDEV.P($E819:$V819))),V819,(SLOPE($E819:$V819,$E$1:$V$1)*W$1+INTERCEPT($E819:$V819,$E$1:$V$1)))</f>
        <v>6963.9717900294272</v>
      </c>
      <c r="X819" s="5">
        <f t="shared" si="829"/>
        <v>7455.8244665408438</v>
      </c>
      <c r="Y819" s="5">
        <f t="shared" si="829"/>
        <v>7947.6771430522604</v>
      </c>
      <c r="Z819" s="5">
        <f t="shared" si="829"/>
        <v>8439.5298195636769</v>
      </c>
      <c r="AA819" s="5">
        <f t="shared" si="829"/>
        <v>8931.3824960750935</v>
      </c>
      <c r="AB819" s="5">
        <f t="shared" si="829"/>
        <v>9423.2351725865101</v>
      </c>
      <c r="AC819" s="5">
        <f t="shared" si="829"/>
        <v>9423.2351725865101</v>
      </c>
      <c r="AD819" s="5">
        <f t="shared" si="829"/>
        <v>9423.2351725865101</v>
      </c>
      <c r="AE819" s="5">
        <f t="shared" si="829"/>
        <v>9423.2351725865101</v>
      </c>
      <c r="AF819" s="5">
        <f t="shared" si="829"/>
        <v>9423.2351725865101</v>
      </c>
      <c r="AG819" s="5">
        <f t="shared" si="829"/>
        <v>9423.2351725865101</v>
      </c>
      <c r="AH819" s="5">
        <f t="shared" si="829"/>
        <v>9423.2351725865101</v>
      </c>
    </row>
    <row r="820" spans="1:34" x14ac:dyDescent="0.35">
      <c r="A820" t="s">
        <v>840</v>
      </c>
      <c r="B820" s="3" t="s">
        <v>1266</v>
      </c>
      <c r="C820" s="4" t="s">
        <v>1267</v>
      </c>
      <c r="D820" s="2">
        <f t="shared" si="781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ref="W820:AH820" si="830">IF(OR((SLOPE($E820:$V820,$E$1:$V$1)*W$1+INTERCEPT($E820:$V820,$E$1:$V$1))&gt;(AVERAGE($E820:$V820)+_xlfn.STDEV.P($E820:$V820)),(SLOPE($E820:$V820,$E$1:$V$1)*W$1+INTERCEPT($E820:$V820,$E$1:$V$1))&lt;(AVERAGE($E820:$V820)-_xlfn.STDEV.P($E820:$V820))),V820,(SLOPE($E820:$V820,$E$1:$V$1)*W$1+INTERCEPT($E820:$V820,$E$1:$V$1)))</f>
        <v>-399.72708976483682</v>
      </c>
      <c r="X820" s="5">
        <f t="shared" si="830"/>
        <v>-681.72408686050858</v>
      </c>
      <c r="Y820" s="5">
        <f t="shared" si="830"/>
        <v>-963.72108395618034</v>
      </c>
      <c r="Z820" s="5">
        <f t="shared" si="830"/>
        <v>-1245.7180810518512</v>
      </c>
      <c r="AA820" s="5">
        <f t="shared" si="830"/>
        <v>-1527.7150781475229</v>
      </c>
      <c r="AB820" s="5">
        <f t="shared" si="830"/>
        <v>-1809.7120752431947</v>
      </c>
      <c r="AC820" s="5">
        <f t="shared" si="830"/>
        <v>-2091.7090723388665</v>
      </c>
      <c r="AD820" s="5">
        <f t="shared" si="830"/>
        <v>-2373.7060694345382</v>
      </c>
      <c r="AE820" s="5">
        <f t="shared" si="830"/>
        <v>-2655.7030665302091</v>
      </c>
      <c r="AF820" s="5">
        <f t="shared" si="830"/>
        <v>-2937.7000636258808</v>
      </c>
      <c r="AG820" s="5">
        <f t="shared" si="830"/>
        <v>-3219.6970607215526</v>
      </c>
      <c r="AH820" s="5">
        <f t="shared" si="830"/>
        <v>-3501.6940578172234</v>
      </c>
    </row>
    <row r="821" spans="1:34" x14ac:dyDescent="0.35">
      <c r="A821" t="s">
        <v>841</v>
      </c>
      <c r="B821" s="3" t="s">
        <v>1264</v>
      </c>
      <c r="C821" s="4" t="s">
        <v>1263</v>
      </c>
      <c r="D821" s="2">
        <f t="shared" si="781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H821" si="831">IF(OR((SLOPE($E821:$V821,$E$1:$V$1)*W$1+INTERCEPT($E821:$V821,$E$1:$V$1))&gt;(AVERAGE($E821:$V821)+_xlfn.STDEV.P($E821:$V821)),(SLOPE($E821:$V821,$E$1:$V$1)*W$1+INTERCEPT($E821:$V821,$E$1:$V$1))&lt;(AVERAGE($E821:$V821)-_xlfn.STDEV.P($E821:$V821))),V821,(SLOPE($E821:$V821,$E$1:$V$1)*W$1+INTERCEPT($E821:$V821,$E$1:$V$1)))</f>
        <v>2448.9335294117645</v>
      </c>
      <c r="X821" s="5">
        <f t="shared" si="831"/>
        <v>2470.2007430340554</v>
      </c>
      <c r="Y821" s="5">
        <f t="shared" si="831"/>
        <v>2491.4679566563468</v>
      </c>
      <c r="Z821" s="5">
        <f t="shared" si="831"/>
        <v>2512.7351702786377</v>
      </c>
      <c r="AA821" s="5">
        <f t="shared" si="831"/>
        <v>2534.0023839009286</v>
      </c>
      <c r="AB821" s="5">
        <f t="shared" si="831"/>
        <v>2555.26959752322</v>
      </c>
      <c r="AC821" s="5">
        <f t="shared" si="831"/>
        <v>2576.5368111455109</v>
      </c>
      <c r="AD821" s="5">
        <f t="shared" si="831"/>
        <v>2597.8040247678018</v>
      </c>
      <c r="AE821" s="5">
        <f t="shared" si="831"/>
        <v>2619.0712383900927</v>
      </c>
      <c r="AF821" s="5">
        <f t="shared" si="831"/>
        <v>2640.3384520123836</v>
      </c>
      <c r="AG821" s="5">
        <f t="shared" si="831"/>
        <v>2661.605665634675</v>
      </c>
      <c r="AH821" s="5">
        <f t="shared" si="831"/>
        <v>2682.8728792569659</v>
      </c>
    </row>
    <row r="822" spans="1:34" x14ac:dyDescent="0.35">
      <c r="A822" t="s">
        <v>842</v>
      </c>
      <c r="B822" s="3" t="s">
        <v>1265</v>
      </c>
      <c r="C822" s="4" t="s">
        <v>1263</v>
      </c>
      <c r="D822" s="2">
        <f t="shared" si="781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ref="W822:AH822" si="832">IF(OR((SLOPE($E822:$V822,$E$1:$V$1)*W$1+INTERCEPT($E822:$V822,$E$1:$V$1))&gt;(AVERAGE($E822:$V822)+_xlfn.STDEV.P($E822:$V822)),(SLOPE($E822:$V822,$E$1:$V$1)*W$1+INTERCEPT($E822:$V822,$E$1:$V$1))&lt;(AVERAGE($E822:$V822)-_xlfn.STDEV.P($E822:$V822))),V822,(SLOPE($E822:$V822,$E$1:$V$1)*W$1+INTERCEPT($E822:$V822,$E$1:$V$1)))</f>
        <v>-901.38303252780679</v>
      </c>
      <c r="X822" s="5">
        <f t="shared" si="832"/>
        <v>-1230.8203916296879</v>
      </c>
      <c r="Y822" s="5">
        <f t="shared" si="832"/>
        <v>-1560.2577507315691</v>
      </c>
      <c r="Z822" s="5">
        <f t="shared" si="832"/>
        <v>-1889.6951098334503</v>
      </c>
      <c r="AA822" s="5">
        <f t="shared" si="832"/>
        <v>-1889.6951098334503</v>
      </c>
      <c r="AB822" s="5">
        <f t="shared" si="832"/>
        <v>-1889.6951098334503</v>
      </c>
      <c r="AC822" s="5">
        <f t="shared" si="832"/>
        <v>-1889.6951098334503</v>
      </c>
      <c r="AD822" s="5">
        <f t="shared" si="832"/>
        <v>-1889.6951098334503</v>
      </c>
      <c r="AE822" s="5">
        <f t="shared" si="832"/>
        <v>-1889.6951098334503</v>
      </c>
      <c r="AF822" s="5">
        <f t="shared" si="832"/>
        <v>-1889.6951098334503</v>
      </c>
      <c r="AG822" s="5">
        <f t="shared" si="832"/>
        <v>-1889.6951098334503</v>
      </c>
      <c r="AH822" s="5">
        <f t="shared" si="832"/>
        <v>-1889.6951098334503</v>
      </c>
    </row>
    <row r="823" spans="1:34" x14ac:dyDescent="0.35">
      <c r="A823" t="s">
        <v>843</v>
      </c>
      <c r="B823" s="3" t="s">
        <v>1265</v>
      </c>
      <c r="C823" s="4" t="s">
        <v>1263</v>
      </c>
      <c r="D823" s="2">
        <f t="shared" si="781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ref="W823:AH823" si="833">IF(OR((SLOPE($E823:$V823,$E$1:$V$1)*W$1+INTERCEPT($E823:$V823,$E$1:$V$1))&gt;(AVERAGE($E823:$V823)+_xlfn.STDEV.P($E823:$V823)),(SLOPE($E823:$V823,$E$1:$V$1)*W$1+INTERCEPT($E823:$V823,$E$1:$V$1))&lt;(AVERAGE($E823:$V823)-_xlfn.STDEV.P($E823:$V823))),V823,(SLOPE($E823:$V823,$E$1:$V$1)*W$1+INTERCEPT($E823:$V823,$E$1:$V$1)))</f>
        <v>491.13090718954254</v>
      </c>
      <c r="X823" s="5">
        <f t="shared" si="833"/>
        <v>311.23438046095634</v>
      </c>
      <c r="Y823" s="5">
        <f t="shared" si="833"/>
        <v>131.3378537323706</v>
      </c>
      <c r="Z823" s="5">
        <f t="shared" si="833"/>
        <v>-48.558672996215591</v>
      </c>
      <c r="AA823" s="5">
        <f t="shared" si="833"/>
        <v>-228.45519972480179</v>
      </c>
      <c r="AB823" s="5">
        <f t="shared" si="833"/>
        <v>-408.35172645338753</v>
      </c>
      <c r="AC823" s="5">
        <f t="shared" si="833"/>
        <v>-408.35172645338753</v>
      </c>
      <c r="AD823" s="5">
        <f t="shared" si="833"/>
        <v>-408.35172645338753</v>
      </c>
      <c r="AE823" s="5">
        <f t="shared" si="833"/>
        <v>-408.35172645338753</v>
      </c>
      <c r="AF823" s="5">
        <f t="shared" si="833"/>
        <v>-408.35172645338753</v>
      </c>
      <c r="AG823" s="5">
        <f t="shared" si="833"/>
        <v>-408.35172645338753</v>
      </c>
      <c r="AH823" s="5">
        <f t="shared" si="833"/>
        <v>-408.35172645338753</v>
      </c>
    </row>
    <row r="824" spans="1:34" x14ac:dyDescent="0.35">
      <c r="A824" t="s">
        <v>844</v>
      </c>
      <c r="B824" s="3" t="s">
        <v>1266</v>
      </c>
      <c r="C824" s="4" t="s">
        <v>1267</v>
      </c>
      <c r="D824" s="2">
        <f t="shared" si="781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ref="W824:AH824" si="834">IF(OR((SLOPE($E824:$V824,$E$1:$V$1)*W$1+INTERCEPT($E824:$V824,$E$1:$V$1))&gt;(AVERAGE($E824:$V824)+_xlfn.STDEV.P($E824:$V824)),(SLOPE($E824:$V824,$E$1:$V$1)*W$1+INTERCEPT($E824:$V824,$E$1:$V$1))&lt;(AVERAGE($E824:$V824)-_xlfn.STDEV.P($E824:$V824))),V824,(SLOPE($E824:$V824,$E$1:$V$1)*W$1+INTERCEPT($E824:$V824,$E$1:$V$1)))</f>
        <v>5419.8488584297993</v>
      </c>
      <c r="X824" s="5">
        <f t="shared" si="834"/>
        <v>5759.4145304376643</v>
      </c>
      <c r="Y824" s="5">
        <f t="shared" si="834"/>
        <v>6098.9802024455294</v>
      </c>
      <c r="Z824" s="5">
        <f t="shared" si="834"/>
        <v>6438.5458744533953</v>
      </c>
      <c r="AA824" s="5">
        <f t="shared" si="834"/>
        <v>6778.1115464612603</v>
      </c>
      <c r="AB824" s="5">
        <f t="shared" si="834"/>
        <v>7117.6772184691254</v>
      </c>
      <c r="AC824" s="5">
        <f t="shared" si="834"/>
        <v>7457.2428904769913</v>
      </c>
      <c r="AD824" s="5">
        <f t="shared" si="834"/>
        <v>7796.8085624848554</v>
      </c>
      <c r="AE824" s="5">
        <f t="shared" si="834"/>
        <v>8136.3742344927214</v>
      </c>
      <c r="AF824" s="5">
        <f t="shared" si="834"/>
        <v>8475.9399065005873</v>
      </c>
      <c r="AG824" s="5">
        <f t="shared" si="834"/>
        <v>8475.9399065005873</v>
      </c>
      <c r="AH824" s="5">
        <f t="shared" si="834"/>
        <v>8475.9399065005873</v>
      </c>
    </row>
    <row r="825" spans="1:34" x14ac:dyDescent="0.35">
      <c r="A825" t="s">
        <v>845</v>
      </c>
      <c r="B825" s="3" t="s">
        <v>1265</v>
      </c>
      <c r="C825" s="4" t="s">
        <v>1263</v>
      </c>
      <c r="D825" s="2">
        <f t="shared" si="781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ref="W825:AH825" si="835">IF(OR((SLOPE($E825:$V825,$E$1:$V$1)*W$1+INTERCEPT($E825:$V825,$E$1:$V$1))&gt;(AVERAGE($E825:$V825)+_xlfn.STDEV.P($E825:$V825)),(SLOPE($E825:$V825,$E$1:$V$1)*W$1+INTERCEPT($E825:$V825,$E$1:$V$1))&lt;(AVERAGE($E825:$V825)-_xlfn.STDEV.P($E825:$V825))),V825,(SLOPE($E825:$V825,$E$1:$V$1)*W$1+INTERCEPT($E825:$V825,$E$1:$V$1)))</f>
        <v>9305.9316957409483</v>
      </c>
      <c r="X825" s="5">
        <f t="shared" si="835"/>
        <v>9305.9316957409483</v>
      </c>
      <c r="Y825" s="5">
        <f t="shared" si="835"/>
        <v>9305.9316957409483</v>
      </c>
      <c r="Z825" s="5">
        <f t="shared" si="835"/>
        <v>9305.9316957409483</v>
      </c>
      <c r="AA825" s="5">
        <f t="shared" si="835"/>
        <v>9305.9316957409483</v>
      </c>
      <c r="AB825" s="5">
        <f t="shared" si="835"/>
        <v>9305.9316957409483</v>
      </c>
      <c r="AC825" s="5">
        <f t="shared" si="835"/>
        <v>9305.9316957409483</v>
      </c>
      <c r="AD825" s="5">
        <f t="shared" si="835"/>
        <v>9305.9316957409483</v>
      </c>
      <c r="AE825" s="5">
        <f t="shared" si="835"/>
        <v>9305.9316957409483</v>
      </c>
      <c r="AF825" s="5">
        <f t="shared" si="835"/>
        <v>9305.9316957409483</v>
      </c>
      <c r="AG825" s="5">
        <f t="shared" si="835"/>
        <v>9305.9316957409483</v>
      </c>
      <c r="AH825" s="5">
        <f t="shared" si="835"/>
        <v>9305.9316957409483</v>
      </c>
    </row>
    <row r="826" spans="1:34" x14ac:dyDescent="0.35">
      <c r="A826" t="s">
        <v>846</v>
      </c>
      <c r="B826" s="3" t="s">
        <v>1266</v>
      </c>
      <c r="C826" s="4" t="s">
        <v>1263</v>
      </c>
      <c r="D826" s="2">
        <f t="shared" si="781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ref="W826:AH826" si="836">IF(OR((SLOPE($E826:$V826,$E$1:$V$1)*W$1+INTERCEPT($E826:$V826,$E$1:$V$1))&gt;(AVERAGE($E826:$V826)+_xlfn.STDEV.P($E826:$V826)),(SLOPE($E826:$V826,$E$1:$V$1)*W$1+INTERCEPT($E826:$V826,$E$1:$V$1))&lt;(AVERAGE($E826:$V826)-_xlfn.STDEV.P($E826:$V826))),V826,(SLOPE($E826:$V826,$E$1:$V$1)*W$1+INTERCEPT($E826:$V826,$E$1:$V$1)))</f>
        <v>2808.8200336460309</v>
      </c>
      <c r="X826" s="5">
        <f t="shared" si="836"/>
        <v>2876.9083703857009</v>
      </c>
      <c r="Y826" s="5">
        <f t="shared" si="836"/>
        <v>2944.9967071253709</v>
      </c>
      <c r="Z826" s="5">
        <f t="shared" si="836"/>
        <v>3013.0850438650409</v>
      </c>
      <c r="AA826" s="5">
        <f t="shared" si="836"/>
        <v>3081.1733806047109</v>
      </c>
      <c r="AB826" s="5">
        <f t="shared" si="836"/>
        <v>3149.2617173443809</v>
      </c>
      <c r="AC826" s="5">
        <f t="shared" si="836"/>
        <v>3217.350054084051</v>
      </c>
      <c r="AD826" s="5">
        <f t="shared" si="836"/>
        <v>3285.438390823721</v>
      </c>
      <c r="AE826" s="5">
        <f t="shared" si="836"/>
        <v>3353.526727563391</v>
      </c>
      <c r="AF826" s="5">
        <f t="shared" si="836"/>
        <v>3421.615064303061</v>
      </c>
      <c r="AG826" s="5">
        <f t="shared" si="836"/>
        <v>3489.703401042731</v>
      </c>
      <c r="AH826" s="5">
        <f t="shared" si="836"/>
        <v>3557.791737782401</v>
      </c>
    </row>
    <row r="827" spans="1:34" x14ac:dyDescent="0.35">
      <c r="A827" t="s">
        <v>847</v>
      </c>
      <c r="B827" s="3" t="s">
        <v>1265</v>
      </c>
      <c r="C827" s="4" t="s">
        <v>1263</v>
      </c>
      <c r="D827" s="2">
        <f t="shared" si="781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ref="W827:AH827" si="837">IF(OR((SLOPE($E827:$V827,$E$1:$V$1)*W$1+INTERCEPT($E827:$V827,$E$1:$V$1))&gt;(AVERAGE($E827:$V827)+_xlfn.STDEV.P($E827:$V827)),(SLOPE($E827:$V827,$E$1:$V$1)*W$1+INTERCEPT($E827:$V827,$E$1:$V$1))&lt;(AVERAGE($E827:$V827)-_xlfn.STDEV.P($E827:$V827))),V827,(SLOPE($E827:$V827,$E$1:$V$1)*W$1+INTERCEPT($E827:$V827,$E$1:$V$1)))</f>
        <v>2613.3717647058811</v>
      </c>
      <c r="X827" s="5">
        <f t="shared" si="837"/>
        <v>2664.8172136222902</v>
      </c>
      <c r="Y827" s="5">
        <f t="shared" si="837"/>
        <v>2716.2626625386984</v>
      </c>
      <c r="Z827" s="5">
        <f t="shared" si="837"/>
        <v>2767.7081114551074</v>
      </c>
      <c r="AA827" s="5">
        <f t="shared" si="837"/>
        <v>2819.1535603715156</v>
      </c>
      <c r="AB827" s="5">
        <f t="shared" si="837"/>
        <v>2870.5990092879247</v>
      </c>
      <c r="AC827" s="5">
        <f t="shared" si="837"/>
        <v>2922.0444582043333</v>
      </c>
      <c r="AD827" s="5">
        <f t="shared" si="837"/>
        <v>2973.4899071207419</v>
      </c>
      <c r="AE827" s="5">
        <f t="shared" si="837"/>
        <v>3024.9353560371505</v>
      </c>
      <c r="AF827" s="5">
        <f t="shared" si="837"/>
        <v>3076.3808049535592</v>
      </c>
      <c r="AG827" s="5">
        <f t="shared" si="837"/>
        <v>3127.8262538699678</v>
      </c>
      <c r="AH827" s="5">
        <f t="shared" si="837"/>
        <v>3179.2717027863764</v>
      </c>
    </row>
    <row r="828" spans="1:34" x14ac:dyDescent="0.35">
      <c r="A828" t="s">
        <v>848</v>
      </c>
      <c r="B828" s="3" t="s">
        <v>1264</v>
      </c>
      <c r="C828" s="4" t="s">
        <v>1263</v>
      </c>
      <c r="D828" s="2">
        <f t="shared" si="781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ref="W828:AH828" si="838">IF(OR((SLOPE($E828:$V828,$E$1:$V$1)*W$1+INTERCEPT($E828:$V828,$E$1:$V$1))&gt;(AVERAGE($E828:$V828)+_xlfn.STDEV.P($E828:$V828)),(SLOPE($E828:$V828,$E$1:$V$1)*W$1+INTERCEPT($E828:$V828,$E$1:$V$1))&lt;(AVERAGE($E828:$V828)-_xlfn.STDEV.P($E828:$V828))),V828,(SLOPE($E828:$V828,$E$1:$V$1)*W$1+INTERCEPT($E828:$V828,$E$1:$V$1)))</f>
        <v>5589.8363199457326</v>
      </c>
      <c r="X828" s="5">
        <f t="shared" si="838"/>
        <v>5952.1340191531554</v>
      </c>
      <c r="Y828" s="5">
        <f t="shared" si="838"/>
        <v>6314.4317183605781</v>
      </c>
      <c r="Z828" s="5">
        <f t="shared" si="838"/>
        <v>6676.7294175680017</v>
      </c>
      <c r="AA828" s="5">
        <f t="shared" si="838"/>
        <v>7039.0271167754236</v>
      </c>
      <c r="AB828" s="5">
        <f t="shared" si="838"/>
        <v>7039.0271167754236</v>
      </c>
      <c r="AC828" s="5">
        <f t="shared" si="838"/>
        <v>7039.0271167754236</v>
      </c>
      <c r="AD828" s="5">
        <f t="shared" si="838"/>
        <v>7039.0271167754236</v>
      </c>
      <c r="AE828" s="5">
        <f t="shared" si="838"/>
        <v>7039.0271167754236</v>
      </c>
      <c r="AF828" s="5">
        <f t="shared" si="838"/>
        <v>7039.0271167754236</v>
      </c>
      <c r="AG828" s="5">
        <f t="shared" si="838"/>
        <v>7039.0271167754236</v>
      </c>
      <c r="AH828" s="5">
        <f t="shared" si="838"/>
        <v>7039.0271167754236</v>
      </c>
    </row>
    <row r="829" spans="1:34" x14ac:dyDescent="0.35">
      <c r="A829" t="s">
        <v>849</v>
      </c>
      <c r="B829" s="3" t="s">
        <v>1266</v>
      </c>
      <c r="C829" s="4" t="s">
        <v>1267</v>
      </c>
      <c r="D829" s="2">
        <f t="shared" si="781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ref="W829:AH829" si="839">IF(OR((SLOPE($E829:$V829,$E$1:$V$1)*W$1+INTERCEPT($E829:$V829,$E$1:$V$1))&gt;(AVERAGE($E829:$V829)+_xlfn.STDEV.P($E829:$V829)),(SLOPE($E829:$V829,$E$1:$V$1)*W$1+INTERCEPT($E829:$V829,$E$1:$V$1))&lt;(AVERAGE($E829:$V829)-_xlfn.STDEV.P($E829:$V829))),V829,(SLOPE($E829:$V829,$E$1:$V$1)*W$1+INTERCEPT($E829:$V829,$E$1:$V$1)))</f>
        <v>1004.983610155808</v>
      </c>
      <c r="X829" s="5">
        <f t="shared" si="839"/>
        <v>885.97239316367268</v>
      </c>
      <c r="Y829" s="5">
        <f t="shared" si="839"/>
        <v>766.96117617153777</v>
      </c>
      <c r="Z829" s="5">
        <f t="shared" si="839"/>
        <v>647.94995917940287</v>
      </c>
      <c r="AA829" s="5">
        <f t="shared" si="839"/>
        <v>528.93874218726751</v>
      </c>
      <c r="AB829" s="5">
        <f t="shared" si="839"/>
        <v>409.9275251951326</v>
      </c>
      <c r="AC829" s="5">
        <f t="shared" si="839"/>
        <v>290.9163082029977</v>
      </c>
      <c r="AD829" s="5">
        <f t="shared" si="839"/>
        <v>171.90509121086234</v>
      </c>
      <c r="AE829" s="5">
        <f t="shared" si="839"/>
        <v>52.893874218727433</v>
      </c>
      <c r="AF829" s="5">
        <f t="shared" si="839"/>
        <v>-66.117342773407472</v>
      </c>
      <c r="AG829" s="5">
        <f t="shared" si="839"/>
        <v>-185.12855976554283</v>
      </c>
      <c r="AH829" s="5">
        <f t="shared" si="839"/>
        <v>-304.13977675767774</v>
      </c>
    </row>
    <row r="830" spans="1:34" x14ac:dyDescent="0.35">
      <c r="A830" t="s">
        <v>850</v>
      </c>
      <c r="B830" s="3" t="s">
        <v>1264</v>
      </c>
      <c r="C830" s="4" t="s">
        <v>1263</v>
      </c>
      <c r="D830" s="2">
        <f t="shared" si="781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ref="W830:AH830" si="840">IF(OR((SLOPE($E830:$V830,$E$1:$V$1)*W$1+INTERCEPT($E830:$V830,$E$1:$V$1))&gt;(AVERAGE($E830:$V830)+_xlfn.STDEV.P($E830:$V830)),(SLOPE($E830:$V830,$E$1:$V$1)*W$1+INTERCEPT($E830:$V830,$E$1:$V$1))&lt;(AVERAGE($E830:$V830)-_xlfn.STDEV.P($E830:$V830))),V830,(SLOPE($E830:$V830,$E$1:$V$1)*W$1+INTERCEPT($E830:$V830,$E$1:$V$1)))</f>
        <v>809.89084674509741</v>
      </c>
      <c r="X830" s="5">
        <f t="shared" si="840"/>
        <v>671.02540015686191</v>
      </c>
      <c r="Y830" s="5">
        <f t="shared" si="840"/>
        <v>532.15995356862641</v>
      </c>
      <c r="Z830" s="5">
        <f t="shared" si="840"/>
        <v>532.15995356862641</v>
      </c>
      <c r="AA830" s="5">
        <f t="shared" si="840"/>
        <v>532.15995356862641</v>
      </c>
      <c r="AB830" s="5">
        <f t="shared" si="840"/>
        <v>532.15995356862641</v>
      </c>
      <c r="AC830" s="5">
        <f t="shared" si="840"/>
        <v>532.15995356862641</v>
      </c>
      <c r="AD830" s="5">
        <f t="shared" si="840"/>
        <v>532.15995356862641</v>
      </c>
      <c r="AE830" s="5">
        <f t="shared" si="840"/>
        <v>532.15995356862641</v>
      </c>
      <c r="AF830" s="5">
        <f t="shared" si="840"/>
        <v>532.15995356862641</v>
      </c>
      <c r="AG830" s="5">
        <f t="shared" si="840"/>
        <v>532.15995356862641</v>
      </c>
      <c r="AH830" s="5">
        <f t="shared" si="840"/>
        <v>532.15995356862641</v>
      </c>
    </row>
    <row r="831" spans="1:34" x14ac:dyDescent="0.35">
      <c r="A831" t="s">
        <v>851</v>
      </c>
      <c r="B831" s="3" t="s">
        <v>1266</v>
      </c>
      <c r="C831" s="4" t="s">
        <v>1267</v>
      </c>
      <c r="D831" s="2">
        <f t="shared" si="781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ref="W831:AH831" si="841">IF(OR((SLOPE($E831:$V831,$E$1:$V$1)*W$1+INTERCEPT($E831:$V831,$E$1:$V$1))&gt;(AVERAGE($E831:$V831)+_xlfn.STDEV.P($E831:$V831)),(SLOPE($E831:$V831,$E$1:$V$1)*W$1+INTERCEPT($E831:$V831,$E$1:$V$1))&lt;(AVERAGE($E831:$V831)-_xlfn.STDEV.P($E831:$V831))),V831,(SLOPE($E831:$V831,$E$1:$V$1)*W$1+INTERCEPT($E831:$V831,$E$1:$V$1)))</f>
        <v>3968.6485946801222</v>
      </c>
      <c r="X831" s="5">
        <f t="shared" si="841"/>
        <v>4164.4700713913126</v>
      </c>
      <c r="Y831" s="5">
        <f t="shared" si="841"/>
        <v>4360.2915481025029</v>
      </c>
      <c r="Z831" s="5">
        <f t="shared" si="841"/>
        <v>4556.1130248136933</v>
      </c>
      <c r="AA831" s="5">
        <f t="shared" si="841"/>
        <v>4751.9345015248828</v>
      </c>
      <c r="AB831" s="5">
        <f t="shared" si="841"/>
        <v>4947.7559782360731</v>
      </c>
      <c r="AC831" s="5">
        <f t="shared" si="841"/>
        <v>5143.5774549472635</v>
      </c>
      <c r="AD831" s="5">
        <f t="shared" si="841"/>
        <v>5339.3989316584539</v>
      </c>
      <c r="AE831" s="5">
        <f t="shared" si="841"/>
        <v>5535.2204083696442</v>
      </c>
      <c r="AF831" s="5">
        <f t="shared" si="841"/>
        <v>5731.0418850808346</v>
      </c>
      <c r="AG831" s="5">
        <f t="shared" si="841"/>
        <v>5926.8633617920241</v>
      </c>
      <c r="AH831" s="5">
        <f t="shared" si="841"/>
        <v>6122.6848385032145</v>
      </c>
    </row>
    <row r="832" spans="1:34" x14ac:dyDescent="0.35">
      <c r="A832" t="s">
        <v>852</v>
      </c>
      <c r="B832" s="3" t="s">
        <v>1265</v>
      </c>
      <c r="C832" s="4" t="s">
        <v>1263</v>
      </c>
      <c r="D832" s="2">
        <f t="shared" si="781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ref="W832:AH832" si="842">IF(OR((SLOPE($E832:$V832,$E$1:$V$1)*W$1+INTERCEPT($E832:$V832,$E$1:$V$1))&gt;(AVERAGE($E832:$V832)+_xlfn.STDEV.P($E832:$V832)),(SLOPE($E832:$V832,$E$1:$V$1)*W$1+INTERCEPT($E832:$V832,$E$1:$V$1))&lt;(AVERAGE($E832:$V832)-_xlfn.STDEV.P($E832:$V832))),V832,(SLOPE($E832:$V832,$E$1:$V$1)*W$1+INTERCEPT($E832:$V832,$E$1:$V$1)))</f>
        <v>5088.6643197270168</v>
      </c>
      <c r="X832" s="5">
        <f t="shared" si="842"/>
        <v>5402.5540366413097</v>
      </c>
      <c r="Y832" s="5">
        <f t="shared" si="842"/>
        <v>5716.4437535556026</v>
      </c>
      <c r="Z832" s="5">
        <f t="shared" si="842"/>
        <v>6030.3334704698955</v>
      </c>
      <c r="AA832" s="5">
        <f t="shared" si="842"/>
        <v>6344.2231873841883</v>
      </c>
      <c r="AB832" s="5">
        <f t="shared" si="842"/>
        <v>6658.112904298483</v>
      </c>
      <c r="AC832" s="5">
        <f t="shared" si="842"/>
        <v>6972.0026212127759</v>
      </c>
      <c r="AD832" s="5">
        <f t="shared" si="842"/>
        <v>7285.8923381270688</v>
      </c>
      <c r="AE832" s="5">
        <f t="shared" si="842"/>
        <v>7599.7820550413617</v>
      </c>
      <c r="AF832" s="5">
        <f t="shared" si="842"/>
        <v>7599.7820550413617</v>
      </c>
      <c r="AG832" s="5">
        <f t="shared" si="842"/>
        <v>7599.7820550413617</v>
      </c>
      <c r="AH832" s="5">
        <f t="shared" si="842"/>
        <v>7599.7820550413617</v>
      </c>
    </row>
    <row r="833" spans="1:34" x14ac:dyDescent="0.35">
      <c r="A833" t="s">
        <v>853</v>
      </c>
      <c r="B833" s="3" t="s">
        <v>1264</v>
      </c>
      <c r="C833" s="4" t="s">
        <v>1267</v>
      </c>
      <c r="D833" s="2">
        <f t="shared" si="781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ref="W833:AH833" si="843">IF(OR((SLOPE($E833:$V833,$E$1:$V$1)*W$1+INTERCEPT($E833:$V833,$E$1:$V$1))&gt;(AVERAGE($E833:$V833)+_xlfn.STDEV.P($E833:$V833)),(SLOPE($E833:$V833,$E$1:$V$1)*W$1+INTERCEPT($E833:$V833,$E$1:$V$1))&lt;(AVERAGE($E833:$V833)-_xlfn.STDEV.P($E833:$V833))),V833,(SLOPE($E833:$V833,$E$1:$V$1)*W$1+INTERCEPT($E833:$V833,$E$1:$V$1)))</f>
        <v>7850.6439529411773</v>
      </c>
      <c r="X833" s="5">
        <f t="shared" si="843"/>
        <v>8455.7909795665655</v>
      </c>
      <c r="Y833" s="5">
        <f t="shared" si="843"/>
        <v>8455.7909795665655</v>
      </c>
      <c r="Z833" s="5">
        <f t="shared" si="843"/>
        <v>8455.7909795665655</v>
      </c>
      <c r="AA833" s="5">
        <f t="shared" si="843"/>
        <v>8455.7909795665655</v>
      </c>
      <c r="AB833" s="5">
        <f t="shared" si="843"/>
        <v>8455.7909795665655</v>
      </c>
      <c r="AC833" s="5">
        <f t="shared" si="843"/>
        <v>8455.7909795665655</v>
      </c>
      <c r="AD833" s="5">
        <f t="shared" si="843"/>
        <v>8455.7909795665655</v>
      </c>
      <c r="AE833" s="5">
        <f t="shared" si="843"/>
        <v>8455.7909795665655</v>
      </c>
      <c r="AF833" s="5">
        <f t="shared" si="843"/>
        <v>8455.7909795665655</v>
      </c>
      <c r="AG833" s="5">
        <f t="shared" si="843"/>
        <v>8455.7909795665655</v>
      </c>
      <c r="AH833" s="5">
        <f t="shared" si="843"/>
        <v>8455.7909795665655</v>
      </c>
    </row>
    <row r="834" spans="1:34" x14ac:dyDescent="0.35">
      <c r="A834" t="s">
        <v>854</v>
      </c>
      <c r="B834" s="3" t="s">
        <v>1266</v>
      </c>
      <c r="C834" s="4" t="s">
        <v>1267</v>
      </c>
      <c r="D834" s="2">
        <f t="shared" si="781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ref="W834:AH834" si="844">IF(OR((SLOPE($E834:$V834,$E$1:$V$1)*W$1+INTERCEPT($E834:$V834,$E$1:$V$1))&gt;(AVERAGE($E834:$V834)+_xlfn.STDEV.P($E834:$V834)),(SLOPE($E834:$V834,$E$1:$V$1)*W$1+INTERCEPT($E834:$V834,$E$1:$V$1))&lt;(AVERAGE($E834:$V834)-_xlfn.STDEV.P($E834:$V834))),V834,(SLOPE($E834:$V834,$E$1:$V$1)*W$1+INTERCEPT($E834:$V834,$E$1:$V$1)))</f>
        <v>2118.3261933073641</v>
      </c>
      <c r="X834" s="5">
        <f t="shared" si="844"/>
        <v>2120.905407965276</v>
      </c>
      <c r="Y834" s="5">
        <f t="shared" si="844"/>
        <v>2123.484622623188</v>
      </c>
      <c r="Z834" s="5">
        <f t="shared" si="844"/>
        <v>2126.0638372810995</v>
      </c>
      <c r="AA834" s="5">
        <f t="shared" si="844"/>
        <v>2128.6430519390115</v>
      </c>
      <c r="AB834" s="5">
        <f t="shared" si="844"/>
        <v>2131.2222665969234</v>
      </c>
      <c r="AC834" s="5">
        <f t="shared" si="844"/>
        <v>2133.8014812548354</v>
      </c>
      <c r="AD834" s="5">
        <f t="shared" si="844"/>
        <v>2136.3806959127469</v>
      </c>
      <c r="AE834" s="5">
        <f t="shared" si="844"/>
        <v>2138.9599105706588</v>
      </c>
      <c r="AF834" s="5">
        <f t="shared" si="844"/>
        <v>2141.5391252285708</v>
      </c>
      <c r="AG834" s="5">
        <f t="shared" si="844"/>
        <v>2144.1183398864828</v>
      </c>
      <c r="AH834" s="5">
        <f t="shared" si="844"/>
        <v>2146.6975545443943</v>
      </c>
    </row>
    <row r="835" spans="1:34" x14ac:dyDescent="0.35">
      <c r="A835" t="s">
        <v>855</v>
      </c>
      <c r="B835" s="3" t="s">
        <v>1266</v>
      </c>
      <c r="C835" s="4" t="s">
        <v>1267</v>
      </c>
      <c r="D835" s="2">
        <f t="shared" si="781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ref="W835:AH835" si="845">IF(OR((SLOPE($E835:$V835,$E$1:$V$1)*W$1+INTERCEPT($E835:$V835,$E$1:$V$1))&gt;(AVERAGE($E835:$V835)+_xlfn.STDEV.P($E835:$V835)),(SLOPE($E835:$V835,$E$1:$V$1)*W$1+INTERCEPT($E835:$V835,$E$1:$V$1))&lt;(AVERAGE($E835:$V835)-_xlfn.STDEV.P($E835:$V835))),V835,(SLOPE($E835:$V835,$E$1:$V$1)*W$1+INTERCEPT($E835:$V835,$E$1:$V$1)))</f>
        <v>2462.5688755317324</v>
      </c>
      <c r="X835" s="5">
        <f t="shared" si="845"/>
        <v>2501.4515419874965</v>
      </c>
      <c r="Y835" s="5">
        <f t="shared" si="845"/>
        <v>2540.3342084432606</v>
      </c>
      <c r="Z835" s="5">
        <f t="shared" si="845"/>
        <v>2579.2168748990248</v>
      </c>
      <c r="AA835" s="5">
        <f t="shared" si="845"/>
        <v>2618.0995413547889</v>
      </c>
      <c r="AB835" s="5">
        <f t="shared" si="845"/>
        <v>2656.9822078105531</v>
      </c>
      <c r="AC835" s="5">
        <f t="shared" si="845"/>
        <v>2695.8648742663172</v>
      </c>
      <c r="AD835" s="5">
        <f t="shared" si="845"/>
        <v>2734.7475407220813</v>
      </c>
      <c r="AE835" s="5">
        <f t="shared" si="845"/>
        <v>2773.6302071778455</v>
      </c>
      <c r="AF835" s="5">
        <f t="shared" si="845"/>
        <v>2812.5128736336101</v>
      </c>
      <c r="AG835" s="5">
        <f t="shared" si="845"/>
        <v>2851.3955400893738</v>
      </c>
      <c r="AH835" s="5">
        <f t="shared" si="845"/>
        <v>2890.2782065451383</v>
      </c>
    </row>
    <row r="836" spans="1:34" x14ac:dyDescent="0.35">
      <c r="A836" t="s">
        <v>856</v>
      </c>
      <c r="B836" s="3" t="s">
        <v>1264</v>
      </c>
      <c r="C836" s="4" t="s">
        <v>1263</v>
      </c>
      <c r="D836" s="2">
        <f t="shared" ref="D836:D899" si="846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ref="W836:AH836" si="847">IF(OR((SLOPE($E836:$V836,$E$1:$V$1)*W$1+INTERCEPT($E836:$V836,$E$1:$V$1))&gt;(AVERAGE($E836:$V836)+_xlfn.STDEV.P($E836:$V836)),(SLOPE($E836:$V836,$E$1:$V$1)*W$1+INTERCEPT($E836:$V836,$E$1:$V$1))&lt;(AVERAGE($E836:$V836)-_xlfn.STDEV.P($E836:$V836))),V836,(SLOPE($E836:$V836,$E$1:$V$1)*W$1+INTERCEPT($E836:$V836,$E$1:$V$1)))</f>
        <v>-645.04445490196213</v>
      </c>
      <c r="X836" s="5">
        <f t="shared" si="847"/>
        <v>-931.6454852425195</v>
      </c>
      <c r="Y836" s="5">
        <f t="shared" si="847"/>
        <v>-931.6454852425195</v>
      </c>
      <c r="Z836" s="5">
        <f t="shared" si="847"/>
        <v>-931.6454852425195</v>
      </c>
      <c r="AA836" s="5">
        <f t="shared" si="847"/>
        <v>-931.6454852425195</v>
      </c>
      <c r="AB836" s="5">
        <f t="shared" si="847"/>
        <v>-931.6454852425195</v>
      </c>
      <c r="AC836" s="5">
        <f t="shared" si="847"/>
        <v>-931.6454852425195</v>
      </c>
      <c r="AD836" s="5">
        <f t="shared" si="847"/>
        <v>-931.6454852425195</v>
      </c>
      <c r="AE836" s="5">
        <f t="shared" si="847"/>
        <v>-931.6454852425195</v>
      </c>
      <c r="AF836" s="5">
        <f t="shared" si="847"/>
        <v>-931.6454852425195</v>
      </c>
      <c r="AG836" s="5">
        <f t="shared" si="847"/>
        <v>-931.6454852425195</v>
      </c>
      <c r="AH836" s="5">
        <f t="shared" si="847"/>
        <v>-931.6454852425195</v>
      </c>
    </row>
    <row r="837" spans="1:34" x14ac:dyDescent="0.35">
      <c r="A837" t="s">
        <v>857</v>
      </c>
      <c r="B837" s="3" t="s">
        <v>1262</v>
      </c>
      <c r="C837" s="4" t="s">
        <v>1263</v>
      </c>
      <c r="D837" s="2">
        <f t="shared" si="846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H837" si="848">IF(OR((SLOPE($E837:$V837,$E$1:$V$1)*W$1+INTERCEPT($E837:$V837,$E$1:$V$1))&gt;(AVERAGE($E837:$V837)+_xlfn.STDEV.P($E837:$V837)),(SLOPE($E837:$V837,$E$1:$V$1)*W$1+INTERCEPT($E837:$V837,$E$1:$V$1))&lt;(AVERAGE($E837:$V837)-_xlfn.STDEV.P($E837:$V837))),V837,(SLOPE($E837:$V837,$E$1:$V$1)*W$1+INTERCEPT($E837:$V837,$E$1:$V$1)))</f>
        <v>7167.6677441205293</v>
      </c>
      <c r="X837" s="5">
        <f t="shared" si="848"/>
        <v>7167.6677441205293</v>
      </c>
      <c r="Y837" s="5">
        <f t="shared" si="848"/>
        <v>7167.6677441205293</v>
      </c>
      <c r="Z837" s="5">
        <f t="shared" si="848"/>
        <v>7167.6677441205293</v>
      </c>
      <c r="AA837" s="5">
        <f t="shared" si="848"/>
        <v>7167.6677441205293</v>
      </c>
      <c r="AB837" s="5">
        <f t="shared" si="848"/>
        <v>7167.6677441205293</v>
      </c>
      <c r="AC837" s="5">
        <f t="shared" si="848"/>
        <v>7167.6677441205293</v>
      </c>
      <c r="AD837" s="5">
        <f t="shared" si="848"/>
        <v>7167.6677441205293</v>
      </c>
      <c r="AE837" s="5">
        <f t="shared" si="848"/>
        <v>7167.6677441205293</v>
      </c>
      <c r="AF837" s="5">
        <f t="shared" si="848"/>
        <v>7167.6677441205293</v>
      </c>
      <c r="AG837" s="5">
        <f t="shared" si="848"/>
        <v>7167.6677441205293</v>
      </c>
      <c r="AH837" s="5">
        <f t="shared" si="848"/>
        <v>7167.6677441205293</v>
      </c>
    </row>
    <row r="838" spans="1:34" x14ac:dyDescent="0.35">
      <c r="A838" t="s">
        <v>858</v>
      </c>
      <c r="B838" s="3" t="s">
        <v>1264</v>
      </c>
      <c r="C838" s="4" t="s">
        <v>1263</v>
      </c>
      <c r="D838" s="2">
        <f t="shared" si="846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ref="W838:AH838" si="849">IF(OR((SLOPE($E838:$V838,$E$1:$V$1)*W$1+INTERCEPT($E838:$V838,$E$1:$V$1))&gt;(AVERAGE($E838:$V838)+_xlfn.STDEV.P($E838:$V838)),(SLOPE($E838:$V838,$E$1:$V$1)*W$1+INTERCEPT($E838:$V838,$E$1:$V$1))&lt;(AVERAGE($E838:$V838)-_xlfn.STDEV.P($E838:$V838))),V838,(SLOPE($E838:$V838,$E$1:$V$1)*W$1+INTERCEPT($E838:$V838,$E$1:$V$1)))</f>
        <v>2026.878274509804</v>
      </c>
      <c r="X838" s="5">
        <f t="shared" si="849"/>
        <v>2023.2292156862745</v>
      </c>
      <c r="Y838" s="5">
        <f t="shared" si="849"/>
        <v>2019.5801568627451</v>
      </c>
      <c r="Z838" s="5">
        <f t="shared" si="849"/>
        <v>2015.9310980392156</v>
      </c>
      <c r="AA838" s="5">
        <f t="shared" si="849"/>
        <v>2012.2820392156864</v>
      </c>
      <c r="AB838" s="5">
        <f t="shared" si="849"/>
        <v>2008.6329803921569</v>
      </c>
      <c r="AC838" s="5">
        <f t="shared" si="849"/>
        <v>2004.9839215686275</v>
      </c>
      <c r="AD838" s="5">
        <f t="shared" si="849"/>
        <v>2001.334862745098</v>
      </c>
      <c r="AE838" s="5">
        <f t="shared" si="849"/>
        <v>1997.6858039215685</v>
      </c>
      <c r="AF838" s="5">
        <f t="shared" si="849"/>
        <v>1994.0367450980393</v>
      </c>
      <c r="AG838" s="5">
        <f t="shared" si="849"/>
        <v>1990.3876862745099</v>
      </c>
      <c r="AH838" s="5">
        <f t="shared" si="849"/>
        <v>1986.7386274509804</v>
      </c>
    </row>
    <row r="839" spans="1:34" x14ac:dyDescent="0.35">
      <c r="A839" t="s">
        <v>859</v>
      </c>
      <c r="B839" s="3" t="s">
        <v>1264</v>
      </c>
      <c r="C839" s="4" t="s">
        <v>1263</v>
      </c>
      <c r="D839" s="2">
        <f t="shared" si="846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ref="W839:AH839" si="850">IF(OR((SLOPE($E839:$V839,$E$1:$V$1)*W$1+INTERCEPT($E839:$V839,$E$1:$V$1))&gt;(AVERAGE($E839:$V839)+_xlfn.STDEV.P($E839:$V839)),(SLOPE($E839:$V839,$E$1:$V$1)*W$1+INTERCEPT($E839:$V839,$E$1:$V$1))&lt;(AVERAGE($E839:$V839)-_xlfn.STDEV.P($E839:$V839))),V839,(SLOPE($E839:$V839,$E$1:$V$1)*W$1+INTERCEPT($E839:$V839,$E$1:$V$1)))</f>
        <v>1200.8559801658146</v>
      </c>
      <c r="X839" s="5">
        <f t="shared" si="850"/>
        <v>1112.7233444053663</v>
      </c>
      <c r="Y839" s="5">
        <f t="shared" si="850"/>
        <v>1024.5907086449179</v>
      </c>
      <c r="Z839" s="5">
        <f t="shared" si="850"/>
        <v>1024.5907086449179</v>
      </c>
      <c r="AA839" s="5">
        <f t="shared" si="850"/>
        <v>1024.5907086449179</v>
      </c>
      <c r="AB839" s="5">
        <f t="shared" si="850"/>
        <v>1024.5907086449179</v>
      </c>
      <c r="AC839" s="5">
        <f t="shared" si="850"/>
        <v>1024.5907086449179</v>
      </c>
      <c r="AD839" s="5">
        <f t="shared" si="850"/>
        <v>1024.5907086449179</v>
      </c>
      <c r="AE839" s="5">
        <f t="shared" si="850"/>
        <v>1024.5907086449179</v>
      </c>
      <c r="AF839" s="5">
        <f t="shared" si="850"/>
        <v>1024.5907086449179</v>
      </c>
      <c r="AG839" s="5">
        <f t="shared" si="850"/>
        <v>1024.5907086449179</v>
      </c>
      <c r="AH839" s="5">
        <f t="shared" si="850"/>
        <v>1024.5907086449179</v>
      </c>
    </row>
    <row r="840" spans="1:34" x14ac:dyDescent="0.35">
      <c r="A840" t="s">
        <v>860</v>
      </c>
      <c r="B840" s="3" t="s">
        <v>1266</v>
      </c>
      <c r="C840" s="4" t="s">
        <v>1263</v>
      </c>
      <c r="D840" s="2">
        <f t="shared" si="846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ref="W840:AH840" si="851">IF(OR((SLOPE($E840:$V840,$E$1:$V$1)*W$1+INTERCEPT($E840:$V840,$E$1:$V$1))&gt;(AVERAGE($E840:$V840)+_xlfn.STDEV.P($E840:$V840)),(SLOPE($E840:$V840,$E$1:$V$1)*W$1+INTERCEPT($E840:$V840,$E$1:$V$1))&lt;(AVERAGE($E840:$V840)-_xlfn.STDEV.P($E840:$V840))),V840,(SLOPE($E840:$V840,$E$1:$V$1)*W$1+INTERCEPT($E840:$V840,$E$1:$V$1)))</f>
        <v>-3327.4481738958812</v>
      </c>
      <c r="X840" s="5">
        <f t="shared" si="851"/>
        <v>-3890.3623386527042</v>
      </c>
      <c r="Y840" s="5">
        <f t="shared" si="851"/>
        <v>-4453.2765034095255</v>
      </c>
      <c r="Z840" s="5">
        <f t="shared" si="851"/>
        <v>-5016.1906681663468</v>
      </c>
      <c r="AA840" s="5">
        <f t="shared" si="851"/>
        <v>-5579.1048329231699</v>
      </c>
      <c r="AB840" s="5">
        <f t="shared" si="851"/>
        <v>-6142.0189976799911</v>
      </c>
      <c r="AC840" s="5">
        <f t="shared" si="851"/>
        <v>-6142.0189976799911</v>
      </c>
      <c r="AD840" s="5">
        <f t="shared" si="851"/>
        <v>-6142.0189976799911</v>
      </c>
      <c r="AE840" s="5">
        <f t="shared" si="851"/>
        <v>-6142.0189976799911</v>
      </c>
      <c r="AF840" s="5">
        <f t="shared" si="851"/>
        <v>-6142.0189976799911</v>
      </c>
      <c r="AG840" s="5">
        <f t="shared" si="851"/>
        <v>-6142.0189976799911</v>
      </c>
      <c r="AH840" s="5">
        <f t="shared" si="851"/>
        <v>-6142.0189976799911</v>
      </c>
    </row>
    <row r="841" spans="1:34" x14ac:dyDescent="0.35">
      <c r="A841" t="s">
        <v>861</v>
      </c>
      <c r="B841" s="3" t="s">
        <v>1264</v>
      </c>
      <c r="C841" s="4" t="s">
        <v>1263</v>
      </c>
      <c r="D841" s="2">
        <f t="shared" si="846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ref="W841:AH841" si="852">IF(OR((SLOPE($E841:$V841,$E$1:$V$1)*W$1+INTERCEPT($E841:$V841,$E$1:$V$1))&gt;(AVERAGE($E841:$V841)+_xlfn.STDEV.P($E841:$V841)),(SLOPE($E841:$V841,$E$1:$V$1)*W$1+INTERCEPT($E841:$V841,$E$1:$V$1))&lt;(AVERAGE($E841:$V841)-_xlfn.STDEV.P($E841:$V841))),V841,(SLOPE($E841:$V841,$E$1:$V$1)*W$1+INTERCEPT($E841:$V841,$E$1:$V$1)))</f>
        <v>1845.1147072831473</v>
      </c>
      <c r="X841" s="5">
        <f t="shared" si="852"/>
        <v>1827.1455601421101</v>
      </c>
      <c r="Y841" s="5">
        <f t="shared" si="852"/>
        <v>1809.1764130010731</v>
      </c>
      <c r="Z841" s="5">
        <f t="shared" si="852"/>
        <v>1791.2072658600362</v>
      </c>
      <c r="AA841" s="5">
        <f t="shared" si="852"/>
        <v>1773.238118718999</v>
      </c>
      <c r="AB841" s="5">
        <f t="shared" si="852"/>
        <v>1755.268971577962</v>
      </c>
      <c r="AC841" s="5">
        <f t="shared" si="852"/>
        <v>1737.2998244369251</v>
      </c>
      <c r="AD841" s="5">
        <f t="shared" si="852"/>
        <v>1719.3306772958881</v>
      </c>
      <c r="AE841" s="5">
        <f t="shared" si="852"/>
        <v>1701.3615301548512</v>
      </c>
      <c r="AF841" s="5">
        <f t="shared" si="852"/>
        <v>1683.3923830138142</v>
      </c>
      <c r="AG841" s="5">
        <f t="shared" si="852"/>
        <v>1665.423235872777</v>
      </c>
      <c r="AH841" s="5">
        <f t="shared" si="852"/>
        <v>1647.4540887317401</v>
      </c>
    </row>
    <row r="842" spans="1:34" x14ac:dyDescent="0.35">
      <c r="A842" t="s">
        <v>862</v>
      </c>
      <c r="B842" s="3" t="s">
        <v>1266</v>
      </c>
      <c r="C842" s="4" t="s">
        <v>1267</v>
      </c>
      <c r="D842" s="2">
        <f t="shared" si="846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ref="W842:AH842" si="853">IF(OR((SLOPE($E842:$V842,$E$1:$V$1)*W$1+INTERCEPT($E842:$V842,$E$1:$V$1))&gt;(AVERAGE($E842:$V842)+_xlfn.STDEV.P($E842:$V842)),(SLOPE($E842:$V842,$E$1:$V$1)*W$1+INTERCEPT($E842:$V842,$E$1:$V$1))&lt;(AVERAGE($E842:$V842)-_xlfn.STDEV.P($E842:$V842))),V842,(SLOPE($E842:$V842,$E$1:$V$1)*W$1+INTERCEPT($E842:$V842,$E$1:$V$1)))</f>
        <v>2650.7501176470591</v>
      </c>
      <c r="X842" s="5">
        <f t="shared" si="853"/>
        <v>2718.5022002063988</v>
      </c>
      <c r="Y842" s="5">
        <f t="shared" si="853"/>
        <v>2786.2542827657385</v>
      </c>
      <c r="Z842" s="5">
        <f t="shared" si="853"/>
        <v>2854.0063653250781</v>
      </c>
      <c r="AA842" s="5">
        <f t="shared" si="853"/>
        <v>2921.7584478844174</v>
      </c>
      <c r="AB842" s="5">
        <f t="shared" si="853"/>
        <v>2989.510530443757</v>
      </c>
      <c r="AC842" s="5">
        <f t="shared" si="853"/>
        <v>3057.2626130030967</v>
      </c>
      <c r="AD842" s="5">
        <f t="shared" si="853"/>
        <v>3125.0146955624359</v>
      </c>
      <c r="AE842" s="5">
        <f t="shared" si="853"/>
        <v>3192.7667781217756</v>
      </c>
      <c r="AF842" s="5">
        <f t="shared" si="853"/>
        <v>3260.5188606811153</v>
      </c>
      <c r="AG842" s="5">
        <f t="shared" si="853"/>
        <v>3328.2709432404549</v>
      </c>
      <c r="AH842" s="5">
        <f t="shared" si="853"/>
        <v>3396.0230257997946</v>
      </c>
    </row>
    <row r="843" spans="1:34" x14ac:dyDescent="0.35">
      <c r="A843" t="s">
        <v>863</v>
      </c>
      <c r="B843" s="3" t="s">
        <v>1264</v>
      </c>
      <c r="C843" s="4" t="s">
        <v>1263</v>
      </c>
      <c r="D843" s="2">
        <f t="shared" si="846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ref="W843:AH843" si="854">IF(OR((SLOPE($E843:$V843,$E$1:$V$1)*W$1+INTERCEPT($E843:$V843,$E$1:$V$1))&gt;(AVERAGE($E843:$V843)+_xlfn.STDEV.P($E843:$V843)),(SLOPE($E843:$V843,$E$1:$V$1)*W$1+INTERCEPT($E843:$V843,$E$1:$V$1))&lt;(AVERAGE($E843:$V843)-_xlfn.STDEV.P($E843:$V843))),V843,(SLOPE($E843:$V843,$E$1:$V$1)*W$1+INTERCEPT($E843:$V843,$E$1:$V$1)))</f>
        <v>620.68870065359442</v>
      </c>
      <c r="X843" s="5">
        <f t="shared" si="854"/>
        <v>620.68870065359442</v>
      </c>
      <c r="Y843" s="5">
        <f t="shared" si="854"/>
        <v>620.68870065359442</v>
      </c>
      <c r="Z843" s="5">
        <f t="shared" si="854"/>
        <v>620.68870065359442</v>
      </c>
      <c r="AA843" s="5">
        <f t="shared" si="854"/>
        <v>620.68870065359442</v>
      </c>
      <c r="AB843" s="5">
        <f t="shared" si="854"/>
        <v>620.68870065359442</v>
      </c>
      <c r="AC843" s="5">
        <f t="shared" si="854"/>
        <v>620.68870065359442</v>
      </c>
      <c r="AD843" s="5">
        <f t="shared" si="854"/>
        <v>620.68870065359442</v>
      </c>
      <c r="AE843" s="5">
        <f t="shared" si="854"/>
        <v>620.68870065359442</v>
      </c>
      <c r="AF843" s="5">
        <f t="shared" si="854"/>
        <v>620.68870065359442</v>
      </c>
      <c r="AG843" s="5">
        <f t="shared" si="854"/>
        <v>620.68870065359442</v>
      </c>
      <c r="AH843" s="5">
        <f t="shared" si="854"/>
        <v>620.68870065359442</v>
      </c>
    </row>
    <row r="844" spans="1:34" x14ac:dyDescent="0.35">
      <c r="A844" t="s">
        <v>864</v>
      </c>
      <c r="B844" s="3" t="s">
        <v>1266</v>
      </c>
      <c r="C844" s="4" t="s">
        <v>1263</v>
      </c>
      <c r="D844" s="2">
        <f t="shared" si="846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ref="W844:AH844" si="855">IF(OR((SLOPE($E844:$V844,$E$1:$V$1)*W$1+INTERCEPT($E844:$V844,$E$1:$V$1))&gt;(AVERAGE($E844:$V844)+_xlfn.STDEV.P($E844:$V844)),(SLOPE($E844:$V844,$E$1:$V$1)*W$1+INTERCEPT($E844:$V844,$E$1:$V$1))&lt;(AVERAGE($E844:$V844)-_xlfn.STDEV.P($E844:$V844))),V844,(SLOPE($E844:$V844,$E$1:$V$1)*W$1+INTERCEPT($E844:$V844,$E$1:$V$1)))</f>
        <v>-1879.6664242761763</v>
      </c>
      <c r="X844" s="5">
        <f t="shared" si="855"/>
        <v>-2287.7518979677143</v>
      </c>
      <c r="Y844" s="5">
        <f t="shared" si="855"/>
        <v>-2695.8373716592523</v>
      </c>
      <c r="Z844" s="5">
        <f t="shared" si="855"/>
        <v>-3103.9228453507912</v>
      </c>
      <c r="AA844" s="5">
        <f t="shared" si="855"/>
        <v>-3512.0083190423284</v>
      </c>
      <c r="AB844" s="5">
        <f t="shared" si="855"/>
        <v>-3920.0937927338673</v>
      </c>
      <c r="AC844" s="5">
        <f t="shared" si="855"/>
        <v>-4328.1792664254062</v>
      </c>
      <c r="AD844" s="5">
        <f t="shared" si="855"/>
        <v>-4736.2647401169434</v>
      </c>
      <c r="AE844" s="5">
        <f t="shared" si="855"/>
        <v>-5144.3502138084823</v>
      </c>
      <c r="AF844" s="5">
        <f t="shared" si="855"/>
        <v>-5552.4356875000212</v>
      </c>
      <c r="AG844" s="5">
        <f t="shared" si="855"/>
        <v>-5960.5211611915583</v>
      </c>
      <c r="AH844" s="5">
        <f t="shared" si="855"/>
        <v>-5960.5211611915583</v>
      </c>
    </row>
    <row r="845" spans="1:34" x14ac:dyDescent="0.35">
      <c r="A845" t="s">
        <v>865</v>
      </c>
      <c r="B845" s="3" t="s">
        <v>1264</v>
      </c>
      <c r="C845" s="4" t="s">
        <v>1263</v>
      </c>
      <c r="D845" s="2">
        <f t="shared" si="846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ref="W845:AH845" si="856">IF(OR((SLOPE($E845:$V845,$E$1:$V$1)*W$1+INTERCEPT($E845:$V845,$E$1:$V$1))&gt;(AVERAGE($E845:$V845)+_xlfn.STDEV.P($E845:$V845)),(SLOPE($E845:$V845,$E$1:$V$1)*W$1+INTERCEPT($E845:$V845,$E$1:$V$1))&lt;(AVERAGE($E845:$V845)-_xlfn.STDEV.P($E845:$V845))),V845,(SLOPE($E845:$V845,$E$1:$V$1)*W$1+INTERCEPT($E845:$V845,$E$1:$V$1)))</f>
        <v>1812.8673548136671</v>
      </c>
      <c r="X845" s="5">
        <f t="shared" si="856"/>
        <v>1795.231719984205</v>
      </c>
      <c r="Y845" s="5">
        <f t="shared" si="856"/>
        <v>1777.5960851547429</v>
      </c>
      <c r="Z845" s="5">
        <f t="shared" si="856"/>
        <v>1759.9604503252808</v>
      </c>
      <c r="AA845" s="5">
        <f t="shared" si="856"/>
        <v>1742.3248154958189</v>
      </c>
      <c r="AB845" s="5">
        <f t="shared" si="856"/>
        <v>1724.6891806663568</v>
      </c>
      <c r="AC845" s="5">
        <f t="shared" si="856"/>
        <v>1707.053545836895</v>
      </c>
      <c r="AD845" s="5">
        <f t="shared" si="856"/>
        <v>1689.4179110074328</v>
      </c>
      <c r="AE845" s="5">
        <f t="shared" si="856"/>
        <v>1671.7822761779707</v>
      </c>
      <c r="AF845" s="5">
        <f t="shared" si="856"/>
        <v>1654.1466413485086</v>
      </c>
      <c r="AG845" s="5">
        <f t="shared" si="856"/>
        <v>1636.5110065190465</v>
      </c>
      <c r="AH845" s="5">
        <f t="shared" si="856"/>
        <v>1618.8753716895847</v>
      </c>
    </row>
    <row r="846" spans="1:34" x14ac:dyDescent="0.35">
      <c r="A846" t="s">
        <v>866</v>
      </c>
      <c r="B846" s="3" t="s">
        <v>1264</v>
      </c>
      <c r="C846" s="4" t="s">
        <v>1263</v>
      </c>
      <c r="D846" s="2">
        <f t="shared" si="846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ref="W846:AH846" si="857">IF(OR((SLOPE($E846:$V846,$E$1:$V$1)*W$1+INTERCEPT($E846:$V846,$E$1:$V$1))&gt;(AVERAGE($E846:$V846)+_xlfn.STDEV.P($E846:$V846)),(SLOPE($E846:$V846,$E$1:$V$1)*W$1+INTERCEPT($E846:$V846,$E$1:$V$1))&lt;(AVERAGE($E846:$V846)-_xlfn.STDEV.P($E846:$V846))),V846,(SLOPE($E846:$V846,$E$1:$V$1)*W$1+INTERCEPT($E846:$V846,$E$1:$V$1)))</f>
        <v>1885.9637521855459</v>
      </c>
      <c r="X846" s="5">
        <f t="shared" si="857"/>
        <v>1876.6905075817021</v>
      </c>
      <c r="Y846" s="5">
        <f t="shared" si="857"/>
        <v>1867.4172629778584</v>
      </c>
      <c r="Z846" s="5">
        <f t="shared" si="857"/>
        <v>1858.1440183740146</v>
      </c>
      <c r="AA846" s="5">
        <f t="shared" si="857"/>
        <v>1848.8707737701711</v>
      </c>
      <c r="AB846" s="5">
        <f t="shared" si="857"/>
        <v>1839.5975291663274</v>
      </c>
      <c r="AC846" s="5">
        <f t="shared" si="857"/>
        <v>1830.3242845624836</v>
      </c>
      <c r="AD846" s="5">
        <f t="shared" si="857"/>
        <v>1821.0510399586399</v>
      </c>
      <c r="AE846" s="5">
        <f t="shared" si="857"/>
        <v>1811.7777953547961</v>
      </c>
      <c r="AF846" s="5">
        <f t="shared" si="857"/>
        <v>1802.5045507509524</v>
      </c>
      <c r="AG846" s="5">
        <f t="shared" si="857"/>
        <v>1793.2313061471086</v>
      </c>
      <c r="AH846" s="5">
        <f t="shared" si="857"/>
        <v>1783.9580615432649</v>
      </c>
    </row>
    <row r="847" spans="1:34" x14ac:dyDescent="0.35">
      <c r="A847" t="s">
        <v>867</v>
      </c>
      <c r="B847" s="3" t="s">
        <v>1266</v>
      </c>
      <c r="C847" s="4" t="s">
        <v>1267</v>
      </c>
      <c r="D847" s="2">
        <f t="shared" si="846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ref="W847:AH847" si="858">IF(OR((SLOPE($E847:$V847,$E$1:$V$1)*W$1+INTERCEPT($E847:$V847,$E$1:$V$1))&gt;(AVERAGE($E847:$V847)+_xlfn.STDEV.P($E847:$V847)),(SLOPE($E847:$V847,$E$1:$V$1)*W$1+INTERCEPT($E847:$V847,$E$1:$V$1))&lt;(AVERAGE($E847:$V847)-_xlfn.STDEV.P($E847:$V847))),V847,(SLOPE($E847:$V847,$E$1:$V$1)*W$1+INTERCEPT($E847:$V847,$E$1:$V$1)))</f>
        <v>5076.6693671565126</v>
      </c>
      <c r="X847" s="5">
        <f t="shared" si="858"/>
        <v>5404.5882018771481</v>
      </c>
      <c r="Y847" s="5">
        <f t="shared" si="858"/>
        <v>5732.5070365977845</v>
      </c>
      <c r="Z847" s="5">
        <f t="shared" si="858"/>
        <v>6060.4258713184199</v>
      </c>
      <c r="AA847" s="5">
        <f t="shared" si="858"/>
        <v>6388.3447060390563</v>
      </c>
      <c r="AB847" s="5">
        <f t="shared" si="858"/>
        <v>6716.2635407596927</v>
      </c>
      <c r="AC847" s="5">
        <f t="shared" si="858"/>
        <v>7044.182375480329</v>
      </c>
      <c r="AD847" s="5">
        <f t="shared" si="858"/>
        <v>7372.1012102009636</v>
      </c>
      <c r="AE847" s="5">
        <f t="shared" si="858"/>
        <v>7700.0200449215999</v>
      </c>
      <c r="AF847" s="5">
        <f t="shared" si="858"/>
        <v>8027.9388796422363</v>
      </c>
      <c r="AG847" s="5">
        <f t="shared" si="858"/>
        <v>8355.8577143628718</v>
      </c>
      <c r="AH847" s="5">
        <f t="shared" si="858"/>
        <v>8683.7765490835081</v>
      </c>
    </row>
    <row r="848" spans="1:34" x14ac:dyDescent="0.35">
      <c r="A848" t="s">
        <v>868</v>
      </c>
      <c r="B848" s="3" t="s">
        <v>1264</v>
      </c>
      <c r="C848" s="4" t="s">
        <v>1263</v>
      </c>
      <c r="D848" s="2">
        <f t="shared" si="846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ref="W848:AH848" si="859">IF(OR((SLOPE($E848:$V848,$E$1:$V$1)*W$1+INTERCEPT($E848:$V848,$E$1:$V$1))&gt;(AVERAGE($E848:$V848)+_xlfn.STDEV.P($E848:$V848)),(SLOPE($E848:$V848,$E$1:$V$1)*W$1+INTERCEPT($E848:$V848,$E$1:$V$1))&lt;(AVERAGE($E848:$V848)-_xlfn.STDEV.P($E848:$V848))),V848,(SLOPE($E848:$V848,$E$1:$V$1)*W$1+INTERCEPT($E848:$V848,$E$1:$V$1)))</f>
        <v>2381.8092941176474</v>
      </c>
      <c r="X848" s="5">
        <f t="shared" si="859"/>
        <v>2428.0464829721368</v>
      </c>
      <c r="Y848" s="5">
        <f t="shared" si="859"/>
        <v>2474.2836718266262</v>
      </c>
      <c r="Z848" s="5">
        <f t="shared" si="859"/>
        <v>2520.5208606811152</v>
      </c>
      <c r="AA848" s="5">
        <f t="shared" si="859"/>
        <v>2566.7580495356042</v>
      </c>
      <c r="AB848" s="5">
        <f t="shared" si="859"/>
        <v>2612.9952383900936</v>
      </c>
      <c r="AC848" s="5">
        <f t="shared" si="859"/>
        <v>2659.2324272445831</v>
      </c>
      <c r="AD848" s="5">
        <f t="shared" si="859"/>
        <v>2705.469616099072</v>
      </c>
      <c r="AE848" s="5">
        <f t="shared" si="859"/>
        <v>2751.706804953561</v>
      </c>
      <c r="AF848" s="5">
        <f t="shared" si="859"/>
        <v>2797.9439938080504</v>
      </c>
      <c r="AG848" s="5">
        <f t="shared" si="859"/>
        <v>2844.1811826625394</v>
      </c>
      <c r="AH848" s="5">
        <f t="shared" si="859"/>
        <v>2890.4183715170284</v>
      </c>
    </row>
    <row r="849" spans="1:34" x14ac:dyDescent="0.35">
      <c r="A849" t="s">
        <v>869</v>
      </c>
      <c r="B849" s="3" t="s">
        <v>1264</v>
      </c>
      <c r="C849" s="4" t="s">
        <v>1263</v>
      </c>
      <c r="D849" s="2">
        <f t="shared" si="846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ref="W849:AH849" si="860">IF(OR((SLOPE($E849:$V849,$E$1:$V$1)*W$1+INTERCEPT($E849:$V849,$E$1:$V$1))&gt;(AVERAGE($E849:$V849)+_xlfn.STDEV.P($E849:$V849)),(SLOPE($E849:$V849,$E$1:$V$1)*W$1+INTERCEPT($E849:$V849,$E$1:$V$1))&lt;(AVERAGE($E849:$V849)-_xlfn.STDEV.P($E849:$V849))),V849,(SLOPE($E849:$V849,$E$1:$V$1)*W$1+INTERCEPT($E849:$V849,$E$1:$V$1)))</f>
        <v>-254.4997228758175</v>
      </c>
      <c r="X849" s="5">
        <f t="shared" si="860"/>
        <v>-484.51205393876899</v>
      </c>
      <c r="Y849" s="5">
        <f t="shared" si="860"/>
        <v>-714.52438500172047</v>
      </c>
      <c r="Z849" s="5">
        <f t="shared" si="860"/>
        <v>-944.53671606467196</v>
      </c>
      <c r="AA849" s="5">
        <f t="shared" si="860"/>
        <v>-1174.5490471276235</v>
      </c>
      <c r="AB849" s="5">
        <f t="shared" si="860"/>
        <v>-1174.5490471276235</v>
      </c>
      <c r="AC849" s="5">
        <f t="shared" si="860"/>
        <v>-1174.5490471276235</v>
      </c>
      <c r="AD849" s="5">
        <f t="shared" si="860"/>
        <v>-1174.5490471276235</v>
      </c>
      <c r="AE849" s="5">
        <f t="shared" si="860"/>
        <v>-1174.5490471276235</v>
      </c>
      <c r="AF849" s="5">
        <f t="shared" si="860"/>
        <v>-1174.5490471276235</v>
      </c>
      <c r="AG849" s="5">
        <f t="shared" si="860"/>
        <v>-1174.5490471276235</v>
      </c>
      <c r="AH849" s="5">
        <f t="shared" si="860"/>
        <v>-1174.5490471276235</v>
      </c>
    </row>
    <row r="850" spans="1:34" x14ac:dyDescent="0.35">
      <c r="A850" t="s">
        <v>870</v>
      </c>
      <c r="B850" s="3" t="s">
        <v>1264</v>
      </c>
      <c r="C850" s="4" t="s">
        <v>1263</v>
      </c>
      <c r="D850" s="2">
        <f t="shared" si="846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ref="W850:AH850" si="861">IF(OR((SLOPE($E850:$V850,$E$1:$V$1)*W$1+INTERCEPT($E850:$V850,$E$1:$V$1))&gt;(AVERAGE($E850:$V850)+_xlfn.STDEV.P($E850:$V850)),(SLOPE($E850:$V850,$E$1:$V$1)*W$1+INTERCEPT($E850:$V850,$E$1:$V$1))&lt;(AVERAGE($E850:$V850)-_xlfn.STDEV.P($E850:$V850))),V850,(SLOPE($E850:$V850,$E$1:$V$1)*W$1+INTERCEPT($E850:$V850,$E$1:$V$1)))</f>
        <v>5708.1760027909513</v>
      </c>
      <c r="X850" s="5">
        <f t="shared" si="861"/>
        <v>6104.7440198269542</v>
      </c>
      <c r="Y850" s="5">
        <f t="shared" si="861"/>
        <v>6501.312036862957</v>
      </c>
      <c r="Z850" s="5">
        <f t="shared" si="861"/>
        <v>6897.8800538989599</v>
      </c>
      <c r="AA850" s="5">
        <f t="shared" si="861"/>
        <v>7294.4480709349627</v>
      </c>
      <c r="AB850" s="5">
        <f t="shared" si="861"/>
        <v>7691.0160879709656</v>
      </c>
      <c r="AC850" s="5">
        <f t="shared" si="861"/>
        <v>8087.5841050069685</v>
      </c>
      <c r="AD850" s="5">
        <f t="shared" si="861"/>
        <v>8484.1521220429713</v>
      </c>
      <c r="AE850" s="5">
        <f t="shared" si="861"/>
        <v>8880.7201390789742</v>
      </c>
      <c r="AF850" s="5">
        <f t="shared" si="861"/>
        <v>9277.288156114977</v>
      </c>
      <c r="AG850" s="5">
        <f t="shared" si="861"/>
        <v>9673.8561731509799</v>
      </c>
      <c r="AH850" s="5">
        <f t="shared" si="861"/>
        <v>9673.8561731509799</v>
      </c>
    </row>
    <row r="851" spans="1:34" x14ac:dyDescent="0.35">
      <c r="A851" t="s">
        <v>871</v>
      </c>
      <c r="B851" s="3" t="s">
        <v>1266</v>
      </c>
      <c r="C851" s="4" t="s">
        <v>1263</v>
      </c>
      <c r="D851" s="2">
        <f t="shared" si="846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ref="W851:AH851" si="862">IF(OR((SLOPE($E851:$V851,$E$1:$V$1)*W$1+INTERCEPT($E851:$V851,$E$1:$V$1))&gt;(AVERAGE($E851:$V851)+_xlfn.STDEV.P($E851:$V851)),(SLOPE($E851:$V851,$E$1:$V$1)*W$1+INTERCEPT($E851:$V851,$E$1:$V$1))&lt;(AVERAGE($E851:$V851)-_xlfn.STDEV.P($E851:$V851))),V851,(SLOPE($E851:$V851,$E$1:$V$1)*W$1+INTERCEPT($E851:$V851,$E$1:$V$1)))</f>
        <v>4825.9318658009006</v>
      </c>
      <c r="X851" s="5">
        <f t="shared" si="862"/>
        <v>5130.0054565538258</v>
      </c>
      <c r="Y851" s="5">
        <f t="shared" si="862"/>
        <v>5434.0790473067509</v>
      </c>
      <c r="Z851" s="5">
        <f t="shared" si="862"/>
        <v>5738.1526380596761</v>
      </c>
      <c r="AA851" s="5">
        <f t="shared" si="862"/>
        <v>5738.1526380596761</v>
      </c>
      <c r="AB851" s="5">
        <f t="shared" si="862"/>
        <v>5738.1526380596761</v>
      </c>
      <c r="AC851" s="5">
        <f t="shared" si="862"/>
        <v>5738.1526380596761</v>
      </c>
      <c r="AD851" s="5">
        <f t="shared" si="862"/>
        <v>5738.1526380596761</v>
      </c>
      <c r="AE851" s="5">
        <f t="shared" si="862"/>
        <v>5738.1526380596761</v>
      </c>
      <c r="AF851" s="5">
        <f t="shared" si="862"/>
        <v>5738.1526380596761</v>
      </c>
      <c r="AG851" s="5">
        <f t="shared" si="862"/>
        <v>5738.1526380596761</v>
      </c>
      <c r="AH851" s="5">
        <f t="shared" si="862"/>
        <v>5738.1526380596761</v>
      </c>
    </row>
    <row r="852" spans="1:34" x14ac:dyDescent="0.35">
      <c r="A852" t="s">
        <v>872</v>
      </c>
      <c r="B852" s="3" t="s">
        <v>1264</v>
      </c>
      <c r="C852" s="4" t="s">
        <v>1263</v>
      </c>
      <c r="D852" s="2">
        <f t="shared" si="846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ref="W852:AH852" si="863">IF(OR((SLOPE($E852:$V852,$E$1:$V$1)*W$1+INTERCEPT($E852:$V852,$E$1:$V$1))&gt;(AVERAGE($E852:$V852)+_xlfn.STDEV.P($E852:$V852)),(SLOPE($E852:$V852,$E$1:$V$1)*W$1+INTERCEPT($E852:$V852,$E$1:$V$1))&lt;(AVERAGE($E852:$V852)-_xlfn.STDEV.P($E852:$V852))),V852,(SLOPE($E852:$V852,$E$1:$V$1)*W$1+INTERCEPT($E852:$V852,$E$1:$V$1)))</f>
        <v>3049.7767389561905</v>
      </c>
      <c r="X852" s="5">
        <f t="shared" si="863"/>
        <v>3167.1402456376672</v>
      </c>
      <c r="Y852" s="5">
        <f t="shared" si="863"/>
        <v>3284.503752319144</v>
      </c>
      <c r="Z852" s="5">
        <f t="shared" si="863"/>
        <v>3401.8672590006208</v>
      </c>
      <c r="AA852" s="5">
        <f t="shared" si="863"/>
        <v>3519.2307656820976</v>
      </c>
      <c r="AB852" s="5">
        <f t="shared" si="863"/>
        <v>3636.5942723635744</v>
      </c>
      <c r="AC852" s="5">
        <f t="shared" si="863"/>
        <v>3753.9577790450512</v>
      </c>
      <c r="AD852" s="5">
        <f t="shared" si="863"/>
        <v>3871.321285726528</v>
      </c>
      <c r="AE852" s="5">
        <f t="shared" si="863"/>
        <v>3988.6847924080043</v>
      </c>
      <c r="AF852" s="5">
        <f t="shared" si="863"/>
        <v>4106.0482990894816</v>
      </c>
      <c r="AG852" s="5">
        <f t="shared" si="863"/>
        <v>4223.4118057709584</v>
      </c>
      <c r="AH852" s="5">
        <f t="shared" si="863"/>
        <v>4340.7753124524352</v>
      </c>
    </row>
    <row r="853" spans="1:34" x14ac:dyDescent="0.35">
      <c r="A853" t="s">
        <v>873</v>
      </c>
      <c r="B853" s="3" t="s">
        <v>1266</v>
      </c>
      <c r="C853" s="4" t="s">
        <v>1267</v>
      </c>
      <c r="D853" s="2">
        <f t="shared" si="846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H853" si="864">IF(OR((SLOPE($E853:$V853,$E$1:$V$1)*W$1+INTERCEPT($E853:$V853,$E$1:$V$1))&gt;(AVERAGE($E853:$V853)+_xlfn.STDEV.P($E853:$V853)),(SLOPE($E853:$V853,$E$1:$V$1)*W$1+INTERCEPT($E853:$V853,$E$1:$V$1))&lt;(AVERAGE($E853:$V853)-_xlfn.STDEV.P($E853:$V853))),V853,(SLOPE($E853:$V853,$E$1:$V$1)*W$1+INTERCEPT($E853:$V853,$E$1:$V$1)))</f>
        <v>6338.4107099087296</v>
      </c>
      <c r="X853" s="5">
        <f t="shared" si="864"/>
        <v>6803.0686378907603</v>
      </c>
      <c r="Y853" s="5">
        <f t="shared" si="864"/>
        <v>7267.7265658727911</v>
      </c>
      <c r="Z853" s="5">
        <f t="shared" si="864"/>
        <v>7732.3844938548218</v>
      </c>
      <c r="AA853" s="5">
        <f t="shared" si="864"/>
        <v>8197.0424218368535</v>
      </c>
      <c r="AB853" s="5">
        <f t="shared" si="864"/>
        <v>8661.7003498188824</v>
      </c>
      <c r="AC853" s="5">
        <f t="shared" si="864"/>
        <v>9126.3582778009149</v>
      </c>
      <c r="AD853" s="5">
        <f t="shared" si="864"/>
        <v>9591.0162057829439</v>
      </c>
      <c r="AE853" s="5">
        <f t="shared" si="864"/>
        <v>9591.0162057829439</v>
      </c>
      <c r="AF853" s="5">
        <f t="shared" si="864"/>
        <v>9591.0162057829439</v>
      </c>
      <c r="AG853" s="5">
        <f t="shared" si="864"/>
        <v>9591.0162057829439</v>
      </c>
      <c r="AH853" s="5">
        <f t="shared" si="864"/>
        <v>9591.0162057829439</v>
      </c>
    </row>
    <row r="854" spans="1:34" x14ac:dyDescent="0.35">
      <c r="A854" t="s">
        <v>874</v>
      </c>
      <c r="B854" s="3" t="s">
        <v>1266</v>
      </c>
      <c r="C854" s="4" t="s">
        <v>1266</v>
      </c>
      <c r="D854" s="2">
        <f t="shared" si="846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ref="W854:AH854" si="865">IF(OR((SLOPE($E854:$V854,$E$1:$V$1)*W$1+INTERCEPT($E854:$V854,$E$1:$V$1))&gt;(AVERAGE($E854:$V854)+_xlfn.STDEV.P($E854:$V854)),(SLOPE($E854:$V854,$E$1:$V$1)*W$1+INTERCEPT($E854:$V854,$E$1:$V$1))&lt;(AVERAGE($E854:$V854)-_xlfn.STDEV.P($E854:$V854))),V854,(SLOPE($E854:$V854,$E$1:$V$1)*W$1+INTERCEPT($E854:$V854,$E$1:$V$1)))</f>
        <v>5655.2917647058821</v>
      </c>
      <c r="X854" s="5">
        <f t="shared" si="865"/>
        <v>6048.1857188854483</v>
      </c>
      <c r="Y854" s="5">
        <f t="shared" si="865"/>
        <v>6441.0796730650145</v>
      </c>
      <c r="Z854" s="5">
        <f t="shared" si="865"/>
        <v>6833.9736272445807</v>
      </c>
      <c r="AA854" s="5">
        <f t="shared" si="865"/>
        <v>7226.8675814241487</v>
      </c>
      <c r="AB854" s="5">
        <f t="shared" si="865"/>
        <v>7619.7615356037149</v>
      </c>
      <c r="AC854" s="5">
        <f t="shared" si="865"/>
        <v>8012.6554897832812</v>
      </c>
      <c r="AD854" s="5">
        <f t="shared" si="865"/>
        <v>8405.5494439628474</v>
      </c>
      <c r="AE854" s="5">
        <f t="shared" si="865"/>
        <v>8798.4433981424136</v>
      </c>
      <c r="AF854" s="5">
        <f t="shared" si="865"/>
        <v>9191.3373523219798</v>
      </c>
      <c r="AG854" s="5">
        <f t="shared" si="865"/>
        <v>9584.2313065015478</v>
      </c>
      <c r="AH854" s="5">
        <f t="shared" si="865"/>
        <v>9584.2313065015478</v>
      </c>
    </row>
    <row r="855" spans="1:34" x14ac:dyDescent="0.35">
      <c r="A855" t="s">
        <v>875</v>
      </c>
      <c r="B855" s="3" t="s">
        <v>1264</v>
      </c>
      <c r="C855" s="4" t="s">
        <v>1263</v>
      </c>
      <c r="D855" s="2">
        <f t="shared" si="846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ref="W855:AH855" si="866">IF(OR((SLOPE($E855:$V855,$E$1:$V$1)*W$1+INTERCEPT($E855:$V855,$E$1:$V$1))&gt;(AVERAGE($E855:$V855)+_xlfn.STDEV.P($E855:$V855)),(SLOPE($E855:$V855,$E$1:$V$1)*W$1+INTERCEPT($E855:$V855,$E$1:$V$1))&lt;(AVERAGE($E855:$V855)-_xlfn.STDEV.P($E855:$V855))),V855,(SLOPE($E855:$V855,$E$1:$V$1)*W$1+INTERCEPT($E855:$V855,$E$1:$V$1)))</f>
        <v>1068.9839999999999</v>
      </c>
      <c r="X855" s="5">
        <f t="shared" si="866"/>
        <v>1068.9839999999999</v>
      </c>
      <c r="Y855" s="5">
        <f t="shared" si="866"/>
        <v>1068.9839999999999</v>
      </c>
      <c r="Z855" s="5">
        <f t="shared" si="866"/>
        <v>1068.9839999999999</v>
      </c>
      <c r="AA855" s="5">
        <f t="shared" si="866"/>
        <v>1068.9839999999999</v>
      </c>
      <c r="AB855" s="5">
        <f t="shared" si="866"/>
        <v>1068.9839999999999</v>
      </c>
      <c r="AC855" s="5">
        <f t="shared" si="866"/>
        <v>1068.9839999999999</v>
      </c>
      <c r="AD855" s="5">
        <f t="shared" si="866"/>
        <v>1068.9839999999999</v>
      </c>
      <c r="AE855" s="5">
        <f t="shared" si="866"/>
        <v>1068.9839999999999</v>
      </c>
      <c r="AF855" s="5">
        <f t="shared" si="866"/>
        <v>1068.9839999999999</v>
      </c>
      <c r="AG855" s="5">
        <f t="shared" si="866"/>
        <v>1068.9839999999999</v>
      </c>
      <c r="AH855" s="5">
        <f t="shared" si="866"/>
        <v>1068.9839999999999</v>
      </c>
    </row>
    <row r="856" spans="1:34" x14ac:dyDescent="0.35">
      <c r="A856" t="s">
        <v>876</v>
      </c>
      <c r="B856" s="3" t="s">
        <v>1266</v>
      </c>
      <c r="C856" s="4" t="s">
        <v>1263</v>
      </c>
      <c r="D856" s="2">
        <f t="shared" si="846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ref="W856:AH856" si="867">IF(OR((SLOPE($E856:$V856,$E$1:$V$1)*W$1+INTERCEPT($E856:$V856,$E$1:$V$1))&gt;(AVERAGE($E856:$V856)+_xlfn.STDEV.P($E856:$V856)),(SLOPE($E856:$V856,$E$1:$V$1)*W$1+INTERCEPT($E856:$V856,$E$1:$V$1))&lt;(AVERAGE($E856:$V856)-_xlfn.STDEV.P($E856:$V856))),V856,(SLOPE($E856:$V856,$E$1:$V$1)*W$1+INTERCEPT($E856:$V856,$E$1:$V$1)))</f>
        <v>-1222.8639845127636</v>
      </c>
      <c r="X856" s="5">
        <f t="shared" si="867"/>
        <v>-1553.3166754378344</v>
      </c>
      <c r="Y856" s="5">
        <f t="shared" si="867"/>
        <v>-1883.7693663629043</v>
      </c>
      <c r="Z856" s="5">
        <f t="shared" si="867"/>
        <v>-2214.2220572879751</v>
      </c>
      <c r="AA856" s="5">
        <f t="shared" si="867"/>
        <v>-2544.6747482130459</v>
      </c>
      <c r="AB856" s="5">
        <f t="shared" si="867"/>
        <v>-2875.1274391381157</v>
      </c>
      <c r="AC856" s="5">
        <f t="shared" si="867"/>
        <v>-3205.5801300631865</v>
      </c>
      <c r="AD856" s="5">
        <f t="shared" si="867"/>
        <v>-3536.0328209882573</v>
      </c>
      <c r="AE856" s="5">
        <f t="shared" si="867"/>
        <v>-3866.4855119133281</v>
      </c>
      <c r="AF856" s="5">
        <f t="shared" si="867"/>
        <v>-3866.4855119133281</v>
      </c>
      <c r="AG856" s="5">
        <f t="shared" si="867"/>
        <v>-3866.4855119133281</v>
      </c>
      <c r="AH856" s="5">
        <f t="shared" si="867"/>
        <v>-3866.4855119133281</v>
      </c>
    </row>
    <row r="857" spans="1:34" x14ac:dyDescent="0.35">
      <c r="A857" t="s">
        <v>877</v>
      </c>
      <c r="B857" s="3" t="s">
        <v>1264</v>
      </c>
      <c r="C857" s="4" t="s">
        <v>1263</v>
      </c>
      <c r="D857" s="2">
        <f t="shared" si="846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ref="W857:AH857" si="868">IF(OR((SLOPE($E857:$V857,$E$1:$V$1)*W$1+INTERCEPT($E857:$V857,$E$1:$V$1))&gt;(AVERAGE($E857:$V857)+_xlfn.STDEV.P($E857:$V857)),(SLOPE($E857:$V857,$E$1:$V$1)*W$1+INTERCEPT($E857:$V857,$E$1:$V$1))&lt;(AVERAGE($E857:$V857)-_xlfn.STDEV.P($E857:$V857))),V857,(SLOPE($E857:$V857,$E$1:$V$1)*W$1+INTERCEPT($E857:$V857,$E$1:$V$1)))</f>
        <v>691.16517647058754</v>
      </c>
      <c r="X857" s="5">
        <f t="shared" si="868"/>
        <v>691.16517647058754</v>
      </c>
      <c r="Y857" s="5">
        <f t="shared" si="868"/>
        <v>691.16517647058754</v>
      </c>
      <c r="Z857" s="5">
        <f t="shared" si="868"/>
        <v>691.16517647058754</v>
      </c>
      <c r="AA857" s="5">
        <f t="shared" si="868"/>
        <v>691.16517647058754</v>
      </c>
      <c r="AB857" s="5">
        <f t="shared" si="868"/>
        <v>691.16517647058754</v>
      </c>
      <c r="AC857" s="5">
        <f t="shared" si="868"/>
        <v>691.16517647058754</v>
      </c>
      <c r="AD857" s="5">
        <f t="shared" si="868"/>
        <v>691.16517647058754</v>
      </c>
      <c r="AE857" s="5">
        <f t="shared" si="868"/>
        <v>691.16517647058754</v>
      </c>
      <c r="AF857" s="5">
        <f t="shared" si="868"/>
        <v>691.16517647058754</v>
      </c>
      <c r="AG857" s="5">
        <f t="shared" si="868"/>
        <v>691.16517647058754</v>
      </c>
      <c r="AH857" s="5">
        <f t="shared" si="868"/>
        <v>691.16517647058754</v>
      </c>
    </row>
    <row r="858" spans="1:34" x14ac:dyDescent="0.35">
      <c r="A858" t="s">
        <v>878</v>
      </c>
      <c r="B858" s="3" t="s">
        <v>1264</v>
      </c>
      <c r="C858" s="4" t="s">
        <v>1263</v>
      </c>
      <c r="D858" s="2">
        <f t="shared" si="846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ref="W858:AH858" si="869">IF(OR((SLOPE($E858:$V858,$E$1:$V$1)*W$1+INTERCEPT($E858:$V858,$E$1:$V$1))&gt;(AVERAGE($E858:$V858)+_xlfn.STDEV.P($E858:$V858)),(SLOPE($E858:$V858,$E$1:$V$1)*W$1+INTERCEPT($E858:$V858,$E$1:$V$1))&lt;(AVERAGE($E858:$V858)-_xlfn.STDEV.P($E858:$V858))),V858,(SLOPE($E858:$V858,$E$1:$V$1)*W$1+INTERCEPT($E858:$V858,$E$1:$V$1)))</f>
        <v>2114.016763517357</v>
      </c>
      <c r="X858" s="5">
        <f t="shared" si="869"/>
        <v>2136.0676404469677</v>
      </c>
      <c r="Y858" s="5">
        <f t="shared" si="869"/>
        <v>2158.1185173765784</v>
      </c>
      <c r="Z858" s="5">
        <f t="shared" si="869"/>
        <v>2180.1693943061891</v>
      </c>
      <c r="AA858" s="5">
        <f t="shared" si="869"/>
        <v>2202.2202712358003</v>
      </c>
      <c r="AB858" s="5">
        <f t="shared" si="869"/>
        <v>2224.271148165411</v>
      </c>
      <c r="AC858" s="5">
        <f t="shared" si="869"/>
        <v>2246.3220250950217</v>
      </c>
      <c r="AD858" s="5">
        <f t="shared" si="869"/>
        <v>2268.3729020246328</v>
      </c>
      <c r="AE858" s="5">
        <f t="shared" si="869"/>
        <v>2290.4237789542431</v>
      </c>
      <c r="AF858" s="5">
        <f t="shared" si="869"/>
        <v>2312.4746558838542</v>
      </c>
      <c r="AG858" s="5">
        <f t="shared" si="869"/>
        <v>2334.5255328134649</v>
      </c>
      <c r="AH858" s="5">
        <f t="shared" si="869"/>
        <v>2356.5764097430756</v>
      </c>
    </row>
    <row r="859" spans="1:34" x14ac:dyDescent="0.35">
      <c r="A859" t="s">
        <v>879</v>
      </c>
      <c r="B859" s="3" t="s">
        <v>1266</v>
      </c>
      <c r="C859" s="4" t="s">
        <v>1267</v>
      </c>
      <c r="D859" s="2">
        <f t="shared" si="846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ref="W859:AH859" si="870">IF(OR((SLOPE($E859:$V859,$E$1:$V$1)*W$1+INTERCEPT($E859:$V859,$E$1:$V$1))&gt;(AVERAGE($E859:$V859)+_xlfn.STDEV.P($E859:$V859)),(SLOPE($E859:$V859,$E$1:$V$1)*W$1+INTERCEPT($E859:$V859,$E$1:$V$1))&lt;(AVERAGE($E859:$V859)-_xlfn.STDEV.P($E859:$V859))),V859,(SLOPE($E859:$V859,$E$1:$V$1)*W$1+INTERCEPT($E859:$V859,$E$1:$V$1)))</f>
        <v>4539.3817173987245</v>
      </c>
      <c r="X859" s="5">
        <f t="shared" si="870"/>
        <v>4817.6638229575856</v>
      </c>
      <c r="Y859" s="5">
        <f t="shared" si="870"/>
        <v>5095.9459285164467</v>
      </c>
      <c r="Z859" s="5">
        <f t="shared" si="870"/>
        <v>5374.2280340753059</v>
      </c>
      <c r="AA859" s="5">
        <f t="shared" si="870"/>
        <v>5652.510139634167</v>
      </c>
      <c r="AB859" s="5">
        <f t="shared" si="870"/>
        <v>5930.7922451930262</v>
      </c>
      <c r="AC859" s="5">
        <f t="shared" si="870"/>
        <v>6209.0743507518873</v>
      </c>
      <c r="AD859" s="5">
        <f t="shared" si="870"/>
        <v>6487.3564563107466</v>
      </c>
      <c r="AE859" s="5">
        <f t="shared" si="870"/>
        <v>6765.6385618696077</v>
      </c>
      <c r="AF859" s="5">
        <f t="shared" si="870"/>
        <v>7043.9206674284687</v>
      </c>
      <c r="AG859" s="5">
        <f t="shared" si="870"/>
        <v>7043.9206674284687</v>
      </c>
      <c r="AH859" s="5">
        <f t="shared" si="870"/>
        <v>7043.9206674284687</v>
      </c>
    </row>
    <row r="860" spans="1:34" x14ac:dyDescent="0.35">
      <c r="A860" t="s">
        <v>880</v>
      </c>
      <c r="B860" s="3" t="s">
        <v>1266</v>
      </c>
      <c r="C860" s="4" t="s">
        <v>1267</v>
      </c>
      <c r="D860" s="2">
        <f t="shared" si="846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ref="W860:AH860" si="871">IF(OR((SLOPE($E860:$V860,$E$1:$V$1)*W$1+INTERCEPT($E860:$V860,$E$1:$V$1))&gt;(AVERAGE($E860:$V860)+_xlfn.STDEV.P($E860:$V860)),(SLOPE($E860:$V860,$E$1:$V$1)*W$1+INTERCEPT($E860:$V860,$E$1:$V$1))&lt;(AVERAGE($E860:$V860)-_xlfn.STDEV.P($E860:$V860))),V860,(SLOPE($E860:$V860,$E$1:$V$1)*W$1+INTERCEPT($E860:$V860,$E$1:$V$1)))</f>
        <v>5557.2573628665486</v>
      </c>
      <c r="X860" s="5">
        <f t="shared" si="871"/>
        <v>5943.3405059709612</v>
      </c>
      <c r="Y860" s="5">
        <f t="shared" si="871"/>
        <v>6329.4236490753747</v>
      </c>
      <c r="Z860" s="5">
        <f t="shared" si="871"/>
        <v>6715.5067921797863</v>
      </c>
      <c r="AA860" s="5">
        <f t="shared" si="871"/>
        <v>7101.5899352841998</v>
      </c>
      <c r="AB860" s="5">
        <f t="shared" si="871"/>
        <v>7487.6730783886132</v>
      </c>
      <c r="AC860" s="5">
        <f t="shared" si="871"/>
        <v>7873.7562214930249</v>
      </c>
      <c r="AD860" s="5">
        <f t="shared" si="871"/>
        <v>8259.8393645974393</v>
      </c>
      <c r="AE860" s="5">
        <f t="shared" si="871"/>
        <v>8645.9225077018527</v>
      </c>
      <c r="AF860" s="5">
        <f t="shared" si="871"/>
        <v>9032.0056508062644</v>
      </c>
      <c r="AG860" s="5">
        <f t="shared" si="871"/>
        <v>9418.0887939106779</v>
      </c>
      <c r="AH860" s="5">
        <f t="shared" si="871"/>
        <v>9418.0887939106779</v>
      </c>
    </row>
    <row r="861" spans="1:34" x14ac:dyDescent="0.35">
      <c r="A861" t="s">
        <v>881</v>
      </c>
      <c r="B861" s="3" t="s">
        <v>1264</v>
      </c>
      <c r="C861" s="4" t="s">
        <v>1267</v>
      </c>
      <c r="D861" s="2">
        <f t="shared" si="846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ref="W861:AH861" si="872">IF(OR((SLOPE($E861:$V861,$E$1:$V$1)*W$1+INTERCEPT($E861:$V861,$E$1:$V$1))&gt;(AVERAGE($E861:$V861)+_xlfn.STDEV.P($E861:$V861)),(SLOPE($E861:$V861,$E$1:$V$1)*W$1+INTERCEPT($E861:$V861,$E$1:$V$1))&lt;(AVERAGE($E861:$V861)-_xlfn.STDEV.P($E861:$V861))),V861,(SLOPE($E861:$V861,$E$1:$V$1)*W$1+INTERCEPT($E861:$V861,$E$1:$V$1)))</f>
        <v>-441.13015424836613</v>
      </c>
      <c r="X861" s="5">
        <f t="shared" si="872"/>
        <v>-684.9126079119369</v>
      </c>
      <c r="Y861" s="5">
        <f t="shared" si="872"/>
        <v>-928.69506157550768</v>
      </c>
      <c r="Z861" s="5">
        <f t="shared" si="872"/>
        <v>-1172.4775152390785</v>
      </c>
      <c r="AA861" s="5">
        <f t="shared" si="872"/>
        <v>-1416.2599689026483</v>
      </c>
      <c r="AB861" s="5">
        <f t="shared" si="872"/>
        <v>-1660.0424225662191</v>
      </c>
      <c r="AC861" s="5">
        <f t="shared" si="872"/>
        <v>-1903.8248762297899</v>
      </c>
      <c r="AD861" s="5">
        <f t="shared" si="872"/>
        <v>-2147.6073298933607</v>
      </c>
      <c r="AE861" s="5">
        <f t="shared" si="872"/>
        <v>-2391.3897835569314</v>
      </c>
      <c r="AF861" s="5">
        <f t="shared" si="872"/>
        <v>-2635.1722372205022</v>
      </c>
      <c r="AG861" s="5">
        <f t="shared" si="872"/>
        <v>-2878.9546908840721</v>
      </c>
      <c r="AH861" s="5">
        <f t="shared" si="872"/>
        <v>-3122.7371445476429</v>
      </c>
    </row>
    <row r="862" spans="1:34" x14ac:dyDescent="0.35">
      <c r="A862" t="s">
        <v>882</v>
      </c>
      <c r="B862" s="3" t="s">
        <v>1266</v>
      </c>
      <c r="C862" s="4" t="s">
        <v>1266</v>
      </c>
      <c r="D862" s="2">
        <f t="shared" si="846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ref="W862:AH862" si="873">IF(OR((SLOPE($E862:$V862,$E$1:$V$1)*W$1+INTERCEPT($E862:$V862,$E$1:$V$1))&gt;(AVERAGE($E862:$V862)+_xlfn.STDEV.P($E862:$V862)),(SLOPE($E862:$V862,$E$1:$V$1)*W$1+INTERCEPT($E862:$V862,$E$1:$V$1))&lt;(AVERAGE($E862:$V862)-_xlfn.STDEV.P($E862:$V862))),V862,(SLOPE($E862:$V862,$E$1:$V$1)*W$1+INTERCEPT($E862:$V862,$E$1:$V$1)))</f>
        <v>5075.1560719048211</v>
      </c>
      <c r="X862" s="5">
        <f t="shared" si="873"/>
        <v>5413.8597168848719</v>
      </c>
      <c r="Y862" s="5">
        <f t="shared" si="873"/>
        <v>5752.5633618649226</v>
      </c>
      <c r="Z862" s="5">
        <f t="shared" si="873"/>
        <v>6091.2670068449734</v>
      </c>
      <c r="AA862" s="5">
        <f t="shared" si="873"/>
        <v>6429.9706518250241</v>
      </c>
      <c r="AB862" s="5">
        <f t="shared" si="873"/>
        <v>6768.674296805073</v>
      </c>
      <c r="AC862" s="5">
        <f t="shared" si="873"/>
        <v>7107.3779417851238</v>
      </c>
      <c r="AD862" s="5">
        <f t="shared" si="873"/>
        <v>7107.3779417851238</v>
      </c>
      <c r="AE862" s="5">
        <f t="shared" si="873"/>
        <v>7107.3779417851238</v>
      </c>
      <c r="AF862" s="5">
        <f t="shared" si="873"/>
        <v>7107.3779417851238</v>
      </c>
      <c r="AG862" s="5">
        <f t="shared" si="873"/>
        <v>7107.3779417851238</v>
      </c>
      <c r="AH862" s="5">
        <f t="shared" si="873"/>
        <v>7107.3779417851238</v>
      </c>
    </row>
    <row r="863" spans="1:34" x14ac:dyDescent="0.35">
      <c r="A863" t="s">
        <v>883</v>
      </c>
      <c r="B863" s="3" t="s">
        <v>1266</v>
      </c>
      <c r="C863" s="4" t="s">
        <v>1266</v>
      </c>
      <c r="D863" s="2">
        <f t="shared" si="846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ref="W863:AH863" si="874">IF(OR((SLOPE($E863:$V863,$E$1:$V$1)*W$1+INTERCEPT($E863:$V863,$E$1:$V$1))&gt;(AVERAGE($E863:$V863)+_xlfn.STDEV.P($E863:$V863)),(SLOPE($E863:$V863,$E$1:$V$1)*W$1+INTERCEPT($E863:$V863,$E$1:$V$1))&lt;(AVERAGE($E863:$V863)-_xlfn.STDEV.P($E863:$V863))),V863,(SLOPE($E863:$V863,$E$1:$V$1)*W$1+INTERCEPT($E863:$V863,$E$1:$V$1)))</f>
        <v>-1741.5799933955768</v>
      </c>
      <c r="X863" s="5">
        <f t="shared" si="874"/>
        <v>-2119.6861761722475</v>
      </c>
      <c r="Y863" s="5">
        <f t="shared" si="874"/>
        <v>-2497.7923589489192</v>
      </c>
      <c r="Z863" s="5">
        <f t="shared" si="874"/>
        <v>-2875.8985417255899</v>
      </c>
      <c r="AA863" s="5">
        <f t="shared" si="874"/>
        <v>-3254.0047245022615</v>
      </c>
      <c r="AB863" s="5">
        <f t="shared" si="874"/>
        <v>-3632.1109072789332</v>
      </c>
      <c r="AC863" s="5">
        <f t="shared" si="874"/>
        <v>-4010.2170900556048</v>
      </c>
      <c r="AD863" s="5">
        <f t="shared" si="874"/>
        <v>-4388.3232728322746</v>
      </c>
      <c r="AE863" s="5">
        <f t="shared" si="874"/>
        <v>-4766.4294556089462</v>
      </c>
      <c r="AF863" s="5">
        <f t="shared" si="874"/>
        <v>-5144.5356383856179</v>
      </c>
      <c r="AG863" s="5">
        <f t="shared" si="874"/>
        <v>-5522.6418211622895</v>
      </c>
      <c r="AH863" s="5">
        <f t="shared" si="874"/>
        <v>-5522.6418211622895</v>
      </c>
    </row>
    <row r="864" spans="1:34" x14ac:dyDescent="0.35">
      <c r="A864" t="s">
        <v>884</v>
      </c>
      <c r="B864" s="3" t="s">
        <v>1265</v>
      </c>
      <c r="C864" s="4" t="s">
        <v>1268</v>
      </c>
      <c r="D864" s="2">
        <f t="shared" si="846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ref="W864:AH864" si="875">IF(OR((SLOPE($E864:$V864,$E$1:$V$1)*W$1+INTERCEPT($E864:$V864,$E$1:$V$1))&gt;(AVERAGE($E864:$V864)+_xlfn.STDEV.P($E864:$V864)),(SLOPE($E864:$V864,$E$1:$V$1)*W$1+INTERCEPT($E864:$V864,$E$1:$V$1))&lt;(AVERAGE($E864:$V864)-_xlfn.STDEV.P($E864:$V864))),V864,(SLOPE($E864:$V864,$E$1:$V$1)*W$1+INTERCEPT($E864:$V864,$E$1:$V$1)))</f>
        <v>4786.3092340915018</v>
      </c>
      <c r="X864" s="5">
        <f t="shared" si="875"/>
        <v>5095.4727492122447</v>
      </c>
      <c r="Y864" s="5">
        <f t="shared" si="875"/>
        <v>5404.6362643329876</v>
      </c>
      <c r="Z864" s="5">
        <f t="shared" si="875"/>
        <v>5713.7997794537305</v>
      </c>
      <c r="AA864" s="5">
        <f t="shared" si="875"/>
        <v>6022.9632945744734</v>
      </c>
      <c r="AB864" s="5">
        <f t="shared" si="875"/>
        <v>6332.1268096952172</v>
      </c>
      <c r="AC864" s="5">
        <f t="shared" si="875"/>
        <v>6641.29032481596</v>
      </c>
      <c r="AD864" s="5">
        <f t="shared" si="875"/>
        <v>6950.4538399367029</v>
      </c>
      <c r="AE864" s="5">
        <f t="shared" si="875"/>
        <v>7259.6173550574458</v>
      </c>
      <c r="AF864" s="5">
        <f t="shared" si="875"/>
        <v>7568.7808701781887</v>
      </c>
      <c r="AG864" s="5">
        <f t="shared" si="875"/>
        <v>7877.9443852989316</v>
      </c>
      <c r="AH864" s="5">
        <f t="shared" si="875"/>
        <v>8187.1079004196745</v>
      </c>
    </row>
    <row r="865" spans="1:34" x14ac:dyDescent="0.35">
      <c r="A865" t="s">
        <v>885</v>
      </c>
      <c r="B865" s="3" t="s">
        <v>1264</v>
      </c>
      <c r="C865" s="4" t="s">
        <v>1263</v>
      </c>
      <c r="D865" s="2">
        <f t="shared" si="846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ref="W865:AH865" si="876">IF(OR((SLOPE($E865:$V865,$E$1:$V$1)*W$1+INTERCEPT($E865:$V865,$E$1:$V$1))&gt;(AVERAGE($E865:$V865)+_xlfn.STDEV.P($E865:$V865)),(SLOPE($E865:$V865,$E$1:$V$1)*W$1+INTERCEPT($E865:$V865,$E$1:$V$1))&lt;(AVERAGE($E865:$V865)-_xlfn.STDEV.P($E865:$V865))),V865,(SLOPE($E865:$V865,$E$1:$V$1)*W$1+INTERCEPT($E865:$V865,$E$1:$V$1)))</f>
        <v>1766.1560974844444</v>
      </c>
      <c r="X865" s="5">
        <f t="shared" si="876"/>
        <v>1758.6531924419942</v>
      </c>
      <c r="Y865" s="5">
        <f t="shared" si="876"/>
        <v>1751.1502873995437</v>
      </c>
      <c r="Z865" s="5">
        <f t="shared" si="876"/>
        <v>1743.6473823570934</v>
      </c>
      <c r="AA865" s="5">
        <f t="shared" si="876"/>
        <v>1736.1444773146432</v>
      </c>
      <c r="AB865" s="5">
        <f t="shared" si="876"/>
        <v>1728.6415722721929</v>
      </c>
      <c r="AC865" s="5">
        <f t="shared" si="876"/>
        <v>1721.1386672297426</v>
      </c>
      <c r="AD865" s="5">
        <f t="shared" si="876"/>
        <v>1713.6357621872924</v>
      </c>
      <c r="AE865" s="5">
        <f t="shared" si="876"/>
        <v>1706.1328571448421</v>
      </c>
      <c r="AF865" s="5">
        <f t="shared" si="876"/>
        <v>1698.6299521023916</v>
      </c>
      <c r="AG865" s="5">
        <f t="shared" si="876"/>
        <v>1691.1270470599413</v>
      </c>
      <c r="AH865" s="5">
        <f t="shared" si="876"/>
        <v>1683.6241420174911</v>
      </c>
    </row>
    <row r="866" spans="1:34" x14ac:dyDescent="0.35">
      <c r="A866" t="s">
        <v>886</v>
      </c>
      <c r="B866" s="3" t="s">
        <v>1266</v>
      </c>
      <c r="C866" s="4" t="s">
        <v>1267</v>
      </c>
      <c r="D866" s="2">
        <f t="shared" si="846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ref="W866:AH866" si="877">IF(OR((SLOPE($E866:$V866,$E$1:$V$1)*W$1+INTERCEPT($E866:$V866,$E$1:$V$1))&gt;(AVERAGE($E866:$V866)+_xlfn.STDEV.P($E866:$V866)),(SLOPE($E866:$V866,$E$1:$V$1)*W$1+INTERCEPT($E866:$V866,$E$1:$V$1))&lt;(AVERAGE($E866:$V866)-_xlfn.STDEV.P($E866:$V866))),V866,(SLOPE($E866:$V866,$E$1:$V$1)*W$1+INTERCEPT($E866:$V866,$E$1:$V$1)))</f>
        <v>3462.0265644973401</v>
      </c>
      <c r="X866" s="5">
        <f t="shared" si="877"/>
        <v>3636.8012675385594</v>
      </c>
      <c r="Y866" s="5">
        <f t="shared" si="877"/>
        <v>3811.5759705797782</v>
      </c>
      <c r="Z866" s="5">
        <f t="shared" si="877"/>
        <v>3986.3506736209974</v>
      </c>
      <c r="AA866" s="5">
        <f t="shared" si="877"/>
        <v>4161.1253766622167</v>
      </c>
      <c r="AB866" s="5">
        <f t="shared" si="877"/>
        <v>4335.900079703435</v>
      </c>
      <c r="AC866" s="5">
        <f t="shared" si="877"/>
        <v>4510.6747827446543</v>
      </c>
      <c r="AD866" s="5">
        <f t="shared" si="877"/>
        <v>4685.4494857858735</v>
      </c>
      <c r="AE866" s="5">
        <f t="shared" si="877"/>
        <v>4860.2241888270928</v>
      </c>
      <c r="AF866" s="5">
        <f t="shared" si="877"/>
        <v>5034.9988918683121</v>
      </c>
      <c r="AG866" s="5">
        <f t="shared" si="877"/>
        <v>5209.7735949095313</v>
      </c>
      <c r="AH866" s="5">
        <f t="shared" si="877"/>
        <v>5384.5482979507506</v>
      </c>
    </row>
    <row r="867" spans="1:34" x14ac:dyDescent="0.35">
      <c r="A867" t="s">
        <v>887</v>
      </c>
      <c r="B867" s="3" t="s">
        <v>1266</v>
      </c>
      <c r="C867" s="4" t="s">
        <v>1263</v>
      </c>
      <c r="D867" s="2">
        <f t="shared" si="846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ref="W867:AH867" si="878">IF(OR((SLOPE($E867:$V867,$E$1:$V$1)*W$1+INTERCEPT($E867:$V867,$E$1:$V$1))&gt;(AVERAGE($E867:$V867)+_xlfn.STDEV.P($E867:$V867)),(SLOPE($E867:$V867,$E$1:$V$1)*W$1+INTERCEPT($E867:$V867,$E$1:$V$1))&lt;(AVERAGE($E867:$V867)-_xlfn.STDEV.P($E867:$V867))),V867,(SLOPE($E867:$V867,$E$1:$V$1)*W$1+INTERCEPT($E867:$V867,$E$1:$V$1)))</f>
        <v>702.15855641830058</v>
      </c>
      <c r="X867" s="5">
        <f t="shared" si="878"/>
        <v>587.86952717578242</v>
      </c>
      <c r="Y867" s="5">
        <f t="shared" si="878"/>
        <v>587.86952717578242</v>
      </c>
      <c r="Z867" s="5">
        <f t="shared" si="878"/>
        <v>587.86952717578242</v>
      </c>
      <c r="AA867" s="5">
        <f t="shared" si="878"/>
        <v>587.86952717578242</v>
      </c>
      <c r="AB867" s="5">
        <f t="shared" si="878"/>
        <v>587.86952717578242</v>
      </c>
      <c r="AC867" s="5">
        <f t="shared" si="878"/>
        <v>587.86952717578242</v>
      </c>
      <c r="AD867" s="5">
        <f t="shared" si="878"/>
        <v>587.86952717578242</v>
      </c>
      <c r="AE867" s="5">
        <f t="shared" si="878"/>
        <v>587.86952717578242</v>
      </c>
      <c r="AF867" s="5">
        <f t="shared" si="878"/>
        <v>587.86952717578242</v>
      </c>
      <c r="AG867" s="5">
        <f t="shared" si="878"/>
        <v>587.86952717578242</v>
      </c>
      <c r="AH867" s="5">
        <f t="shared" si="878"/>
        <v>587.86952717578242</v>
      </c>
    </row>
    <row r="868" spans="1:34" x14ac:dyDescent="0.35">
      <c r="A868" t="s">
        <v>888</v>
      </c>
      <c r="B868" s="3" t="s">
        <v>1266</v>
      </c>
      <c r="C868" s="4" t="s">
        <v>1267</v>
      </c>
      <c r="D868" s="2">
        <f t="shared" si="846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ref="W868:AH868" si="879">IF(OR((SLOPE($E868:$V868,$E$1:$V$1)*W$1+INTERCEPT($E868:$V868,$E$1:$V$1))&gt;(AVERAGE($E868:$V868)+_xlfn.STDEV.P($E868:$V868)),(SLOPE($E868:$V868,$E$1:$V$1)*W$1+INTERCEPT($E868:$V868,$E$1:$V$1))&lt;(AVERAGE($E868:$V868)-_xlfn.STDEV.P($E868:$V868))),V868,(SLOPE($E868:$V868,$E$1:$V$1)*W$1+INTERCEPT($E868:$V868,$E$1:$V$1)))</f>
        <v>3348.4228946237909</v>
      </c>
      <c r="X868" s="5">
        <f t="shared" si="879"/>
        <v>3513.6411295558855</v>
      </c>
      <c r="Y868" s="5">
        <f t="shared" si="879"/>
        <v>3678.8593644879807</v>
      </c>
      <c r="Z868" s="5">
        <f t="shared" si="879"/>
        <v>3844.0775994200753</v>
      </c>
      <c r="AA868" s="5">
        <f t="shared" si="879"/>
        <v>4009.2958343521705</v>
      </c>
      <c r="AB868" s="5">
        <f t="shared" si="879"/>
        <v>4174.5140692842651</v>
      </c>
      <c r="AC868" s="5">
        <f t="shared" si="879"/>
        <v>4339.7323042163607</v>
      </c>
      <c r="AD868" s="5">
        <f t="shared" si="879"/>
        <v>4504.9505391484545</v>
      </c>
      <c r="AE868" s="5">
        <f t="shared" si="879"/>
        <v>4670.1687740805501</v>
      </c>
      <c r="AF868" s="5">
        <f t="shared" si="879"/>
        <v>4835.3870090126456</v>
      </c>
      <c r="AG868" s="5">
        <f t="shared" si="879"/>
        <v>5000.6052439447394</v>
      </c>
      <c r="AH868" s="5">
        <f t="shared" si="879"/>
        <v>5165.823478876835</v>
      </c>
    </row>
    <row r="869" spans="1:34" x14ac:dyDescent="0.35">
      <c r="A869" t="s">
        <v>889</v>
      </c>
      <c r="B869" s="3" t="s">
        <v>1264</v>
      </c>
      <c r="C869" s="4" t="s">
        <v>1263</v>
      </c>
      <c r="D869" s="2">
        <f t="shared" si="846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H869" si="880">IF(OR((SLOPE($E869:$V869,$E$1:$V$1)*W$1+INTERCEPT($E869:$V869,$E$1:$V$1))&gt;(AVERAGE($E869:$V869)+_xlfn.STDEV.P($E869:$V869)),(SLOPE($E869:$V869,$E$1:$V$1)*W$1+INTERCEPT($E869:$V869,$E$1:$V$1))&lt;(AVERAGE($E869:$V869)-_xlfn.STDEV.P($E869:$V869))),V869,(SLOPE($E869:$V869,$E$1:$V$1)*W$1+INTERCEPT($E869:$V869,$E$1:$V$1)))</f>
        <v>1736.9452779331107</v>
      </c>
      <c r="X869" s="5">
        <f t="shared" si="880"/>
        <v>1734.7992181512427</v>
      </c>
      <c r="Y869" s="5">
        <f t="shared" si="880"/>
        <v>1732.6531583693748</v>
      </c>
      <c r="Z869" s="5">
        <f t="shared" si="880"/>
        <v>1730.5070985875068</v>
      </c>
      <c r="AA869" s="5">
        <f t="shared" si="880"/>
        <v>1728.3610388056388</v>
      </c>
      <c r="AB869" s="5">
        <f t="shared" si="880"/>
        <v>1726.2149790237709</v>
      </c>
      <c r="AC869" s="5">
        <f t="shared" si="880"/>
        <v>1724.0689192419029</v>
      </c>
      <c r="AD869" s="5">
        <f t="shared" si="880"/>
        <v>1721.9228594600347</v>
      </c>
      <c r="AE869" s="5">
        <f t="shared" si="880"/>
        <v>1719.7767996781668</v>
      </c>
      <c r="AF869" s="5">
        <f t="shared" si="880"/>
        <v>1717.6307398962988</v>
      </c>
      <c r="AG869" s="5">
        <f t="shared" si="880"/>
        <v>1715.4846801144308</v>
      </c>
      <c r="AH869" s="5">
        <f t="shared" si="880"/>
        <v>1713.3386203325629</v>
      </c>
    </row>
    <row r="870" spans="1:34" x14ac:dyDescent="0.35">
      <c r="A870" t="s">
        <v>890</v>
      </c>
      <c r="B870" s="3" t="s">
        <v>1262</v>
      </c>
      <c r="C870" s="4" t="s">
        <v>1263</v>
      </c>
      <c r="D870" s="2">
        <f t="shared" si="846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ref="W870:AH870" si="881">IF(OR((SLOPE($E870:$V870,$E$1:$V$1)*W$1+INTERCEPT($E870:$V870,$E$1:$V$1))&gt;(AVERAGE($E870:$V870)+_xlfn.STDEV.P($E870:$V870)),(SLOPE($E870:$V870,$E$1:$V$1)*W$1+INTERCEPT($E870:$V870,$E$1:$V$1))&lt;(AVERAGE($E870:$V870)-_xlfn.STDEV.P($E870:$V870))),V870,(SLOPE($E870:$V870,$E$1:$V$1)*W$1+INTERCEPT($E870:$V870,$E$1:$V$1)))</f>
        <v>10751.580000000004</v>
      </c>
      <c r="X870" s="5">
        <f t="shared" si="881"/>
        <v>10751.580000000004</v>
      </c>
      <c r="Y870" s="5">
        <f t="shared" si="881"/>
        <v>10751.580000000004</v>
      </c>
      <c r="Z870" s="5">
        <f t="shared" si="881"/>
        <v>10751.580000000004</v>
      </c>
      <c r="AA870" s="5">
        <f t="shared" si="881"/>
        <v>10751.580000000004</v>
      </c>
      <c r="AB870" s="5">
        <f t="shared" si="881"/>
        <v>10751.580000000004</v>
      </c>
      <c r="AC870" s="5">
        <f t="shared" si="881"/>
        <v>10751.580000000004</v>
      </c>
      <c r="AD870" s="5">
        <f t="shared" si="881"/>
        <v>10751.580000000004</v>
      </c>
      <c r="AE870" s="5">
        <f t="shared" si="881"/>
        <v>10751.580000000004</v>
      </c>
      <c r="AF870" s="5">
        <f t="shared" si="881"/>
        <v>10751.580000000004</v>
      </c>
      <c r="AG870" s="5">
        <f t="shared" si="881"/>
        <v>10751.580000000004</v>
      </c>
      <c r="AH870" s="5">
        <f t="shared" si="881"/>
        <v>10751.580000000004</v>
      </c>
    </row>
    <row r="871" spans="1:34" x14ac:dyDescent="0.35">
      <c r="A871" t="s">
        <v>891</v>
      </c>
      <c r="B871" s="3" t="s">
        <v>1266</v>
      </c>
      <c r="C871" s="4" t="s">
        <v>1263</v>
      </c>
      <c r="D871" s="2">
        <f t="shared" si="846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ref="W871:AH871" si="882">IF(OR((SLOPE($E871:$V871,$E$1:$V$1)*W$1+INTERCEPT($E871:$V871,$E$1:$V$1))&gt;(AVERAGE($E871:$V871)+_xlfn.STDEV.P($E871:$V871)),(SLOPE($E871:$V871,$E$1:$V$1)*W$1+INTERCEPT($E871:$V871,$E$1:$V$1))&lt;(AVERAGE($E871:$V871)-_xlfn.STDEV.P($E871:$V871))),V871,(SLOPE($E871:$V871,$E$1:$V$1)*W$1+INTERCEPT($E871:$V871,$E$1:$V$1)))</f>
        <v>3335.4247587567597</v>
      </c>
      <c r="X871" s="5">
        <f t="shared" si="882"/>
        <v>3500.0016383006787</v>
      </c>
      <c r="Y871" s="5">
        <f t="shared" si="882"/>
        <v>3664.5785178445976</v>
      </c>
      <c r="Z871" s="5">
        <f t="shared" si="882"/>
        <v>3829.155397388517</v>
      </c>
      <c r="AA871" s="5">
        <f t="shared" si="882"/>
        <v>3993.732276932436</v>
      </c>
      <c r="AB871" s="5">
        <f t="shared" si="882"/>
        <v>4158.3091564763545</v>
      </c>
      <c r="AC871" s="5">
        <f t="shared" si="882"/>
        <v>4322.8860360202743</v>
      </c>
      <c r="AD871" s="5">
        <f t="shared" si="882"/>
        <v>4487.4629155641924</v>
      </c>
      <c r="AE871" s="5">
        <f t="shared" si="882"/>
        <v>4652.0397951081122</v>
      </c>
      <c r="AF871" s="5">
        <f t="shared" si="882"/>
        <v>4816.6166746520321</v>
      </c>
      <c r="AG871" s="5">
        <f t="shared" si="882"/>
        <v>4981.1935541959501</v>
      </c>
      <c r="AH871" s="5">
        <f t="shared" si="882"/>
        <v>5145.77043373987</v>
      </c>
    </row>
    <row r="872" spans="1:34" x14ac:dyDescent="0.35">
      <c r="A872" t="s">
        <v>892</v>
      </c>
      <c r="B872" s="3" t="s">
        <v>1264</v>
      </c>
      <c r="C872" s="4" t="s">
        <v>1263</v>
      </c>
      <c r="D872" s="2">
        <f t="shared" si="846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ref="W872:AH872" si="883">IF(OR((SLOPE($E872:$V872,$E$1:$V$1)*W$1+INTERCEPT($E872:$V872,$E$1:$V$1))&gt;(AVERAGE($E872:$V872)+_xlfn.STDEV.P($E872:$V872)),(SLOPE($E872:$V872,$E$1:$V$1)*W$1+INTERCEPT($E872:$V872,$E$1:$V$1))&lt;(AVERAGE($E872:$V872)-_xlfn.STDEV.P($E872:$V872))),V872,(SLOPE($E872:$V872,$E$1:$V$1)*W$1+INTERCEPT($E872:$V872,$E$1:$V$1)))</f>
        <v>1034.9297045751628</v>
      </c>
      <c r="X872" s="5">
        <f t="shared" si="883"/>
        <v>959.57007113863028</v>
      </c>
      <c r="Y872" s="5">
        <f t="shared" si="883"/>
        <v>884.21043770209758</v>
      </c>
      <c r="Z872" s="5">
        <f t="shared" si="883"/>
        <v>808.8508042655651</v>
      </c>
      <c r="AA872" s="5">
        <f t="shared" si="883"/>
        <v>733.49117082903263</v>
      </c>
      <c r="AB872" s="5">
        <f t="shared" si="883"/>
        <v>658.13153739249992</v>
      </c>
      <c r="AC872" s="5">
        <f t="shared" si="883"/>
        <v>582.77190395596745</v>
      </c>
      <c r="AD872" s="5">
        <f t="shared" si="883"/>
        <v>507.41227051943497</v>
      </c>
      <c r="AE872" s="5">
        <f t="shared" si="883"/>
        <v>432.05263708290249</v>
      </c>
      <c r="AF872" s="5">
        <f t="shared" si="883"/>
        <v>356.69300364637002</v>
      </c>
      <c r="AG872" s="5">
        <f t="shared" si="883"/>
        <v>281.33337020983708</v>
      </c>
      <c r="AH872" s="5">
        <f t="shared" si="883"/>
        <v>281.33337020983708</v>
      </c>
    </row>
    <row r="873" spans="1:34" x14ac:dyDescent="0.35">
      <c r="A873" t="s">
        <v>893</v>
      </c>
      <c r="B873" s="3" t="s">
        <v>1266</v>
      </c>
      <c r="C873" s="4" t="s">
        <v>1267</v>
      </c>
      <c r="D873" s="2">
        <f t="shared" si="846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ref="W873:AH873" si="884">IF(OR((SLOPE($E873:$V873,$E$1:$V$1)*W$1+INTERCEPT($E873:$V873,$E$1:$V$1))&gt;(AVERAGE($E873:$V873)+_xlfn.STDEV.P($E873:$V873)),(SLOPE($E873:$V873,$E$1:$V$1)*W$1+INTERCEPT($E873:$V873,$E$1:$V$1))&lt;(AVERAGE($E873:$V873)-_xlfn.STDEV.P($E873:$V873))),V873,(SLOPE($E873:$V873,$E$1:$V$1)*W$1+INTERCEPT($E873:$V873,$E$1:$V$1)))</f>
        <v>3294.7263486466754</v>
      </c>
      <c r="X873" s="5">
        <f t="shared" si="884"/>
        <v>3457.295082954899</v>
      </c>
      <c r="Y873" s="5">
        <f t="shared" si="884"/>
        <v>3619.8638172631236</v>
      </c>
      <c r="Z873" s="5">
        <f t="shared" si="884"/>
        <v>3782.4325515713472</v>
      </c>
      <c r="AA873" s="5">
        <f t="shared" si="884"/>
        <v>3945.0012858795717</v>
      </c>
      <c r="AB873" s="5">
        <f t="shared" si="884"/>
        <v>4107.5700201877962</v>
      </c>
      <c r="AC873" s="5">
        <f t="shared" si="884"/>
        <v>4270.1387544960198</v>
      </c>
      <c r="AD873" s="5">
        <f t="shared" si="884"/>
        <v>4432.7074888042443</v>
      </c>
      <c r="AE873" s="5">
        <f t="shared" si="884"/>
        <v>4595.276223112468</v>
      </c>
      <c r="AF873" s="5">
        <f t="shared" si="884"/>
        <v>4757.8449574206925</v>
      </c>
      <c r="AG873" s="5">
        <f t="shared" si="884"/>
        <v>4920.4136917289161</v>
      </c>
      <c r="AH873" s="5">
        <f t="shared" si="884"/>
        <v>5082.9824260371406</v>
      </c>
    </row>
    <row r="874" spans="1:34" x14ac:dyDescent="0.35">
      <c r="A874" t="s">
        <v>894</v>
      </c>
      <c r="B874" s="3" t="s">
        <v>1264</v>
      </c>
      <c r="C874" s="4" t="s">
        <v>1263</v>
      </c>
      <c r="D874" s="2">
        <f t="shared" si="846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ref="W874:AH874" si="885">IF(OR((SLOPE($E874:$V874,$E$1:$V$1)*W$1+INTERCEPT($E874:$V874,$E$1:$V$1))&gt;(AVERAGE($E874:$V874)+_xlfn.STDEV.P($E874:$V874)),(SLOPE($E874:$V874,$E$1:$V$1)*W$1+INTERCEPT($E874:$V874,$E$1:$V$1))&lt;(AVERAGE($E874:$V874)-_xlfn.STDEV.P($E874:$V874))),V874,(SLOPE($E874:$V874,$E$1:$V$1)*W$1+INTERCEPT($E874:$V874,$E$1:$V$1)))</f>
        <v>2775.613426400866</v>
      </c>
      <c r="X874" s="5">
        <f t="shared" si="885"/>
        <v>2884.8601280562375</v>
      </c>
      <c r="Y874" s="5">
        <f t="shared" si="885"/>
        <v>2994.106829711609</v>
      </c>
      <c r="Z874" s="5">
        <f t="shared" si="885"/>
        <v>3103.3535313669809</v>
      </c>
      <c r="AA874" s="5">
        <f t="shared" si="885"/>
        <v>3212.6002330223523</v>
      </c>
      <c r="AB874" s="5">
        <f t="shared" si="885"/>
        <v>3321.8469346777238</v>
      </c>
      <c r="AC874" s="5">
        <f t="shared" si="885"/>
        <v>3431.0936363330952</v>
      </c>
      <c r="AD874" s="5">
        <f t="shared" si="885"/>
        <v>3540.3403379884667</v>
      </c>
      <c r="AE874" s="5">
        <f t="shared" si="885"/>
        <v>3649.5870396438386</v>
      </c>
      <c r="AF874" s="5">
        <f t="shared" si="885"/>
        <v>3758.83374129921</v>
      </c>
      <c r="AG874" s="5">
        <f t="shared" si="885"/>
        <v>3868.0804429545815</v>
      </c>
      <c r="AH874" s="5">
        <f t="shared" si="885"/>
        <v>3977.3271446099534</v>
      </c>
    </row>
    <row r="875" spans="1:34" x14ac:dyDescent="0.35">
      <c r="A875" t="s">
        <v>895</v>
      </c>
      <c r="B875" s="3" t="s">
        <v>1265</v>
      </c>
      <c r="C875" s="4" t="s">
        <v>1263</v>
      </c>
      <c r="D875" s="2">
        <f t="shared" si="846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ref="W875:AH875" si="886">IF(OR((SLOPE($E875:$V875,$E$1:$V$1)*W$1+INTERCEPT($E875:$V875,$E$1:$V$1))&gt;(AVERAGE($E875:$V875)+_xlfn.STDEV.P($E875:$V875)),(SLOPE($E875:$V875,$E$1:$V$1)*W$1+INTERCEPT($E875:$V875,$E$1:$V$1))&lt;(AVERAGE($E875:$V875)-_xlfn.STDEV.P($E875:$V875))),V875,(SLOPE($E875:$V875,$E$1:$V$1)*W$1+INTERCEPT($E875:$V875,$E$1:$V$1)))</f>
        <v>1749.424398103122</v>
      </c>
      <c r="X875" s="5">
        <f t="shared" si="886"/>
        <v>1751.2641026358558</v>
      </c>
      <c r="Y875" s="5">
        <f t="shared" si="886"/>
        <v>1753.1038071685898</v>
      </c>
      <c r="Z875" s="5">
        <f t="shared" si="886"/>
        <v>1754.9435117013236</v>
      </c>
      <c r="AA875" s="5">
        <f t="shared" si="886"/>
        <v>1756.7832162340574</v>
      </c>
      <c r="AB875" s="5">
        <f t="shared" si="886"/>
        <v>1758.6229207667914</v>
      </c>
      <c r="AC875" s="5">
        <f t="shared" si="886"/>
        <v>1760.4626252995251</v>
      </c>
      <c r="AD875" s="5">
        <f t="shared" si="886"/>
        <v>1762.3023298322591</v>
      </c>
      <c r="AE875" s="5">
        <f t="shared" si="886"/>
        <v>1764.1420343649929</v>
      </c>
      <c r="AF875" s="5">
        <f t="shared" si="886"/>
        <v>1765.9817388977267</v>
      </c>
      <c r="AG875" s="5">
        <f t="shared" si="886"/>
        <v>1767.8214434304607</v>
      </c>
      <c r="AH875" s="5">
        <f t="shared" si="886"/>
        <v>1769.6611479631945</v>
      </c>
    </row>
    <row r="876" spans="1:34" x14ac:dyDescent="0.35">
      <c r="A876" t="s">
        <v>896</v>
      </c>
      <c r="B876" s="3" t="s">
        <v>1264</v>
      </c>
      <c r="C876" s="4" t="s">
        <v>1263</v>
      </c>
      <c r="D876" s="2">
        <f t="shared" si="846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ref="W876:AH876" si="887">IF(OR((SLOPE($E876:$V876,$E$1:$V$1)*W$1+INTERCEPT($E876:$V876,$E$1:$V$1))&gt;(AVERAGE($E876:$V876)+_xlfn.STDEV.P($E876:$V876)),(SLOPE($E876:$V876,$E$1:$V$1)*W$1+INTERCEPT($E876:$V876,$E$1:$V$1))&lt;(AVERAGE($E876:$V876)-_xlfn.STDEV.P($E876:$V876))),V876,(SLOPE($E876:$V876,$E$1:$V$1)*W$1+INTERCEPT($E876:$V876,$E$1:$V$1)))</f>
        <v>3852.7688110926774</v>
      </c>
      <c r="X876" s="5">
        <f t="shared" si="887"/>
        <v>4076.8910965025007</v>
      </c>
      <c r="Y876" s="5">
        <f t="shared" si="887"/>
        <v>4301.0133819123239</v>
      </c>
      <c r="Z876" s="5">
        <f t="shared" si="887"/>
        <v>4525.1356673221471</v>
      </c>
      <c r="AA876" s="5">
        <f t="shared" si="887"/>
        <v>4749.2579527319704</v>
      </c>
      <c r="AB876" s="5">
        <f t="shared" si="887"/>
        <v>4973.3802381417945</v>
      </c>
      <c r="AC876" s="5">
        <f t="shared" si="887"/>
        <v>5197.5025235516177</v>
      </c>
      <c r="AD876" s="5">
        <f t="shared" si="887"/>
        <v>5421.624808961441</v>
      </c>
      <c r="AE876" s="5">
        <f t="shared" si="887"/>
        <v>5645.7470943712642</v>
      </c>
      <c r="AF876" s="5">
        <f t="shared" si="887"/>
        <v>5869.8693797810874</v>
      </c>
      <c r="AG876" s="5">
        <f t="shared" si="887"/>
        <v>6093.9916651909107</v>
      </c>
      <c r="AH876" s="5">
        <f t="shared" si="887"/>
        <v>6318.1139506007339</v>
      </c>
    </row>
    <row r="877" spans="1:34" x14ac:dyDescent="0.35">
      <c r="A877" t="s">
        <v>897</v>
      </c>
      <c r="B877" s="3" t="s">
        <v>1265</v>
      </c>
      <c r="C877" s="4" t="s">
        <v>1263</v>
      </c>
      <c r="D877" s="2">
        <f t="shared" si="846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ref="W877:AH877" si="888">IF(OR((SLOPE($E877:$V877,$E$1:$V$1)*W$1+INTERCEPT($E877:$V877,$E$1:$V$1))&gt;(AVERAGE($E877:$V877)+_xlfn.STDEV.P($E877:$V877)),(SLOPE($E877:$V877,$E$1:$V$1)*W$1+INTERCEPT($E877:$V877,$E$1:$V$1))&lt;(AVERAGE($E877:$V877)-_xlfn.STDEV.P($E877:$V877))),V877,(SLOPE($E877:$V877,$E$1:$V$1)*W$1+INTERCEPT($E877:$V877,$E$1:$V$1)))</f>
        <v>266.02533919663529</v>
      </c>
      <c r="X877" s="5">
        <f t="shared" si="888"/>
        <v>114.79406678713394</v>
      </c>
      <c r="Y877" s="5">
        <f t="shared" si="888"/>
        <v>-36.437205622367401</v>
      </c>
      <c r="Z877" s="5">
        <f t="shared" si="888"/>
        <v>-187.66847803186829</v>
      </c>
      <c r="AA877" s="5">
        <f t="shared" si="888"/>
        <v>-338.89975044136963</v>
      </c>
      <c r="AB877" s="5">
        <f t="shared" si="888"/>
        <v>-490.13102285087098</v>
      </c>
      <c r="AC877" s="5">
        <f t="shared" si="888"/>
        <v>-641.36229526037232</v>
      </c>
      <c r="AD877" s="5">
        <f t="shared" si="888"/>
        <v>-792.59356766987366</v>
      </c>
      <c r="AE877" s="5">
        <f t="shared" si="888"/>
        <v>-943.82484007937455</v>
      </c>
      <c r="AF877" s="5">
        <f t="shared" si="888"/>
        <v>-1095.0561124888754</v>
      </c>
      <c r="AG877" s="5">
        <f t="shared" si="888"/>
        <v>-1246.2873848983772</v>
      </c>
      <c r="AH877" s="5">
        <f t="shared" si="888"/>
        <v>-1397.5186573078781</v>
      </c>
    </row>
    <row r="878" spans="1:34" x14ac:dyDescent="0.35">
      <c r="A878" t="s">
        <v>898</v>
      </c>
      <c r="B878" s="3" t="s">
        <v>1266</v>
      </c>
      <c r="C878" s="4" t="s">
        <v>1267</v>
      </c>
      <c r="D878" s="2">
        <f t="shared" si="846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ref="W878:AH878" si="889">IF(OR((SLOPE($E878:$V878,$E$1:$V$1)*W$1+INTERCEPT($E878:$V878,$E$1:$V$1))&gt;(AVERAGE($E878:$V878)+_xlfn.STDEV.P($E878:$V878)),(SLOPE($E878:$V878,$E$1:$V$1)*W$1+INTERCEPT($E878:$V878,$E$1:$V$1))&lt;(AVERAGE($E878:$V878)-_xlfn.STDEV.P($E878:$V878))),V878,(SLOPE($E878:$V878,$E$1:$V$1)*W$1+INTERCEPT($E878:$V878,$E$1:$V$1)))</f>
        <v>3195.1104970219749</v>
      </c>
      <c r="X878" s="5">
        <f t="shared" si="889"/>
        <v>3352.7639754934535</v>
      </c>
      <c r="Y878" s="5">
        <f t="shared" si="889"/>
        <v>3510.417453964933</v>
      </c>
      <c r="Z878" s="5">
        <f t="shared" si="889"/>
        <v>3668.0709324364116</v>
      </c>
      <c r="AA878" s="5">
        <f t="shared" si="889"/>
        <v>3825.7244109078911</v>
      </c>
      <c r="AB878" s="5">
        <f t="shared" si="889"/>
        <v>3983.3778893793697</v>
      </c>
      <c r="AC878" s="5">
        <f t="shared" si="889"/>
        <v>4141.0313678508492</v>
      </c>
      <c r="AD878" s="5">
        <f t="shared" si="889"/>
        <v>4298.6848463223278</v>
      </c>
      <c r="AE878" s="5">
        <f t="shared" si="889"/>
        <v>4456.3383247938073</v>
      </c>
      <c r="AF878" s="5">
        <f t="shared" si="889"/>
        <v>4613.9918032652859</v>
      </c>
      <c r="AG878" s="5">
        <f t="shared" si="889"/>
        <v>4771.6452817367644</v>
      </c>
      <c r="AH878" s="5">
        <f t="shared" si="889"/>
        <v>4929.2987602082439</v>
      </c>
    </row>
    <row r="879" spans="1:34" x14ac:dyDescent="0.35">
      <c r="A879" t="s">
        <v>899</v>
      </c>
      <c r="B879" s="3" t="s">
        <v>1264</v>
      </c>
      <c r="C879" s="4" t="s">
        <v>1263</v>
      </c>
      <c r="D879" s="2">
        <f t="shared" si="846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ref="W879:AH879" si="890">IF(OR((SLOPE($E879:$V879,$E$1:$V$1)*W$1+INTERCEPT($E879:$V879,$E$1:$V$1))&gt;(AVERAGE($E879:$V879)+_xlfn.STDEV.P($E879:$V879)),(SLOPE($E879:$V879,$E$1:$V$1)*W$1+INTERCEPT($E879:$V879,$E$1:$V$1))&lt;(AVERAGE($E879:$V879)-_xlfn.STDEV.P($E879:$V879))),V879,(SLOPE($E879:$V879,$E$1:$V$1)*W$1+INTERCEPT($E879:$V879,$E$1:$V$1)))</f>
        <v>441.25044444444438</v>
      </c>
      <c r="X879" s="5">
        <f t="shared" si="890"/>
        <v>309.58624093567232</v>
      </c>
      <c r="Y879" s="5">
        <f t="shared" si="890"/>
        <v>177.92203742690072</v>
      </c>
      <c r="Z879" s="5">
        <f t="shared" si="890"/>
        <v>46.257833918128654</v>
      </c>
      <c r="AA879" s="5">
        <f t="shared" si="890"/>
        <v>-85.406369590643408</v>
      </c>
      <c r="AB879" s="5">
        <f t="shared" si="890"/>
        <v>-217.07057309941501</v>
      </c>
      <c r="AC879" s="5">
        <f t="shared" si="890"/>
        <v>-348.73477660818708</v>
      </c>
      <c r="AD879" s="5">
        <f t="shared" si="890"/>
        <v>-480.39898011695914</v>
      </c>
      <c r="AE879" s="5">
        <f t="shared" si="890"/>
        <v>-612.0631836257312</v>
      </c>
      <c r="AF879" s="5">
        <f t="shared" si="890"/>
        <v>-743.72738713450281</v>
      </c>
      <c r="AG879" s="5">
        <f t="shared" si="890"/>
        <v>-743.72738713450281</v>
      </c>
      <c r="AH879" s="5">
        <f t="shared" si="890"/>
        <v>-743.72738713450281</v>
      </c>
    </row>
    <row r="880" spans="1:34" x14ac:dyDescent="0.35">
      <c r="A880" t="s">
        <v>900</v>
      </c>
      <c r="B880" s="3" t="s">
        <v>1266</v>
      </c>
      <c r="C880" s="4" t="s">
        <v>1267</v>
      </c>
      <c r="D880" s="2">
        <f t="shared" si="846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ref="W880:AH880" si="891">IF(OR((SLOPE($E880:$V880,$E$1:$V$1)*W$1+INTERCEPT($E880:$V880,$E$1:$V$1))&gt;(AVERAGE($E880:$V880)+_xlfn.STDEV.P($E880:$V880)),(SLOPE($E880:$V880,$E$1:$V$1)*W$1+INTERCEPT($E880:$V880,$E$1:$V$1))&lt;(AVERAGE($E880:$V880)-_xlfn.STDEV.P($E880:$V880))),V880,(SLOPE($E880:$V880,$E$1:$V$1)*W$1+INTERCEPT($E880:$V880,$E$1:$V$1)))</f>
        <v>5326.1715143325437</v>
      </c>
      <c r="X880" s="5">
        <f t="shared" si="891"/>
        <v>5710.5477944236945</v>
      </c>
      <c r="Y880" s="5">
        <f t="shared" si="891"/>
        <v>6094.9240745148445</v>
      </c>
      <c r="Z880" s="5">
        <f t="shared" si="891"/>
        <v>6479.3003546059963</v>
      </c>
      <c r="AA880" s="5">
        <f t="shared" si="891"/>
        <v>6479.3003546059963</v>
      </c>
      <c r="AB880" s="5">
        <f t="shared" si="891"/>
        <v>6479.3003546059963</v>
      </c>
      <c r="AC880" s="5">
        <f t="shared" si="891"/>
        <v>6479.3003546059963</v>
      </c>
      <c r="AD880" s="5">
        <f t="shared" si="891"/>
        <v>6479.3003546059963</v>
      </c>
      <c r="AE880" s="5">
        <f t="shared" si="891"/>
        <v>6479.3003546059963</v>
      </c>
      <c r="AF880" s="5">
        <f t="shared" si="891"/>
        <v>6479.3003546059963</v>
      </c>
      <c r="AG880" s="5">
        <f t="shared" si="891"/>
        <v>6479.3003546059963</v>
      </c>
      <c r="AH880" s="5">
        <f t="shared" si="891"/>
        <v>6479.3003546059963</v>
      </c>
    </row>
    <row r="881" spans="1:34" x14ac:dyDescent="0.35">
      <c r="A881" t="s">
        <v>901</v>
      </c>
      <c r="B881" s="3" t="s">
        <v>1266</v>
      </c>
      <c r="C881" s="4" t="s">
        <v>1266</v>
      </c>
      <c r="D881" s="2">
        <f t="shared" si="846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ref="W881:AH881" si="892">IF(OR((SLOPE($E881:$V881,$E$1:$V$1)*W$1+INTERCEPT($E881:$V881,$E$1:$V$1))&gt;(AVERAGE($E881:$V881)+_xlfn.STDEV.P($E881:$V881)),(SLOPE($E881:$V881,$E$1:$V$1)*W$1+INTERCEPT($E881:$V881,$E$1:$V$1))&lt;(AVERAGE($E881:$V881)-_xlfn.STDEV.P($E881:$V881))),V881,(SLOPE($E881:$V881,$E$1:$V$1)*W$1+INTERCEPT($E881:$V881,$E$1:$V$1)))</f>
        <v>3018.7159834581607</v>
      </c>
      <c r="X881" s="5">
        <f t="shared" si="892"/>
        <v>3161.5248428911673</v>
      </c>
      <c r="Y881" s="5">
        <f t="shared" si="892"/>
        <v>3304.3337023241738</v>
      </c>
      <c r="Z881" s="5">
        <f t="shared" si="892"/>
        <v>3447.1425617571804</v>
      </c>
      <c r="AA881" s="5">
        <f t="shared" si="892"/>
        <v>3589.9514211901869</v>
      </c>
      <c r="AB881" s="5">
        <f t="shared" si="892"/>
        <v>3732.7602806231935</v>
      </c>
      <c r="AC881" s="5">
        <f t="shared" si="892"/>
        <v>3875.5691400562009</v>
      </c>
      <c r="AD881" s="5">
        <f t="shared" si="892"/>
        <v>4018.3779994892075</v>
      </c>
      <c r="AE881" s="5">
        <f t="shared" si="892"/>
        <v>4161.186858922214</v>
      </c>
      <c r="AF881" s="5">
        <f t="shared" si="892"/>
        <v>4303.9957183552206</v>
      </c>
      <c r="AG881" s="5">
        <f t="shared" si="892"/>
        <v>4446.8045777882271</v>
      </c>
      <c r="AH881" s="5">
        <f t="shared" si="892"/>
        <v>4589.6134372212337</v>
      </c>
    </row>
    <row r="882" spans="1:34" x14ac:dyDescent="0.35">
      <c r="A882" t="s">
        <v>902</v>
      </c>
      <c r="B882" s="3" t="s">
        <v>1264</v>
      </c>
      <c r="C882" s="4" t="s">
        <v>1263</v>
      </c>
      <c r="D882" s="2">
        <f t="shared" si="846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ref="W882:AH882" si="893">IF(OR((SLOPE($E882:$V882,$E$1:$V$1)*W$1+INTERCEPT($E882:$V882,$E$1:$V$1))&gt;(AVERAGE($E882:$V882)+_xlfn.STDEV.P($E882:$V882)),(SLOPE($E882:$V882,$E$1:$V$1)*W$1+INTERCEPT($E882:$V882,$E$1:$V$1))&lt;(AVERAGE($E882:$V882)-_xlfn.STDEV.P($E882:$V882))),V882,(SLOPE($E882:$V882,$E$1:$V$1)*W$1+INTERCEPT($E882:$V882,$E$1:$V$1)))</f>
        <v>4231.3737858177183</v>
      </c>
      <c r="X882" s="5">
        <f t="shared" si="893"/>
        <v>4504.6921882509205</v>
      </c>
      <c r="Y882" s="5">
        <f t="shared" si="893"/>
        <v>4778.0105906841218</v>
      </c>
      <c r="Z882" s="5">
        <f t="shared" si="893"/>
        <v>5051.328993117324</v>
      </c>
      <c r="AA882" s="5">
        <f t="shared" si="893"/>
        <v>5324.6473955505262</v>
      </c>
      <c r="AB882" s="5">
        <f t="shared" si="893"/>
        <v>5597.9657979837275</v>
      </c>
      <c r="AC882" s="5">
        <f t="shared" si="893"/>
        <v>5871.2842004169297</v>
      </c>
      <c r="AD882" s="5">
        <f t="shared" si="893"/>
        <v>6144.6026028501319</v>
      </c>
      <c r="AE882" s="5">
        <f t="shared" si="893"/>
        <v>6417.9210052833341</v>
      </c>
      <c r="AF882" s="5">
        <f t="shared" si="893"/>
        <v>6691.2394077165354</v>
      </c>
      <c r="AG882" s="5">
        <f t="shared" si="893"/>
        <v>6964.5578101497376</v>
      </c>
      <c r="AH882" s="5">
        <f t="shared" si="893"/>
        <v>7237.8762125829389</v>
      </c>
    </row>
    <row r="883" spans="1:34" x14ac:dyDescent="0.35">
      <c r="A883" t="s">
        <v>903</v>
      </c>
      <c r="B883" s="3" t="s">
        <v>1266</v>
      </c>
      <c r="C883" s="4" t="s">
        <v>1267</v>
      </c>
      <c r="D883" s="2">
        <f t="shared" si="846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ref="W883:AH883" si="894">IF(OR((SLOPE($E883:$V883,$E$1:$V$1)*W$1+INTERCEPT($E883:$V883,$E$1:$V$1))&gt;(AVERAGE($E883:$V883)+_xlfn.STDEV.P($E883:$V883)),(SLOPE($E883:$V883,$E$1:$V$1)*W$1+INTERCEPT($E883:$V883,$E$1:$V$1))&lt;(AVERAGE($E883:$V883)-_xlfn.STDEV.P($E883:$V883))),V883,(SLOPE($E883:$V883,$E$1:$V$1)*W$1+INTERCEPT($E883:$V883,$E$1:$V$1)))</f>
        <v>-2114.3807836638252</v>
      </c>
      <c r="X883" s="5">
        <f t="shared" si="894"/>
        <v>-2508.9303078881749</v>
      </c>
      <c r="Y883" s="5">
        <f t="shared" si="894"/>
        <v>-2903.4798321125254</v>
      </c>
      <c r="Z883" s="5">
        <f t="shared" si="894"/>
        <v>-3298.0293563368759</v>
      </c>
      <c r="AA883" s="5">
        <f t="shared" si="894"/>
        <v>-3692.5788805612265</v>
      </c>
      <c r="AB883" s="5">
        <f t="shared" si="894"/>
        <v>-4087.128404785577</v>
      </c>
      <c r="AC883" s="5">
        <f t="shared" si="894"/>
        <v>-4481.6779290099257</v>
      </c>
      <c r="AD883" s="5">
        <f t="shared" si="894"/>
        <v>-4876.2274532342763</v>
      </c>
      <c r="AE883" s="5">
        <f t="shared" si="894"/>
        <v>-4876.2274532342763</v>
      </c>
      <c r="AF883" s="5">
        <f t="shared" si="894"/>
        <v>-4876.2274532342763</v>
      </c>
      <c r="AG883" s="5">
        <f t="shared" si="894"/>
        <v>-4876.2274532342763</v>
      </c>
      <c r="AH883" s="5">
        <f t="shared" si="894"/>
        <v>-4876.2274532342763</v>
      </c>
    </row>
    <row r="884" spans="1:34" x14ac:dyDescent="0.35">
      <c r="A884" t="s">
        <v>904</v>
      </c>
      <c r="B884" s="3" t="s">
        <v>1266</v>
      </c>
      <c r="C884" s="4" t="s">
        <v>1267</v>
      </c>
      <c r="D884" s="2">
        <f t="shared" si="846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ref="W884:AH884" si="895">IF(OR((SLOPE($E884:$V884,$E$1:$V$1)*W$1+INTERCEPT($E884:$V884,$E$1:$V$1))&gt;(AVERAGE($E884:$V884)+_xlfn.STDEV.P($E884:$V884)),(SLOPE($E884:$V884,$E$1:$V$1)*W$1+INTERCEPT($E884:$V884,$E$1:$V$1))&lt;(AVERAGE($E884:$V884)-_xlfn.STDEV.P($E884:$V884))),V884,(SLOPE($E884:$V884,$E$1:$V$1)*W$1+INTERCEPT($E884:$V884,$E$1:$V$1)))</f>
        <v>4970.524559355259</v>
      </c>
      <c r="X884" s="5">
        <f t="shared" si="895"/>
        <v>5322.4824827248685</v>
      </c>
      <c r="Y884" s="5">
        <f t="shared" si="895"/>
        <v>5674.4404060944762</v>
      </c>
      <c r="Z884" s="5">
        <f t="shared" si="895"/>
        <v>6026.3983294640857</v>
      </c>
      <c r="AA884" s="5">
        <f t="shared" si="895"/>
        <v>6378.3562528336952</v>
      </c>
      <c r="AB884" s="5">
        <f t="shared" si="895"/>
        <v>6378.3562528336952</v>
      </c>
      <c r="AC884" s="5">
        <f t="shared" si="895"/>
        <v>6378.3562528336952</v>
      </c>
      <c r="AD884" s="5">
        <f t="shared" si="895"/>
        <v>6378.3562528336952</v>
      </c>
      <c r="AE884" s="5">
        <f t="shared" si="895"/>
        <v>6378.3562528336952</v>
      </c>
      <c r="AF884" s="5">
        <f t="shared" si="895"/>
        <v>6378.3562528336952</v>
      </c>
      <c r="AG884" s="5">
        <f t="shared" si="895"/>
        <v>6378.3562528336952</v>
      </c>
      <c r="AH884" s="5">
        <f t="shared" si="895"/>
        <v>6378.3562528336952</v>
      </c>
    </row>
    <row r="885" spans="1:34" x14ac:dyDescent="0.35">
      <c r="A885" t="s">
        <v>905</v>
      </c>
      <c r="B885" s="3" t="s">
        <v>1266</v>
      </c>
      <c r="C885" s="4" t="s">
        <v>1263</v>
      </c>
      <c r="D885" s="2">
        <f t="shared" si="846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H885" si="896">IF(OR((SLOPE($E885:$V885,$E$1:$V$1)*W$1+INTERCEPT($E885:$V885,$E$1:$V$1))&gt;(AVERAGE($E885:$V885)+_xlfn.STDEV.P($E885:$V885)),(SLOPE($E885:$V885,$E$1:$V$1)*W$1+INTERCEPT($E885:$V885,$E$1:$V$1))&lt;(AVERAGE($E885:$V885)-_xlfn.STDEV.P($E885:$V885))),V885,(SLOPE($E885:$V885,$E$1:$V$1)*W$1+INTERCEPT($E885:$V885,$E$1:$V$1)))</f>
        <v>3753.4024554440866</v>
      </c>
      <c r="X885" s="5">
        <f t="shared" si="896"/>
        <v>3978.4811278786274</v>
      </c>
      <c r="Y885" s="5">
        <f t="shared" si="896"/>
        <v>4203.5598003131681</v>
      </c>
      <c r="Z885" s="5">
        <f t="shared" si="896"/>
        <v>4428.6384727477089</v>
      </c>
      <c r="AA885" s="5">
        <f t="shared" si="896"/>
        <v>4653.7171451822505</v>
      </c>
      <c r="AB885" s="5">
        <f t="shared" si="896"/>
        <v>4878.7958176167913</v>
      </c>
      <c r="AC885" s="5">
        <f t="shared" si="896"/>
        <v>5103.874490051332</v>
      </c>
      <c r="AD885" s="5">
        <f t="shared" si="896"/>
        <v>5328.9531624858728</v>
      </c>
      <c r="AE885" s="5">
        <f t="shared" si="896"/>
        <v>5554.0318349204135</v>
      </c>
      <c r="AF885" s="5">
        <f t="shared" si="896"/>
        <v>5779.1105073549543</v>
      </c>
      <c r="AG885" s="5">
        <f t="shared" si="896"/>
        <v>6004.1891797894959</v>
      </c>
      <c r="AH885" s="5">
        <f t="shared" si="896"/>
        <v>6229.2678522240367</v>
      </c>
    </row>
    <row r="886" spans="1:34" x14ac:dyDescent="0.35">
      <c r="A886" t="s">
        <v>906</v>
      </c>
      <c r="B886" s="3" t="s">
        <v>1264</v>
      </c>
      <c r="C886" s="4" t="s">
        <v>1263</v>
      </c>
      <c r="D886" s="2">
        <f t="shared" si="846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ref="W886:AH886" si="897">IF(OR((SLOPE($E886:$V886,$E$1:$V$1)*W$1+INTERCEPT($E886:$V886,$E$1:$V$1))&gt;(AVERAGE($E886:$V886)+_xlfn.STDEV.P($E886:$V886)),(SLOPE($E886:$V886,$E$1:$V$1)*W$1+INTERCEPT($E886:$V886,$E$1:$V$1))&lt;(AVERAGE($E886:$V886)-_xlfn.STDEV.P($E886:$V886))),V886,(SLOPE($E886:$V886,$E$1:$V$1)*W$1+INTERCEPT($E886:$V886,$E$1:$V$1)))</f>
        <v>921.11263267973845</v>
      </c>
      <c r="X886" s="5">
        <f t="shared" si="897"/>
        <v>848.66504547643603</v>
      </c>
      <c r="Y886" s="5">
        <f t="shared" si="897"/>
        <v>776.21745827313362</v>
      </c>
      <c r="Z886" s="5">
        <f t="shared" si="897"/>
        <v>703.7698710698312</v>
      </c>
      <c r="AA886" s="5">
        <f t="shared" si="897"/>
        <v>631.32228386652878</v>
      </c>
      <c r="AB886" s="5">
        <f t="shared" si="897"/>
        <v>558.87469666322659</v>
      </c>
      <c r="AC886" s="5">
        <f t="shared" si="897"/>
        <v>558.87469666322659</v>
      </c>
      <c r="AD886" s="5">
        <f t="shared" si="897"/>
        <v>558.87469666322659</v>
      </c>
      <c r="AE886" s="5">
        <f t="shared" si="897"/>
        <v>558.87469666322659</v>
      </c>
      <c r="AF886" s="5">
        <f t="shared" si="897"/>
        <v>558.87469666322659</v>
      </c>
      <c r="AG886" s="5">
        <f t="shared" si="897"/>
        <v>558.87469666322659</v>
      </c>
      <c r="AH886" s="5">
        <f t="shared" si="897"/>
        <v>558.87469666322659</v>
      </c>
    </row>
    <row r="887" spans="1:34" x14ac:dyDescent="0.35">
      <c r="A887" t="s">
        <v>907</v>
      </c>
      <c r="B887" s="3" t="s">
        <v>1266</v>
      </c>
      <c r="C887" s="4" t="s">
        <v>1267</v>
      </c>
      <c r="D887" s="2">
        <f t="shared" si="846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ref="W887:AH887" si="898">IF(OR((SLOPE($E887:$V887,$E$1:$V$1)*W$1+INTERCEPT($E887:$V887,$E$1:$V$1))&gt;(AVERAGE($E887:$V887)+_xlfn.STDEV.P($E887:$V887)),(SLOPE($E887:$V887,$E$1:$V$1)*W$1+INTERCEPT($E887:$V887,$E$1:$V$1))&lt;(AVERAGE($E887:$V887)-_xlfn.STDEV.P($E887:$V887))),V887,(SLOPE($E887:$V887,$E$1:$V$1)*W$1+INTERCEPT($E887:$V887,$E$1:$V$1)))</f>
        <v>-920.8336756471731</v>
      </c>
      <c r="X887" s="5">
        <f t="shared" si="898"/>
        <v>-1184.6428771820542</v>
      </c>
      <c r="Y887" s="5">
        <f t="shared" si="898"/>
        <v>-1448.4520787169363</v>
      </c>
      <c r="Z887" s="5">
        <f t="shared" si="898"/>
        <v>-1712.2612802518183</v>
      </c>
      <c r="AA887" s="5">
        <f t="shared" si="898"/>
        <v>-1976.0704817866995</v>
      </c>
      <c r="AB887" s="5">
        <f t="shared" si="898"/>
        <v>-2239.8796833215815</v>
      </c>
      <c r="AC887" s="5">
        <f t="shared" si="898"/>
        <v>-2503.6888848564636</v>
      </c>
      <c r="AD887" s="5">
        <f t="shared" si="898"/>
        <v>-2767.4980863913447</v>
      </c>
      <c r="AE887" s="5">
        <f t="shared" si="898"/>
        <v>-2767.4980863913447</v>
      </c>
      <c r="AF887" s="5">
        <f t="shared" si="898"/>
        <v>-2767.4980863913447</v>
      </c>
      <c r="AG887" s="5">
        <f t="shared" si="898"/>
        <v>-2767.4980863913447</v>
      </c>
      <c r="AH887" s="5">
        <f t="shared" si="898"/>
        <v>-2767.4980863913447</v>
      </c>
    </row>
    <row r="888" spans="1:34" x14ac:dyDescent="0.35">
      <c r="A888" t="s">
        <v>908</v>
      </c>
      <c r="B888" s="3" t="s">
        <v>1266</v>
      </c>
      <c r="C888" s="4" t="s">
        <v>1263</v>
      </c>
      <c r="D888" s="2">
        <f t="shared" si="846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ref="W888:AH888" si="899">IF(OR((SLOPE($E888:$V888,$E$1:$V$1)*W$1+INTERCEPT($E888:$V888,$E$1:$V$1))&gt;(AVERAGE($E888:$V888)+_xlfn.STDEV.P($E888:$V888)),(SLOPE($E888:$V888,$E$1:$V$1)*W$1+INTERCEPT($E888:$V888,$E$1:$V$1))&lt;(AVERAGE($E888:$V888)-_xlfn.STDEV.P($E888:$V888))),V888,(SLOPE($E888:$V888,$E$1:$V$1)*W$1+INTERCEPT($E888:$V888,$E$1:$V$1)))</f>
        <v>-1017.0377309752366</v>
      </c>
      <c r="X888" s="5">
        <f t="shared" si="899"/>
        <v>-1288.6524163694221</v>
      </c>
      <c r="Y888" s="5">
        <f t="shared" si="899"/>
        <v>-1560.2671017636076</v>
      </c>
      <c r="Z888" s="5">
        <f t="shared" si="899"/>
        <v>-1831.8817871577921</v>
      </c>
      <c r="AA888" s="5">
        <f t="shared" si="899"/>
        <v>-2103.4964725519776</v>
      </c>
      <c r="AB888" s="5">
        <f t="shared" si="899"/>
        <v>-2375.1111579461631</v>
      </c>
      <c r="AC888" s="5">
        <f t="shared" si="899"/>
        <v>-2646.7258433403485</v>
      </c>
      <c r="AD888" s="5">
        <f t="shared" si="899"/>
        <v>-2918.340528734534</v>
      </c>
      <c r="AE888" s="5">
        <f t="shared" si="899"/>
        <v>-2918.340528734534</v>
      </c>
      <c r="AF888" s="5">
        <f t="shared" si="899"/>
        <v>-2918.340528734534</v>
      </c>
      <c r="AG888" s="5">
        <f t="shared" si="899"/>
        <v>-2918.340528734534</v>
      </c>
      <c r="AH888" s="5">
        <f t="shared" si="899"/>
        <v>-2918.340528734534</v>
      </c>
    </row>
    <row r="889" spans="1:34" x14ac:dyDescent="0.35">
      <c r="A889" t="s">
        <v>909</v>
      </c>
      <c r="B889" s="3" t="s">
        <v>1266</v>
      </c>
      <c r="C889" s="4" t="s">
        <v>1267</v>
      </c>
      <c r="D889" s="2">
        <f t="shared" si="846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ref="W889:AH889" si="900">IF(OR((SLOPE($E889:$V889,$E$1:$V$1)*W$1+INTERCEPT($E889:$V889,$E$1:$V$1))&gt;(AVERAGE($E889:$V889)+_xlfn.STDEV.P($E889:$V889)),(SLOPE($E889:$V889,$E$1:$V$1)*W$1+INTERCEPT($E889:$V889,$E$1:$V$1))&lt;(AVERAGE($E889:$V889)-_xlfn.STDEV.P($E889:$V889))),V889,(SLOPE($E889:$V889,$E$1:$V$1)*W$1+INTERCEPT($E889:$V889,$E$1:$V$1)))</f>
        <v>3234.970648668439</v>
      </c>
      <c r="X889" s="5">
        <f t="shared" si="900"/>
        <v>3412.7572001724029</v>
      </c>
      <c r="Y889" s="5">
        <f t="shared" si="900"/>
        <v>3590.5437516763668</v>
      </c>
      <c r="Z889" s="5">
        <f t="shared" si="900"/>
        <v>3768.3303031803307</v>
      </c>
      <c r="AA889" s="5">
        <f t="shared" si="900"/>
        <v>3946.1168546842955</v>
      </c>
      <c r="AB889" s="5">
        <f t="shared" si="900"/>
        <v>4123.9034061882594</v>
      </c>
      <c r="AC889" s="5">
        <f t="shared" si="900"/>
        <v>4301.6899576922233</v>
      </c>
      <c r="AD889" s="5">
        <f t="shared" si="900"/>
        <v>4479.4765091961872</v>
      </c>
      <c r="AE889" s="5">
        <f t="shared" si="900"/>
        <v>4657.263060700152</v>
      </c>
      <c r="AF889" s="5">
        <f t="shared" si="900"/>
        <v>4835.0496122041159</v>
      </c>
      <c r="AG889" s="5">
        <f t="shared" si="900"/>
        <v>5012.8361637080798</v>
      </c>
      <c r="AH889" s="5">
        <f t="shared" si="900"/>
        <v>5190.6227152120437</v>
      </c>
    </row>
    <row r="890" spans="1:34" x14ac:dyDescent="0.35">
      <c r="A890" t="s">
        <v>910</v>
      </c>
      <c r="B890" s="3" t="s">
        <v>1264</v>
      </c>
      <c r="C890" s="4" t="s">
        <v>1263</v>
      </c>
      <c r="D890" s="2">
        <f t="shared" si="846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ref="W890:AH890" si="901">IF(OR((SLOPE($E890:$V890,$E$1:$V$1)*W$1+INTERCEPT($E890:$V890,$E$1:$V$1))&gt;(AVERAGE($E890:$V890)+_xlfn.STDEV.P($E890:$V890)),(SLOPE($E890:$V890,$E$1:$V$1)*W$1+INTERCEPT($E890:$V890,$E$1:$V$1))&lt;(AVERAGE($E890:$V890)-_xlfn.STDEV.P($E890:$V890))),V890,(SLOPE($E890:$V890,$E$1:$V$1)*W$1+INTERCEPT($E890:$V890,$E$1:$V$1)))</f>
        <v>2958.0594899766184</v>
      </c>
      <c r="X890" s="5">
        <f t="shared" si="901"/>
        <v>3119.6770132087731</v>
      </c>
      <c r="Y890" s="5">
        <f t="shared" si="901"/>
        <v>3281.294536440927</v>
      </c>
      <c r="Z890" s="5">
        <f t="shared" si="901"/>
        <v>3442.9120596730809</v>
      </c>
      <c r="AA890" s="5">
        <f t="shared" si="901"/>
        <v>3604.5295829052357</v>
      </c>
      <c r="AB890" s="5">
        <f t="shared" si="901"/>
        <v>3766.1471061373895</v>
      </c>
      <c r="AC890" s="5">
        <f t="shared" si="901"/>
        <v>3927.7646293695443</v>
      </c>
      <c r="AD890" s="5">
        <f t="shared" si="901"/>
        <v>4089.3821526016982</v>
      </c>
      <c r="AE890" s="5">
        <f t="shared" si="901"/>
        <v>4250.9996758338521</v>
      </c>
      <c r="AF890" s="5">
        <f t="shared" si="901"/>
        <v>4250.9996758338521</v>
      </c>
      <c r="AG890" s="5">
        <f t="shared" si="901"/>
        <v>4250.9996758338521</v>
      </c>
      <c r="AH890" s="5">
        <f t="shared" si="901"/>
        <v>4250.9996758338521</v>
      </c>
    </row>
    <row r="891" spans="1:34" x14ac:dyDescent="0.35">
      <c r="A891" t="s">
        <v>911</v>
      </c>
      <c r="B891" s="3" t="s">
        <v>1264</v>
      </c>
      <c r="C891" s="4" t="s">
        <v>1263</v>
      </c>
      <c r="D891" s="2">
        <f t="shared" si="846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ref="W891:AH891" si="902">IF(OR((SLOPE($E891:$V891,$E$1:$V$1)*W$1+INTERCEPT($E891:$V891,$E$1:$V$1))&gt;(AVERAGE($E891:$V891)+_xlfn.STDEV.P($E891:$V891)),(SLOPE($E891:$V891,$E$1:$V$1)*W$1+INTERCEPT($E891:$V891,$E$1:$V$1))&lt;(AVERAGE($E891:$V891)-_xlfn.STDEV.P($E891:$V891))),V891,(SLOPE($E891:$V891,$E$1:$V$1)*W$1+INTERCEPT($E891:$V891,$E$1:$V$1)))</f>
        <v>1067.8039574650907</v>
      </c>
      <c r="X891" s="5">
        <f t="shared" si="902"/>
        <v>1019.2132001298127</v>
      </c>
      <c r="Y891" s="5">
        <f t="shared" si="902"/>
        <v>970.62244279453455</v>
      </c>
      <c r="Z891" s="5">
        <f t="shared" si="902"/>
        <v>922.03168545925632</v>
      </c>
      <c r="AA891" s="5">
        <f t="shared" si="902"/>
        <v>873.44092812397821</v>
      </c>
      <c r="AB891" s="5">
        <f t="shared" si="902"/>
        <v>824.8501707887001</v>
      </c>
      <c r="AC891" s="5">
        <f t="shared" si="902"/>
        <v>776.25941345342198</v>
      </c>
      <c r="AD891" s="5">
        <f t="shared" si="902"/>
        <v>727.66865611814387</v>
      </c>
      <c r="AE891" s="5">
        <f t="shared" si="902"/>
        <v>679.07789878286576</v>
      </c>
      <c r="AF891" s="5">
        <f t="shared" si="902"/>
        <v>630.48714144758765</v>
      </c>
      <c r="AG891" s="5">
        <f t="shared" si="902"/>
        <v>581.89638411230953</v>
      </c>
      <c r="AH891" s="5">
        <f t="shared" si="902"/>
        <v>533.30562677703142</v>
      </c>
    </row>
    <row r="892" spans="1:34" x14ac:dyDescent="0.35">
      <c r="A892" t="s">
        <v>912</v>
      </c>
      <c r="B892" s="3" t="s">
        <v>1266</v>
      </c>
      <c r="C892" s="4" t="s">
        <v>1263</v>
      </c>
      <c r="D892" s="2">
        <f t="shared" si="846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ref="W892:AH892" si="903">IF(OR((SLOPE($E892:$V892,$E$1:$V$1)*W$1+INTERCEPT($E892:$V892,$E$1:$V$1))&gt;(AVERAGE($E892:$V892)+_xlfn.STDEV.P($E892:$V892)),(SLOPE($E892:$V892,$E$1:$V$1)*W$1+INTERCEPT($E892:$V892,$E$1:$V$1))&lt;(AVERAGE($E892:$V892)-_xlfn.STDEV.P($E892:$V892))),V892,(SLOPE($E892:$V892,$E$1:$V$1)*W$1+INTERCEPT($E892:$V892,$E$1:$V$1)))</f>
        <v>4599.8239433078697</v>
      </c>
      <c r="X892" s="5">
        <f t="shared" si="903"/>
        <v>4923.0366300405358</v>
      </c>
      <c r="Y892" s="5">
        <f t="shared" si="903"/>
        <v>4923.0366300405358</v>
      </c>
      <c r="Z892" s="5">
        <f t="shared" si="903"/>
        <v>4923.0366300405358</v>
      </c>
      <c r="AA892" s="5">
        <f t="shared" si="903"/>
        <v>4923.0366300405358</v>
      </c>
      <c r="AB892" s="5">
        <f t="shared" si="903"/>
        <v>4923.0366300405358</v>
      </c>
      <c r="AC892" s="5">
        <f t="shared" si="903"/>
        <v>4923.0366300405358</v>
      </c>
      <c r="AD892" s="5">
        <f t="shared" si="903"/>
        <v>4923.0366300405358</v>
      </c>
      <c r="AE892" s="5">
        <f t="shared" si="903"/>
        <v>4923.0366300405358</v>
      </c>
      <c r="AF892" s="5">
        <f t="shared" si="903"/>
        <v>4923.0366300405358</v>
      </c>
      <c r="AG892" s="5">
        <f t="shared" si="903"/>
        <v>4923.0366300405358</v>
      </c>
      <c r="AH892" s="5">
        <f t="shared" si="903"/>
        <v>4923.0366300405358</v>
      </c>
    </row>
    <row r="893" spans="1:34" x14ac:dyDescent="0.35">
      <c r="A893" t="s">
        <v>913</v>
      </c>
      <c r="B893" s="3" t="s">
        <v>1264</v>
      </c>
      <c r="C893" s="4" t="s">
        <v>1263</v>
      </c>
      <c r="D893" s="2">
        <f t="shared" si="846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ref="W893:AH893" si="904">IF(OR((SLOPE($E893:$V893,$E$1:$V$1)*W$1+INTERCEPT($E893:$V893,$E$1:$V$1))&gt;(AVERAGE($E893:$V893)+_xlfn.STDEV.P($E893:$V893)),(SLOPE($E893:$V893,$E$1:$V$1)*W$1+INTERCEPT($E893:$V893,$E$1:$V$1))&lt;(AVERAGE($E893:$V893)-_xlfn.STDEV.P($E893:$V893))),V893,(SLOPE($E893:$V893,$E$1:$V$1)*W$1+INTERCEPT($E893:$V893,$E$1:$V$1)))</f>
        <v>780.34901960784305</v>
      </c>
      <c r="X893" s="5">
        <f t="shared" si="904"/>
        <v>780.34901960784305</v>
      </c>
      <c r="Y893" s="5">
        <f t="shared" si="904"/>
        <v>780.34901960784305</v>
      </c>
      <c r="Z893" s="5">
        <f t="shared" si="904"/>
        <v>780.34901960784305</v>
      </c>
      <c r="AA893" s="5">
        <f t="shared" si="904"/>
        <v>780.34901960784305</v>
      </c>
      <c r="AB893" s="5">
        <f t="shared" si="904"/>
        <v>780.34901960784305</v>
      </c>
      <c r="AC893" s="5">
        <f t="shared" si="904"/>
        <v>780.34901960784305</v>
      </c>
      <c r="AD893" s="5">
        <f t="shared" si="904"/>
        <v>780.34901960784305</v>
      </c>
      <c r="AE893" s="5">
        <f t="shared" si="904"/>
        <v>780.34901960784305</v>
      </c>
      <c r="AF893" s="5">
        <f t="shared" si="904"/>
        <v>780.34901960784305</v>
      </c>
      <c r="AG893" s="5">
        <f t="shared" si="904"/>
        <v>780.34901960784305</v>
      </c>
      <c r="AH893" s="5">
        <f t="shared" si="904"/>
        <v>780.34901960784305</v>
      </c>
    </row>
    <row r="894" spans="1:34" x14ac:dyDescent="0.35">
      <c r="A894" t="s">
        <v>914</v>
      </c>
      <c r="B894" s="3" t="s">
        <v>1264</v>
      </c>
      <c r="C894" s="4" t="s">
        <v>1263</v>
      </c>
      <c r="D894" s="2">
        <f t="shared" si="846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ref="W894:AH894" si="905">IF(OR((SLOPE($E894:$V894,$E$1:$V$1)*W$1+INTERCEPT($E894:$V894,$E$1:$V$1))&gt;(AVERAGE($E894:$V894)+_xlfn.STDEV.P($E894:$V894)),(SLOPE($E894:$V894,$E$1:$V$1)*W$1+INTERCEPT($E894:$V894,$E$1:$V$1))&lt;(AVERAGE($E894:$V894)-_xlfn.STDEV.P($E894:$V894))),V894,(SLOPE($E894:$V894,$E$1:$V$1)*W$1+INTERCEPT($E894:$V894,$E$1:$V$1)))</f>
        <v>1672.3590582712225</v>
      </c>
      <c r="X894" s="5">
        <f t="shared" si="905"/>
        <v>1688.165342217027</v>
      </c>
      <c r="Y894" s="5">
        <f t="shared" si="905"/>
        <v>1703.9716261628319</v>
      </c>
      <c r="Z894" s="5">
        <f t="shared" si="905"/>
        <v>1719.7779101086364</v>
      </c>
      <c r="AA894" s="5">
        <f t="shared" si="905"/>
        <v>1735.584194054441</v>
      </c>
      <c r="AB894" s="5">
        <f t="shared" si="905"/>
        <v>1751.3904780002458</v>
      </c>
      <c r="AC894" s="5">
        <f t="shared" si="905"/>
        <v>1767.1967619460504</v>
      </c>
      <c r="AD894" s="5">
        <f t="shared" si="905"/>
        <v>1783.003045891855</v>
      </c>
      <c r="AE894" s="5">
        <f t="shared" si="905"/>
        <v>1798.8093298376598</v>
      </c>
      <c r="AF894" s="5">
        <f t="shared" si="905"/>
        <v>1814.6156137834644</v>
      </c>
      <c r="AG894" s="5">
        <f t="shared" si="905"/>
        <v>1830.4218977292689</v>
      </c>
      <c r="AH894" s="5">
        <f t="shared" si="905"/>
        <v>1846.2281816750738</v>
      </c>
    </row>
    <row r="895" spans="1:34" x14ac:dyDescent="0.35">
      <c r="A895" t="s">
        <v>915</v>
      </c>
      <c r="B895" s="3" t="s">
        <v>1265</v>
      </c>
      <c r="C895" s="4" t="s">
        <v>1263</v>
      </c>
      <c r="D895" s="2">
        <f t="shared" si="846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ref="W895:AH895" si="906">IF(OR((SLOPE($E895:$V895,$E$1:$V$1)*W$1+INTERCEPT($E895:$V895,$E$1:$V$1))&gt;(AVERAGE($E895:$V895)+_xlfn.STDEV.P($E895:$V895)),(SLOPE($E895:$V895,$E$1:$V$1)*W$1+INTERCEPT($E895:$V895,$E$1:$V$1))&lt;(AVERAGE($E895:$V895)-_xlfn.STDEV.P($E895:$V895))),V895,(SLOPE($E895:$V895,$E$1:$V$1)*W$1+INTERCEPT($E895:$V895,$E$1:$V$1)))</f>
        <v>3554.1845751633991</v>
      </c>
      <c r="X895" s="5">
        <f t="shared" si="906"/>
        <v>3768.1623667010663</v>
      </c>
      <c r="Y895" s="5">
        <f t="shared" si="906"/>
        <v>3982.1401582387343</v>
      </c>
      <c r="Z895" s="5">
        <f t="shared" si="906"/>
        <v>4196.1179497764024</v>
      </c>
      <c r="AA895" s="5">
        <f t="shared" si="906"/>
        <v>4410.0957413140695</v>
      </c>
      <c r="AB895" s="5">
        <f t="shared" si="906"/>
        <v>4624.0735328517376</v>
      </c>
      <c r="AC895" s="5">
        <f t="shared" si="906"/>
        <v>4838.0513243894056</v>
      </c>
      <c r="AD895" s="5">
        <f t="shared" si="906"/>
        <v>5052.0291159270728</v>
      </c>
      <c r="AE895" s="5">
        <f t="shared" si="906"/>
        <v>5266.0069074647408</v>
      </c>
      <c r="AF895" s="5">
        <f t="shared" si="906"/>
        <v>5479.9846990024089</v>
      </c>
      <c r="AG895" s="5">
        <f t="shared" si="906"/>
        <v>5693.962490540076</v>
      </c>
      <c r="AH895" s="5">
        <f t="shared" si="906"/>
        <v>5907.9402820777441</v>
      </c>
    </row>
    <row r="896" spans="1:34" x14ac:dyDescent="0.35">
      <c r="A896" t="s">
        <v>916</v>
      </c>
      <c r="B896" s="3" t="s">
        <v>1266</v>
      </c>
      <c r="C896" s="4" t="s">
        <v>1267</v>
      </c>
      <c r="D896" s="2">
        <f t="shared" si="846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ref="W896:AH896" si="907">IF(OR((SLOPE($E896:$V896,$E$1:$V$1)*W$1+INTERCEPT($E896:$V896,$E$1:$V$1))&gt;(AVERAGE($E896:$V896)+_xlfn.STDEV.P($E896:$V896)),(SLOPE($E896:$V896,$E$1:$V$1)*W$1+INTERCEPT($E896:$V896,$E$1:$V$1))&lt;(AVERAGE($E896:$V896)-_xlfn.STDEV.P($E896:$V896))),V896,(SLOPE($E896:$V896,$E$1:$V$1)*W$1+INTERCEPT($E896:$V896,$E$1:$V$1)))</f>
        <v>178.85501803002762</v>
      </c>
      <c r="X896" s="5">
        <f t="shared" si="907"/>
        <v>37.653688006321318</v>
      </c>
      <c r="Y896" s="5">
        <f t="shared" si="907"/>
        <v>-103.54764201738453</v>
      </c>
      <c r="Z896" s="5">
        <f t="shared" si="907"/>
        <v>-244.74897204109038</v>
      </c>
      <c r="AA896" s="5">
        <f t="shared" si="907"/>
        <v>-385.95030206479669</v>
      </c>
      <c r="AB896" s="5">
        <f t="shared" si="907"/>
        <v>-527.15163208850254</v>
      </c>
      <c r="AC896" s="5">
        <f t="shared" si="907"/>
        <v>-668.35296211220839</v>
      </c>
      <c r="AD896" s="5">
        <f t="shared" si="907"/>
        <v>-809.55429213591469</v>
      </c>
      <c r="AE896" s="5">
        <f t="shared" si="907"/>
        <v>-950.75562215962054</v>
      </c>
      <c r="AF896" s="5">
        <f t="shared" si="907"/>
        <v>-1091.9569521833264</v>
      </c>
      <c r="AG896" s="5">
        <f t="shared" si="907"/>
        <v>-1233.1582822070327</v>
      </c>
      <c r="AH896" s="5">
        <f t="shared" si="907"/>
        <v>-1374.359612230739</v>
      </c>
    </row>
    <row r="897" spans="1:34" x14ac:dyDescent="0.35">
      <c r="A897" t="s">
        <v>917</v>
      </c>
      <c r="B897" s="3" t="s">
        <v>1266</v>
      </c>
      <c r="C897" s="4" t="s">
        <v>1267</v>
      </c>
      <c r="D897" s="2">
        <f t="shared" si="846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ref="W897:AH897" si="908">IF(OR((SLOPE($E897:$V897,$E$1:$V$1)*W$1+INTERCEPT($E897:$V897,$E$1:$V$1))&gt;(AVERAGE($E897:$V897)+_xlfn.STDEV.P($E897:$V897)),(SLOPE($E897:$V897,$E$1:$V$1)*W$1+INTERCEPT($E897:$V897,$E$1:$V$1))&lt;(AVERAGE($E897:$V897)-_xlfn.STDEV.P($E897:$V897))),V897,(SLOPE($E897:$V897,$E$1:$V$1)*W$1+INTERCEPT($E897:$V897,$E$1:$V$1)))</f>
        <v>4434.0944696575643</v>
      </c>
      <c r="X897" s="5">
        <f t="shared" si="908"/>
        <v>4741.8575705271141</v>
      </c>
      <c r="Y897" s="5">
        <f t="shared" si="908"/>
        <v>5049.6206713966621</v>
      </c>
      <c r="Z897" s="5">
        <f t="shared" si="908"/>
        <v>5357.383772266212</v>
      </c>
      <c r="AA897" s="5">
        <f t="shared" si="908"/>
        <v>5665.1468731357618</v>
      </c>
      <c r="AB897" s="5">
        <f t="shared" si="908"/>
        <v>5972.9099740053116</v>
      </c>
      <c r="AC897" s="5">
        <f t="shared" si="908"/>
        <v>5972.9099740053116</v>
      </c>
      <c r="AD897" s="5">
        <f t="shared" si="908"/>
        <v>5972.9099740053116</v>
      </c>
      <c r="AE897" s="5">
        <f t="shared" si="908"/>
        <v>5972.9099740053116</v>
      </c>
      <c r="AF897" s="5">
        <f t="shared" si="908"/>
        <v>5972.9099740053116</v>
      </c>
      <c r="AG897" s="5">
        <f t="shared" si="908"/>
        <v>5972.9099740053116</v>
      </c>
      <c r="AH897" s="5">
        <f t="shared" si="908"/>
        <v>5972.9099740053116</v>
      </c>
    </row>
    <row r="898" spans="1:34" x14ac:dyDescent="0.35">
      <c r="A898" t="s">
        <v>918</v>
      </c>
      <c r="B898" s="3" t="s">
        <v>1265</v>
      </c>
      <c r="C898" s="4" t="s">
        <v>1263</v>
      </c>
      <c r="D898" s="2">
        <f t="shared" si="846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ref="W898:AH898" si="909">IF(OR((SLOPE($E898:$V898,$E$1:$V$1)*W$1+INTERCEPT($E898:$V898,$E$1:$V$1))&gt;(AVERAGE($E898:$V898)+_xlfn.STDEV.P($E898:$V898)),(SLOPE($E898:$V898,$E$1:$V$1)*W$1+INTERCEPT($E898:$V898,$E$1:$V$1))&lt;(AVERAGE($E898:$V898)-_xlfn.STDEV.P($E898:$V898))),V898,(SLOPE($E898:$V898,$E$1:$V$1)*W$1+INTERCEPT($E898:$V898,$E$1:$V$1)))</f>
        <v>1600.933299533172</v>
      </c>
      <c r="X898" s="5">
        <f t="shared" si="909"/>
        <v>1611.3537080477704</v>
      </c>
      <c r="Y898" s="5">
        <f t="shared" si="909"/>
        <v>1621.774116562369</v>
      </c>
      <c r="Z898" s="5">
        <f t="shared" si="909"/>
        <v>1632.1945250769677</v>
      </c>
      <c r="AA898" s="5">
        <f t="shared" si="909"/>
        <v>1642.6149335915663</v>
      </c>
      <c r="AB898" s="5">
        <f t="shared" si="909"/>
        <v>1653.0353421061648</v>
      </c>
      <c r="AC898" s="5">
        <f t="shared" si="909"/>
        <v>1663.4557506207634</v>
      </c>
      <c r="AD898" s="5">
        <f t="shared" si="909"/>
        <v>1673.8761591353621</v>
      </c>
      <c r="AE898" s="5">
        <f t="shared" si="909"/>
        <v>1684.2965676499607</v>
      </c>
      <c r="AF898" s="5">
        <f t="shared" si="909"/>
        <v>1694.7169761645591</v>
      </c>
      <c r="AG898" s="5">
        <f t="shared" si="909"/>
        <v>1705.1373846791578</v>
      </c>
      <c r="AH898" s="5">
        <f t="shared" si="909"/>
        <v>1715.5577931937564</v>
      </c>
    </row>
    <row r="899" spans="1:34" x14ac:dyDescent="0.35">
      <c r="A899" t="s">
        <v>919</v>
      </c>
      <c r="B899" s="3" t="s">
        <v>1266</v>
      </c>
      <c r="C899" s="4" t="s">
        <v>1267</v>
      </c>
      <c r="D899" s="2">
        <f t="shared" si="846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ref="W899:AH899" si="910">IF(OR((SLOPE($E899:$V899,$E$1:$V$1)*W$1+INTERCEPT($E899:$V899,$E$1:$V$1))&gt;(AVERAGE($E899:$V899)+_xlfn.STDEV.P($E899:$V899)),(SLOPE($E899:$V899,$E$1:$V$1)*W$1+INTERCEPT($E899:$V899,$E$1:$V$1))&lt;(AVERAGE($E899:$V899)-_xlfn.STDEV.P($E899:$V899))),V899,(SLOPE($E899:$V899,$E$1:$V$1)*W$1+INTERCEPT($E899:$V899,$E$1:$V$1)))</f>
        <v>3853.8845775998689</v>
      </c>
      <c r="X899" s="5">
        <f t="shared" si="910"/>
        <v>4102.8197058180422</v>
      </c>
      <c r="Y899" s="5">
        <f t="shared" si="910"/>
        <v>4351.7548340362155</v>
      </c>
      <c r="Z899" s="5">
        <f t="shared" si="910"/>
        <v>4600.6899622543888</v>
      </c>
      <c r="AA899" s="5">
        <f t="shared" si="910"/>
        <v>4849.6250904725621</v>
      </c>
      <c r="AB899" s="5">
        <f t="shared" si="910"/>
        <v>5098.5602186907354</v>
      </c>
      <c r="AC899" s="5">
        <f t="shared" si="910"/>
        <v>5347.4953469089087</v>
      </c>
      <c r="AD899" s="5">
        <f t="shared" si="910"/>
        <v>5596.430475127082</v>
      </c>
      <c r="AE899" s="5">
        <f t="shared" si="910"/>
        <v>5845.3656033452553</v>
      </c>
      <c r="AF899" s="5">
        <f t="shared" si="910"/>
        <v>6094.3007315634286</v>
      </c>
      <c r="AG899" s="5">
        <f t="shared" si="910"/>
        <v>6343.2358597816019</v>
      </c>
      <c r="AH899" s="5">
        <f t="shared" si="910"/>
        <v>6592.1709879997752</v>
      </c>
    </row>
    <row r="900" spans="1:34" x14ac:dyDescent="0.35">
      <c r="A900" t="s">
        <v>920</v>
      </c>
      <c r="B900" s="3" t="s">
        <v>1266</v>
      </c>
      <c r="C900" s="4" t="s">
        <v>1266</v>
      </c>
      <c r="D900" s="2">
        <f t="shared" ref="D900:D963" si="91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ref="W900:AH900" si="912">IF(OR((SLOPE($E900:$V900,$E$1:$V$1)*W$1+INTERCEPT($E900:$V900,$E$1:$V$1))&gt;(AVERAGE($E900:$V900)+_xlfn.STDEV.P($E900:$V900)),(SLOPE($E900:$V900,$E$1:$V$1)*W$1+INTERCEPT($E900:$V900,$E$1:$V$1))&lt;(AVERAGE($E900:$V900)-_xlfn.STDEV.P($E900:$V900))),V900,(SLOPE($E900:$V900,$E$1:$V$1)*W$1+INTERCEPT($E900:$V900,$E$1:$V$1)))</f>
        <v>5429.334341765787</v>
      </c>
      <c r="X900" s="5">
        <f t="shared" si="912"/>
        <v>5844.1391726307447</v>
      </c>
      <c r="Y900" s="5">
        <f t="shared" si="912"/>
        <v>6258.9440034957042</v>
      </c>
      <c r="Z900" s="5">
        <f t="shared" si="912"/>
        <v>6673.7488343606619</v>
      </c>
      <c r="AA900" s="5">
        <f t="shared" si="912"/>
        <v>7088.5536652256196</v>
      </c>
      <c r="AB900" s="5">
        <f t="shared" si="912"/>
        <v>7503.3584960905791</v>
      </c>
      <c r="AC900" s="5">
        <f t="shared" si="912"/>
        <v>7503.3584960905791</v>
      </c>
      <c r="AD900" s="5">
        <f t="shared" si="912"/>
        <v>7503.3584960905791</v>
      </c>
      <c r="AE900" s="5">
        <f t="shared" si="912"/>
        <v>7503.3584960905791</v>
      </c>
      <c r="AF900" s="5">
        <f t="shared" si="912"/>
        <v>7503.3584960905791</v>
      </c>
      <c r="AG900" s="5">
        <f t="shared" si="912"/>
        <v>7503.3584960905791</v>
      </c>
      <c r="AH900" s="5">
        <f t="shared" si="912"/>
        <v>7503.3584960905791</v>
      </c>
    </row>
    <row r="901" spans="1:34" x14ac:dyDescent="0.35">
      <c r="A901" t="s">
        <v>921</v>
      </c>
      <c r="B901" s="3" t="s">
        <v>1266</v>
      </c>
      <c r="C901" s="4" t="s">
        <v>1267</v>
      </c>
      <c r="D901" s="2">
        <f t="shared" si="91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H901" si="913">IF(OR((SLOPE($E901:$V901,$E$1:$V$1)*W$1+INTERCEPT($E901:$V901,$E$1:$V$1))&gt;(AVERAGE($E901:$V901)+_xlfn.STDEV.P($E901:$V901)),(SLOPE($E901:$V901,$E$1:$V$1)*W$1+INTERCEPT($E901:$V901,$E$1:$V$1))&lt;(AVERAGE($E901:$V901)-_xlfn.STDEV.P($E901:$V901))),V901,(SLOPE($E901:$V901,$E$1:$V$1)*W$1+INTERCEPT($E901:$V901,$E$1:$V$1)))</f>
        <v>1992.6892130718957</v>
      </c>
      <c r="X901" s="5">
        <f t="shared" si="913"/>
        <v>2045.8101080151362</v>
      </c>
      <c r="Y901" s="5">
        <f t="shared" si="913"/>
        <v>2098.9310029583767</v>
      </c>
      <c r="Z901" s="5">
        <f t="shared" si="913"/>
        <v>2152.0518979016169</v>
      </c>
      <c r="AA901" s="5">
        <f t="shared" si="913"/>
        <v>2205.1727928448572</v>
      </c>
      <c r="AB901" s="5">
        <f t="shared" si="913"/>
        <v>2258.2936877880979</v>
      </c>
      <c r="AC901" s="5">
        <f t="shared" si="913"/>
        <v>2311.4145827313387</v>
      </c>
      <c r="AD901" s="5">
        <f t="shared" si="913"/>
        <v>2364.5354776745789</v>
      </c>
      <c r="AE901" s="5">
        <f t="shared" si="913"/>
        <v>2417.6563726178192</v>
      </c>
      <c r="AF901" s="5">
        <f t="shared" si="913"/>
        <v>2470.7772675610599</v>
      </c>
      <c r="AG901" s="5">
        <f t="shared" si="913"/>
        <v>2523.8981625043002</v>
      </c>
      <c r="AH901" s="5">
        <f t="shared" si="913"/>
        <v>2577.0190574475409</v>
      </c>
    </row>
    <row r="902" spans="1:34" x14ac:dyDescent="0.35">
      <c r="A902" t="s">
        <v>922</v>
      </c>
      <c r="B902" s="3" t="s">
        <v>1264</v>
      </c>
      <c r="C902" s="4" t="s">
        <v>1263</v>
      </c>
      <c r="D902" s="2">
        <f t="shared" si="91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ref="W902:AH902" si="914">IF(OR((SLOPE($E902:$V902,$E$1:$V$1)*W$1+INTERCEPT($E902:$V902,$E$1:$V$1))&gt;(AVERAGE($E902:$V902)+_xlfn.STDEV.P($E902:$V902)),(SLOPE($E902:$V902,$E$1:$V$1)*W$1+INTERCEPT($E902:$V902,$E$1:$V$1))&lt;(AVERAGE($E902:$V902)-_xlfn.STDEV.P($E902:$V902))),V902,(SLOPE($E902:$V902,$E$1:$V$1)*W$1+INTERCEPT($E902:$V902,$E$1:$V$1)))</f>
        <v>1293.1324183006534</v>
      </c>
      <c r="X902" s="5">
        <f t="shared" si="914"/>
        <v>1272.9985863089094</v>
      </c>
      <c r="Y902" s="5">
        <f t="shared" si="914"/>
        <v>1252.8647543171653</v>
      </c>
      <c r="Z902" s="5">
        <f t="shared" si="914"/>
        <v>1232.730922325421</v>
      </c>
      <c r="AA902" s="5">
        <f t="shared" si="914"/>
        <v>1212.597090333677</v>
      </c>
      <c r="AB902" s="5">
        <f t="shared" si="914"/>
        <v>1192.4632583419329</v>
      </c>
      <c r="AC902" s="5">
        <f t="shared" si="914"/>
        <v>1172.3294263501889</v>
      </c>
      <c r="AD902" s="5">
        <f t="shared" si="914"/>
        <v>1152.1955943584449</v>
      </c>
      <c r="AE902" s="5">
        <f t="shared" si="914"/>
        <v>1132.0617623667008</v>
      </c>
      <c r="AF902" s="5">
        <f t="shared" si="914"/>
        <v>1111.9279303749568</v>
      </c>
      <c r="AG902" s="5">
        <f t="shared" si="914"/>
        <v>1091.7940983832127</v>
      </c>
      <c r="AH902" s="5">
        <f t="shared" si="914"/>
        <v>1071.6602663914687</v>
      </c>
    </row>
    <row r="903" spans="1:34" x14ac:dyDescent="0.35">
      <c r="A903" t="s">
        <v>923</v>
      </c>
      <c r="B903" s="3" t="s">
        <v>1264</v>
      </c>
      <c r="C903" s="4" t="s">
        <v>1263</v>
      </c>
      <c r="D903" s="2">
        <f t="shared" si="91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ref="W903:AH903" si="915">IF(OR((SLOPE($E903:$V903,$E$1:$V$1)*W$1+INTERCEPT($E903:$V903,$E$1:$V$1))&gt;(AVERAGE($E903:$V903)+_xlfn.STDEV.P($E903:$V903)),(SLOPE($E903:$V903,$E$1:$V$1)*W$1+INTERCEPT($E903:$V903,$E$1:$V$1))&lt;(AVERAGE($E903:$V903)-_xlfn.STDEV.P($E903:$V903))),V903,(SLOPE($E903:$V903,$E$1:$V$1)*W$1+INTERCEPT($E903:$V903,$E$1:$V$1)))</f>
        <v>462.99247079738598</v>
      </c>
      <c r="X903" s="5">
        <f t="shared" si="915"/>
        <v>355.60047827313429</v>
      </c>
      <c r="Y903" s="5">
        <f t="shared" si="915"/>
        <v>355.60047827313429</v>
      </c>
      <c r="Z903" s="5">
        <f t="shared" si="915"/>
        <v>355.60047827313429</v>
      </c>
      <c r="AA903" s="5">
        <f t="shared" si="915"/>
        <v>355.60047827313429</v>
      </c>
      <c r="AB903" s="5">
        <f t="shared" si="915"/>
        <v>355.60047827313429</v>
      </c>
      <c r="AC903" s="5">
        <f t="shared" si="915"/>
        <v>355.60047827313429</v>
      </c>
      <c r="AD903" s="5">
        <f t="shared" si="915"/>
        <v>355.60047827313429</v>
      </c>
      <c r="AE903" s="5">
        <f t="shared" si="915"/>
        <v>355.60047827313429</v>
      </c>
      <c r="AF903" s="5">
        <f t="shared" si="915"/>
        <v>355.60047827313429</v>
      </c>
      <c r="AG903" s="5">
        <f t="shared" si="915"/>
        <v>355.60047827313429</v>
      </c>
      <c r="AH903" s="5">
        <f t="shared" si="915"/>
        <v>355.60047827313429</v>
      </c>
    </row>
    <row r="904" spans="1:34" x14ac:dyDescent="0.35">
      <c r="A904" t="s">
        <v>924</v>
      </c>
      <c r="B904" s="3" t="s">
        <v>1266</v>
      </c>
      <c r="C904" s="4" t="s">
        <v>1267</v>
      </c>
      <c r="D904" s="2">
        <f t="shared" si="91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ref="W904:AH904" si="916">IF(OR((SLOPE($E904:$V904,$E$1:$V$1)*W$1+INTERCEPT($E904:$V904,$E$1:$V$1))&gt;(AVERAGE($E904:$V904)+_xlfn.STDEV.P($E904:$V904)),(SLOPE($E904:$V904,$E$1:$V$1)*W$1+INTERCEPT($E904:$V904,$E$1:$V$1))&lt;(AVERAGE($E904:$V904)-_xlfn.STDEV.P($E904:$V904))),V904,(SLOPE($E904:$V904,$E$1:$V$1)*W$1+INTERCEPT($E904:$V904,$E$1:$V$1)))</f>
        <v>174.24029357832842</v>
      </c>
      <c r="X904" s="5">
        <f t="shared" si="916"/>
        <v>36.682167069121533</v>
      </c>
      <c r="Y904" s="5">
        <f t="shared" si="916"/>
        <v>-100.87595944008535</v>
      </c>
      <c r="Z904" s="5">
        <f t="shared" si="916"/>
        <v>-238.43408594929224</v>
      </c>
      <c r="AA904" s="5">
        <f t="shared" si="916"/>
        <v>-375.99221245849913</v>
      </c>
      <c r="AB904" s="5">
        <f t="shared" si="916"/>
        <v>-513.55033896770601</v>
      </c>
      <c r="AC904" s="5">
        <f t="shared" si="916"/>
        <v>-651.1084654769129</v>
      </c>
      <c r="AD904" s="5">
        <f t="shared" si="916"/>
        <v>-788.66659198611978</v>
      </c>
      <c r="AE904" s="5">
        <f t="shared" si="916"/>
        <v>-926.22471849532667</v>
      </c>
      <c r="AF904" s="5">
        <f t="shared" si="916"/>
        <v>-1063.7828450045336</v>
      </c>
      <c r="AG904" s="5">
        <f t="shared" si="916"/>
        <v>-1201.3409715137404</v>
      </c>
      <c r="AH904" s="5">
        <f t="shared" si="916"/>
        <v>-1338.8990980229473</v>
      </c>
    </row>
    <row r="905" spans="1:34" x14ac:dyDescent="0.35">
      <c r="A905" t="s">
        <v>925</v>
      </c>
      <c r="B905" s="3" t="s">
        <v>1266</v>
      </c>
      <c r="C905" s="4" t="s">
        <v>1266</v>
      </c>
      <c r="D905" s="2">
        <f t="shared" si="91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ref="W905:AH905" si="917">IF(OR((SLOPE($E905:$V905,$E$1:$V$1)*W$1+INTERCEPT($E905:$V905,$E$1:$V$1))&gt;(AVERAGE($E905:$V905)+_xlfn.STDEV.P($E905:$V905)),(SLOPE($E905:$V905,$E$1:$V$1)*W$1+INTERCEPT($E905:$V905,$E$1:$V$1))&lt;(AVERAGE($E905:$V905)-_xlfn.STDEV.P($E905:$V905))),V905,(SLOPE($E905:$V905,$E$1:$V$1)*W$1+INTERCEPT($E905:$V905,$E$1:$V$1)))</f>
        <v>1738.2920696247443</v>
      </c>
      <c r="X905" s="5">
        <f t="shared" si="917"/>
        <v>1765.7387865135561</v>
      </c>
      <c r="Y905" s="5">
        <f t="shared" si="917"/>
        <v>1793.1855034023679</v>
      </c>
      <c r="Z905" s="5">
        <f t="shared" si="917"/>
        <v>1820.6322202911797</v>
      </c>
      <c r="AA905" s="5">
        <f t="shared" si="917"/>
        <v>1848.0789371799915</v>
      </c>
      <c r="AB905" s="5">
        <f t="shared" si="917"/>
        <v>1875.5256540688031</v>
      </c>
      <c r="AC905" s="5">
        <f t="shared" si="917"/>
        <v>1902.9723709576149</v>
      </c>
      <c r="AD905" s="5">
        <f t="shared" si="917"/>
        <v>1930.4190878464265</v>
      </c>
      <c r="AE905" s="5">
        <f t="shared" si="917"/>
        <v>1957.8658047352383</v>
      </c>
      <c r="AF905" s="5">
        <f t="shared" si="917"/>
        <v>1985.3125216240501</v>
      </c>
      <c r="AG905" s="5">
        <f t="shared" si="917"/>
        <v>2012.7592385128619</v>
      </c>
      <c r="AH905" s="5">
        <f t="shared" si="917"/>
        <v>2040.2059554016737</v>
      </c>
    </row>
    <row r="906" spans="1:34" x14ac:dyDescent="0.35">
      <c r="A906" t="s">
        <v>926</v>
      </c>
      <c r="B906" s="3" t="s">
        <v>1264</v>
      </c>
      <c r="C906" s="4" t="s">
        <v>1263</v>
      </c>
      <c r="D906" s="2">
        <f t="shared" si="91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ref="W906:AH906" si="918">IF(OR((SLOPE($E906:$V906,$E$1:$V$1)*W$1+INTERCEPT($E906:$V906,$E$1:$V$1))&gt;(AVERAGE($E906:$V906)+_xlfn.STDEV.P($E906:$V906)),(SLOPE($E906:$V906,$E$1:$V$1)*W$1+INTERCEPT($E906:$V906,$E$1:$V$1))&lt;(AVERAGE($E906:$V906)-_xlfn.STDEV.P($E906:$V906))),V906,(SLOPE($E906:$V906,$E$1:$V$1)*W$1+INTERCEPT($E906:$V906,$E$1:$V$1)))</f>
        <v>850.56037019607857</v>
      </c>
      <c r="X906" s="5">
        <f t="shared" si="918"/>
        <v>786.42398600619208</v>
      </c>
      <c r="Y906" s="5">
        <f t="shared" si="918"/>
        <v>722.28760181630582</v>
      </c>
      <c r="Z906" s="5">
        <f t="shared" si="918"/>
        <v>658.15121762641934</v>
      </c>
      <c r="AA906" s="5">
        <f t="shared" si="918"/>
        <v>594.01483343653285</v>
      </c>
      <c r="AB906" s="5">
        <f t="shared" si="918"/>
        <v>529.87844924664637</v>
      </c>
      <c r="AC906" s="5">
        <f t="shared" si="918"/>
        <v>465.74206505675988</v>
      </c>
      <c r="AD906" s="5">
        <f t="shared" si="918"/>
        <v>401.6056808668734</v>
      </c>
      <c r="AE906" s="5">
        <f t="shared" si="918"/>
        <v>401.6056808668734</v>
      </c>
      <c r="AF906" s="5">
        <f t="shared" si="918"/>
        <v>401.6056808668734</v>
      </c>
      <c r="AG906" s="5">
        <f t="shared" si="918"/>
        <v>401.6056808668734</v>
      </c>
      <c r="AH906" s="5">
        <f t="shared" si="918"/>
        <v>401.6056808668734</v>
      </c>
    </row>
    <row r="907" spans="1:34" x14ac:dyDescent="0.35">
      <c r="A907" t="s">
        <v>927</v>
      </c>
      <c r="B907" s="3" t="s">
        <v>1265</v>
      </c>
      <c r="C907" s="4" t="s">
        <v>1263</v>
      </c>
      <c r="D907" s="2">
        <f t="shared" si="91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ref="W907:AH907" si="919">IF(OR((SLOPE($E907:$V907,$E$1:$V$1)*W$1+INTERCEPT($E907:$V907,$E$1:$V$1))&gt;(AVERAGE($E907:$V907)+_xlfn.STDEV.P($E907:$V907)),(SLOPE($E907:$V907,$E$1:$V$1)*W$1+INTERCEPT($E907:$V907,$E$1:$V$1))&lt;(AVERAGE($E907:$V907)-_xlfn.STDEV.P($E907:$V907))),V907,(SLOPE($E907:$V907,$E$1:$V$1)*W$1+INTERCEPT($E907:$V907,$E$1:$V$1)))</f>
        <v>-162.94517647058774</v>
      </c>
      <c r="X907" s="5">
        <f t="shared" si="919"/>
        <v>-332.82256346749182</v>
      </c>
      <c r="Y907" s="5">
        <f t="shared" si="919"/>
        <v>-502.6999504643959</v>
      </c>
      <c r="Z907" s="5">
        <f t="shared" si="919"/>
        <v>-672.57733746129998</v>
      </c>
      <c r="AA907" s="5">
        <f t="shared" si="919"/>
        <v>-842.45472445820405</v>
      </c>
      <c r="AB907" s="5">
        <f t="shared" si="919"/>
        <v>-1012.3321114551081</v>
      </c>
      <c r="AC907" s="5">
        <f t="shared" si="919"/>
        <v>-1182.2094984520118</v>
      </c>
      <c r="AD907" s="5">
        <f t="shared" si="919"/>
        <v>-1352.0868854489163</v>
      </c>
      <c r="AE907" s="5">
        <f t="shared" si="919"/>
        <v>-1521.9642724458199</v>
      </c>
      <c r="AF907" s="5">
        <f t="shared" si="919"/>
        <v>-1691.8416594427235</v>
      </c>
      <c r="AG907" s="5">
        <f t="shared" si="919"/>
        <v>-1861.7190464396281</v>
      </c>
      <c r="AH907" s="5">
        <f t="shared" si="919"/>
        <v>-1861.7190464396281</v>
      </c>
    </row>
    <row r="908" spans="1:34" x14ac:dyDescent="0.35">
      <c r="A908" t="s">
        <v>928</v>
      </c>
      <c r="B908" s="3" t="s">
        <v>1264</v>
      </c>
      <c r="C908" s="4" t="s">
        <v>1263</v>
      </c>
      <c r="D908" s="2">
        <f t="shared" si="91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ref="W908:AH908" si="920">IF(OR((SLOPE($E908:$V908,$E$1:$V$1)*W$1+INTERCEPT($E908:$V908,$E$1:$V$1))&gt;(AVERAGE($E908:$V908)+_xlfn.STDEV.P($E908:$V908)),(SLOPE($E908:$V908,$E$1:$V$1)*W$1+INTERCEPT($E908:$V908,$E$1:$V$1))&lt;(AVERAGE($E908:$V908)-_xlfn.STDEV.P($E908:$V908))),V908,(SLOPE($E908:$V908,$E$1:$V$1)*W$1+INTERCEPT($E908:$V908,$E$1:$V$1)))</f>
        <v>1185.5914894074178</v>
      </c>
      <c r="X908" s="5">
        <f t="shared" si="920"/>
        <v>1160.8744314515384</v>
      </c>
      <c r="Y908" s="5">
        <f t="shared" si="920"/>
        <v>1136.1573734956592</v>
      </c>
      <c r="Z908" s="5">
        <f t="shared" si="920"/>
        <v>1111.4403155397797</v>
      </c>
      <c r="AA908" s="5">
        <f t="shared" si="920"/>
        <v>1086.7232575839002</v>
      </c>
      <c r="AB908" s="5">
        <f t="shared" si="920"/>
        <v>1062.006199628021</v>
      </c>
      <c r="AC908" s="5">
        <f t="shared" si="920"/>
        <v>1037.2891416721416</v>
      </c>
      <c r="AD908" s="5">
        <f t="shared" si="920"/>
        <v>1012.5720837162621</v>
      </c>
      <c r="AE908" s="5">
        <f t="shared" si="920"/>
        <v>987.85502576038277</v>
      </c>
      <c r="AF908" s="5">
        <f t="shared" si="920"/>
        <v>963.13796780450343</v>
      </c>
      <c r="AG908" s="5">
        <f t="shared" si="920"/>
        <v>938.42090984862398</v>
      </c>
      <c r="AH908" s="5">
        <f t="shared" si="920"/>
        <v>913.70385189274464</v>
      </c>
    </row>
    <row r="909" spans="1:34" x14ac:dyDescent="0.35">
      <c r="A909" t="s">
        <v>929</v>
      </c>
      <c r="B909" s="3" t="s">
        <v>1264</v>
      </c>
      <c r="C909" s="4" t="s">
        <v>1263</v>
      </c>
      <c r="D909" s="2">
        <f t="shared" si="91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ref="W909:AH909" si="921">IF(OR((SLOPE($E909:$V909,$E$1:$V$1)*W$1+INTERCEPT($E909:$V909,$E$1:$V$1))&gt;(AVERAGE($E909:$V909)+_xlfn.STDEV.P($E909:$V909)),(SLOPE($E909:$V909,$E$1:$V$1)*W$1+INTERCEPT($E909:$V909,$E$1:$V$1))&lt;(AVERAGE($E909:$V909)-_xlfn.STDEV.P($E909:$V909))),V909,(SLOPE($E909:$V909,$E$1:$V$1)*W$1+INTERCEPT($E909:$V909,$E$1:$V$1)))</f>
        <v>1073.667286187788</v>
      </c>
      <c r="X909" s="5">
        <f t="shared" si="921"/>
        <v>1034.3613548801609</v>
      </c>
      <c r="Y909" s="5">
        <f t="shared" si="921"/>
        <v>995.05542357253364</v>
      </c>
      <c r="Z909" s="5">
        <f t="shared" si="921"/>
        <v>955.74949226490639</v>
      </c>
      <c r="AA909" s="5">
        <f t="shared" si="921"/>
        <v>916.44356095727926</v>
      </c>
      <c r="AB909" s="5">
        <f t="shared" si="921"/>
        <v>877.13762964965213</v>
      </c>
      <c r="AC909" s="5">
        <f t="shared" si="921"/>
        <v>837.83169834202488</v>
      </c>
      <c r="AD909" s="5">
        <f t="shared" si="921"/>
        <v>798.52576703439775</v>
      </c>
      <c r="AE909" s="5">
        <f t="shared" si="921"/>
        <v>759.2198357267705</v>
      </c>
      <c r="AF909" s="5">
        <f t="shared" si="921"/>
        <v>719.91390441914336</v>
      </c>
      <c r="AG909" s="5">
        <f t="shared" si="921"/>
        <v>680.60797311151623</v>
      </c>
      <c r="AH909" s="5">
        <f t="shared" si="921"/>
        <v>641.30204180388887</v>
      </c>
    </row>
    <row r="910" spans="1:34" x14ac:dyDescent="0.35">
      <c r="A910" t="s">
        <v>930</v>
      </c>
      <c r="B910" s="3" t="s">
        <v>1264</v>
      </c>
      <c r="C910" s="4" t="s">
        <v>1263</v>
      </c>
      <c r="D910" s="2">
        <f t="shared" si="91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ref="W910:AH910" si="922">IF(OR((SLOPE($E910:$V910,$E$1:$V$1)*W$1+INTERCEPT($E910:$V910,$E$1:$V$1))&gt;(AVERAGE($E910:$V910)+_xlfn.STDEV.P($E910:$V910)),(SLOPE($E910:$V910,$E$1:$V$1)*W$1+INTERCEPT($E910:$V910,$E$1:$V$1))&lt;(AVERAGE($E910:$V910)-_xlfn.STDEV.P($E910:$V910))),V910,(SLOPE($E910:$V910,$E$1:$V$1)*W$1+INTERCEPT($E910:$V910,$E$1:$V$1)))</f>
        <v>1245.537725490196</v>
      </c>
      <c r="X910" s="5">
        <f t="shared" si="922"/>
        <v>1224.3927843137253</v>
      </c>
      <c r="Y910" s="5">
        <f t="shared" si="922"/>
        <v>1203.2478431372547</v>
      </c>
      <c r="Z910" s="5">
        <f t="shared" si="922"/>
        <v>1182.1029019607843</v>
      </c>
      <c r="AA910" s="5">
        <f t="shared" si="922"/>
        <v>1160.9579607843136</v>
      </c>
      <c r="AB910" s="5">
        <f t="shared" si="922"/>
        <v>1139.813019607843</v>
      </c>
      <c r="AC910" s="5">
        <f t="shared" si="922"/>
        <v>1118.6680784313726</v>
      </c>
      <c r="AD910" s="5">
        <f t="shared" si="922"/>
        <v>1097.5231372549019</v>
      </c>
      <c r="AE910" s="5">
        <f t="shared" si="922"/>
        <v>1076.3781960784313</v>
      </c>
      <c r="AF910" s="5">
        <f t="shared" si="922"/>
        <v>1055.2332549019607</v>
      </c>
      <c r="AG910" s="5">
        <f t="shared" si="922"/>
        <v>1034.08831372549</v>
      </c>
      <c r="AH910" s="5">
        <f t="shared" si="922"/>
        <v>1012.9433725490195</v>
      </c>
    </row>
    <row r="911" spans="1:34" x14ac:dyDescent="0.35">
      <c r="A911" t="s">
        <v>931</v>
      </c>
      <c r="B911" s="3" t="s">
        <v>1264</v>
      </c>
      <c r="C911" s="4" t="s">
        <v>1263</v>
      </c>
      <c r="D911" s="2">
        <f t="shared" si="91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ref="W911:AH911" si="923">IF(OR((SLOPE($E911:$V911,$E$1:$V$1)*W$1+INTERCEPT($E911:$V911,$E$1:$V$1))&gt;(AVERAGE($E911:$V911)+_xlfn.STDEV.P($E911:$V911)),(SLOPE($E911:$V911,$E$1:$V$1)*W$1+INTERCEPT($E911:$V911,$E$1:$V$1))&lt;(AVERAGE($E911:$V911)-_xlfn.STDEV.P($E911:$V911))),V911,(SLOPE($E911:$V911,$E$1:$V$1)*W$1+INTERCEPT($E911:$V911,$E$1:$V$1)))</f>
        <v>1489.8080398754601</v>
      </c>
      <c r="X911" s="5">
        <f t="shared" si="923"/>
        <v>1489.8080398754601</v>
      </c>
      <c r="Y911" s="5">
        <f t="shared" si="923"/>
        <v>1489.8080398754601</v>
      </c>
      <c r="Z911" s="5">
        <f t="shared" si="923"/>
        <v>1489.8080398754601</v>
      </c>
      <c r="AA911" s="5">
        <f t="shared" si="923"/>
        <v>1489.8080398754601</v>
      </c>
      <c r="AB911" s="5">
        <f t="shared" si="923"/>
        <v>1489.8080398754601</v>
      </c>
      <c r="AC911" s="5">
        <f t="shared" si="923"/>
        <v>1489.8080398754601</v>
      </c>
      <c r="AD911" s="5">
        <f t="shared" si="923"/>
        <v>1489.8080398754601</v>
      </c>
      <c r="AE911" s="5">
        <f t="shared" si="923"/>
        <v>1489.8080398754601</v>
      </c>
      <c r="AF911" s="5">
        <f t="shared" si="923"/>
        <v>1489.8080398754601</v>
      </c>
      <c r="AG911" s="5">
        <f t="shared" si="923"/>
        <v>1489.8080398754601</v>
      </c>
      <c r="AH911" s="5">
        <f t="shared" si="923"/>
        <v>1489.8080398754601</v>
      </c>
    </row>
    <row r="912" spans="1:34" x14ac:dyDescent="0.35">
      <c r="A912" t="s">
        <v>932</v>
      </c>
      <c r="B912" s="3" t="s">
        <v>1265</v>
      </c>
      <c r="C912" s="4" t="s">
        <v>1263</v>
      </c>
      <c r="D912" s="2">
        <f t="shared" si="91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ref="W912:AH912" si="924">IF(OR((SLOPE($E912:$V912,$E$1:$V$1)*W$1+INTERCEPT($E912:$V912,$E$1:$V$1))&gt;(AVERAGE($E912:$V912)+_xlfn.STDEV.P($E912:$V912)),(SLOPE($E912:$V912,$E$1:$V$1)*W$1+INTERCEPT($E912:$V912,$E$1:$V$1))&lt;(AVERAGE($E912:$V912)-_xlfn.STDEV.P($E912:$V912))),V912,(SLOPE($E912:$V912,$E$1:$V$1)*W$1+INTERCEPT($E912:$V912,$E$1:$V$1)))</f>
        <v>4229.8529411764703</v>
      </c>
      <c r="X912" s="5">
        <f t="shared" si="924"/>
        <v>4523.7164086687299</v>
      </c>
      <c r="Y912" s="5">
        <f t="shared" si="924"/>
        <v>4817.5798761609894</v>
      </c>
      <c r="Z912" s="5">
        <f t="shared" si="924"/>
        <v>5111.4433436532508</v>
      </c>
      <c r="AA912" s="5">
        <f t="shared" si="924"/>
        <v>5405.3068111455104</v>
      </c>
      <c r="AB912" s="5">
        <f t="shared" si="924"/>
        <v>5699.17027863777</v>
      </c>
      <c r="AC912" s="5">
        <f t="shared" si="924"/>
        <v>5993.0337461300296</v>
      </c>
      <c r="AD912" s="5">
        <f t="shared" si="924"/>
        <v>6286.8972136222892</v>
      </c>
      <c r="AE912" s="5">
        <f t="shared" si="924"/>
        <v>6580.7606811145506</v>
      </c>
      <c r="AF912" s="5">
        <f t="shared" si="924"/>
        <v>6874.6241486068102</v>
      </c>
      <c r="AG912" s="5">
        <f t="shared" si="924"/>
        <v>7168.4876160990698</v>
      </c>
      <c r="AH912" s="5">
        <f t="shared" si="924"/>
        <v>7168.4876160990698</v>
      </c>
    </row>
    <row r="913" spans="1:34" x14ac:dyDescent="0.35">
      <c r="A913" t="s">
        <v>933</v>
      </c>
      <c r="B913" s="3" t="s">
        <v>1266</v>
      </c>
      <c r="C913" s="4" t="s">
        <v>1267</v>
      </c>
      <c r="D913" s="2">
        <f t="shared" si="91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ref="W913:AH913" si="925">IF(OR((SLOPE($E913:$V913,$E$1:$V$1)*W$1+INTERCEPT($E913:$V913,$E$1:$V$1))&gt;(AVERAGE($E913:$V913)+_xlfn.STDEV.P($E913:$V913)),(SLOPE($E913:$V913,$E$1:$V$1)*W$1+INTERCEPT($E913:$V913,$E$1:$V$1))&lt;(AVERAGE($E913:$V913)-_xlfn.STDEV.P($E913:$V913))),V913,(SLOPE($E913:$V913,$E$1:$V$1)*W$1+INTERCEPT($E913:$V913,$E$1:$V$1)))</f>
        <v>3218.5244269525147</v>
      </c>
      <c r="X913" s="5">
        <f t="shared" si="925"/>
        <v>3407.5982246057092</v>
      </c>
      <c r="Y913" s="5">
        <f t="shared" si="925"/>
        <v>3596.6720222589029</v>
      </c>
      <c r="Z913" s="5">
        <f t="shared" si="925"/>
        <v>3785.7458199120965</v>
      </c>
      <c r="AA913" s="5">
        <f t="shared" si="925"/>
        <v>3974.8196175652902</v>
      </c>
      <c r="AB913" s="5">
        <f t="shared" si="925"/>
        <v>4163.8934152184838</v>
      </c>
      <c r="AC913" s="5">
        <f t="shared" si="925"/>
        <v>4352.9672128716775</v>
      </c>
      <c r="AD913" s="5">
        <f t="shared" si="925"/>
        <v>4542.041010524872</v>
      </c>
      <c r="AE913" s="5">
        <f t="shared" si="925"/>
        <v>4731.1148081780657</v>
      </c>
      <c r="AF913" s="5">
        <f t="shared" si="925"/>
        <v>4920.1886058312593</v>
      </c>
      <c r="AG913" s="5">
        <f t="shared" si="925"/>
        <v>5109.262403484453</v>
      </c>
      <c r="AH913" s="5">
        <f t="shared" si="925"/>
        <v>5298.3362011376475</v>
      </c>
    </row>
    <row r="914" spans="1:34" x14ac:dyDescent="0.35">
      <c r="A914" t="s">
        <v>934</v>
      </c>
      <c r="B914" s="3" t="s">
        <v>1265</v>
      </c>
      <c r="C914" s="4" t="s">
        <v>1267</v>
      </c>
      <c r="D914" s="2">
        <f t="shared" si="91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ref="W914:AH914" si="926">IF(OR((SLOPE($E914:$V914,$E$1:$V$1)*W$1+INTERCEPT($E914:$V914,$E$1:$V$1))&gt;(AVERAGE($E914:$V914)+_xlfn.STDEV.P($E914:$V914)),(SLOPE($E914:$V914,$E$1:$V$1)*W$1+INTERCEPT($E914:$V914,$E$1:$V$1))&lt;(AVERAGE($E914:$V914)-_xlfn.STDEV.P($E914:$V914))),V914,(SLOPE($E914:$V914,$E$1:$V$1)*W$1+INTERCEPT($E914:$V914,$E$1:$V$1)))</f>
        <v>4334.6072347711706</v>
      </c>
      <c r="X914" s="5">
        <f t="shared" si="926"/>
        <v>4641.2110038134106</v>
      </c>
      <c r="Y914" s="5">
        <f t="shared" si="926"/>
        <v>4947.8147728556487</v>
      </c>
      <c r="Z914" s="5">
        <f t="shared" si="926"/>
        <v>5254.4185418978886</v>
      </c>
      <c r="AA914" s="5">
        <f t="shared" si="926"/>
        <v>5254.4185418978886</v>
      </c>
      <c r="AB914" s="5">
        <f t="shared" si="926"/>
        <v>5254.4185418978886</v>
      </c>
      <c r="AC914" s="5">
        <f t="shared" si="926"/>
        <v>5254.4185418978886</v>
      </c>
      <c r="AD914" s="5">
        <f t="shared" si="926"/>
        <v>5254.4185418978886</v>
      </c>
      <c r="AE914" s="5">
        <f t="shared" si="926"/>
        <v>5254.4185418978886</v>
      </c>
      <c r="AF914" s="5">
        <f t="shared" si="926"/>
        <v>5254.4185418978886</v>
      </c>
      <c r="AG914" s="5">
        <f t="shared" si="926"/>
        <v>5254.4185418978886</v>
      </c>
      <c r="AH914" s="5">
        <f t="shared" si="926"/>
        <v>5254.4185418978886</v>
      </c>
    </row>
    <row r="915" spans="1:34" x14ac:dyDescent="0.35">
      <c r="A915" t="s">
        <v>935</v>
      </c>
      <c r="B915" s="3" t="s">
        <v>1266</v>
      </c>
      <c r="C915" s="4" t="s">
        <v>1267</v>
      </c>
      <c r="D915" s="2">
        <f t="shared" si="91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ref="W915:AH915" si="927">IF(OR((SLOPE($E915:$V915,$E$1:$V$1)*W$1+INTERCEPT($E915:$V915,$E$1:$V$1))&gt;(AVERAGE($E915:$V915)+_xlfn.STDEV.P($E915:$V915)),(SLOPE($E915:$V915,$E$1:$V$1)*W$1+INTERCEPT($E915:$V915,$E$1:$V$1))&lt;(AVERAGE($E915:$V915)-_xlfn.STDEV.P($E915:$V915))),V915,(SLOPE($E915:$V915,$E$1:$V$1)*W$1+INTERCEPT($E915:$V915,$E$1:$V$1)))</f>
        <v>5687.3004971273722</v>
      </c>
      <c r="X915" s="5">
        <f t="shared" si="927"/>
        <v>6136.2979047953222</v>
      </c>
      <c r="Y915" s="5">
        <f t="shared" si="927"/>
        <v>6585.2953124632741</v>
      </c>
      <c r="Z915" s="5">
        <f t="shared" si="927"/>
        <v>7034.2927201312241</v>
      </c>
      <c r="AA915" s="5">
        <f t="shared" si="927"/>
        <v>7034.2927201312241</v>
      </c>
      <c r="AB915" s="5">
        <f t="shared" si="927"/>
        <v>7034.2927201312241</v>
      </c>
      <c r="AC915" s="5">
        <f t="shared" si="927"/>
        <v>7034.2927201312241</v>
      </c>
      <c r="AD915" s="5">
        <f t="shared" si="927"/>
        <v>7034.2927201312241</v>
      </c>
      <c r="AE915" s="5">
        <f t="shared" si="927"/>
        <v>7034.2927201312241</v>
      </c>
      <c r="AF915" s="5">
        <f t="shared" si="927"/>
        <v>7034.2927201312241</v>
      </c>
      <c r="AG915" s="5">
        <f t="shared" si="927"/>
        <v>7034.2927201312241</v>
      </c>
      <c r="AH915" s="5">
        <f t="shared" si="927"/>
        <v>7034.2927201312241</v>
      </c>
    </row>
    <row r="916" spans="1:34" x14ac:dyDescent="0.35">
      <c r="A916" t="s">
        <v>936</v>
      </c>
      <c r="B916" s="3" t="s">
        <v>1266</v>
      </c>
      <c r="C916" s="4" t="s">
        <v>1263</v>
      </c>
      <c r="D916" s="2">
        <f t="shared" si="91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ref="W916:AH916" si="928">IF(OR((SLOPE($E916:$V916,$E$1:$V$1)*W$1+INTERCEPT($E916:$V916,$E$1:$V$1))&gt;(AVERAGE($E916:$V916)+_xlfn.STDEV.P($E916:$V916)),(SLOPE($E916:$V916,$E$1:$V$1)*W$1+INTERCEPT($E916:$V916,$E$1:$V$1))&lt;(AVERAGE($E916:$V916)-_xlfn.STDEV.P($E916:$V916))),V916,(SLOPE($E916:$V916,$E$1:$V$1)*W$1+INTERCEPT($E916:$V916,$E$1:$V$1)))</f>
        <v>2230.6324196468549</v>
      </c>
      <c r="X916" s="5">
        <f t="shared" si="928"/>
        <v>2316.1535128676555</v>
      </c>
      <c r="Y916" s="5">
        <f t="shared" si="928"/>
        <v>2401.6746060884561</v>
      </c>
      <c r="Z916" s="5">
        <f t="shared" si="928"/>
        <v>2487.1956993092567</v>
      </c>
      <c r="AA916" s="5">
        <f t="shared" si="928"/>
        <v>2572.7167925300573</v>
      </c>
      <c r="AB916" s="5">
        <f t="shared" si="928"/>
        <v>2658.2378857508575</v>
      </c>
      <c r="AC916" s="5">
        <f t="shared" si="928"/>
        <v>2743.7589789716581</v>
      </c>
      <c r="AD916" s="5">
        <f t="shared" si="928"/>
        <v>2829.2800721924586</v>
      </c>
      <c r="AE916" s="5">
        <f t="shared" si="928"/>
        <v>2914.8011654132592</v>
      </c>
      <c r="AF916" s="5">
        <f t="shared" si="928"/>
        <v>3000.3222586340598</v>
      </c>
      <c r="AG916" s="5">
        <f t="shared" si="928"/>
        <v>3085.8433518548604</v>
      </c>
      <c r="AH916" s="5">
        <f t="shared" si="928"/>
        <v>3171.364445075661</v>
      </c>
    </row>
    <row r="917" spans="1:34" x14ac:dyDescent="0.35">
      <c r="A917" t="s">
        <v>937</v>
      </c>
      <c r="B917" s="3" t="s">
        <v>1266</v>
      </c>
      <c r="C917" s="4" t="s">
        <v>1266</v>
      </c>
      <c r="D917" s="2">
        <f t="shared" si="91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H917" si="929">IF(OR((SLOPE($E917:$V917,$E$1:$V$1)*W$1+INTERCEPT($E917:$V917,$E$1:$V$1))&gt;(AVERAGE($E917:$V917)+_xlfn.STDEV.P($E917:$V917)),(SLOPE($E917:$V917,$E$1:$V$1)*W$1+INTERCEPT($E917:$V917,$E$1:$V$1))&lt;(AVERAGE($E917:$V917)-_xlfn.STDEV.P($E917:$V917))),V917,(SLOPE($E917:$V917,$E$1:$V$1)*W$1+INTERCEPT($E917:$V917,$E$1:$V$1)))</f>
        <v>2167.7937477713945</v>
      </c>
      <c r="X917" s="5">
        <f t="shared" si="929"/>
        <v>2246.7821839250082</v>
      </c>
      <c r="Y917" s="5">
        <f t="shared" si="929"/>
        <v>2325.770620078622</v>
      </c>
      <c r="Z917" s="5">
        <f t="shared" si="929"/>
        <v>2404.7590562322353</v>
      </c>
      <c r="AA917" s="5">
        <f t="shared" si="929"/>
        <v>2483.747492385849</v>
      </c>
      <c r="AB917" s="5">
        <f t="shared" si="929"/>
        <v>2562.7359285394623</v>
      </c>
      <c r="AC917" s="5">
        <f t="shared" si="929"/>
        <v>2641.724364693076</v>
      </c>
      <c r="AD917" s="5">
        <f t="shared" si="929"/>
        <v>2720.7128008466898</v>
      </c>
      <c r="AE917" s="5">
        <f t="shared" si="929"/>
        <v>2799.7012370003031</v>
      </c>
      <c r="AF917" s="5">
        <f t="shared" si="929"/>
        <v>2878.6896731539168</v>
      </c>
      <c r="AG917" s="5">
        <f t="shared" si="929"/>
        <v>2957.6781093075301</v>
      </c>
      <c r="AH917" s="5">
        <f t="shared" si="929"/>
        <v>3036.6665454611439</v>
      </c>
    </row>
    <row r="918" spans="1:34" x14ac:dyDescent="0.35">
      <c r="A918" t="s">
        <v>938</v>
      </c>
      <c r="B918" s="3" t="s">
        <v>1265</v>
      </c>
      <c r="C918" s="4" t="s">
        <v>1263</v>
      </c>
      <c r="D918" s="2">
        <f t="shared" si="91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ref="W918:AH918" si="930">IF(OR((SLOPE($E918:$V918,$E$1:$V$1)*W$1+INTERCEPT($E918:$V918,$E$1:$V$1))&gt;(AVERAGE($E918:$V918)+_xlfn.STDEV.P($E918:$V918)),(SLOPE($E918:$V918,$E$1:$V$1)*W$1+INTERCEPT($E918:$V918,$E$1:$V$1))&lt;(AVERAGE($E918:$V918)-_xlfn.STDEV.P($E918:$V918))),V918,(SLOPE($E918:$V918,$E$1:$V$1)*W$1+INTERCEPT($E918:$V918,$E$1:$V$1)))</f>
        <v>11865.3048013732</v>
      </c>
      <c r="X918" s="5">
        <f t="shared" si="930"/>
        <v>11865.3048013732</v>
      </c>
      <c r="Y918" s="5">
        <f t="shared" si="930"/>
        <v>11865.3048013732</v>
      </c>
      <c r="Z918" s="5">
        <f t="shared" si="930"/>
        <v>11865.3048013732</v>
      </c>
      <c r="AA918" s="5">
        <f t="shared" si="930"/>
        <v>11865.3048013732</v>
      </c>
      <c r="AB918" s="5">
        <f t="shared" si="930"/>
        <v>11865.3048013732</v>
      </c>
      <c r="AC918" s="5">
        <f t="shared" si="930"/>
        <v>11865.3048013732</v>
      </c>
      <c r="AD918" s="5">
        <f t="shared" si="930"/>
        <v>11865.3048013732</v>
      </c>
      <c r="AE918" s="5">
        <f t="shared" si="930"/>
        <v>11865.3048013732</v>
      </c>
      <c r="AF918" s="5">
        <f t="shared" si="930"/>
        <v>11865.3048013732</v>
      </c>
      <c r="AG918" s="5">
        <f t="shared" si="930"/>
        <v>11865.3048013732</v>
      </c>
      <c r="AH918" s="5">
        <f t="shared" si="930"/>
        <v>11865.3048013732</v>
      </c>
    </row>
    <row r="919" spans="1:34" x14ac:dyDescent="0.35">
      <c r="A919" t="s">
        <v>939</v>
      </c>
      <c r="B919" s="3" t="s">
        <v>1266</v>
      </c>
      <c r="C919" s="4" t="s">
        <v>1263</v>
      </c>
      <c r="D919" s="2">
        <f t="shared" si="91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ref="W919:AH919" si="931">IF(OR((SLOPE($E919:$V919,$E$1:$V$1)*W$1+INTERCEPT($E919:$V919,$E$1:$V$1))&gt;(AVERAGE($E919:$V919)+_xlfn.STDEV.P($E919:$V919)),(SLOPE($E919:$V919,$E$1:$V$1)*W$1+INTERCEPT($E919:$V919,$E$1:$V$1))&lt;(AVERAGE($E919:$V919)-_xlfn.STDEV.P($E919:$V919))),V919,(SLOPE($E919:$V919,$E$1:$V$1)*W$1+INTERCEPT($E919:$V919,$E$1:$V$1)))</f>
        <v>0</v>
      </c>
      <c r="X919" s="5">
        <f t="shared" si="931"/>
        <v>0</v>
      </c>
      <c r="Y919" s="5">
        <f t="shared" si="931"/>
        <v>0</v>
      </c>
      <c r="Z919" s="5">
        <f t="shared" si="931"/>
        <v>0</v>
      </c>
      <c r="AA919" s="5">
        <f t="shared" si="931"/>
        <v>0</v>
      </c>
      <c r="AB919" s="5">
        <f t="shared" si="931"/>
        <v>0</v>
      </c>
      <c r="AC919" s="5">
        <f t="shared" si="931"/>
        <v>0</v>
      </c>
      <c r="AD919" s="5">
        <f t="shared" si="931"/>
        <v>0</v>
      </c>
      <c r="AE919" s="5">
        <f t="shared" si="931"/>
        <v>0</v>
      </c>
      <c r="AF919" s="5">
        <f t="shared" si="931"/>
        <v>0</v>
      </c>
      <c r="AG919" s="5">
        <f t="shared" si="931"/>
        <v>0</v>
      </c>
      <c r="AH919" s="5">
        <f t="shared" si="931"/>
        <v>0</v>
      </c>
    </row>
    <row r="920" spans="1:34" x14ac:dyDescent="0.35">
      <c r="A920" t="s">
        <v>940</v>
      </c>
      <c r="B920" s="3" t="s">
        <v>1264</v>
      </c>
      <c r="C920" s="4" t="s">
        <v>1263</v>
      </c>
      <c r="D920" s="2">
        <f t="shared" si="91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ref="W920:AH920" si="932">IF(OR((SLOPE($E920:$V920,$E$1:$V$1)*W$1+INTERCEPT($E920:$V920,$E$1:$V$1))&gt;(AVERAGE($E920:$V920)+_xlfn.STDEV.P($E920:$V920)),(SLOPE($E920:$V920,$E$1:$V$1)*W$1+INTERCEPT($E920:$V920,$E$1:$V$1))&lt;(AVERAGE($E920:$V920)-_xlfn.STDEV.P($E920:$V920))),V920,(SLOPE($E920:$V920,$E$1:$V$1)*W$1+INTERCEPT($E920:$V920,$E$1:$V$1)))</f>
        <v>331.49979607843125</v>
      </c>
      <c r="X920" s="5">
        <f t="shared" si="932"/>
        <v>221.3462588235293</v>
      </c>
      <c r="Y920" s="5">
        <f t="shared" si="932"/>
        <v>111.19272156862735</v>
      </c>
      <c r="Z920" s="5">
        <f t="shared" si="932"/>
        <v>1.0391843137254</v>
      </c>
      <c r="AA920" s="5">
        <f t="shared" si="932"/>
        <v>-109.11435294117655</v>
      </c>
      <c r="AB920" s="5">
        <f t="shared" si="932"/>
        <v>-219.2678901960785</v>
      </c>
      <c r="AC920" s="5">
        <f t="shared" si="932"/>
        <v>-329.42142745098045</v>
      </c>
      <c r="AD920" s="5">
        <f t="shared" si="932"/>
        <v>-439.57496470588239</v>
      </c>
      <c r="AE920" s="5">
        <f t="shared" si="932"/>
        <v>-549.72850196078434</v>
      </c>
      <c r="AF920" s="5">
        <f t="shared" si="932"/>
        <v>-659.88203921568629</v>
      </c>
      <c r="AG920" s="5">
        <f t="shared" si="932"/>
        <v>-770.03557647058824</v>
      </c>
      <c r="AH920" s="5">
        <f t="shared" si="932"/>
        <v>-880.18911372549019</v>
      </c>
    </row>
    <row r="921" spans="1:34" x14ac:dyDescent="0.35">
      <c r="A921" t="s">
        <v>941</v>
      </c>
      <c r="B921" s="3" t="s">
        <v>1266</v>
      </c>
      <c r="C921" s="4" t="s">
        <v>1267</v>
      </c>
      <c r="D921" s="2">
        <f t="shared" si="91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ref="W921:AH921" si="933">IF(OR((SLOPE($E921:$V921,$E$1:$V$1)*W$1+INTERCEPT($E921:$V921,$E$1:$V$1))&gt;(AVERAGE($E921:$V921)+_xlfn.STDEV.P($E921:$V921)),(SLOPE($E921:$V921,$E$1:$V$1)*W$1+INTERCEPT($E921:$V921,$E$1:$V$1))&lt;(AVERAGE($E921:$V921)-_xlfn.STDEV.P($E921:$V921))),V921,(SLOPE($E921:$V921,$E$1:$V$1)*W$1+INTERCEPT($E921:$V921,$E$1:$V$1)))</f>
        <v>161.99115692175974</v>
      </c>
      <c r="X921" s="5">
        <f t="shared" si="933"/>
        <v>34.103401457212385</v>
      </c>
      <c r="Y921" s="5">
        <f t="shared" si="933"/>
        <v>-93.784354007334514</v>
      </c>
      <c r="Z921" s="5">
        <f t="shared" si="933"/>
        <v>-221.67210947188141</v>
      </c>
      <c r="AA921" s="5">
        <f t="shared" si="933"/>
        <v>-349.55986493642877</v>
      </c>
      <c r="AB921" s="5">
        <f t="shared" si="933"/>
        <v>-477.44762040097567</v>
      </c>
      <c r="AC921" s="5">
        <f t="shared" si="933"/>
        <v>-605.33537586552256</v>
      </c>
      <c r="AD921" s="5">
        <f t="shared" si="933"/>
        <v>-733.22313133006992</v>
      </c>
      <c r="AE921" s="5">
        <f t="shared" si="933"/>
        <v>-861.11088679461682</v>
      </c>
      <c r="AF921" s="5">
        <f t="shared" si="933"/>
        <v>-988.99864225916372</v>
      </c>
      <c r="AG921" s="5">
        <f t="shared" si="933"/>
        <v>-1116.8863977237111</v>
      </c>
      <c r="AH921" s="5">
        <f t="shared" si="933"/>
        <v>-1244.774153188258</v>
      </c>
    </row>
    <row r="922" spans="1:34" x14ac:dyDescent="0.35">
      <c r="A922" t="s">
        <v>942</v>
      </c>
      <c r="B922" s="3" t="s">
        <v>1266</v>
      </c>
      <c r="C922" s="4" t="s">
        <v>1263</v>
      </c>
      <c r="D922" s="2">
        <f t="shared" si="91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ref="W922:AH922" si="934">IF(OR((SLOPE($E922:$V922,$E$1:$V$1)*W$1+INTERCEPT($E922:$V922,$E$1:$V$1))&gt;(AVERAGE($E922:$V922)+_xlfn.STDEV.P($E922:$V922)),(SLOPE($E922:$V922,$E$1:$V$1)*W$1+INTERCEPT($E922:$V922,$E$1:$V$1))&lt;(AVERAGE($E922:$V922)-_xlfn.STDEV.P($E922:$V922))),V922,(SLOPE($E922:$V922,$E$1:$V$1)*W$1+INTERCEPT($E922:$V922,$E$1:$V$1)))</f>
        <v>-322.71492985014356</v>
      </c>
      <c r="X922" s="5">
        <f t="shared" si="934"/>
        <v>-501.05739108311764</v>
      </c>
      <c r="Y922" s="5">
        <f t="shared" si="934"/>
        <v>-679.39985231609216</v>
      </c>
      <c r="Z922" s="5">
        <f t="shared" si="934"/>
        <v>-857.74231354906624</v>
      </c>
      <c r="AA922" s="5">
        <f t="shared" si="934"/>
        <v>-1036.0847747820403</v>
      </c>
      <c r="AB922" s="5">
        <f t="shared" si="934"/>
        <v>-1214.4272360150148</v>
      </c>
      <c r="AC922" s="5">
        <f t="shared" si="934"/>
        <v>-1392.7696972479885</v>
      </c>
      <c r="AD922" s="5">
        <f t="shared" si="934"/>
        <v>-1571.112158480963</v>
      </c>
      <c r="AE922" s="5">
        <f t="shared" si="934"/>
        <v>-1749.4546197139366</v>
      </c>
      <c r="AF922" s="5">
        <f t="shared" si="934"/>
        <v>-1927.7970809469111</v>
      </c>
      <c r="AG922" s="5">
        <f t="shared" si="934"/>
        <v>-2106.1395421798848</v>
      </c>
      <c r="AH922" s="5">
        <f t="shared" si="934"/>
        <v>-2284.4820034128593</v>
      </c>
    </row>
    <row r="923" spans="1:34" x14ac:dyDescent="0.35">
      <c r="A923" t="s">
        <v>943</v>
      </c>
      <c r="B923" s="3" t="s">
        <v>1264</v>
      </c>
      <c r="C923" s="4" t="s">
        <v>1263</v>
      </c>
      <c r="D923" s="2">
        <f t="shared" si="91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ref="W923:AH923" si="935">IF(OR((SLOPE($E923:$V923,$E$1:$V$1)*W$1+INTERCEPT($E923:$V923,$E$1:$V$1))&gt;(AVERAGE($E923:$V923)+_xlfn.STDEV.P($E923:$V923)),(SLOPE($E923:$V923,$E$1:$V$1)*W$1+INTERCEPT($E923:$V923,$E$1:$V$1))&lt;(AVERAGE($E923:$V923)-_xlfn.STDEV.P($E923:$V923))),V923,(SLOPE($E923:$V923,$E$1:$V$1)*W$1+INTERCEPT($E923:$V923,$E$1:$V$1)))</f>
        <v>983.21158169934631</v>
      </c>
      <c r="X923" s="5">
        <f t="shared" si="935"/>
        <v>943.62868386652895</v>
      </c>
      <c r="Y923" s="5">
        <f t="shared" si="935"/>
        <v>904.04578603371169</v>
      </c>
      <c r="Z923" s="5">
        <f t="shared" si="935"/>
        <v>864.46288820089433</v>
      </c>
      <c r="AA923" s="5">
        <f t="shared" si="935"/>
        <v>824.87999036807696</v>
      </c>
      <c r="AB923" s="5">
        <f t="shared" si="935"/>
        <v>785.29709253525971</v>
      </c>
      <c r="AC923" s="5">
        <f t="shared" si="935"/>
        <v>745.71419470244234</v>
      </c>
      <c r="AD923" s="5">
        <f t="shared" si="935"/>
        <v>706.13129686962498</v>
      </c>
      <c r="AE923" s="5">
        <f t="shared" si="935"/>
        <v>666.54839903680772</v>
      </c>
      <c r="AF923" s="5">
        <f t="shared" si="935"/>
        <v>626.96550120399024</v>
      </c>
      <c r="AG923" s="5">
        <f t="shared" si="935"/>
        <v>587.38260337117299</v>
      </c>
      <c r="AH923" s="5">
        <f t="shared" si="935"/>
        <v>547.79970553835574</v>
      </c>
    </row>
    <row r="924" spans="1:34" x14ac:dyDescent="0.35">
      <c r="A924" t="s">
        <v>944</v>
      </c>
      <c r="B924" s="3" t="s">
        <v>1265</v>
      </c>
      <c r="C924" s="4" t="s">
        <v>1263</v>
      </c>
      <c r="D924" s="2">
        <f t="shared" si="91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ref="W924:AH924" si="936">IF(OR((SLOPE($E924:$V924,$E$1:$V$1)*W$1+INTERCEPT($E924:$V924,$E$1:$V$1))&gt;(AVERAGE($E924:$V924)+_xlfn.STDEV.P($E924:$V924)),(SLOPE($E924:$V924,$E$1:$V$1)*W$1+INTERCEPT($E924:$V924,$E$1:$V$1))&lt;(AVERAGE($E924:$V924)-_xlfn.STDEV.P($E924:$V924))),V924,(SLOPE($E924:$V924,$E$1:$V$1)*W$1+INTERCEPT($E924:$V924,$E$1:$V$1)))</f>
        <v>1728.2224758929569</v>
      </c>
      <c r="X924" s="5">
        <f t="shared" si="936"/>
        <v>1767.5923576983178</v>
      </c>
      <c r="Y924" s="5">
        <f t="shared" si="936"/>
        <v>1806.9622395036783</v>
      </c>
      <c r="Z924" s="5">
        <f t="shared" si="936"/>
        <v>1846.3321213090389</v>
      </c>
      <c r="AA924" s="5">
        <f t="shared" si="936"/>
        <v>1885.7020031143998</v>
      </c>
      <c r="AB924" s="5">
        <f t="shared" si="936"/>
        <v>1925.0718849197601</v>
      </c>
      <c r="AC924" s="5">
        <f t="shared" si="936"/>
        <v>1964.4417667251209</v>
      </c>
      <c r="AD924" s="5">
        <f t="shared" si="936"/>
        <v>2003.8116485304815</v>
      </c>
      <c r="AE924" s="5">
        <f t="shared" si="936"/>
        <v>2043.1815303358421</v>
      </c>
      <c r="AF924" s="5">
        <f t="shared" si="936"/>
        <v>2082.5514121412029</v>
      </c>
      <c r="AG924" s="5">
        <f t="shared" si="936"/>
        <v>2121.9212939465633</v>
      </c>
      <c r="AH924" s="5">
        <f t="shared" si="936"/>
        <v>2161.2911757519241</v>
      </c>
    </row>
    <row r="925" spans="1:34" x14ac:dyDescent="0.35">
      <c r="A925" t="s">
        <v>945</v>
      </c>
      <c r="B925" s="3" t="s">
        <v>1266</v>
      </c>
      <c r="C925" s="4" t="s">
        <v>1267</v>
      </c>
      <c r="D925" s="2">
        <f t="shared" si="91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ref="W925:AH925" si="937">IF(OR((SLOPE($E925:$V925,$E$1:$V$1)*W$1+INTERCEPT($E925:$V925,$E$1:$V$1))&gt;(AVERAGE($E925:$V925)+_xlfn.STDEV.P($E925:$V925)),(SLOPE($E925:$V925,$E$1:$V$1)*W$1+INTERCEPT($E925:$V925,$E$1:$V$1))&lt;(AVERAGE($E925:$V925)-_xlfn.STDEV.P($E925:$V925))),V925,(SLOPE($E925:$V925,$E$1:$V$1)*W$1+INTERCEPT($E925:$V925,$E$1:$V$1)))</f>
        <v>5413.3602712762959</v>
      </c>
      <c r="X925" s="5">
        <f t="shared" si="937"/>
        <v>5840.7308190086342</v>
      </c>
      <c r="Y925" s="5">
        <f t="shared" si="937"/>
        <v>6268.1013667409743</v>
      </c>
      <c r="Z925" s="5">
        <f t="shared" si="937"/>
        <v>6695.4719144733126</v>
      </c>
      <c r="AA925" s="5">
        <f t="shared" si="937"/>
        <v>6695.4719144733126</v>
      </c>
      <c r="AB925" s="5">
        <f t="shared" si="937"/>
        <v>6695.4719144733126</v>
      </c>
      <c r="AC925" s="5">
        <f t="shared" si="937"/>
        <v>6695.4719144733126</v>
      </c>
      <c r="AD925" s="5">
        <f t="shared" si="937"/>
        <v>6695.4719144733126</v>
      </c>
      <c r="AE925" s="5">
        <f t="shared" si="937"/>
        <v>6695.4719144733126</v>
      </c>
      <c r="AF925" s="5">
        <f t="shared" si="937"/>
        <v>6695.4719144733126</v>
      </c>
      <c r="AG925" s="5">
        <f t="shared" si="937"/>
        <v>6695.4719144733126</v>
      </c>
      <c r="AH925" s="5">
        <f t="shared" si="937"/>
        <v>6695.4719144733126</v>
      </c>
    </row>
    <row r="926" spans="1:34" x14ac:dyDescent="0.35">
      <c r="A926" t="s">
        <v>946</v>
      </c>
      <c r="B926" s="3" t="s">
        <v>1264</v>
      </c>
      <c r="C926" s="4" t="s">
        <v>1263</v>
      </c>
      <c r="D926" s="2">
        <f t="shared" si="91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ref="W926:AH926" si="938">IF(OR((SLOPE($E926:$V926,$E$1:$V$1)*W$1+INTERCEPT($E926:$V926,$E$1:$V$1))&gt;(AVERAGE($E926:$V926)+_xlfn.STDEV.P($E926:$V926)),(SLOPE($E926:$V926,$E$1:$V$1)*W$1+INTERCEPT($E926:$V926,$E$1:$V$1))&lt;(AVERAGE($E926:$V926)-_xlfn.STDEV.P($E926:$V926))),V926,(SLOPE($E926:$V926,$E$1:$V$1)*W$1+INTERCEPT($E926:$V926,$E$1:$V$1)))</f>
        <v>750.69252606535906</v>
      </c>
      <c r="X926" s="5">
        <f t="shared" si="938"/>
        <v>688.29479861025061</v>
      </c>
      <c r="Y926" s="5">
        <f t="shared" si="938"/>
        <v>688.29479861025061</v>
      </c>
      <c r="Z926" s="5">
        <f t="shared" si="938"/>
        <v>688.29479861025061</v>
      </c>
      <c r="AA926" s="5">
        <f t="shared" si="938"/>
        <v>688.29479861025061</v>
      </c>
      <c r="AB926" s="5">
        <f t="shared" si="938"/>
        <v>688.29479861025061</v>
      </c>
      <c r="AC926" s="5">
        <f t="shared" si="938"/>
        <v>688.29479861025061</v>
      </c>
      <c r="AD926" s="5">
        <f t="shared" si="938"/>
        <v>688.29479861025061</v>
      </c>
      <c r="AE926" s="5">
        <f t="shared" si="938"/>
        <v>688.29479861025061</v>
      </c>
      <c r="AF926" s="5">
        <f t="shared" si="938"/>
        <v>688.29479861025061</v>
      </c>
      <c r="AG926" s="5">
        <f t="shared" si="938"/>
        <v>688.29479861025061</v>
      </c>
      <c r="AH926" s="5">
        <f t="shared" si="938"/>
        <v>688.29479861025061</v>
      </c>
    </row>
    <row r="927" spans="1:34" x14ac:dyDescent="0.35">
      <c r="A927" t="s">
        <v>947</v>
      </c>
      <c r="B927" s="3" t="s">
        <v>1266</v>
      </c>
      <c r="C927" s="4" t="s">
        <v>1267</v>
      </c>
      <c r="D927" s="2">
        <f t="shared" si="91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ref="W927:AH927" si="939">IF(OR((SLOPE($E927:$V927,$E$1:$V$1)*W$1+INTERCEPT($E927:$V927,$E$1:$V$1))&gt;(AVERAGE($E927:$V927)+_xlfn.STDEV.P($E927:$V927)),(SLOPE($E927:$V927,$E$1:$V$1)*W$1+INTERCEPT($E927:$V927,$E$1:$V$1))&lt;(AVERAGE($E927:$V927)-_xlfn.STDEV.P($E927:$V927))),V927,(SLOPE($E927:$V927,$E$1:$V$1)*W$1+INTERCEPT($E927:$V927,$E$1:$V$1)))</f>
        <v>-315.31066935569652</v>
      </c>
      <c r="X927" s="5">
        <f t="shared" si="939"/>
        <v>-489.56130242068684</v>
      </c>
      <c r="Y927" s="5">
        <f t="shared" si="939"/>
        <v>-663.81193548567717</v>
      </c>
      <c r="Z927" s="5">
        <f t="shared" si="939"/>
        <v>-838.06256855066749</v>
      </c>
      <c r="AA927" s="5">
        <f t="shared" si="939"/>
        <v>-1012.3132016156578</v>
      </c>
      <c r="AB927" s="5">
        <f t="shared" si="939"/>
        <v>-1186.5638346806481</v>
      </c>
      <c r="AC927" s="5">
        <f t="shared" si="939"/>
        <v>-1360.8144677456385</v>
      </c>
      <c r="AD927" s="5">
        <f t="shared" si="939"/>
        <v>-1535.0651008106288</v>
      </c>
      <c r="AE927" s="5">
        <f t="shared" si="939"/>
        <v>-1709.3157338756182</v>
      </c>
      <c r="AF927" s="5">
        <f t="shared" si="939"/>
        <v>-1883.5663669406085</v>
      </c>
      <c r="AG927" s="5">
        <f t="shared" si="939"/>
        <v>-2057.8170000055989</v>
      </c>
      <c r="AH927" s="5">
        <f t="shared" si="939"/>
        <v>-2232.0676330705892</v>
      </c>
    </row>
    <row r="928" spans="1:34" x14ac:dyDescent="0.35">
      <c r="A928" t="s">
        <v>948</v>
      </c>
      <c r="B928" s="3" t="s">
        <v>1266</v>
      </c>
      <c r="C928" s="4" t="s">
        <v>1268</v>
      </c>
      <c r="D928" s="2">
        <f t="shared" si="91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ref="W928:AH928" si="940">IF(OR((SLOPE($E928:$V928,$E$1:$V$1)*W$1+INTERCEPT($E928:$V928,$E$1:$V$1))&gt;(AVERAGE($E928:$V928)+_xlfn.STDEV.P($E928:$V928)),(SLOPE($E928:$V928,$E$1:$V$1)*W$1+INTERCEPT($E928:$V928,$E$1:$V$1))&lt;(AVERAGE($E928:$V928)-_xlfn.STDEV.P($E928:$V928))),V928,(SLOPE($E928:$V928,$E$1:$V$1)*W$1+INTERCEPT($E928:$V928,$E$1:$V$1)))</f>
        <v>-785.02247854766711</v>
      </c>
      <c r="X928" s="5">
        <f t="shared" si="940"/>
        <v>-1008.1341303454251</v>
      </c>
      <c r="Y928" s="5">
        <f t="shared" si="940"/>
        <v>-1231.2457821431831</v>
      </c>
      <c r="Z928" s="5">
        <f t="shared" si="940"/>
        <v>-1454.3574339409411</v>
      </c>
      <c r="AA928" s="5">
        <f t="shared" si="940"/>
        <v>-1677.4690857386991</v>
      </c>
      <c r="AB928" s="5">
        <f t="shared" si="940"/>
        <v>-1900.580737536457</v>
      </c>
      <c r="AC928" s="5">
        <f t="shared" si="940"/>
        <v>-2123.692389334215</v>
      </c>
      <c r="AD928" s="5">
        <f t="shared" si="940"/>
        <v>-2346.804041131973</v>
      </c>
      <c r="AE928" s="5">
        <f t="shared" si="940"/>
        <v>-2569.915692929731</v>
      </c>
      <c r="AF928" s="5">
        <f t="shared" si="940"/>
        <v>-2793.027344727489</v>
      </c>
      <c r="AG928" s="5">
        <f t="shared" si="940"/>
        <v>-3016.138996525247</v>
      </c>
      <c r="AH928" s="5">
        <f t="shared" si="940"/>
        <v>-3239.250648323005</v>
      </c>
    </row>
    <row r="929" spans="1:34" x14ac:dyDescent="0.35">
      <c r="A929" t="s">
        <v>949</v>
      </c>
      <c r="B929" s="3" t="s">
        <v>1266</v>
      </c>
      <c r="C929" s="4" t="s">
        <v>1263</v>
      </c>
      <c r="D929" s="2">
        <f t="shared" si="91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ref="W929:AH929" si="941">IF(OR((SLOPE($E929:$V929,$E$1:$V$1)*W$1+INTERCEPT($E929:$V929,$E$1:$V$1))&gt;(AVERAGE($E929:$V929)+_xlfn.STDEV.P($E929:$V929)),(SLOPE($E929:$V929,$E$1:$V$1)*W$1+INTERCEPT($E929:$V929,$E$1:$V$1))&lt;(AVERAGE($E929:$V929)-_xlfn.STDEV.P($E929:$V929))),V929,(SLOPE($E929:$V929,$E$1:$V$1)*W$1+INTERCEPT($E929:$V929,$E$1:$V$1)))</f>
        <v>0</v>
      </c>
      <c r="X929" s="5">
        <f t="shared" si="941"/>
        <v>0</v>
      </c>
      <c r="Y929" s="5">
        <f t="shared" si="941"/>
        <v>0</v>
      </c>
      <c r="Z929" s="5">
        <f t="shared" si="941"/>
        <v>0</v>
      </c>
      <c r="AA929" s="5">
        <f t="shared" si="941"/>
        <v>0</v>
      </c>
      <c r="AB929" s="5">
        <f t="shared" si="941"/>
        <v>0</v>
      </c>
      <c r="AC929" s="5">
        <f t="shared" si="941"/>
        <v>0</v>
      </c>
      <c r="AD929" s="5">
        <f t="shared" si="941"/>
        <v>0</v>
      </c>
      <c r="AE929" s="5">
        <f t="shared" si="941"/>
        <v>0</v>
      </c>
      <c r="AF929" s="5">
        <f t="shared" si="941"/>
        <v>0</v>
      </c>
      <c r="AG929" s="5">
        <f t="shared" si="941"/>
        <v>0</v>
      </c>
      <c r="AH929" s="5">
        <f t="shared" si="941"/>
        <v>0</v>
      </c>
    </row>
    <row r="930" spans="1:34" x14ac:dyDescent="0.35">
      <c r="A930" t="s">
        <v>950</v>
      </c>
      <c r="B930" s="3" t="s">
        <v>1265</v>
      </c>
      <c r="C930" s="4" t="s">
        <v>1263</v>
      </c>
      <c r="D930" s="2">
        <f t="shared" si="91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ref="W930:AH930" si="942">IF(OR((SLOPE($E930:$V930,$E$1:$V$1)*W$1+INTERCEPT($E930:$V930,$E$1:$V$1))&gt;(AVERAGE($E930:$V930)+_xlfn.STDEV.P($E930:$V930)),(SLOPE($E930:$V930,$E$1:$V$1)*W$1+INTERCEPT($E930:$V930,$E$1:$V$1))&lt;(AVERAGE($E930:$V930)-_xlfn.STDEV.P($E930:$V930))),V930,(SLOPE($E930:$V930,$E$1:$V$1)*W$1+INTERCEPT($E930:$V930,$E$1:$V$1)))</f>
        <v>1520.3184313998486</v>
      </c>
      <c r="X930" s="5">
        <f t="shared" si="942"/>
        <v>1544.3234592640565</v>
      </c>
      <c r="Y930" s="5">
        <f t="shared" si="942"/>
        <v>1568.3284871282647</v>
      </c>
      <c r="Z930" s="5">
        <f t="shared" si="942"/>
        <v>1592.3335149924728</v>
      </c>
      <c r="AA930" s="5">
        <f t="shared" si="942"/>
        <v>1616.338542856681</v>
      </c>
      <c r="AB930" s="5">
        <f t="shared" si="942"/>
        <v>1640.3435707208891</v>
      </c>
      <c r="AC930" s="5">
        <f t="shared" si="942"/>
        <v>1664.3485985850973</v>
      </c>
      <c r="AD930" s="5">
        <f t="shared" si="942"/>
        <v>1688.3536264493055</v>
      </c>
      <c r="AE930" s="5">
        <f t="shared" si="942"/>
        <v>1712.3586543135136</v>
      </c>
      <c r="AF930" s="5">
        <f t="shared" si="942"/>
        <v>1736.3636821777218</v>
      </c>
      <c r="AG930" s="5">
        <f t="shared" si="942"/>
        <v>1760.3687100419297</v>
      </c>
      <c r="AH930" s="5">
        <f t="shared" si="942"/>
        <v>1784.3737379061381</v>
      </c>
    </row>
    <row r="931" spans="1:34" x14ac:dyDescent="0.35">
      <c r="A931" t="s">
        <v>951</v>
      </c>
      <c r="B931" s="3" t="s">
        <v>1264</v>
      </c>
      <c r="C931" s="4" t="s">
        <v>1263</v>
      </c>
      <c r="D931" s="2">
        <f t="shared" si="91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ref="W931:AH931" si="943">IF(OR((SLOPE($E931:$V931,$E$1:$V$1)*W$1+INTERCEPT($E931:$V931,$E$1:$V$1))&gt;(AVERAGE($E931:$V931)+_xlfn.STDEV.P($E931:$V931)),(SLOPE($E931:$V931,$E$1:$V$1)*W$1+INTERCEPT($E931:$V931,$E$1:$V$1))&lt;(AVERAGE($E931:$V931)-_xlfn.STDEV.P($E931:$V931))),V931,(SLOPE($E931:$V931,$E$1:$V$1)*W$1+INTERCEPT($E931:$V931,$E$1:$V$1)))</f>
        <v>4412.8702284233059</v>
      </c>
      <c r="X931" s="5">
        <f t="shared" si="943"/>
        <v>4741.5082307318389</v>
      </c>
      <c r="Y931" s="5">
        <f t="shared" si="943"/>
        <v>5070.146233040372</v>
      </c>
      <c r="Z931" s="5">
        <f t="shared" si="943"/>
        <v>5398.784235348905</v>
      </c>
      <c r="AA931" s="5">
        <f t="shared" si="943"/>
        <v>5398.784235348905</v>
      </c>
      <c r="AB931" s="5">
        <f t="shared" si="943"/>
        <v>5398.784235348905</v>
      </c>
      <c r="AC931" s="5">
        <f t="shared" si="943"/>
        <v>5398.784235348905</v>
      </c>
      <c r="AD931" s="5">
        <f t="shared" si="943"/>
        <v>5398.784235348905</v>
      </c>
      <c r="AE931" s="5">
        <f t="shared" si="943"/>
        <v>5398.784235348905</v>
      </c>
      <c r="AF931" s="5">
        <f t="shared" si="943"/>
        <v>5398.784235348905</v>
      </c>
      <c r="AG931" s="5">
        <f t="shared" si="943"/>
        <v>5398.784235348905</v>
      </c>
      <c r="AH931" s="5">
        <f t="shared" si="943"/>
        <v>5398.784235348905</v>
      </c>
    </row>
    <row r="932" spans="1:34" x14ac:dyDescent="0.35">
      <c r="A932" t="s">
        <v>952</v>
      </c>
      <c r="B932" s="3" t="s">
        <v>1266</v>
      </c>
      <c r="C932" s="4" t="s">
        <v>1263</v>
      </c>
      <c r="D932" s="2">
        <f t="shared" si="91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ref="W932:AH932" si="944">IF(OR((SLOPE($E932:$V932,$E$1:$V$1)*W$1+INTERCEPT($E932:$V932,$E$1:$V$1))&gt;(AVERAGE($E932:$V932)+_xlfn.STDEV.P($E932:$V932)),(SLOPE($E932:$V932,$E$1:$V$1)*W$1+INTERCEPT($E932:$V932,$E$1:$V$1))&lt;(AVERAGE($E932:$V932)-_xlfn.STDEV.P($E932:$V932))),V932,(SLOPE($E932:$V932,$E$1:$V$1)*W$1+INTERCEPT($E932:$V932,$E$1:$V$1)))</f>
        <v>0</v>
      </c>
      <c r="X932" s="5">
        <f t="shared" si="944"/>
        <v>0</v>
      </c>
      <c r="Y932" s="5">
        <f t="shared" si="944"/>
        <v>0</v>
      </c>
      <c r="Z932" s="5">
        <f t="shared" si="944"/>
        <v>0</v>
      </c>
      <c r="AA932" s="5">
        <f t="shared" si="944"/>
        <v>0</v>
      </c>
      <c r="AB932" s="5">
        <f t="shared" si="944"/>
        <v>0</v>
      </c>
      <c r="AC932" s="5">
        <f t="shared" si="944"/>
        <v>0</v>
      </c>
      <c r="AD932" s="5">
        <f t="shared" si="944"/>
        <v>0</v>
      </c>
      <c r="AE932" s="5">
        <f t="shared" si="944"/>
        <v>0</v>
      </c>
      <c r="AF932" s="5">
        <f t="shared" si="944"/>
        <v>0</v>
      </c>
      <c r="AG932" s="5">
        <f t="shared" si="944"/>
        <v>0</v>
      </c>
      <c r="AH932" s="5">
        <f t="shared" si="944"/>
        <v>0</v>
      </c>
    </row>
    <row r="933" spans="1:34" x14ac:dyDescent="0.35">
      <c r="A933" t="s">
        <v>953</v>
      </c>
      <c r="B933" s="3" t="s">
        <v>1266</v>
      </c>
      <c r="C933" s="4" t="s">
        <v>1267</v>
      </c>
      <c r="D933" s="2">
        <f t="shared" si="91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H933" si="945">IF(OR((SLOPE($E933:$V933,$E$1:$V$1)*W$1+INTERCEPT($E933:$V933,$E$1:$V$1))&gt;(AVERAGE($E933:$V933)+_xlfn.STDEV.P($E933:$V933)),(SLOPE($E933:$V933,$E$1:$V$1)*W$1+INTERCEPT($E933:$V933,$E$1:$V$1))&lt;(AVERAGE($E933:$V933)-_xlfn.STDEV.P($E933:$V933))),V933,(SLOPE($E933:$V933,$E$1:$V$1)*W$1+INTERCEPT($E933:$V933,$E$1:$V$1)))</f>
        <v>2415.3467363906702</v>
      </c>
      <c r="X933" s="5">
        <f t="shared" si="945"/>
        <v>2534.5250293046834</v>
      </c>
      <c r="Y933" s="5">
        <f t="shared" si="945"/>
        <v>2653.7033222186969</v>
      </c>
      <c r="Z933" s="5">
        <f t="shared" si="945"/>
        <v>2772.8816151327101</v>
      </c>
      <c r="AA933" s="5">
        <f t="shared" si="945"/>
        <v>2892.0599080467236</v>
      </c>
      <c r="AB933" s="5">
        <f t="shared" si="945"/>
        <v>3011.2382009607368</v>
      </c>
      <c r="AC933" s="5">
        <f t="shared" si="945"/>
        <v>3130.4164938747504</v>
      </c>
      <c r="AD933" s="5">
        <f t="shared" si="945"/>
        <v>3249.5947867887635</v>
      </c>
      <c r="AE933" s="5">
        <f t="shared" si="945"/>
        <v>3368.7730797027771</v>
      </c>
      <c r="AF933" s="5">
        <f t="shared" si="945"/>
        <v>3487.9513726167902</v>
      </c>
      <c r="AG933" s="5">
        <f t="shared" si="945"/>
        <v>3607.1296655308038</v>
      </c>
      <c r="AH933" s="5">
        <f t="shared" si="945"/>
        <v>3726.3079584448169</v>
      </c>
    </row>
    <row r="934" spans="1:34" x14ac:dyDescent="0.35">
      <c r="A934" t="s">
        <v>954</v>
      </c>
      <c r="B934" s="3" t="s">
        <v>1264</v>
      </c>
      <c r="C934" s="4" t="s">
        <v>1263</v>
      </c>
      <c r="D934" s="2">
        <f t="shared" si="91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ref="W934:AH934" si="946">IF(OR((SLOPE($E934:$V934,$E$1:$V$1)*W$1+INTERCEPT($E934:$V934,$E$1:$V$1))&gt;(AVERAGE($E934:$V934)+_xlfn.STDEV.P($E934:$V934)),(SLOPE($E934:$V934,$E$1:$V$1)*W$1+INTERCEPT($E934:$V934,$E$1:$V$1))&lt;(AVERAGE($E934:$V934)-_xlfn.STDEV.P($E934:$V934))),V934,(SLOPE($E934:$V934,$E$1:$V$1)*W$1+INTERCEPT($E934:$V934,$E$1:$V$1)))</f>
        <v>809.85124705882356</v>
      </c>
      <c r="X934" s="5">
        <f t="shared" si="946"/>
        <v>765.09710464396289</v>
      </c>
      <c r="Y934" s="5">
        <f t="shared" si="946"/>
        <v>720.34296222910223</v>
      </c>
      <c r="Z934" s="5">
        <f t="shared" si="946"/>
        <v>675.58881981424156</v>
      </c>
      <c r="AA934" s="5">
        <f t="shared" si="946"/>
        <v>630.83467739938101</v>
      </c>
      <c r="AB934" s="5">
        <f t="shared" si="946"/>
        <v>586.08053498452023</v>
      </c>
      <c r="AC934" s="5">
        <f t="shared" si="946"/>
        <v>541.32639256965945</v>
      </c>
      <c r="AD934" s="5">
        <f t="shared" si="946"/>
        <v>496.57225015479889</v>
      </c>
      <c r="AE934" s="5">
        <f t="shared" si="946"/>
        <v>451.81810773993834</v>
      </c>
      <c r="AF934" s="5">
        <f t="shared" si="946"/>
        <v>451.81810773993834</v>
      </c>
      <c r="AG934" s="5">
        <f t="shared" si="946"/>
        <v>451.81810773993834</v>
      </c>
      <c r="AH934" s="5">
        <f t="shared" si="946"/>
        <v>451.81810773993834</v>
      </c>
    </row>
    <row r="935" spans="1:34" x14ac:dyDescent="0.35">
      <c r="A935" t="s">
        <v>955</v>
      </c>
      <c r="B935" s="3" t="s">
        <v>1266</v>
      </c>
      <c r="C935" s="4" t="s">
        <v>1263</v>
      </c>
      <c r="D935" s="2">
        <f t="shared" si="91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ref="W935:AH935" si="947">IF(OR((SLOPE($E935:$V935,$E$1:$V$1)*W$1+INTERCEPT($E935:$V935,$E$1:$V$1))&gt;(AVERAGE($E935:$V935)+_xlfn.STDEV.P($E935:$V935)),(SLOPE($E935:$V935,$E$1:$V$1)*W$1+INTERCEPT($E935:$V935,$E$1:$V$1))&lt;(AVERAGE($E935:$V935)-_xlfn.STDEV.P($E935:$V935))),V935,(SLOPE($E935:$V935,$E$1:$V$1)*W$1+INTERCEPT($E935:$V935,$E$1:$V$1)))</f>
        <v>3385.462650980392</v>
      </c>
      <c r="X935" s="5">
        <f t="shared" si="947"/>
        <v>3609.3077581011357</v>
      </c>
      <c r="Y935" s="5">
        <f t="shared" si="947"/>
        <v>3833.1528652218785</v>
      </c>
      <c r="Z935" s="5">
        <f t="shared" si="947"/>
        <v>4056.9979723426213</v>
      </c>
      <c r="AA935" s="5">
        <f t="shared" si="947"/>
        <v>4280.8430794633641</v>
      </c>
      <c r="AB935" s="5">
        <f t="shared" si="947"/>
        <v>4504.6881865841078</v>
      </c>
      <c r="AC935" s="5">
        <f t="shared" si="947"/>
        <v>4728.5332937048506</v>
      </c>
      <c r="AD935" s="5">
        <f t="shared" si="947"/>
        <v>4952.3784008255934</v>
      </c>
      <c r="AE935" s="5">
        <f t="shared" si="947"/>
        <v>4952.3784008255934</v>
      </c>
      <c r="AF935" s="5">
        <f t="shared" si="947"/>
        <v>4952.3784008255934</v>
      </c>
      <c r="AG935" s="5">
        <f t="shared" si="947"/>
        <v>4952.3784008255934</v>
      </c>
      <c r="AH935" s="5">
        <f t="shared" si="947"/>
        <v>4952.3784008255934</v>
      </c>
    </row>
    <row r="936" spans="1:34" x14ac:dyDescent="0.35">
      <c r="A936" t="s">
        <v>956</v>
      </c>
      <c r="B936" s="3" t="s">
        <v>1264</v>
      </c>
      <c r="C936" s="4" t="s">
        <v>1263</v>
      </c>
      <c r="D936" s="2">
        <f t="shared" si="91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ref="W936:AH936" si="948">IF(OR((SLOPE($E936:$V936,$E$1:$V$1)*W$1+INTERCEPT($E936:$V936,$E$1:$V$1))&gt;(AVERAGE($E936:$V936)+_xlfn.STDEV.P($E936:$V936)),(SLOPE($E936:$V936,$E$1:$V$1)*W$1+INTERCEPT($E936:$V936,$E$1:$V$1))&lt;(AVERAGE($E936:$V936)-_xlfn.STDEV.P($E936:$V936))),V936,(SLOPE($E936:$V936,$E$1:$V$1)*W$1+INTERCEPT($E936:$V936,$E$1:$V$1)))</f>
        <v>1793.3940923091159</v>
      </c>
      <c r="X936" s="5">
        <f t="shared" si="948"/>
        <v>1850.4713947681767</v>
      </c>
      <c r="Y936" s="5">
        <f t="shared" si="948"/>
        <v>1907.5486972272377</v>
      </c>
      <c r="Z936" s="5">
        <f t="shared" si="948"/>
        <v>1964.6259996862987</v>
      </c>
      <c r="AA936" s="5">
        <f t="shared" si="948"/>
        <v>2021.7033021453594</v>
      </c>
      <c r="AB936" s="5">
        <f t="shared" si="948"/>
        <v>2078.7806046044207</v>
      </c>
      <c r="AC936" s="5">
        <f t="shared" si="948"/>
        <v>2135.8579070634814</v>
      </c>
      <c r="AD936" s="5">
        <f t="shared" si="948"/>
        <v>2192.9352095225422</v>
      </c>
      <c r="AE936" s="5">
        <f t="shared" si="948"/>
        <v>2250.012511981603</v>
      </c>
      <c r="AF936" s="5">
        <f t="shared" si="948"/>
        <v>2307.0898144406642</v>
      </c>
      <c r="AG936" s="5">
        <f t="shared" si="948"/>
        <v>2364.167116899725</v>
      </c>
      <c r="AH936" s="5">
        <f t="shared" si="948"/>
        <v>2421.2444193587862</v>
      </c>
    </row>
    <row r="937" spans="1:34" x14ac:dyDescent="0.35">
      <c r="A937" t="s">
        <v>957</v>
      </c>
      <c r="B937" s="3" t="s">
        <v>1266</v>
      </c>
      <c r="C937" s="4" t="s">
        <v>1267</v>
      </c>
      <c r="D937" s="2">
        <f t="shared" si="91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ref="W937:AH937" si="949">IF(OR((SLOPE($E937:$V937,$E$1:$V$1)*W$1+INTERCEPT($E937:$V937,$E$1:$V$1))&gt;(AVERAGE($E937:$V937)+_xlfn.STDEV.P($E937:$V937)),(SLOPE($E937:$V937,$E$1:$V$1)*W$1+INTERCEPT($E937:$V937,$E$1:$V$1))&lt;(AVERAGE($E937:$V937)-_xlfn.STDEV.P($E937:$V937))),V937,(SLOPE($E937:$V937,$E$1:$V$1)*W$1+INTERCEPT($E937:$V937,$E$1:$V$1)))</f>
        <v>3226.1458668796972</v>
      </c>
      <c r="X937" s="5">
        <f t="shared" si="949"/>
        <v>3434.5332793336488</v>
      </c>
      <c r="Y937" s="5">
        <f t="shared" si="949"/>
        <v>3642.9206917876004</v>
      </c>
      <c r="Z937" s="5">
        <f t="shared" si="949"/>
        <v>3851.308104241552</v>
      </c>
      <c r="AA937" s="5">
        <f t="shared" si="949"/>
        <v>4059.6955166955045</v>
      </c>
      <c r="AB937" s="5">
        <f t="shared" si="949"/>
        <v>4268.0829291494556</v>
      </c>
      <c r="AC937" s="5">
        <f t="shared" si="949"/>
        <v>4476.4703416034081</v>
      </c>
      <c r="AD937" s="5">
        <f t="shared" si="949"/>
        <v>4684.8577540573588</v>
      </c>
      <c r="AE937" s="5">
        <f t="shared" si="949"/>
        <v>4893.2451665113113</v>
      </c>
      <c r="AF937" s="5">
        <f t="shared" si="949"/>
        <v>5101.6325789652619</v>
      </c>
      <c r="AG937" s="5">
        <f t="shared" si="949"/>
        <v>5310.0199914192144</v>
      </c>
      <c r="AH937" s="5">
        <f t="shared" si="949"/>
        <v>5518.4074038731669</v>
      </c>
    </row>
    <row r="938" spans="1:34" x14ac:dyDescent="0.35">
      <c r="A938" t="s">
        <v>958</v>
      </c>
      <c r="B938" s="3" t="s">
        <v>1266</v>
      </c>
      <c r="C938" s="4" t="s">
        <v>1263</v>
      </c>
      <c r="D938" s="2">
        <f t="shared" si="91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ref="W938:AH938" si="950">IF(OR((SLOPE($E938:$V938,$E$1:$V$1)*W$1+INTERCEPT($E938:$V938,$E$1:$V$1))&gt;(AVERAGE($E938:$V938)+_xlfn.STDEV.P($E938:$V938)),(SLOPE($E938:$V938,$E$1:$V$1)*W$1+INTERCEPT($E938:$V938,$E$1:$V$1))&lt;(AVERAGE($E938:$V938)-_xlfn.STDEV.P($E938:$V938))),V938,(SLOPE($E938:$V938,$E$1:$V$1)*W$1+INTERCEPT($E938:$V938,$E$1:$V$1)))</f>
        <v>-284.88892307364949</v>
      </c>
      <c r="X938" s="5">
        <f t="shared" si="950"/>
        <v>-442.32753845645539</v>
      </c>
      <c r="Y938" s="5">
        <f t="shared" si="950"/>
        <v>-599.76615383926173</v>
      </c>
      <c r="Z938" s="5">
        <f t="shared" si="950"/>
        <v>-757.20476922206808</v>
      </c>
      <c r="AA938" s="5">
        <f t="shared" si="950"/>
        <v>-914.64338460487397</v>
      </c>
      <c r="AB938" s="5">
        <f t="shared" si="950"/>
        <v>-1072.0819999876803</v>
      </c>
      <c r="AC938" s="5">
        <f t="shared" si="950"/>
        <v>-1229.5206153704867</v>
      </c>
      <c r="AD938" s="5">
        <f t="shared" si="950"/>
        <v>-1386.9592307532926</v>
      </c>
      <c r="AE938" s="5">
        <f t="shared" si="950"/>
        <v>-1544.3978461360989</v>
      </c>
      <c r="AF938" s="5">
        <f t="shared" si="950"/>
        <v>-1701.8364615189053</v>
      </c>
      <c r="AG938" s="5">
        <f t="shared" si="950"/>
        <v>-1859.2750769017116</v>
      </c>
      <c r="AH938" s="5">
        <f t="shared" si="950"/>
        <v>-2016.713692284517</v>
      </c>
    </row>
    <row r="939" spans="1:34" x14ac:dyDescent="0.35">
      <c r="A939" t="s">
        <v>959</v>
      </c>
      <c r="B939" s="3" t="s">
        <v>1264</v>
      </c>
      <c r="C939" s="4" t="s">
        <v>1267</v>
      </c>
      <c r="D939" s="2">
        <f t="shared" si="91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ref="W939:AH939" si="951">IF(OR((SLOPE($E939:$V939,$E$1:$V$1)*W$1+INTERCEPT($E939:$V939,$E$1:$V$1))&gt;(AVERAGE($E939:$V939)+_xlfn.STDEV.P($E939:$V939)),(SLOPE($E939:$V939,$E$1:$V$1)*W$1+INTERCEPT($E939:$V939,$E$1:$V$1))&lt;(AVERAGE($E939:$V939)-_xlfn.STDEV.P($E939:$V939))),V939,(SLOPE($E939:$V939,$E$1:$V$1)*W$1+INTERCEPT($E939:$V939,$E$1:$V$1)))</f>
        <v>1411.7534117647056</v>
      </c>
      <c r="X939" s="5">
        <f t="shared" si="951"/>
        <v>1434.0442551083588</v>
      </c>
      <c r="Y939" s="5">
        <f t="shared" si="951"/>
        <v>1456.3350984520121</v>
      </c>
      <c r="Z939" s="5">
        <f t="shared" si="951"/>
        <v>1478.6259417956653</v>
      </c>
      <c r="AA939" s="5">
        <f t="shared" si="951"/>
        <v>1500.9167851393186</v>
      </c>
      <c r="AB939" s="5">
        <f t="shared" si="951"/>
        <v>1523.2076284829718</v>
      </c>
      <c r="AC939" s="5">
        <f t="shared" si="951"/>
        <v>1545.4984718266251</v>
      </c>
      <c r="AD939" s="5">
        <f t="shared" si="951"/>
        <v>1567.7893151702783</v>
      </c>
      <c r="AE939" s="5">
        <f t="shared" si="951"/>
        <v>1590.0801585139318</v>
      </c>
      <c r="AF939" s="5">
        <f t="shared" si="951"/>
        <v>1612.371001857585</v>
      </c>
      <c r="AG939" s="5">
        <f t="shared" si="951"/>
        <v>1634.6618452012383</v>
      </c>
      <c r="AH939" s="5">
        <f t="shared" si="951"/>
        <v>1656.9526885448915</v>
      </c>
    </row>
    <row r="940" spans="1:34" x14ac:dyDescent="0.35">
      <c r="A940" t="s">
        <v>960</v>
      </c>
      <c r="B940" s="3" t="s">
        <v>1264</v>
      </c>
      <c r="C940" s="4" t="s">
        <v>1263</v>
      </c>
      <c r="D940" s="2">
        <f t="shared" si="91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ref="W940:AH940" si="952">IF(OR((SLOPE($E940:$V940,$E$1:$V$1)*W$1+INTERCEPT($E940:$V940,$E$1:$V$1))&gt;(AVERAGE($E940:$V940)+_xlfn.STDEV.P($E940:$V940)),(SLOPE($E940:$V940,$E$1:$V$1)*W$1+INTERCEPT($E940:$V940,$E$1:$V$1))&lt;(AVERAGE($E940:$V940)-_xlfn.STDEV.P($E940:$V940))),V940,(SLOPE($E940:$V940,$E$1:$V$1)*W$1+INTERCEPT($E940:$V940,$E$1:$V$1)))</f>
        <v>829.50274509803887</v>
      </c>
      <c r="X940" s="5">
        <f t="shared" si="952"/>
        <v>791.37882352941142</v>
      </c>
      <c r="Y940" s="5">
        <f t="shared" si="952"/>
        <v>753.25490196078397</v>
      </c>
      <c r="Z940" s="5">
        <f t="shared" si="952"/>
        <v>715.13098039215652</v>
      </c>
      <c r="AA940" s="5">
        <f t="shared" si="952"/>
        <v>677.00705882352906</v>
      </c>
      <c r="AB940" s="5">
        <f t="shared" si="952"/>
        <v>638.88313725490161</v>
      </c>
      <c r="AC940" s="5">
        <f t="shared" si="952"/>
        <v>600.75921568627416</v>
      </c>
      <c r="AD940" s="5">
        <f t="shared" si="952"/>
        <v>562.63529411764671</v>
      </c>
      <c r="AE940" s="5">
        <f t="shared" si="952"/>
        <v>524.51137254901914</v>
      </c>
      <c r="AF940" s="5">
        <f t="shared" si="952"/>
        <v>486.3874509803918</v>
      </c>
      <c r="AG940" s="5">
        <f t="shared" si="952"/>
        <v>486.3874509803918</v>
      </c>
      <c r="AH940" s="5">
        <f t="shared" si="952"/>
        <v>486.3874509803918</v>
      </c>
    </row>
    <row r="941" spans="1:34" x14ac:dyDescent="0.35">
      <c r="A941" t="s">
        <v>961</v>
      </c>
      <c r="B941" s="3" t="s">
        <v>1266</v>
      </c>
      <c r="C941" s="4" t="s">
        <v>1263</v>
      </c>
      <c r="D941" s="2">
        <f t="shared" si="91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ref="W941:AH941" si="953">IF(OR((SLOPE($E941:$V941,$E$1:$V$1)*W$1+INTERCEPT($E941:$V941,$E$1:$V$1))&gt;(AVERAGE($E941:$V941)+_xlfn.STDEV.P($E941:$V941)),(SLOPE($E941:$V941,$E$1:$V$1)*W$1+INTERCEPT($E941:$V941,$E$1:$V$1))&lt;(AVERAGE($E941:$V941)-_xlfn.STDEV.P($E941:$V941))),V941,(SLOPE($E941:$V941,$E$1:$V$1)*W$1+INTERCEPT($E941:$V941,$E$1:$V$1)))</f>
        <v>151.39270588235286</v>
      </c>
      <c r="X941" s="5">
        <f t="shared" si="953"/>
        <v>42.827517027863905</v>
      </c>
      <c r="Y941" s="5">
        <f t="shared" si="953"/>
        <v>42.827517027863905</v>
      </c>
      <c r="Z941" s="5">
        <f t="shared" si="953"/>
        <v>42.827517027863905</v>
      </c>
      <c r="AA941" s="5">
        <f t="shared" si="953"/>
        <v>42.827517027863905</v>
      </c>
      <c r="AB941" s="5">
        <f t="shared" si="953"/>
        <v>42.827517027863905</v>
      </c>
      <c r="AC941" s="5">
        <f t="shared" si="953"/>
        <v>42.827517027863905</v>
      </c>
      <c r="AD941" s="5">
        <f t="shared" si="953"/>
        <v>42.827517027863905</v>
      </c>
      <c r="AE941" s="5">
        <f t="shared" si="953"/>
        <v>42.827517027863905</v>
      </c>
      <c r="AF941" s="5">
        <f t="shared" si="953"/>
        <v>42.827517027863905</v>
      </c>
      <c r="AG941" s="5">
        <f t="shared" si="953"/>
        <v>42.827517027863905</v>
      </c>
      <c r="AH941" s="5">
        <f t="shared" si="953"/>
        <v>42.827517027863905</v>
      </c>
    </row>
    <row r="942" spans="1:34" x14ac:dyDescent="0.35">
      <c r="A942" t="s">
        <v>962</v>
      </c>
      <c r="B942" s="3" t="s">
        <v>1264</v>
      </c>
      <c r="C942" s="4" t="s">
        <v>1263</v>
      </c>
      <c r="D942" s="2">
        <f t="shared" si="91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ref="W942:AH942" si="954">IF(OR((SLOPE($E942:$V942,$E$1:$V$1)*W$1+INTERCEPT($E942:$V942,$E$1:$V$1))&gt;(AVERAGE($E942:$V942)+_xlfn.STDEV.P($E942:$V942)),(SLOPE($E942:$V942,$E$1:$V$1)*W$1+INTERCEPT($E942:$V942,$E$1:$V$1))&lt;(AVERAGE($E942:$V942)-_xlfn.STDEV.P($E942:$V942))),V942,(SLOPE($E942:$V942,$E$1:$V$1)*W$1+INTERCEPT($E942:$V942,$E$1:$V$1)))</f>
        <v>3883.7362406230632</v>
      </c>
      <c r="X942" s="5">
        <f t="shared" si="954"/>
        <v>4168.4462281875358</v>
      </c>
      <c r="Y942" s="5">
        <f t="shared" si="954"/>
        <v>4453.1562157520084</v>
      </c>
      <c r="Z942" s="5">
        <f t="shared" si="954"/>
        <v>4737.866203316481</v>
      </c>
      <c r="AA942" s="5">
        <f t="shared" si="954"/>
        <v>5022.5761908809536</v>
      </c>
      <c r="AB942" s="5">
        <f t="shared" si="954"/>
        <v>5307.2861784454271</v>
      </c>
      <c r="AC942" s="5">
        <f t="shared" si="954"/>
        <v>5591.9961660098998</v>
      </c>
      <c r="AD942" s="5">
        <f t="shared" si="954"/>
        <v>5876.7061535743724</v>
      </c>
      <c r="AE942" s="5">
        <f t="shared" si="954"/>
        <v>5876.7061535743724</v>
      </c>
      <c r="AF942" s="5">
        <f t="shared" si="954"/>
        <v>5876.7061535743724</v>
      </c>
      <c r="AG942" s="5">
        <f t="shared" si="954"/>
        <v>5876.7061535743724</v>
      </c>
      <c r="AH942" s="5">
        <f t="shared" si="954"/>
        <v>5876.7061535743724</v>
      </c>
    </row>
    <row r="943" spans="1:34" x14ac:dyDescent="0.35">
      <c r="A943" t="s">
        <v>963</v>
      </c>
      <c r="B943" s="3" t="s">
        <v>1265</v>
      </c>
      <c r="C943" s="4" t="s">
        <v>1263</v>
      </c>
      <c r="D943" s="2">
        <f t="shared" si="91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ref="W943:AH943" si="955">IF(OR((SLOPE($E943:$V943,$E$1:$V$1)*W$1+INTERCEPT($E943:$V943,$E$1:$V$1))&gt;(AVERAGE($E943:$V943)+_xlfn.STDEV.P($E943:$V943)),(SLOPE($E943:$V943,$E$1:$V$1)*W$1+INTERCEPT($E943:$V943,$E$1:$V$1))&lt;(AVERAGE($E943:$V943)-_xlfn.STDEV.P($E943:$V943))),V943,(SLOPE($E943:$V943,$E$1:$V$1)*W$1+INTERCEPT($E943:$V943,$E$1:$V$1)))</f>
        <v>3465.5682352941167</v>
      </c>
      <c r="X943" s="5">
        <f t="shared" si="955"/>
        <v>3706.334028482971</v>
      </c>
      <c r="Y943" s="5">
        <f t="shared" si="955"/>
        <v>3947.0998216718262</v>
      </c>
      <c r="Z943" s="5">
        <f t="shared" si="955"/>
        <v>4187.8656148606806</v>
      </c>
      <c r="AA943" s="5">
        <f t="shared" si="955"/>
        <v>4428.6314080495349</v>
      </c>
      <c r="AB943" s="5">
        <f t="shared" si="955"/>
        <v>4669.3972012383892</v>
      </c>
      <c r="AC943" s="5">
        <f t="shared" si="955"/>
        <v>4910.1629944272436</v>
      </c>
      <c r="AD943" s="5">
        <f t="shared" si="955"/>
        <v>5150.9287876160979</v>
      </c>
      <c r="AE943" s="5">
        <f t="shared" si="955"/>
        <v>5391.6945808049522</v>
      </c>
      <c r="AF943" s="5">
        <f t="shared" si="955"/>
        <v>5632.4603739938075</v>
      </c>
      <c r="AG943" s="5">
        <f t="shared" si="955"/>
        <v>5873.2261671826618</v>
      </c>
      <c r="AH943" s="5">
        <f t="shared" si="955"/>
        <v>5873.2261671826618</v>
      </c>
    </row>
    <row r="944" spans="1:34" x14ac:dyDescent="0.35">
      <c r="A944" t="s">
        <v>964</v>
      </c>
      <c r="B944" s="3" t="s">
        <v>1266</v>
      </c>
      <c r="C944" s="4" t="s">
        <v>1267</v>
      </c>
      <c r="D944" s="2">
        <f t="shared" si="91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ref="W944:AH944" si="956">IF(OR((SLOPE($E944:$V944,$E$1:$V$1)*W$1+INTERCEPT($E944:$V944,$E$1:$V$1))&gt;(AVERAGE($E944:$V944)+_xlfn.STDEV.P($E944:$V944)),(SLOPE($E944:$V944,$E$1:$V$1)*W$1+INTERCEPT($E944:$V944,$E$1:$V$1))&lt;(AVERAGE($E944:$V944)-_xlfn.STDEV.P($E944:$V944))),V944,(SLOPE($E944:$V944,$E$1:$V$1)*W$1+INTERCEPT($E944:$V944,$E$1:$V$1)))</f>
        <v>0</v>
      </c>
      <c r="X944" s="5">
        <f t="shared" si="956"/>
        <v>0</v>
      </c>
      <c r="Y944" s="5">
        <f t="shared" si="956"/>
        <v>0</v>
      </c>
      <c r="Z944" s="5">
        <f t="shared" si="956"/>
        <v>0</v>
      </c>
      <c r="AA944" s="5">
        <f t="shared" si="956"/>
        <v>0</v>
      </c>
      <c r="AB944" s="5">
        <f t="shared" si="956"/>
        <v>0</v>
      </c>
      <c r="AC944" s="5">
        <f t="shared" si="956"/>
        <v>0</v>
      </c>
      <c r="AD944" s="5">
        <f t="shared" si="956"/>
        <v>0</v>
      </c>
      <c r="AE944" s="5">
        <f t="shared" si="956"/>
        <v>0</v>
      </c>
      <c r="AF944" s="5">
        <f t="shared" si="956"/>
        <v>0</v>
      </c>
      <c r="AG944" s="5">
        <f t="shared" si="956"/>
        <v>0</v>
      </c>
      <c r="AH944" s="5">
        <f t="shared" si="956"/>
        <v>0</v>
      </c>
    </row>
    <row r="945" spans="1:34" x14ac:dyDescent="0.35">
      <c r="A945" t="s">
        <v>965</v>
      </c>
      <c r="B945" s="3" t="s">
        <v>1266</v>
      </c>
      <c r="C945" s="4" t="s">
        <v>1266</v>
      </c>
      <c r="D945" s="2">
        <f t="shared" si="91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ref="W945:AH945" si="957">IF(OR((SLOPE($E945:$V945,$E$1:$V$1)*W$1+INTERCEPT($E945:$V945,$E$1:$V$1))&gt;(AVERAGE($E945:$V945)+_xlfn.STDEV.P($E945:$V945)),(SLOPE($E945:$V945,$E$1:$V$1)*W$1+INTERCEPT($E945:$V945,$E$1:$V$1))&lt;(AVERAGE($E945:$V945)-_xlfn.STDEV.P($E945:$V945))),V945,(SLOPE($E945:$V945,$E$1:$V$1)*W$1+INTERCEPT($E945:$V945,$E$1:$V$1)))</f>
        <v>2176.1404180065806</v>
      </c>
      <c r="X945" s="5">
        <f t="shared" si="957"/>
        <v>2283.5157675792739</v>
      </c>
      <c r="Y945" s="5">
        <f t="shared" si="957"/>
        <v>2390.8911171519671</v>
      </c>
      <c r="Z945" s="5">
        <f t="shared" si="957"/>
        <v>2498.2664667246604</v>
      </c>
      <c r="AA945" s="5">
        <f t="shared" si="957"/>
        <v>2605.6418162973537</v>
      </c>
      <c r="AB945" s="5">
        <f t="shared" si="957"/>
        <v>2713.0171658700465</v>
      </c>
      <c r="AC945" s="5">
        <f t="shared" si="957"/>
        <v>2820.3925154427398</v>
      </c>
      <c r="AD945" s="5">
        <f t="shared" si="957"/>
        <v>2927.767865015433</v>
      </c>
      <c r="AE945" s="5">
        <f t="shared" si="957"/>
        <v>3035.1432145881258</v>
      </c>
      <c r="AF945" s="5">
        <f t="shared" si="957"/>
        <v>3142.5185641608191</v>
      </c>
      <c r="AG945" s="5">
        <f t="shared" si="957"/>
        <v>3249.8939137335124</v>
      </c>
      <c r="AH945" s="5">
        <f t="shared" si="957"/>
        <v>3357.2692633062056</v>
      </c>
    </row>
    <row r="946" spans="1:34" x14ac:dyDescent="0.35">
      <c r="A946" t="s">
        <v>966</v>
      </c>
      <c r="B946" s="3" t="s">
        <v>1264</v>
      </c>
      <c r="C946" s="4" t="s">
        <v>1263</v>
      </c>
      <c r="D946" s="2">
        <f t="shared" si="91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ref="W946:AH946" si="958">IF(OR((SLOPE($E946:$V946,$E$1:$V$1)*W$1+INTERCEPT($E946:$V946,$E$1:$V$1))&gt;(AVERAGE($E946:$V946)+_xlfn.STDEV.P($E946:$V946)),(SLOPE($E946:$V946,$E$1:$V$1)*W$1+INTERCEPT($E946:$V946,$E$1:$V$1))&lt;(AVERAGE($E946:$V946)-_xlfn.STDEV.P($E946:$V946))),V946,(SLOPE($E946:$V946,$E$1:$V$1)*W$1+INTERCEPT($E946:$V946,$E$1:$V$1)))</f>
        <v>1045.7592810457513</v>
      </c>
      <c r="X946" s="5">
        <f t="shared" si="958"/>
        <v>1035.4893654833159</v>
      </c>
      <c r="Y946" s="5">
        <f t="shared" si="958"/>
        <v>1025.2194499208804</v>
      </c>
      <c r="Z946" s="5">
        <f t="shared" si="958"/>
        <v>1014.9495343584449</v>
      </c>
      <c r="AA946" s="5">
        <f t="shared" si="958"/>
        <v>1004.6796187960093</v>
      </c>
      <c r="AB946" s="5">
        <f t="shared" si="958"/>
        <v>994.40970323357385</v>
      </c>
      <c r="AC946" s="5">
        <f t="shared" si="958"/>
        <v>984.13978767113827</v>
      </c>
      <c r="AD946" s="5">
        <f t="shared" si="958"/>
        <v>973.86987210870279</v>
      </c>
      <c r="AE946" s="5">
        <f t="shared" si="958"/>
        <v>963.59995654626732</v>
      </c>
      <c r="AF946" s="5">
        <f t="shared" si="958"/>
        <v>953.33004098383185</v>
      </c>
      <c r="AG946" s="5">
        <f t="shared" si="958"/>
        <v>943.06012542139638</v>
      </c>
      <c r="AH946" s="5">
        <f t="shared" si="958"/>
        <v>932.79020985896079</v>
      </c>
    </row>
    <row r="947" spans="1:34" x14ac:dyDescent="0.35">
      <c r="A947" t="s">
        <v>967</v>
      </c>
      <c r="B947" s="3" t="s">
        <v>1266</v>
      </c>
      <c r="C947" s="4" t="s">
        <v>1263</v>
      </c>
      <c r="D947" s="2">
        <f t="shared" si="91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ref="W947:AH947" si="959">IF(OR((SLOPE($E947:$V947,$E$1:$V$1)*W$1+INTERCEPT($E947:$V947,$E$1:$V$1))&gt;(AVERAGE($E947:$V947)+_xlfn.STDEV.P($E947:$V947)),(SLOPE($E947:$V947,$E$1:$V$1)*W$1+INTERCEPT($E947:$V947,$E$1:$V$1))&lt;(AVERAGE($E947:$V947)-_xlfn.STDEV.P($E947:$V947))),V947,(SLOPE($E947:$V947,$E$1:$V$1)*W$1+INTERCEPT($E947:$V947,$E$1:$V$1)))</f>
        <v>-159.2826666666665</v>
      </c>
      <c r="X947" s="5">
        <f t="shared" si="959"/>
        <v>-296.76119298245567</v>
      </c>
      <c r="Y947" s="5">
        <f t="shared" si="959"/>
        <v>-434.23971929824529</v>
      </c>
      <c r="Z947" s="5">
        <f t="shared" si="959"/>
        <v>-571.71824561403491</v>
      </c>
      <c r="AA947" s="5">
        <f t="shared" si="959"/>
        <v>-709.19677192982408</v>
      </c>
      <c r="AB947" s="5">
        <f t="shared" si="959"/>
        <v>-846.6752982456137</v>
      </c>
      <c r="AC947" s="5">
        <f t="shared" si="959"/>
        <v>-984.15382456140333</v>
      </c>
      <c r="AD947" s="5">
        <f t="shared" si="959"/>
        <v>-984.15382456140333</v>
      </c>
      <c r="AE947" s="5">
        <f t="shared" si="959"/>
        <v>-984.15382456140333</v>
      </c>
      <c r="AF947" s="5">
        <f t="shared" si="959"/>
        <v>-984.15382456140333</v>
      </c>
      <c r="AG947" s="5">
        <f t="shared" si="959"/>
        <v>-984.15382456140333</v>
      </c>
      <c r="AH947" s="5">
        <f t="shared" si="959"/>
        <v>-984.15382456140333</v>
      </c>
    </row>
    <row r="948" spans="1:34" x14ac:dyDescent="0.35">
      <c r="A948" t="s">
        <v>968</v>
      </c>
      <c r="B948" s="3" t="s">
        <v>1266</v>
      </c>
      <c r="C948" s="4" t="s">
        <v>1266</v>
      </c>
      <c r="D948" s="2">
        <f t="shared" si="91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ref="W948:AH948" si="960">IF(OR((SLOPE($E948:$V948,$E$1:$V$1)*W$1+INTERCEPT($E948:$V948,$E$1:$V$1))&gt;(AVERAGE($E948:$V948)+_xlfn.STDEV.P($E948:$V948)),(SLOPE($E948:$V948,$E$1:$V$1)*W$1+INTERCEPT($E948:$V948,$E$1:$V$1))&lt;(AVERAGE($E948:$V948)-_xlfn.STDEV.P($E948:$V948))),V948,(SLOPE($E948:$V948,$E$1:$V$1)*W$1+INTERCEPT($E948:$V948,$E$1:$V$1)))</f>
        <v>-268.5953254901965</v>
      </c>
      <c r="X948" s="5">
        <f t="shared" si="960"/>
        <v>-417.02958431372599</v>
      </c>
      <c r="Y948" s="5">
        <f t="shared" si="960"/>
        <v>-565.46384313725503</v>
      </c>
      <c r="Z948" s="5">
        <f t="shared" si="960"/>
        <v>-713.89810196078452</v>
      </c>
      <c r="AA948" s="5">
        <f t="shared" si="960"/>
        <v>-862.33236078431401</v>
      </c>
      <c r="AB948" s="5">
        <f t="shared" si="960"/>
        <v>-1010.7666196078435</v>
      </c>
      <c r="AC948" s="5">
        <f t="shared" si="960"/>
        <v>-1159.200878431373</v>
      </c>
      <c r="AD948" s="5">
        <f t="shared" si="960"/>
        <v>-1307.6351372549025</v>
      </c>
      <c r="AE948" s="5">
        <f t="shared" si="960"/>
        <v>-1456.069396078432</v>
      </c>
      <c r="AF948" s="5">
        <f t="shared" si="960"/>
        <v>-1604.503654901961</v>
      </c>
      <c r="AG948" s="5">
        <f t="shared" si="960"/>
        <v>-1752.9379137254905</v>
      </c>
      <c r="AH948" s="5">
        <f t="shared" si="960"/>
        <v>-1901.37217254902</v>
      </c>
    </row>
    <row r="949" spans="1:34" x14ac:dyDescent="0.35">
      <c r="A949" t="s">
        <v>969</v>
      </c>
      <c r="B949" s="3" t="s">
        <v>1266</v>
      </c>
      <c r="C949" s="4" t="s">
        <v>1267</v>
      </c>
      <c r="D949" s="2">
        <f t="shared" si="91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H949" si="961">IF(OR((SLOPE($E949:$V949,$E$1:$V$1)*W$1+INTERCEPT($E949:$V949,$E$1:$V$1))&gt;(AVERAGE($E949:$V949)+_xlfn.STDEV.P($E949:$V949)),(SLOPE($E949:$V949,$E$1:$V$1)*W$1+INTERCEPT($E949:$V949,$E$1:$V$1))&lt;(AVERAGE($E949:$V949)-_xlfn.STDEV.P($E949:$V949))),V949,(SLOPE($E949:$V949,$E$1:$V$1)*W$1+INTERCEPT($E949:$V949,$E$1:$V$1)))</f>
        <v>2103.1522413439252</v>
      </c>
      <c r="X949" s="5">
        <f t="shared" si="961"/>
        <v>2206.9262006207637</v>
      </c>
      <c r="Y949" s="5">
        <f t="shared" si="961"/>
        <v>2310.7001598976017</v>
      </c>
      <c r="Z949" s="5">
        <f t="shared" si="961"/>
        <v>2414.4741191744401</v>
      </c>
      <c r="AA949" s="5">
        <f t="shared" si="961"/>
        <v>2518.2480784512786</v>
      </c>
      <c r="AB949" s="5">
        <f t="shared" si="961"/>
        <v>2622.0220377281171</v>
      </c>
      <c r="AC949" s="5">
        <f t="shared" si="961"/>
        <v>2725.7959970049556</v>
      </c>
      <c r="AD949" s="5">
        <f t="shared" si="961"/>
        <v>2829.569956281794</v>
      </c>
      <c r="AE949" s="5">
        <f t="shared" si="961"/>
        <v>2933.3439155586325</v>
      </c>
      <c r="AF949" s="5">
        <f t="shared" si="961"/>
        <v>3037.1178748354705</v>
      </c>
      <c r="AG949" s="5">
        <f t="shared" si="961"/>
        <v>3140.891834112309</v>
      </c>
      <c r="AH949" s="5">
        <f t="shared" si="961"/>
        <v>3244.6657933891474</v>
      </c>
    </row>
    <row r="950" spans="1:34" x14ac:dyDescent="0.35">
      <c r="A950" t="s">
        <v>970</v>
      </c>
      <c r="B950" s="3" t="s">
        <v>1266</v>
      </c>
      <c r="C950" s="4" t="s">
        <v>1267</v>
      </c>
      <c r="D950" s="2">
        <f t="shared" si="91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ref="W950:AH950" si="962">IF(OR((SLOPE($E950:$V950,$E$1:$V$1)*W$1+INTERCEPT($E950:$V950,$E$1:$V$1))&gt;(AVERAGE($E950:$V950)+_xlfn.STDEV.P($E950:$V950)),(SLOPE($E950:$V950,$E$1:$V$1)*W$1+INTERCEPT($E950:$V950,$E$1:$V$1))&lt;(AVERAGE($E950:$V950)-_xlfn.STDEV.P($E950:$V950))),V950,(SLOPE($E950:$V950,$E$1:$V$1)*W$1+INTERCEPT($E950:$V950,$E$1:$V$1)))</f>
        <v>3276.4130182343447</v>
      </c>
      <c r="X950" s="5">
        <f t="shared" si="962"/>
        <v>3504.0375016064149</v>
      </c>
      <c r="Y950" s="5">
        <f t="shared" si="962"/>
        <v>3731.6619849784852</v>
      </c>
      <c r="Z950" s="5">
        <f t="shared" si="962"/>
        <v>3959.2864683505554</v>
      </c>
      <c r="AA950" s="5">
        <f t="shared" si="962"/>
        <v>4186.9109517226261</v>
      </c>
      <c r="AB950" s="5">
        <f t="shared" si="962"/>
        <v>4414.5354350946964</v>
      </c>
      <c r="AC950" s="5">
        <f t="shared" si="962"/>
        <v>4642.1599184667666</v>
      </c>
      <c r="AD950" s="5">
        <f t="shared" si="962"/>
        <v>4869.7844018388369</v>
      </c>
      <c r="AE950" s="5">
        <f t="shared" si="962"/>
        <v>5097.4088852109071</v>
      </c>
      <c r="AF950" s="5">
        <f t="shared" si="962"/>
        <v>5325.0333685829773</v>
      </c>
      <c r="AG950" s="5">
        <f t="shared" si="962"/>
        <v>5552.6578519550476</v>
      </c>
      <c r="AH950" s="5">
        <f t="shared" si="962"/>
        <v>5552.6578519550476</v>
      </c>
    </row>
    <row r="951" spans="1:34" x14ac:dyDescent="0.35">
      <c r="A951" t="s">
        <v>971</v>
      </c>
      <c r="B951" s="3" t="s">
        <v>1266</v>
      </c>
      <c r="C951" s="4" t="s">
        <v>1263</v>
      </c>
      <c r="D951" s="2">
        <f t="shared" si="91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ref="W951:AH951" si="963">IF(OR((SLOPE($E951:$V951,$E$1:$V$1)*W$1+INTERCEPT($E951:$V951,$E$1:$V$1))&gt;(AVERAGE($E951:$V951)+_xlfn.STDEV.P($E951:$V951)),(SLOPE($E951:$V951,$E$1:$V$1)*W$1+INTERCEPT($E951:$V951,$E$1:$V$1))&lt;(AVERAGE($E951:$V951)-_xlfn.STDEV.P($E951:$V951))),V951,(SLOPE($E951:$V951,$E$1:$V$1)*W$1+INTERCEPT($E951:$V951,$E$1:$V$1)))</f>
        <v>-653.34163221037716</v>
      </c>
      <c r="X951" s="5">
        <f t="shared" si="963"/>
        <v>-839.02820136490573</v>
      </c>
      <c r="Y951" s="5">
        <f t="shared" si="963"/>
        <v>-1024.7147705194338</v>
      </c>
      <c r="Z951" s="5">
        <f t="shared" si="963"/>
        <v>-1210.401339673962</v>
      </c>
      <c r="AA951" s="5">
        <f t="shared" si="963"/>
        <v>-1396.0879088284901</v>
      </c>
      <c r="AB951" s="5">
        <f t="shared" si="963"/>
        <v>-1581.7744779830182</v>
      </c>
      <c r="AC951" s="5">
        <f t="shared" si="963"/>
        <v>-1767.4610471375472</v>
      </c>
      <c r="AD951" s="5">
        <f t="shared" si="963"/>
        <v>-1953.1476162920753</v>
      </c>
      <c r="AE951" s="5">
        <f t="shared" si="963"/>
        <v>-2138.8341854466034</v>
      </c>
      <c r="AF951" s="5">
        <f t="shared" si="963"/>
        <v>-2324.5207546011316</v>
      </c>
      <c r="AG951" s="5">
        <f t="shared" si="963"/>
        <v>-2510.2073237556597</v>
      </c>
      <c r="AH951" s="5">
        <f t="shared" si="963"/>
        <v>-2695.8938929101887</v>
      </c>
    </row>
    <row r="952" spans="1:34" x14ac:dyDescent="0.35">
      <c r="A952" t="s">
        <v>972</v>
      </c>
      <c r="B952" s="3" t="s">
        <v>1266</v>
      </c>
      <c r="C952" s="4" t="s">
        <v>1266</v>
      </c>
      <c r="D952" s="2">
        <f t="shared" si="91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ref="W952:AH952" si="964">IF(OR((SLOPE($E952:$V952,$E$1:$V$1)*W$1+INTERCEPT($E952:$V952,$E$1:$V$1))&gt;(AVERAGE($E952:$V952)+_xlfn.STDEV.P($E952:$V952)),(SLOPE($E952:$V952,$E$1:$V$1)*W$1+INTERCEPT($E952:$V952,$E$1:$V$1))&lt;(AVERAGE($E952:$V952)-_xlfn.STDEV.P($E952:$V952))),V952,(SLOPE($E952:$V952,$E$1:$V$1)*W$1+INTERCEPT($E952:$V952,$E$1:$V$1)))</f>
        <v>3644.4467251985425</v>
      </c>
      <c r="X952" s="5">
        <f t="shared" si="964"/>
        <v>3911.6148121961805</v>
      </c>
      <c r="Y952" s="5">
        <f t="shared" si="964"/>
        <v>4178.7828991938177</v>
      </c>
      <c r="Z952" s="5">
        <f t="shared" si="964"/>
        <v>4445.9509861914557</v>
      </c>
      <c r="AA952" s="5">
        <f t="shared" si="964"/>
        <v>4713.1190731890929</v>
      </c>
      <c r="AB952" s="5">
        <f t="shared" si="964"/>
        <v>4980.28716018673</v>
      </c>
      <c r="AC952" s="5">
        <f t="shared" si="964"/>
        <v>5247.4552471843681</v>
      </c>
      <c r="AD952" s="5">
        <f t="shared" si="964"/>
        <v>5514.6233341820052</v>
      </c>
      <c r="AE952" s="5">
        <f t="shared" si="964"/>
        <v>5514.6233341820052</v>
      </c>
      <c r="AF952" s="5">
        <f t="shared" si="964"/>
        <v>5514.6233341820052</v>
      </c>
      <c r="AG952" s="5">
        <f t="shared" si="964"/>
        <v>5514.6233341820052</v>
      </c>
      <c r="AH952" s="5">
        <f t="shared" si="964"/>
        <v>5514.6233341820052</v>
      </c>
    </row>
    <row r="953" spans="1:34" x14ac:dyDescent="0.35">
      <c r="A953" t="s">
        <v>973</v>
      </c>
      <c r="B953" s="3" t="s">
        <v>1264</v>
      </c>
      <c r="C953" s="4" t="s">
        <v>1263</v>
      </c>
      <c r="D953" s="2">
        <f t="shared" si="91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ref="W953:AH953" si="965">IF(OR((SLOPE($E953:$V953,$E$1:$V$1)*W$1+INTERCEPT($E953:$V953,$E$1:$V$1))&gt;(AVERAGE($E953:$V953)+_xlfn.STDEV.P($E953:$V953)),(SLOPE($E953:$V953,$E$1:$V$1)*W$1+INTERCEPT($E953:$V953,$E$1:$V$1))&lt;(AVERAGE($E953:$V953)-_xlfn.STDEV.P($E953:$V953))),V953,(SLOPE($E953:$V953,$E$1:$V$1)*W$1+INTERCEPT($E953:$V953,$E$1:$V$1)))</f>
        <v>862.21245490196111</v>
      </c>
      <c r="X953" s="5">
        <f t="shared" si="965"/>
        <v>836.67832734778153</v>
      </c>
      <c r="Y953" s="5">
        <f t="shared" si="965"/>
        <v>811.14419979360196</v>
      </c>
      <c r="Z953" s="5">
        <f t="shared" si="965"/>
        <v>785.61007223942238</v>
      </c>
      <c r="AA953" s="5">
        <f t="shared" si="965"/>
        <v>760.0759446852428</v>
      </c>
      <c r="AB953" s="5">
        <f t="shared" si="965"/>
        <v>734.54181713106323</v>
      </c>
      <c r="AC953" s="5">
        <f t="shared" si="965"/>
        <v>709.00768957688365</v>
      </c>
      <c r="AD953" s="5">
        <f t="shared" si="965"/>
        <v>683.47356202270407</v>
      </c>
      <c r="AE953" s="5">
        <f t="shared" si="965"/>
        <v>657.93943446852438</v>
      </c>
      <c r="AF953" s="5">
        <f t="shared" si="965"/>
        <v>632.40530691434481</v>
      </c>
      <c r="AG953" s="5">
        <f t="shared" si="965"/>
        <v>606.87117936016523</v>
      </c>
      <c r="AH953" s="5">
        <f t="shared" si="965"/>
        <v>581.33705180598565</v>
      </c>
    </row>
    <row r="954" spans="1:34" x14ac:dyDescent="0.35">
      <c r="A954" t="s">
        <v>974</v>
      </c>
      <c r="B954" s="3" t="s">
        <v>1266</v>
      </c>
      <c r="C954" s="4" t="s">
        <v>1266</v>
      </c>
      <c r="D954" s="2">
        <f t="shared" si="91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ref="W954:AH954" si="966">IF(OR((SLOPE($E954:$V954,$E$1:$V$1)*W$1+INTERCEPT($E954:$V954,$E$1:$V$1))&gt;(AVERAGE($E954:$V954)+_xlfn.STDEV.P($E954:$V954)),(SLOPE($E954:$V954,$E$1:$V$1)*W$1+INTERCEPT($E954:$V954,$E$1:$V$1))&lt;(AVERAGE($E954:$V954)-_xlfn.STDEV.P($E954:$V954))),V954,(SLOPE($E954:$V954,$E$1:$V$1)*W$1+INTERCEPT($E954:$V954,$E$1:$V$1)))</f>
        <v>1845.8146591227446</v>
      </c>
      <c r="X954" s="5">
        <f t="shared" si="966"/>
        <v>1926.2131197741887</v>
      </c>
      <c r="Y954" s="5">
        <f t="shared" si="966"/>
        <v>2006.6115804256333</v>
      </c>
      <c r="Z954" s="5">
        <f t="shared" si="966"/>
        <v>2087.0100410770779</v>
      </c>
      <c r="AA954" s="5">
        <f t="shared" si="966"/>
        <v>2167.408501728522</v>
      </c>
      <c r="AB954" s="5">
        <f t="shared" si="966"/>
        <v>2247.8069623799665</v>
      </c>
      <c r="AC954" s="5">
        <f t="shared" si="966"/>
        <v>2328.2054230314111</v>
      </c>
      <c r="AD954" s="5">
        <f t="shared" si="966"/>
        <v>2408.6038836828552</v>
      </c>
      <c r="AE954" s="5">
        <f t="shared" si="966"/>
        <v>2489.0023443342998</v>
      </c>
      <c r="AF954" s="5">
        <f t="shared" si="966"/>
        <v>2569.4008049857439</v>
      </c>
      <c r="AG954" s="5">
        <f t="shared" si="966"/>
        <v>2649.7992656371885</v>
      </c>
      <c r="AH954" s="5">
        <f t="shared" si="966"/>
        <v>2730.197726288633</v>
      </c>
    </row>
    <row r="955" spans="1:34" x14ac:dyDescent="0.35">
      <c r="A955" t="s">
        <v>975</v>
      </c>
      <c r="B955" s="3" t="s">
        <v>1264</v>
      </c>
      <c r="C955" s="4" t="s">
        <v>1263</v>
      </c>
      <c r="D955" s="2">
        <f t="shared" si="91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ref="W955:AH955" si="967">IF(OR((SLOPE($E955:$V955,$E$1:$V$1)*W$1+INTERCEPT($E955:$V955,$E$1:$V$1))&gt;(AVERAGE($E955:$V955)+_xlfn.STDEV.P($E955:$V955)),(SLOPE($E955:$V955,$E$1:$V$1)*W$1+INTERCEPT($E955:$V955,$E$1:$V$1))&lt;(AVERAGE($E955:$V955)-_xlfn.STDEV.P($E955:$V955))),V955,(SLOPE($E955:$V955,$E$1:$V$1)*W$1+INTERCEPT($E955:$V955,$E$1:$V$1)))</f>
        <v>808.35011764705894</v>
      </c>
      <c r="X955" s="5">
        <f t="shared" si="967"/>
        <v>780.93560371517037</v>
      </c>
      <c r="Y955" s="5">
        <f t="shared" si="967"/>
        <v>753.52108978328181</v>
      </c>
      <c r="Z955" s="5">
        <f t="shared" si="967"/>
        <v>726.10657585139325</v>
      </c>
      <c r="AA955" s="5">
        <f t="shared" si="967"/>
        <v>698.69206191950468</v>
      </c>
      <c r="AB955" s="5">
        <f t="shared" si="967"/>
        <v>671.27754798761612</v>
      </c>
      <c r="AC955" s="5">
        <f t="shared" si="967"/>
        <v>643.86303405572767</v>
      </c>
      <c r="AD955" s="5">
        <f t="shared" si="967"/>
        <v>616.4485201238391</v>
      </c>
      <c r="AE955" s="5">
        <f t="shared" si="967"/>
        <v>589.03400619195054</v>
      </c>
      <c r="AF955" s="5">
        <f t="shared" si="967"/>
        <v>561.61949226006197</v>
      </c>
      <c r="AG955" s="5">
        <f t="shared" si="967"/>
        <v>534.20497832817341</v>
      </c>
      <c r="AH955" s="5">
        <f t="shared" si="967"/>
        <v>506.79046439628496</v>
      </c>
    </row>
    <row r="956" spans="1:34" x14ac:dyDescent="0.35">
      <c r="A956" t="s">
        <v>976</v>
      </c>
      <c r="B956" s="3" t="s">
        <v>1264</v>
      </c>
      <c r="C956" s="4" t="s">
        <v>1267</v>
      </c>
      <c r="D956" s="2">
        <f t="shared" si="91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ref="W956:AH956" si="968">IF(OR((SLOPE($E956:$V956,$E$1:$V$1)*W$1+INTERCEPT($E956:$V956,$E$1:$V$1))&gt;(AVERAGE($E956:$V956)+_xlfn.STDEV.P($E956:$V956)),(SLOPE($E956:$V956,$E$1:$V$1)*W$1+INTERCEPT($E956:$V956,$E$1:$V$1))&lt;(AVERAGE($E956:$V956)-_xlfn.STDEV.P($E956:$V956))),V956,(SLOPE($E956:$V956,$E$1:$V$1)*W$1+INTERCEPT($E956:$V956,$E$1:$V$1)))</f>
        <v>3127.3069312127609</v>
      </c>
      <c r="X956" s="5">
        <f t="shared" si="968"/>
        <v>3344.5724653812267</v>
      </c>
      <c r="Y956" s="5">
        <f t="shared" si="968"/>
        <v>3561.8379995496925</v>
      </c>
      <c r="Z956" s="5">
        <f t="shared" si="968"/>
        <v>3779.1035337181575</v>
      </c>
      <c r="AA956" s="5">
        <f t="shared" si="968"/>
        <v>3996.3690678866233</v>
      </c>
      <c r="AB956" s="5">
        <f t="shared" si="968"/>
        <v>4213.6346020550891</v>
      </c>
      <c r="AC956" s="5">
        <f t="shared" si="968"/>
        <v>4430.900136223554</v>
      </c>
      <c r="AD956" s="5">
        <f t="shared" si="968"/>
        <v>4648.1656703920198</v>
      </c>
      <c r="AE956" s="5">
        <f t="shared" si="968"/>
        <v>4865.4312045604856</v>
      </c>
      <c r="AF956" s="5">
        <f t="shared" si="968"/>
        <v>5082.6967387289505</v>
      </c>
      <c r="AG956" s="5">
        <f t="shared" si="968"/>
        <v>5299.9622728974164</v>
      </c>
      <c r="AH956" s="5">
        <f t="shared" si="968"/>
        <v>5299.9622728974164</v>
      </c>
    </row>
    <row r="957" spans="1:34" x14ac:dyDescent="0.35">
      <c r="A957" t="s">
        <v>977</v>
      </c>
      <c r="B957" s="3" t="s">
        <v>1266</v>
      </c>
      <c r="C957" s="4" t="s">
        <v>1267</v>
      </c>
      <c r="D957" s="2">
        <f t="shared" si="91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ref="W957:AH957" si="969">IF(OR((SLOPE($E957:$V957,$E$1:$V$1)*W$1+INTERCEPT($E957:$V957,$E$1:$V$1))&gt;(AVERAGE($E957:$V957)+_xlfn.STDEV.P($E957:$V957)),(SLOPE($E957:$V957,$E$1:$V$1)*W$1+INTERCEPT($E957:$V957,$E$1:$V$1))&lt;(AVERAGE($E957:$V957)-_xlfn.STDEV.P($E957:$V957))),V957,(SLOPE($E957:$V957,$E$1:$V$1)*W$1+INTERCEPT($E957:$V957,$E$1:$V$1)))</f>
        <v>3491.8038286943938</v>
      </c>
      <c r="X957" s="5">
        <f t="shared" si="969"/>
        <v>3747.7819289182307</v>
      </c>
      <c r="Y957" s="5">
        <f t="shared" si="969"/>
        <v>4003.7600291420677</v>
      </c>
      <c r="Z957" s="5">
        <f t="shared" si="969"/>
        <v>4259.7381293659055</v>
      </c>
      <c r="AA957" s="5">
        <f t="shared" si="969"/>
        <v>4515.7162295897424</v>
      </c>
      <c r="AB957" s="5">
        <f t="shared" si="969"/>
        <v>4771.6943298135793</v>
      </c>
      <c r="AC957" s="5">
        <f t="shared" si="969"/>
        <v>5027.6724300374162</v>
      </c>
      <c r="AD957" s="5">
        <f t="shared" si="969"/>
        <v>5283.6505302612532</v>
      </c>
      <c r="AE957" s="5">
        <f t="shared" si="969"/>
        <v>5283.6505302612532</v>
      </c>
      <c r="AF957" s="5">
        <f t="shared" si="969"/>
        <v>5283.6505302612532</v>
      </c>
      <c r="AG957" s="5">
        <f t="shared" si="969"/>
        <v>5283.6505302612532</v>
      </c>
      <c r="AH957" s="5">
        <f t="shared" si="969"/>
        <v>5283.6505302612532</v>
      </c>
    </row>
    <row r="958" spans="1:34" x14ac:dyDescent="0.35">
      <c r="A958" t="s">
        <v>978</v>
      </c>
      <c r="B958" s="3" t="s">
        <v>1266</v>
      </c>
      <c r="C958" s="4" t="s">
        <v>1266</v>
      </c>
      <c r="D958" s="2">
        <f t="shared" si="91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ref="W958:AH958" si="970">IF(OR((SLOPE($E958:$V958,$E$1:$V$1)*W$1+INTERCEPT($E958:$V958,$E$1:$V$1))&gt;(AVERAGE($E958:$V958)+_xlfn.STDEV.P($E958:$V958)),(SLOPE($E958:$V958,$E$1:$V$1)*W$1+INTERCEPT($E958:$V958,$E$1:$V$1))&lt;(AVERAGE($E958:$V958)-_xlfn.STDEV.P($E958:$V958))),V958,(SLOPE($E958:$V958,$E$1:$V$1)*W$1+INTERCEPT($E958:$V958,$E$1:$V$1)))</f>
        <v>1986.605992214603</v>
      </c>
      <c r="X958" s="5">
        <f t="shared" si="970"/>
        <v>2084.6293141988763</v>
      </c>
      <c r="Y958" s="5">
        <f t="shared" si="970"/>
        <v>2182.6526361831493</v>
      </c>
      <c r="Z958" s="5">
        <f t="shared" si="970"/>
        <v>2280.6759581674223</v>
      </c>
      <c r="AA958" s="5">
        <f t="shared" si="970"/>
        <v>2378.6992801516953</v>
      </c>
      <c r="AB958" s="5">
        <f t="shared" si="970"/>
        <v>2476.7226021359693</v>
      </c>
      <c r="AC958" s="5">
        <f t="shared" si="970"/>
        <v>2574.7459241202423</v>
      </c>
      <c r="AD958" s="5">
        <f t="shared" si="970"/>
        <v>2672.7692461045153</v>
      </c>
      <c r="AE958" s="5">
        <f t="shared" si="970"/>
        <v>2770.7925680887884</v>
      </c>
      <c r="AF958" s="5">
        <f t="shared" si="970"/>
        <v>2868.8158900730614</v>
      </c>
      <c r="AG958" s="5">
        <f t="shared" si="970"/>
        <v>2966.8392120573344</v>
      </c>
      <c r="AH958" s="5">
        <f t="shared" si="970"/>
        <v>3064.8625340416074</v>
      </c>
    </row>
    <row r="959" spans="1:34" x14ac:dyDescent="0.35">
      <c r="A959" t="s">
        <v>979</v>
      </c>
      <c r="B959" s="3" t="s">
        <v>1266</v>
      </c>
      <c r="C959" s="4" t="s">
        <v>1267</v>
      </c>
      <c r="D959" s="2">
        <f t="shared" si="91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ref="W959:AH959" si="971">IF(OR((SLOPE($E959:$V959,$E$1:$V$1)*W$1+INTERCEPT($E959:$V959,$E$1:$V$1))&gt;(AVERAGE($E959:$V959)+_xlfn.STDEV.P($E959:$V959)),(SLOPE($E959:$V959,$E$1:$V$1)*W$1+INTERCEPT($E959:$V959,$E$1:$V$1))&lt;(AVERAGE($E959:$V959)-_xlfn.STDEV.P($E959:$V959))),V959,(SLOPE($E959:$V959,$E$1:$V$1)*W$1+INTERCEPT($E959:$V959,$E$1:$V$1)))</f>
        <v>2322.4630228152409</v>
      </c>
      <c r="X959" s="5">
        <f t="shared" si="971"/>
        <v>2456.218563068443</v>
      </c>
      <c r="Y959" s="5">
        <f t="shared" si="971"/>
        <v>2589.9741033216451</v>
      </c>
      <c r="Z959" s="5">
        <f t="shared" si="971"/>
        <v>2723.7296435748472</v>
      </c>
      <c r="AA959" s="5">
        <f t="shared" si="971"/>
        <v>2857.4851838280492</v>
      </c>
      <c r="AB959" s="5">
        <f t="shared" si="971"/>
        <v>2991.2407240812513</v>
      </c>
      <c r="AC959" s="5">
        <f t="shared" si="971"/>
        <v>3124.9962643344534</v>
      </c>
      <c r="AD959" s="5">
        <f t="shared" si="971"/>
        <v>3258.7518045876554</v>
      </c>
      <c r="AE959" s="5">
        <f t="shared" si="971"/>
        <v>3392.5073448408575</v>
      </c>
      <c r="AF959" s="5">
        <f t="shared" si="971"/>
        <v>3526.2628850940596</v>
      </c>
      <c r="AG959" s="5">
        <f t="shared" si="971"/>
        <v>3660.0184253472617</v>
      </c>
      <c r="AH959" s="5">
        <f t="shared" si="971"/>
        <v>3793.7739656004637</v>
      </c>
    </row>
    <row r="960" spans="1:34" x14ac:dyDescent="0.35">
      <c r="A960" t="s">
        <v>980</v>
      </c>
      <c r="B960" s="3" t="s">
        <v>1264</v>
      </c>
      <c r="C960" s="4" t="s">
        <v>1263</v>
      </c>
      <c r="D960" s="2">
        <f t="shared" si="91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ref="W960:AH960" si="972">IF(OR((SLOPE($E960:$V960,$E$1:$V$1)*W$1+INTERCEPT($E960:$V960,$E$1:$V$1))&gt;(AVERAGE($E960:$V960)+_xlfn.STDEV.P($E960:$V960)),(SLOPE($E960:$V960,$E$1:$V$1)*W$1+INTERCEPT($E960:$V960,$E$1:$V$1))&lt;(AVERAGE($E960:$V960)-_xlfn.STDEV.P($E960:$V960))),V960,(SLOPE($E960:$V960,$E$1:$V$1)*W$1+INTERCEPT($E960:$V960,$E$1:$V$1)))</f>
        <v>3078.1381599451588</v>
      </c>
      <c r="X960" s="5">
        <f t="shared" si="972"/>
        <v>3291.9877584255592</v>
      </c>
      <c r="Y960" s="5">
        <f t="shared" si="972"/>
        <v>3505.8373569059604</v>
      </c>
      <c r="Z960" s="5">
        <f t="shared" si="972"/>
        <v>3719.6869553863608</v>
      </c>
      <c r="AA960" s="5">
        <f t="shared" si="972"/>
        <v>3933.5365538667611</v>
      </c>
      <c r="AB960" s="5">
        <f t="shared" si="972"/>
        <v>4147.3861523471614</v>
      </c>
      <c r="AC960" s="5">
        <f t="shared" si="972"/>
        <v>4361.2357508275618</v>
      </c>
      <c r="AD960" s="5">
        <f t="shared" si="972"/>
        <v>4575.085349307963</v>
      </c>
      <c r="AE960" s="5">
        <f t="shared" si="972"/>
        <v>4788.9349477883634</v>
      </c>
      <c r="AF960" s="5">
        <f t="shared" si="972"/>
        <v>5002.7845462687637</v>
      </c>
      <c r="AG960" s="5">
        <f t="shared" si="972"/>
        <v>5216.6341447491641</v>
      </c>
      <c r="AH960" s="5">
        <f t="shared" si="972"/>
        <v>5216.6341447491641</v>
      </c>
    </row>
    <row r="961" spans="1:34" x14ac:dyDescent="0.35">
      <c r="A961" t="s">
        <v>981</v>
      </c>
      <c r="B961" s="3" t="s">
        <v>1266</v>
      </c>
      <c r="C961" s="4" t="s">
        <v>1266</v>
      </c>
      <c r="D961" s="2">
        <f t="shared" si="91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ref="W961:AH961" si="973">IF(OR((SLOPE($E961:$V961,$E$1:$V$1)*W$1+INTERCEPT($E961:$V961,$E$1:$V$1))&gt;(AVERAGE($E961:$V961)+_xlfn.STDEV.P($E961:$V961)),(SLOPE($E961:$V961,$E$1:$V$1)*W$1+INTERCEPT($E961:$V961,$E$1:$V$1))&lt;(AVERAGE($E961:$V961)-_xlfn.STDEV.P($E961:$V961))),V961,(SLOPE($E961:$V961,$E$1:$V$1)*W$1+INTERCEPT($E961:$V961,$E$1:$V$1)))</f>
        <v>3556.7796452059879</v>
      </c>
      <c r="X961" s="5">
        <f t="shared" si="973"/>
        <v>3556.7796452059879</v>
      </c>
      <c r="Y961" s="5">
        <f t="shared" si="973"/>
        <v>3556.7796452059879</v>
      </c>
      <c r="Z961" s="5">
        <f t="shared" si="973"/>
        <v>3556.7796452059879</v>
      </c>
      <c r="AA961" s="5">
        <f t="shared" si="973"/>
        <v>3556.7796452059879</v>
      </c>
      <c r="AB961" s="5">
        <f t="shared" si="973"/>
        <v>3556.7796452059879</v>
      </c>
      <c r="AC961" s="5">
        <f t="shared" si="973"/>
        <v>3556.7796452059879</v>
      </c>
      <c r="AD961" s="5">
        <f t="shared" si="973"/>
        <v>3556.7796452059879</v>
      </c>
      <c r="AE961" s="5">
        <f t="shared" si="973"/>
        <v>3556.7796452059879</v>
      </c>
      <c r="AF961" s="5">
        <f t="shared" si="973"/>
        <v>3556.7796452059879</v>
      </c>
      <c r="AG961" s="5">
        <f t="shared" si="973"/>
        <v>3556.7796452059879</v>
      </c>
      <c r="AH961" s="5">
        <f t="shared" si="973"/>
        <v>3556.7796452059879</v>
      </c>
    </row>
    <row r="962" spans="1:34" x14ac:dyDescent="0.35">
      <c r="A962" t="s">
        <v>982</v>
      </c>
      <c r="B962" s="3" t="s">
        <v>1264</v>
      </c>
      <c r="C962" s="4" t="s">
        <v>1263</v>
      </c>
      <c r="D962" s="2">
        <f t="shared" si="91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ref="W962:AH962" si="974">IF(OR((SLOPE($E962:$V962,$E$1:$V$1)*W$1+INTERCEPT($E962:$V962,$E$1:$V$1))&gt;(AVERAGE($E962:$V962)+_xlfn.STDEV.P($E962:$V962)),(SLOPE($E962:$V962,$E$1:$V$1)*W$1+INTERCEPT($E962:$V962,$E$1:$V$1))&lt;(AVERAGE($E962:$V962)-_xlfn.STDEV.P($E962:$V962))),V962,(SLOPE($E962:$V962,$E$1:$V$1)*W$1+INTERCEPT($E962:$V962,$E$1:$V$1)))</f>
        <v>1815.4672941176468</v>
      </c>
      <c r="X962" s="5">
        <f t="shared" si="974"/>
        <v>1898.278082972136</v>
      </c>
      <c r="Y962" s="5">
        <f t="shared" si="974"/>
        <v>1981.0888718266251</v>
      </c>
      <c r="Z962" s="5">
        <f t="shared" si="974"/>
        <v>2063.8996606811143</v>
      </c>
      <c r="AA962" s="5">
        <f t="shared" si="974"/>
        <v>2146.7104495356034</v>
      </c>
      <c r="AB962" s="5">
        <f t="shared" si="974"/>
        <v>2229.5212383900921</v>
      </c>
      <c r="AC962" s="5">
        <f t="shared" si="974"/>
        <v>2312.3320272445812</v>
      </c>
      <c r="AD962" s="5">
        <f t="shared" si="974"/>
        <v>2395.1428160990704</v>
      </c>
      <c r="AE962" s="5">
        <f t="shared" si="974"/>
        <v>2477.9536049535595</v>
      </c>
      <c r="AF962" s="5">
        <f t="shared" si="974"/>
        <v>2560.7643938080487</v>
      </c>
      <c r="AG962" s="5">
        <f t="shared" si="974"/>
        <v>2643.5751826625378</v>
      </c>
      <c r="AH962" s="5">
        <f t="shared" si="974"/>
        <v>2726.385971517027</v>
      </c>
    </row>
    <row r="963" spans="1:34" x14ac:dyDescent="0.35">
      <c r="A963" t="s">
        <v>983</v>
      </c>
      <c r="B963" s="3" t="s">
        <v>1266</v>
      </c>
      <c r="C963" s="4" t="s">
        <v>1263</v>
      </c>
      <c r="D963" s="2">
        <f t="shared" si="91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ref="W963:AH963" si="975">IF(OR((SLOPE($E963:$V963,$E$1:$V$1)*W$1+INTERCEPT($E963:$V963,$E$1:$V$1))&gt;(AVERAGE($E963:$V963)+_xlfn.STDEV.P($E963:$V963)),(SLOPE($E963:$V963,$E$1:$V$1)*W$1+INTERCEPT($E963:$V963,$E$1:$V$1))&lt;(AVERAGE($E963:$V963)-_xlfn.STDEV.P($E963:$V963))),V963,(SLOPE($E963:$V963,$E$1:$V$1)*W$1+INTERCEPT($E963:$V963,$E$1:$V$1)))</f>
        <v>203.06019113456841</v>
      </c>
      <c r="X963" s="5">
        <f t="shared" si="975"/>
        <v>116.61228389060943</v>
      </c>
      <c r="Y963" s="5">
        <f t="shared" si="975"/>
        <v>30.164376646650226</v>
      </c>
      <c r="Z963" s="5">
        <f t="shared" si="975"/>
        <v>-56.283530597308982</v>
      </c>
      <c r="AA963" s="5">
        <f t="shared" si="975"/>
        <v>-142.73143784126796</v>
      </c>
      <c r="AB963" s="5">
        <f t="shared" si="975"/>
        <v>-229.1793450852274</v>
      </c>
      <c r="AC963" s="5">
        <f t="shared" si="975"/>
        <v>-315.62725232918638</v>
      </c>
      <c r="AD963" s="5">
        <f t="shared" si="975"/>
        <v>-402.07515957314536</v>
      </c>
      <c r="AE963" s="5">
        <f t="shared" si="975"/>
        <v>-488.52306681710434</v>
      </c>
      <c r="AF963" s="5">
        <f t="shared" si="975"/>
        <v>-574.97097406106377</v>
      </c>
      <c r="AG963" s="5">
        <f t="shared" si="975"/>
        <v>-661.41888130502275</v>
      </c>
      <c r="AH963" s="5">
        <f t="shared" si="975"/>
        <v>-747.86678854898173</v>
      </c>
    </row>
    <row r="964" spans="1:34" x14ac:dyDescent="0.35">
      <c r="A964" t="s">
        <v>984</v>
      </c>
      <c r="B964" s="3" t="s">
        <v>1266</v>
      </c>
      <c r="C964" s="4" t="s">
        <v>1267</v>
      </c>
      <c r="D964" s="2">
        <f t="shared" ref="D964:D1027" si="976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ref="W964:AH964" si="977">IF(OR((SLOPE($E964:$V964,$E$1:$V$1)*W$1+INTERCEPT($E964:$V964,$E$1:$V$1))&gt;(AVERAGE($E964:$V964)+_xlfn.STDEV.P($E964:$V964)),(SLOPE($E964:$V964,$E$1:$V$1)*W$1+INTERCEPT($E964:$V964,$E$1:$V$1))&lt;(AVERAGE($E964:$V964)-_xlfn.STDEV.P($E964:$V964))),V964,(SLOPE($E964:$V964,$E$1:$V$1)*W$1+INTERCEPT($E964:$V964,$E$1:$V$1)))</f>
        <v>1927.9805552853909</v>
      </c>
      <c r="X964" s="5">
        <f t="shared" si="977"/>
        <v>2023.1111747896043</v>
      </c>
      <c r="Y964" s="5">
        <f t="shared" si="977"/>
        <v>2118.2417942938177</v>
      </c>
      <c r="Z964" s="5">
        <f t="shared" si="977"/>
        <v>2213.3724137980312</v>
      </c>
      <c r="AA964" s="5">
        <f t="shared" si="977"/>
        <v>2308.5030333022446</v>
      </c>
      <c r="AB964" s="5">
        <f t="shared" si="977"/>
        <v>2403.633652806458</v>
      </c>
      <c r="AC964" s="5">
        <f t="shared" si="977"/>
        <v>2498.7642723106715</v>
      </c>
      <c r="AD964" s="5">
        <f t="shared" si="977"/>
        <v>2593.8948918148849</v>
      </c>
      <c r="AE964" s="5">
        <f t="shared" si="977"/>
        <v>2689.0255113190983</v>
      </c>
      <c r="AF964" s="5">
        <f t="shared" si="977"/>
        <v>2784.1561308233113</v>
      </c>
      <c r="AG964" s="5">
        <f t="shared" si="977"/>
        <v>2879.2867503275247</v>
      </c>
      <c r="AH964" s="5">
        <f t="shared" si="977"/>
        <v>2974.4173698317381</v>
      </c>
    </row>
    <row r="965" spans="1:34" x14ac:dyDescent="0.35">
      <c r="A965" t="s">
        <v>985</v>
      </c>
      <c r="B965" s="3" t="s">
        <v>1264</v>
      </c>
      <c r="C965" s="4" t="s">
        <v>1263</v>
      </c>
      <c r="D965" s="2">
        <f t="shared" si="976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H965" si="978">IF(OR((SLOPE($E965:$V965,$E$1:$V$1)*W$1+INTERCEPT($E965:$V965,$E$1:$V$1))&gt;(AVERAGE($E965:$V965)+_xlfn.STDEV.P($E965:$V965)),(SLOPE($E965:$V965,$E$1:$V$1)*W$1+INTERCEPT($E965:$V965,$E$1:$V$1))&lt;(AVERAGE($E965:$V965)-_xlfn.STDEV.P($E965:$V965))),V965,(SLOPE($E965:$V965,$E$1:$V$1)*W$1+INTERCEPT($E965:$V965,$E$1:$V$1)))</f>
        <v>1121.2924679549749</v>
      </c>
      <c r="X965" s="5">
        <f t="shared" si="978"/>
        <v>1132.1601571039703</v>
      </c>
      <c r="Y965" s="5">
        <f t="shared" si="978"/>
        <v>1143.0278462529657</v>
      </c>
      <c r="Z965" s="5">
        <f t="shared" si="978"/>
        <v>1153.8955354019611</v>
      </c>
      <c r="AA965" s="5">
        <f t="shared" si="978"/>
        <v>1164.7632245509565</v>
      </c>
      <c r="AB965" s="5">
        <f t="shared" si="978"/>
        <v>1175.6309136999519</v>
      </c>
      <c r="AC965" s="5">
        <f t="shared" si="978"/>
        <v>1186.4986028489473</v>
      </c>
      <c r="AD965" s="5">
        <f t="shared" si="978"/>
        <v>1197.3662919979427</v>
      </c>
      <c r="AE965" s="5">
        <f t="shared" si="978"/>
        <v>1208.233981146938</v>
      </c>
      <c r="AF965" s="5">
        <f t="shared" si="978"/>
        <v>1219.1016702959334</v>
      </c>
      <c r="AG965" s="5">
        <f t="shared" si="978"/>
        <v>1229.9693594449288</v>
      </c>
      <c r="AH965" s="5">
        <f t="shared" si="978"/>
        <v>1240.837048593924</v>
      </c>
    </row>
    <row r="966" spans="1:34" x14ac:dyDescent="0.35">
      <c r="A966" t="s">
        <v>986</v>
      </c>
      <c r="B966" s="3" t="s">
        <v>1264</v>
      </c>
      <c r="C966" s="4" t="s">
        <v>1263</v>
      </c>
      <c r="D966" s="2">
        <f t="shared" si="976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ref="W966:AH966" si="979">IF(OR((SLOPE($E966:$V966,$E$1:$V$1)*W$1+INTERCEPT($E966:$V966,$E$1:$V$1))&gt;(AVERAGE($E966:$V966)+_xlfn.STDEV.P($E966:$V966)),(SLOPE($E966:$V966,$E$1:$V$1)*W$1+INTERCEPT($E966:$V966,$E$1:$V$1))&lt;(AVERAGE($E966:$V966)-_xlfn.STDEV.P($E966:$V966))),V966,(SLOPE($E966:$V966,$E$1:$V$1)*W$1+INTERCEPT($E966:$V966,$E$1:$V$1)))</f>
        <v>2361.8365142374669</v>
      </c>
      <c r="X966" s="5">
        <f t="shared" si="979"/>
        <v>2503.4667183224092</v>
      </c>
      <c r="Y966" s="5">
        <f t="shared" si="979"/>
        <v>2645.0969224073524</v>
      </c>
      <c r="Z966" s="5">
        <f t="shared" si="979"/>
        <v>2786.7271264922956</v>
      </c>
      <c r="AA966" s="5">
        <f t="shared" si="979"/>
        <v>2928.3573305772388</v>
      </c>
      <c r="AB966" s="5">
        <f t="shared" si="979"/>
        <v>3069.987534662182</v>
      </c>
      <c r="AC966" s="5">
        <f t="shared" si="979"/>
        <v>3069.987534662182</v>
      </c>
      <c r="AD966" s="5">
        <f t="shared" si="979"/>
        <v>3069.987534662182</v>
      </c>
      <c r="AE966" s="5">
        <f t="shared" si="979"/>
        <v>3069.987534662182</v>
      </c>
      <c r="AF966" s="5">
        <f t="shared" si="979"/>
        <v>3069.987534662182</v>
      </c>
      <c r="AG966" s="5">
        <f t="shared" si="979"/>
        <v>3069.987534662182</v>
      </c>
      <c r="AH966" s="5">
        <f t="shared" si="979"/>
        <v>3069.987534662182</v>
      </c>
    </row>
    <row r="967" spans="1:34" x14ac:dyDescent="0.35">
      <c r="A967" t="s">
        <v>987</v>
      </c>
      <c r="B967" s="3" t="s">
        <v>1265</v>
      </c>
      <c r="C967" s="4" t="s">
        <v>1263</v>
      </c>
      <c r="D967" s="2">
        <f t="shared" si="976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ref="W967:AH967" si="980">IF(OR((SLOPE($E967:$V967,$E$1:$V$1)*W$1+INTERCEPT($E967:$V967,$E$1:$V$1))&gt;(AVERAGE($E967:$V967)+_xlfn.STDEV.P($E967:$V967)),(SLOPE($E967:$V967,$E$1:$V$1)*W$1+INTERCEPT($E967:$V967,$E$1:$V$1))&lt;(AVERAGE($E967:$V967)-_xlfn.STDEV.P($E967:$V967))),V967,(SLOPE($E967:$V967,$E$1:$V$1)*W$1+INTERCEPT($E967:$V967,$E$1:$V$1)))</f>
        <v>823.76494117647064</v>
      </c>
      <c r="X967" s="5">
        <f t="shared" si="980"/>
        <v>803.93453498452016</v>
      </c>
      <c r="Y967" s="5">
        <f t="shared" si="980"/>
        <v>784.10412879256978</v>
      </c>
      <c r="Z967" s="5">
        <f t="shared" si="980"/>
        <v>764.27372260061929</v>
      </c>
      <c r="AA967" s="5">
        <f t="shared" si="980"/>
        <v>744.44331640866881</v>
      </c>
      <c r="AB967" s="5">
        <f t="shared" si="980"/>
        <v>724.61291021671832</v>
      </c>
      <c r="AC967" s="5">
        <f t="shared" si="980"/>
        <v>704.78250402476783</v>
      </c>
      <c r="AD967" s="5">
        <f t="shared" si="980"/>
        <v>684.95209783281734</v>
      </c>
      <c r="AE967" s="5">
        <f t="shared" si="980"/>
        <v>665.12169164086686</v>
      </c>
      <c r="AF967" s="5">
        <f t="shared" si="980"/>
        <v>645.29128544891637</v>
      </c>
      <c r="AG967" s="5">
        <f t="shared" si="980"/>
        <v>625.460879256966</v>
      </c>
      <c r="AH967" s="5">
        <f t="shared" si="980"/>
        <v>605.63047306501551</v>
      </c>
    </row>
    <row r="968" spans="1:34" x14ac:dyDescent="0.35">
      <c r="A968" t="s">
        <v>988</v>
      </c>
      <c r="B968" s="3" t="s">
        <v>1266</v>
      </c>
      <c r="C968" s="4" t="s">
        <v>1267</v>
      </c>
      <c r="D968" s="2">
        <f t="shared" si="976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ref="W968:AH968" si="981">IF(OR((SLOPE($E968:$V968,$E$1:$V$1)*W$1+INTERCEPT($E968:$V968,$E$1:$V$1))&gt;(AVERAGE($E968:$V968)+_xlfn.STDEV.P($E968:$V968)),(SLOPE($E968:$V968,$E$1:$V$1)*W$1+INTERCEPT($E968:$V968,$E$1:$V$1))&lt;(AVERAGE($E968:$V968)-_xlfn.STDEV.P($E968:$V968))),V968,(SLOPE($E968:$V968,$E$1:$V$1)*W$1+INTERCEPT($E968:$V968,$E$1:$V$1)))</f>
        <v>-950.22008975386871</v>
      </c>
      <c r="X968" s="5">
        <f t="shared" si="981"/>
        <v>-1156.5178723978006</v>
      </c>
      <c r="Y968" s="5">
        <f t="shared" si="981"/>
        <v>-1362.8156550417325</v>
      </c>
      <c r="Z968" s="5">
        <f t="shared" si="981"/>
        <v>-1569.1134376856644</v>
      </c>
      <c r="AA968" s="5">
        <f t="shared" si="981"/>
        <v>-1775.4112203295963</v>
      </c>
      <c r="AB968" s="5">
        <f t="shared" si="981"/>
        <v>-1981.7090029735291</v>
      </c>
      <c r="AC968" s="5">
        <f t="shared" si="981"/>
        <v>-2188.006785617461</v>
      </c>
      <c r="AD968" s="5">
        <f t="shared" si="981"/>
        <v>-2394.3045682613929</v>
      </c>
      <c r="AE968" s="5">
        <f t="shared" si="981"/>
        <v>-2600.6023509053248</v>
      </c>
      <c r="AF968" s="5">
        <f t="shared" si="981"/>
        <v>-2806.9001335492567</v>
      </c>
      <c r="AG968" s="5">
        <f t="shared" si="981"/>
        <v>-3013.1979161931886</v>
      </c>
      <c r="AH968" s="5">
        <f t="shared" si="981"/>
        <v>-3013.1979161931886</v>
      </c>
    </row>
    <row r="969" spans="1:34" x14ac:dyDescent="0.35">
      <c r="A969" t="s">
        <v>989</v>
      </c>
      <c r="B969" s="3" t="s">
        <v>1266</v>
      </c>
      <c r="C969" s="4" t="s">
        <v>1267</v>
      </c>
      <c r="D969" s="2">
        <f t="shared" si="976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ref="W969:AH969" si="982">IF(OR((SLOPE($E969:$V969,$E$1:$V$1)*W$1+INTERCEPT($E969:$V969,$E$1:$V$1))&gt;(AVERAGE($E969:$V969)+_xlfn.STDEV.P($E969:$V969)),(SLOPE($E969:$V969,$E$1:$V$1)*W$1+INTERCEPT($E969:$V969,$E$1:$V$1))&lt;(AVERAGE($E969:$V969)-_xlfn.STDEV.P($E969:$V969))),V969,(SLOPE($E969:$V969,$E$1:$V$1)*W$1+INTERCEPT($E969:$V969,$E$1:$V$1)))</f>
        <v>473.9869281045751</v>
      </c>
      <c r="X969" s="5">
        <f t="shared" si="982"/>
        <v>417.85689714482282</v>
      </c>
      <c r="Y969" s="5">
        <f t="shared" si="982"/>
        <v>361.72686618507032</v>
      </c>
      <c r="Z969" s="5">
        <f t="shared" si="982"/>
        <v>305.59683522531805</v>
      </c>
      <c r="AA969" s="5">
        <f t="shared" si="982"/>
        <v>249.46680426556577</v>
      </c>
      <c r="AB969" s="5">
        <f t="shared" si="982"/>
        <v>193.33677330581349</v>
      </c>
      <c r="AC969" s="5">
        <f t="shared" si="982"/>
        <v>137.20674234606122</v>
      </c>
      <c r="AD969" s="5">
        <f t="shared" si="982"/>
        <v>81.076711386308716</v>
      </c>
      <c r="AE969" s="5">
        <f t="shared" si="982"/>
        <v>24.946680426556441</v>
      </c>
      <c r="AF969" s="5">
        <f t="shared" si="982"/>
        <v>-31.183350533195835</v>
      </c>
      <c r="AG969" s="5">
        <f t="shared" si="982"/>
        <v>-87.31338149294811</v>
      </c>
      <c r="AH969" s="5">
        <f t="shared" si="982"/>
        <v>-143.44341245270061</v>
      </c>
    </row>
    <row r="970" spans="1:34" x14ac:dyDescent="0.35">
      <c r="A970" t="s">
        <v>990</v>
      </c>
      <c r="B970" s="3" t="s">
        <v>1266</v>
      </c>
      <c r="C970" s="4" t="s">
        <v>1267</v>
      </c>
      <c r="D970" s="2">
        <f t="shared" si="976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ref="W970:AH970" si="983">IF(OR((SLOPE($E970:$V970,$E$1:$V$1)*W$1+INTERCEPT($E970:$V970,$E$1:$V$1))&gt;(AVERAGE($E970:$V970)+_xlfn.STDEV.P($E970:$V970)),(SLOPE($E970:$V970,$E$1:$V$1)*W$1+INTERCEPT($E970:$V970,$E$1:$V$1))&lt;(AVERAGE($E970:$V970)-_xlfn.STDEV.P($E970:$V970))),V970,(SLOPE($E970:$V970,$E$1:$V$1)*W$1+INTERCEPT($E970:$V970,$E$1:$V$1)))</f>
        <v>3646.1649663775906</v>
      </c>
      <c r="X970" s="5">
        <f t="shared" si="983"/>
        <v>3924.7344459819906</v>
      </c>
      <c r="Y970" s="5">
        <f t="shared" si="983"/>
        <v>4203.3039255863905</v>
      </c>
      <c r="Z970" s="5">
        <f t="shared" si="983"/>
        <v>4481.8734051907904</v>
      </c>
      <c r="AA970" s="5">
        <f t="shared" si="983"/>
        <v>4760.4428847951904</v>
      </c>
      <c r="AB970" s="5">
        <f t="shared" si="983"/>
        <v>5039.0123643995903</v>
      </c>
      <c r="AC970" s="5">
        <f t="shared" si="983"/>
        <v>5039.0123643995903</v>
      </c>
      <c r="AD970" s="5">
        <f t="shared" si="983"/>
        <v>5039.0123643995903</v>
      </c>
      <c r="AE970" s="5">
        <f t="shared" si="983"/>
        <v>5039.0123643995903</v>
      </c>
      <c r="AF970" s="5">
        <f t="shared" si="983"/>
        <v>5039.0123643995903</v>
      </c>
      <c r="AG970" s="5">
        <f t="shared" si="983"/>
        <v>5039.0123643995903</v>
      </c>
      <c r="AH970" s="5">
        <f t="shared" si="983"/>
        <v>5039.0123643995903</v>
      </c>
    </row>
    <row r="971" spans="1:34" x14ac:dyDescent="0.35">
      <c r="A971" t="s">
        <v>991</v>
      </c>
      <c r="B971" s="3" t="s">
        <v>1265</v>
      </c>
      <c r="C971" s="4" t="s">
        <v>1263</v>
      </c>
      <c r="D971" s="2">
        <f t="shared" si="976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ref="W971:AH971" si="984">IF(OR((SLOPE($E971:$V971,$E$1:$V$1)*W$1+INTERCEPT($E971:$V971,$E$1:$V$1))&gt;(AVERAGE($E971:$V971)+_xlfn.STDEV.P($E971:$V971)),(SLOPE($E971:$V971,$E$1:$V$1)*W$1+INTERCEPT($E971:$V971,$E$1:$V$1))&lt;(AVERAGE($E971:$V971)-_xlfn.STDEV.P($E971:$V971))),V971,(SLOPE($E971:$V971,$E$1:$V$1)*W$1+INTERCEPT($E971:$V971,$E$1:$V$1)))</f>
        <v>-1083.5185054269514</v>
      </c>
      <c r="X971" s="5">
        <f t="shared" si="984"/>
        <v>-1301.9768923510901</v>
      </c>
      <c r="Y971" s="5">
        <f t="shared" si="984"/>
        <v>-1520.4352792752288</v>
      </c>
      <c r="Z971" s="5">
        <f t="shared" si="984"/>
        <v>-1738.8936661993666</v>
      </c>
      <c r="AA971" s="5">
        <f t="shared" si="984"/>
        <v>-1738.8936661993666</v>
      </c>
      <c r="AB971" s="5">
        <f t="shared" si="984"/>
        <v>-1738.8936661993666</v>
      </c>
      <c r="AC971" s="5">
        <f t="shared" si="984"/>
        <v>-1738.8936661993666</v>
      </c>
      <c r="AD971" s="5">
        <f t="shared" si="984"/>
        <v>-1738.8936661993666</v>
      </c>
      <c r="AE971" s="5">
        <f t="shared" si="984"/>
        <v>-1738.8936661993666</v>
      </c>
      <c r="AF971" s="5">
        <f t="shared" si="984"/>
        <v>-1738.8936661993666</v>
      </c>
      <c r="AG971" s="5">
        <f t="shared" si="984"/>
        <v>-1738.8936661993666</v>
      </c>
      <c r="AH971" s="5">
        <f t="shared" si="984"/>
        <v>-1738.8936661993666</v>
      </c>
    </row>
    <row r="972" spans="1:34" x14ac:dyDescent="0.35">
      <c r="A972" t="s">
        <v>992</v>
      </c>
      <c r="B972" s="3" t="s">
        <v>1266</v>
      </c>
      <c r="C972" s="4" t="s">
        <v>1267</v>
      </c>
      <c r="D972" s="2">
        <f t="shared" si="976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ref="W972:AH972" si="985">IF(OR((SLOPE($E972:$V972,$E$1:$V$1)*W$1+INTERCEPT($E972:$V972,$E$1:$V$1))&gt;(AVERAGE($E972:$V972)+_xlfn.STDEV.P($E972:$V972)),(SLOPE($E972:$V972,$E$1:$V$1)*W$1+INTERCEPT($E972:$V972,$E$1:$V$1))&lt;(AVERAGE($E972:$V972)-_xlfn.STDEV.P($E972:$V972))),V972,(SLOPE($E972:$V972,$E$1:$V$1)*W$1+INTERCEPT($E972:$V972,$E$1:$V$1)))</f>
        <v>2913.8645723099899</v>
      </c>
      <c r="X972" s="5">
        <f t="shared" si="985"/>
        <v>3116.3014794388941</v>
      </c>
      <c r="Y972" s="5">
        <f t="shared" si="985"/>
        <v>3318.7383865677984</v>
      </c>
      <c r="Z972" s="5">
        <f t="shared" si="985"/>
        <v>3521.1752936967032</v>
      </c>
      <c r="AA972" s="5">
        <f t="shared" si="985"/>
        <v>3723.6122008256079</v>
      </c>
      <c r="AB972" s="5">
        <f t="shared" si="985"/>
        <v>3926.0491079545127</v>
      </c>
      <c r="AC972" s="5">
        <f t="shared" si="985"/>
        <v>4128.4860150834174</v>
      </c>
      <c r="AD972" s="5">
        <f t="shared" si="985"/>
        <v>4330.9229222123213</v>
      </c>
      <c r="AE972" s="5">
        <f t="shared" si="985"/>
        <v>4533.359829341226</v>
      </c>
      <c r="AF972" s="5">
        <f t="shared" si="985"/>
        <v>4735.7967364701308</v>
      </c>
      <c r="AG972" s="5">
        <f t="shared" si="985"/>
        <v>4938.2336435990355</v>
      </c>
      <c r="AH972" s="5">
        <f t="shared" si="985"/>
        <v>4938.2336435990355</v>
      </c>
    </row>
    <row r="973" spans="1:34" x14ac:dyDescent="0.35">
      <c r="A973" t="s">
        <v>993</v>
      </c>
      <c r="B973" s="3" t="s">
        <v>1264</v>
      </c>
      <c r="C973" s="4" t="s">
        <v>1263</v>
      </c>
      <c r="D973" s="2">
        <f t="shared" si="976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ref="W973:AH973" si="986">IF(OR((SLOPE($E973:$V973,$E$1:$V$1)*W$1+INTERCEPT($E973:$V973,$E$1:$V$1))&gt;(AVERAGE($E973:$V973)+_xlfn.STDEV.P($E973:$V973)),(SLOPE($E973:$V973,$E$1:$V$1)*W$1+INTERCEPT($E973:$V973,$E$1:$V$1))&lt;(AVERAGE($E973:$V973)-_xlfn.STDEV.P($E973:$V973))),V973,(SLOPE($E973:$V973,$E$1:$V$1)*W$1+INTERCEPT($E973:$V973,$E$1:$V$1)))</f>
        <v>5014.2324106595797</v>
      </c>
      <c r="X973" s="5">
        <f t="shared" si="986"/>
        <v>5014.2324106595797</v>
      </c>
      <c r="Y973" s="5">
        <f t="shared" si="986"/>
        <v>5014.2324106595797</v>
      </c>
      <c r="Z973" s="5">
        <f t="shared" si="986"/>
        <v>5014.2324106595797</v>
      </c>
      <c r="AA973" s="5">
        <f t="shared" si="986"/>
        <v>5014.2324106595797</v>
      </c>
      <c r="AB973" s="5">
        <f t="shared" si="986"/>
        <v>5014.2324106595797</v>
      </c>
      <c r="AC973" s="5">
        <f t="shared" si="986"/>
        <v>5014.2324106595797</v>
      </c>
      <c r="AD973" s="5">
        <f t="shared" si="986"/>
        <v>5014.2324106595797</v>
      </c>
      <c r="AE973" s="5">
        <f t="shared" si="986"/>
        <v>5014.2324106595797</v>
      </c>
      <c r="AF973" s="5">
        <f t="shared" si="986"/>
        <v>5014.2324106595797</v>
      </c>
      <c r="AG973" s="5">
        <f t="shared" si="986"/>
        <v>5014.2324106595797</v>
      </c>
      <c r="AH973" s="5">
        <f t="shared" si="986"/>
        <v>5014.2324106595797</v>
      </c>
    </row>
    <row r="974" spans="1:34" x14ac:dyDescent="0.35">
      <c r="A974" t="s">
        <v>994</v>
      </c>
      <c r="B974" s="3" t="s">
        <v>1264</v>
      </c>
      <c r="C974" s="4" t="s">
        <v>1263</v>
      </c>
      <c r="D974" s="2">
        <f t="shared" si="976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ref="W974:AH974" si="987">IF(OR((SLOPE($E974:$V974,$E$1:$V$1)*W$1+INTERCEPT($E974:$V974,$E$1:$V$1))&gt;(AVERAGE($E974:$V974)+_xlfn.STDEV.P($E974:$V974)),(SLOPE($E974:$V974,$E$1:$V$1)*W$1+INTERCEPT($E974:$V974,$E$1:$V$1))&lt;(AVERAGE($E974:$V974)-_xlfn.STDEV.P($E974:$V974))),V974,(SLOPE($E974:$V974,$E$1:$V$1)*W$1+INTERCEPT($E974:$V974,$E$1:$V$1)))</f>
        <v>2879.5009341543255</v>
      </c>
      <c r="X974" s="5">
        <f t="shared" si="987"/>
        <v>3079.5504727376783</v>
      </c>
      <c r="Y974" s="5">
        <f t="shared" si="987"/>
        <v>3279.6000113210321</v>
      </c>
      <c r="Z974" s="5">
        <f t="shared" si="987"/>
        <v>3479.6495499043849</v>
      </c>
      <c r="AA974" s="5">
        <f t="shared" si="987"/>
        <v>3679.6990884877378</v>
      </c>
      <c r="AB974" s="5">
        <f t="shared" si="987"/>
        <v>3879.7486270710915</v>
      </c>
      <c r="AC974" s="5">
        <f t="shared" si="987"/>
        <v>4079.7981656544443</v>
      </c>
      <c r="AD974" s="5">
        <f t="shared" si="987"/>
        <v>4279.8477042377972</v>
      </c>
      <c r="AE974" s="5">
        <f t="shared" si="987"/>
        <v>4479.89724282115</v>
      </c>
      <c r="AF974" s="5">
        <f t="shared" si="987"/>
        <v>4679.9467814045038</v>
      </c>
      <c r="AG974" s="5">
        <f t="shared" si="987"/>
        <v>4879.9963199878566</v>
      </c>
      <c r="AH974" s="5">
        <f t="shared" si="987"/>
        <v>4879.9963199878566</v>
      </c>
    </row>
    <row r="975" spans="1:34" x14ac:dyDescent="0.35">
      <c r="A975" t="s">
        <v>995</v>
      </c>
      <c r="B975" s="3" t="s">
        <v>1264</v>
      </c>
      <c r="C975" s="4" t="s">
        <v>1267</v>
      </c>
      <c r="D975" s="2">
        <f t="shared" si="976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ref="W975:AH975" si="988">IF(OR((SLOPE($E975:$V975,$E$1:$V$1)*W$1+INTERCEPT($E975:$V975,$E$1:$V$1))&gt;(AVERAGE($E975:$V975)+_xlfn.STDEV.P($E975:$V975)),(SLOPE($E975:$V975,$E$1:$V$1)*W$1+INTERCEPT($E975:$V975,$E$1:$V$1))&lt;(AVERAGE($E975:$V975)-_xlfn.STDEV.P($E975:$V975))),V975,(SLOPE($E975:$V975,$E$1:$V$1)*W$1+INTERCEPT($E975:$V975,$E$1:$V$1)))</f>
        <v>554.03279677619116</v>
      </c>
      <c r="X975" s="5">
        <f t="shared" si="988"/>
        <v>509.42371566491579</v>
      </c>
      <c r="Y975" s="5">
        <f t="shared" si="988"/>
        <v>464.81463455364053</v>
      </c>
      <c r="Z975" s="5">
        <f t="shared" si="988"/>
        <v>420.20555344236516</v>
      </c>
      <c r="AA975" s="5">
        <f t="shared" si="988"/>
        <v>375.59647233108967</v>
      </c>
      <c r="AB975" s="5">
        <f t="shared" si="988"/>
        <v>330.98739121981453</v>
      </c>
      <c r="AC975" s="5">
        <f t="shared" si="988"/>
        <v>286.37831010853915</v>
      </c>
      <c r="AD975" s="5">
        <f t="shared" si="988"/>
        <v>241.76922899726378</v>
      </c>
      <c r="AE975" s="5">
        <f t="shared" si="988"/>
        <v>197.16014788598841</v>
      </c>
      <c r="AF975" s="5">
        <f t="shared" si="988"/>
        <v>152.55106677471304</v>
      </c>
      <c r="AG975" s="5">
        <f t="shared" si="988"/>
        <v>107.94198566343766</v>
      </c>
      <c r="AH975" s="5">
        <f t="shared" si="988"/>
        <v>63.33290455216229</v>
      </c>
    </row>
    <row r="976" spans="1:34" x14ac:dyDescent="0.35">
      <c r="A976" t="s">
        <v>996</v>
      </c>
      <c r="B976" s="3" t="s">
        <v>1266</v>
      </c>
      <c r="C976" s="4" t="s">
        <v>1267</v>
      </c>
      <c r="D976" s="2">
        <f t="shared" si="976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ref="W976:AH976" si="989">IF(OR((SLOPE($E976:$V976,$E$1:$V$1)*W$1+INTERCEPT($E976:$V976,$E$1:$V$1))&gt;(AVERAGE($E976:$V976)+_xlfn.STDEV.P($E976:$V976)),(SLOPE($E976:$V976,$E$1:$V$1)*W$1+INTERCEPT($E976:$V976,$E$1:$V$1))&lt;(AVERAGE($E976:$V976)-_xlfn.STDEV.P($E976:$V976))),V976,(SLOPE($E976:$V976,$E$1:$V$1)*W$1+INTERCEPT($E976:$V976,$E$1:$V$1)))</f>
        <v>3496.7905358268426</v>
      </c>
      <c r="X976" s="5">
        <f t="shared" si="989"/>
        <v>3763.947707494428</v>
      </c>
      <c r="Y976" s="5">
        <f t="shared" si="989"/>
        <v>4031.1048791620142</v>
      </c>
      <c r="Z976" s="5">
        <f t="shared" si="989"/>
        <v>4298.2620508295995</v>
      </c>
      <c r="AA976" s="5">
        <f t="shared" si="989"/>
        <v>4565.4192224971848</v>
      </c>
      <c r="AB976" s="5">
        <f t="shared" si="989"/>
        <v>4832.576394164771</v>
      </c>
      <c r="AC976" s="5">
        <f t="shared" si="989"/>
        <v>4832.576394164771</v>
      </c>
      <c r="AD976" s="5">
        <f t="shared" si="989"/>
        <v>4832.576394164771</v>
      </c>
      <c r="AE976" s="5">
        <f t="shared" si="989"/>
        <v>4832.576394164771</v>
      </c>
      <c r="AF976" s="5">
        <f t="shared" si="989"/>
        <v>4832.576394164771</v>
      </c>
      <c r="AG976" s="5">
        <f t="shared" si="989"/>
        <v>4832.576394164771</v>
      </c>
      <c r="AH976" s="5">
        <f t="shared" si="989"/>
        <v>4832.576394164771</v>
      </c>
    </row>
    <row r="977" spans="1:34" x14ac:dyDescent="0.35">
      <c r="A977" t="s">
        <v>997</v>
      </c>
      <c r="B977" s="3" t="s">
        <v>1266</v>
      </c>
      <c r="C977" s="4" t="s">
        <v>1266</v>
      </c>
      <c r="D977" s="2">
        <f t="shared" si="976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ref="W977:AH977" si="990">IF(OR((SLOPE($E977:$V977,$E$1:$V$1)*W$1+INTERCEPT($E977:$V977,$E$1:$V$1))&gt;(AVERAGE($E977:$V977)+_xlfn.STDEV.P($E977:$V977)),(SLOPE($E977:$V977,$E$1:$V$1)*W$1+INTERCEPT($E977:$V977,$E$1:$V$1))&lt;(AVERAGE($E977:$V977)-_xlfn.STDEV.P($E977:$V977))),V977,(SLOPE($E977:$V977,$E$1:$V$1)*W$1+INTERCEPT($E977:$V977,$E$1:$V$1)))</f>
        <v>1802.7985440829718</v>
      </c>
      <c r="X977" s="5">
        <f t="shared" si="990"/>
        <v>1891.7524196133816</v>
      </c>
      <c r="Y977" s="5">
        <f t="shared" si="990"/>
        <v>1980.7062951437915</v>
      </c>
      <c r="Z977" s="5">
        <f t="shared" si="990"/>
        <v>2069.6601706742013</v>
      </c>
      <c r="AA977" s="5">
        <f t="shared" si="990"/>
        <v>2158.614046204611</v>
      </c>
      <c r="AB977" s="5">
        <f t="shared" si="990"/>
        <v>2247.5679217350207</v>
      </c>
      <c r="AC977" s="5">
        <f t="shared" si="990"/>
        <v>2336.5217972654309</v>
      </c>
      <c r="AD977" s="5">
        <f t="shared" si="990"/>
        <v>2425.4756727958402</v>
      </c>
      <c r="AE977" s="5">
        <f t="shared" si="990"/>
        <v>2514.4295483262504</v>
      </c>
      <c r="AF977" s="5">
        <f t="shared" si="990"/>
        <v>2603.3834238566596</v>
      </c>
      <c r="AG977" s="5">
        <f t="shared" si="990"/>
        <v>2692.3372993870698</v>
      </c>
      <c r="AH977" s="5">
        <f t="shared" si="990"/>
        <v>2781.29117491748</v>
      </c>
    </row>
    <row r="978" spans="1:34" x14ac:dyDescent="0.35">
      <c r="A978" t="s">
        <v>998</v>
      </c>
      <c r="B978" s="3" t="s">
        <v>1266</v>
      </c>
      <c r="C978" s="4" t="s">
        <v>1266</v>
      </c>
      <c r="D978" s="2">
        <f t="shared" si="976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ref="W978:AH978" si="991">IF(OR((SLOPE($E978:$V978,$E$1:$V$1)*W$1+INTERCEPT($E978:$V978,$E$1:$V$1))&gt;(AVERAGE($E978:$V978)+_xlfn.STDEV.P($E978:$V978)),(SLOPE($E978:$V978,$E$1:$V$1)*W$1+INTERCEPT($E978:$V978,$E$1:$V$1))&lt;(AVERAGE($E978:$V978)-_xlfn.STDEV.P($E978:$V978))),V978,(SLOPE($E978:$V978,$E$1:$V$1)*W$1+INTERCEPT($E978:$V978,$E$1:$V$1)))</f>
        <v>-223.28627450980366</v>
      </c>
      <c r="X978" s="5">
        <f t="shared" si="991"/>
        <v>-346.68132094943212</v>
      </c>
      <c r="Y978" s="5">
        <f t="shared" si="991"/>
        <v>-470.07636738906058</v>
      </c>
      <c r="Z978" s="5">
        <f t="shared" si="991"/>
        <v>-593.47141382868904</v>
      </c>
      <c r="AA978" s="5">
        <f t="shared" si="991"/>
        <v>-716.8664602683175</v>
      </c>
      <c r="AB978" s="5">
        <f t="shared" si="991"/>
        <v>-840.26150670794595</v>
      </c>
      <c r="AC978" s="5">
        <f t="shared" si="991"/>
        <v>-963.65655314757441</v>
      </c>
      <c r="AD978" s="5">
        <f t="shared" si="991"/>
        <v>-1087.0515995872029</v>
      </c>
      <c r="AE978" s="5">
        <f t="shared" si="991"/>
        <v>-1210.4466460268313</v>
      </c>
      <c r="AF978" s="5">
        <f t="shared" si="991"/>
        <v>-1333.8416924664598</v>
      </c>
      <c r="AG978" s="5">
        <f t="shared" si="991"/>
        <v>-1457.2367389060882</v>
      </c>
      <c r="AH978" s="5">
        <f t="shared" si="991"/>
        <v>-1580.6317853457167</v>
      </c>
    </row>
    <row r="979" spans="1:34" x14ac:dyDescent="0.35">
      <c r="A979" t="s">
        <v>999</v>
      </c>
      <c r="B979" s="3" t="s">
        <v>1266</v>
      </c>
      <c r="C979" s="4" t="s">
        <v>1267</v>
      </c>
      <c r="D979" s="2">
        <f t="shared" si="976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ref="W979:AH979" si="992">IF(OR((SLOPE($E979:$V979,$E$1:$V$1)*W$1+INTERCEPT($E979:$V979,$E$1:$V$1))&gt;(AVERAGE($E979:$V979)+_xlfn.STDEV.P($E979:$V979)),(SLOPE($E979:$V979,$E$1:$V$1)*W$1+INTERCEPT($E979:$V979,$E$1:$V$1))&lt;(AVERAGE($E979:$V979)-_xlfn.STDEV.P($E979:$V979))),V979,(SLOPE($E979:$V979,$E$1:$V$1)*W$1+INTERCEPT($E979:$V979,$E$1:$V$1)))</f>
        <v>2436.2988631474768</v>
      </c>
      <c r="X979" s="5">
        <f t="shared" si="992"/>
        <v>2593.2296712457292</v>
      </c>
      <c r="Y979" s="5">
        <f t="shared" si="992"/>
        <v>2750.1604793439815</v>
      </c>
      <c r="Z979" s="5">
        <f t="shared" si="992"/>
        <v>2907.0912874422338</v>
      </c>
      <c r="AA979" s="5">
        <f t="shared" si="992"/>
        <v>3064.0220955404861</v>
      </c>
      <c r="AB979" s="5">
        <f t="shared" si="992"/>
        <v>3220.9529036387385</v>
      </c>
      <c r="AC979" s="5">
        <f t="shared" si="992"/>
        <v>3377.8837117369908</v>
      </c>
      <c r="AD979" s="5">
        <f t="shared" si="992"/>
        <v>3534.8145198352431</v>
      </c>
      <c r="AE979" s="5">
        <f t="shared" si="992"/>
        <v>3691.7453279334959</v>
      </c>
      <c r="AF979" s="5">
        <f t="shared" si="992"/>
        <v>3848.6761360317478</v>
      </c>
      <c r="AG979" s="5">
        <f t="shared" si="992"/>
        <v>3848.6761360317478</v>
      </c>
      <c r="AH979" s="5">
        <f t="shared" si="992"/>
        <v>3848.6761360317478</v>
      </c>
    </row>
    <row r="980" spans="1:34" x14ac:dyDescent="0.35">
      <c r="A980" t="s">
        <v>1000</v>
      </c>
      <c r="B980" s="3" t="s">
        <v>1264</v>
      </c>
      <c r="C980" s="4" t="s">
        <v>1263</v>
      </c>
      <c r="D980" s="2">
        <f t="shared" si="976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ref="W980:AH980" si="993">IF(OR((SLOPE($E980:$V980,$E$1:$V$1)*W$1+INTERCEPT($E980:$V980,$E$1:$V$1))&gt;(AVERAGE($E980:$V980)+_xlfn.STDEV.P($E980:$V980)),(SLOPE($E980:$V980,$E$1:$V$1)*W$1+INTERCEPT($E980:$V980,$E$1:$V$1))&lt;(AVERAGE($E980:$V980)-_xlfn.STDEV.P($E980:$V980))),V980,(SLOPE($E980:$V980,$E$1:$V$1)*W$1+INTERCEPT($E980:$V980,$E$1:$V$1)))</f>
        <v>3435.4416471956756</v>
      </c>
      <c r="X980" s="5">
        <f t="shared" si="993"/>
        <v>3697.9117221087572</v>
      </c>
      <c r="Y980" s="5">
        <f t="shared" si="993"/>
        <v>3960.3817970218397</v>
      </c>
      <c r="Z980" s="5">
        <f t="shared" si="993"/>
        <v>4222.8518719349222</v>
      </c>
      <c r="AA980" s="5">
        <f t="shared" si="993"/>
        <v>4485.3219468480038</v>
      </c>
      <c r="AB980" s="5">
        <f t="shared" si="993"/>
        <v>4747.7920217610863</v>
      </c>
      <c r="AC980" s="5">
        <f t="shared" si="993"/>
        <v>4747.7920217610863</v>
      </c>
      <c r="AD980" s="5">
        <f t="shared" si="993"/>
        <v>4747.7920217610863</v>
      </c>
      <c r="AE980" s="5">
        <f t="shared" si="993"/>
        <v>4747.7920217610863</v>
      </c>
      <c r="AF980" s="5">
        <f t="shared" si="993"/>
        <v>4747.7920217610863</v>
      </c>
      <c r="AG980" s="5">
        <f t="shared" si="993"/>
        <v>4747.7920217610863</v>
      </c>
      <c r="AH980" s="5">
        <f t="shared" si="993"/>
        <v>4747.7920217610863</v>
      </c>
    </row>
    <row r="981" spans="1:34" x14ac:dyDescent="0.35">
      <c r="A981" t="s">
        <v>1001</v>
      </c>
      <c r="B981" s="3" t="s">
        <v>1265</v>
      </c>
      <c r="C981" s="4" t="s">
        <v>1263</v>
      </c>
      <c r="D981" s="2">
        <f t="shared" si="976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H981" si="994">IF(OR((SLOPE($E981:$V981,$E$1:$V$1)*W$1+INTERCEPT($E981:$V981,$E$1:$V$1))&gt;(AVERAGE($E981:$V981)+_xlfn.STDEV.P($E981:$V981)),(SLOPE($E981:$V981,$E$1:$V$1)*W$1+INTERCEPT($E981:$V981,$E$1:$V$1))&lt;(AVERAGE($E981:$V981)-_xlfn.STDEV.P($E981:$V981))),V981,(SLOPE($E981:$V981,$E$1:$V$1)*W$1+INTERCEPT($E981:$V981,$E$1:$V$1)))</f>
        <v>1099.1499585843969</v>
      </c>
      <c r="X981" s="5">
        <f t="shared" si="994"/>
        <v>1116.5049579304664</v>
      </c>
      <c r="Y981" s="5">
        <f t="shared" si="994"/>
        <v>1133.8599572765359</v>
      </c>
      <c r="Z981" s="5">
        <f t="shared" si="994"/>
        <v>1151.2149566226053</v>
      </c>
      <c r="AA981" s="5">
        <f t="shared" si="994"/>
        <v>1168.5699559686745</v>
      </c>
      <c r="AB981" s="5">
        <f t="shared" si="994"/>
        <v>1185.9249553147442</v>
      </c>
      <c r="AC981" s="5">
        <f t="shared" si="994"/>
        <v>1203.2799546608135</v>
      </c>
      <c r="AD981" s="5">
        <f t="shared" si="994"/>
        <v>1220.6349540068829</v>
      </c>
      <c r="AE981" s="5">
        <f t="shared" si="994"/>
        <v>1237.9899533529524</v>
      </c>
      <c r="AF981" s="5">
        <f t="shared" si="994"/>
        <v>1255.3449526990219</v>
      </c>
      <c r="AG981" s="5">
        <f t="shared" si="994"/>
        <v>1272.6999520450913</v>
      </c>
      <c r="AH981" s="5">
        <f t="shared" si="994"/>
        <v>1290.0549513911606</v>
      </c>
    </row>
    <row r="982" spans="1:34" x14ac:dyDescent="0.35">
      <c r="A982" t="s">
        <v>1002</v>
      </c>
      <c r="B982" s="3" t="s">
        <v>1264</v>
      </c>
      <c r="C982" s="4" t="s">
        <v>1263</v>
      </c>
      <c r="D982" s="2">
        <f t="shared" si="976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ref="W982:AH982" si="995">IF(OR((SLOPE($E982:$V982,$E$1:$V$1)*W$1+INTERCEPT($E982:$V982,$E$1:$V$1))&gt;(AVERAGE($E982:$V982)+_xlfn.STDEV.P($E982:$V982)),(SLOPE($E982:$V982,$E$1:$V$1)*W$1+INTERCEPT($E982:$V982,$E$1:$V$1))&lt;(AVERAGE($E982:$V982)-_xlfn.STDEV.P($E982:$V982))),V982,(SLOPE($E982:$V982,$E$1:$V$1)*W$1+INTERCEPT($E982:$V982,$E$1:$V$1)))</f>
        <v>2939.9481921817101</v>
      </c>
      <c r="X982" s="5">
        <f t="shared" si="995"/>
        <v>2939.9481921817101</v>
      </c>
      <c r="Y982" s="5">
        <f t="shared" si="995"/>
        <v>2939.9481921817101</v>
      </c>
      <c r="Z982" s="5">
        <f t="shared" si="995"/>
        <v>2939.9481921817101</v>
      </c>
      <c r="AA982" s="5">
        <f t="shared" si="995"/>
        <v>2939.9481921817101</v>
      </c>
      <c r="AB982" s="5">
        <f t="shared" si="995"/>
        <v>2939.9481921817101</v>
      </c>
      <c r="AC982" s="5">
        <f t="shared" si="995"/>
        <v>2939.9481921817101</v>
      </c>
      <c r="AD982" s="5">
        <f t="shared" si="995"/>
        <v>2939.9481921817101</v>
      </c>
      <c r="AE982" s="5">
        <f t="shared" si="995"/>
        <v>2939.9481921817101</v>
      </c>
      <c r="AF982" s="5">
        <f t="shared" si="995"/>
        <v>2939.9481921817101</v>
      </c>
      <c r="AG982" s="5">
        <f t="shared" si="995"/>
        <v>2939.9481921817101</v>
      </c>
      <c r="AH982" s="5">
        <f t="shared" si="995"/>
        <v>2939.9481921817101</v>
      </c>
    </row>
    <row r="983" spans="1:34" x14ac:dyDescent="0.35">
      <c r="A983" t="s">
        <v>1003</v>
      </c>
      <c r="B983" s="3" t="s">
        <v>1265</v>
      </c>
      <c r="C983" s="4" t="s">
        <v>1268</v>
      </c>
      <c r="D983" s="2">
        <f t="shared" si="976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ref="W983:AH983" si="996">IF(OR((SLOPE($E983:$V983,$E$1:$V$1)*W$1+INTERCEPT($E983:$V983,$E$1:$V$1))&gt;(AVERAGE($E983:$V983)+_xlfn.STDEV.P($E983:$V983)),(SLOPE($E983:$V983,$E$1:$V$1)*W$1+INTERCEPT($E983:$V983,$E$1:$V$1))&lt;(AVERAGE($E983:$V983)-_xlfn.STDEV.P($E983:$V983))),V983,(SLOPE($E983:$V983,$E$1:$V$1)*W$1+INTERCEPT($E983:$V983,$E$1:$V$1)))</f>
        <v>-1189.1467320261436</v>
      </c>
      <c r="X983" s="5">
        <f t="shared" si="996"/>
        <v>-1411.0449260405912</v>
      </c>
      <c r="Y983" s="5">
        <f t="shared" si="996"/>
        <v>-1632.9431200550389</v>
      </c>
      <c r="Z983" s="5">
        <f t="shared" si="996"/>
        <v>-1854.8413140694875</v>
      </c>
      <c r="AA983" s="5">
        <f t="shared" si="996"/>
        <v>-2076.7395080839351</v>
      </c>
      <c r="AB983" s="5">
        <f t="shared" si="996"/>
        <v>-2298.6377020983828</v>
      </c>
      <c r="AC983" s="5">
        <f t="shared" si="996"/>
        <v>-2520.5358961128304</v>
      </c>
      <c r="AD983" s="5">
        <f t="shared" si="996"/>
        <v>-2742.4340901272781</v>
      </c>
      <c r="AE983" s="5">
        <f t="shared" si="996"/>
        <v>-2742.4340901272781</v>
      </c>
      <c r="AF983" s="5">
        <f t="shared" si="996"/>
        <v>-2742.4340901272781</v>
      </c>
      <c r="AG983" s="5">
        <f t="shared" si="996"/>
        <v>-2742.4340901272781</v>
      </c>
      <c r="AH983" s="5">
        <f t="shared" si="996"/>
        <v>-2742.4340901272781</v>
      </c>
    </row>
    <row r="984" spans="1:34" x14ac:dyDescent="0.35">
      <c r="A984" t="s">
        <v>1004</v>
      </c>
      <c r="B984" s="3" t="s">
        <v>1264</v>
      </c>
      <c r="C984" s="4" t="s">
        <v>1267</v>
      </c>
      <c r="D984" s="2">
        <f t="shared" si="976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ref="W984:AH984" si="997">IF(OR((SLOPE($E984:$V984,$E$1:$V$1)*W$1+INTERCEPT($E984:$V984,$E$1:$V$1))&gt;(AVERAGE($E984:$V984)+_xlfn.STDEV.P($E984:$V984)),(SLOPE($E984:$V984,$E$1:$V$1)*W$1+INTERCEPT($E984:$V984,$E$1:$V$1))&lt;(AVERAGE($E984:$V984)-_xlfn.STDEV.P($E984:$V984))),V984,(SLOPE($E984:$V984,$E$1:$V$1)*W$1+INTERCEPT($E984:$V984,$E$1:$V$1)))</f>
        <v>3346.2563911031421</v>
      </c>
      <c r="X984" s="5">
        <f t="shared" si="997"/>
        <v>3601.9126518835183</v>
      </c>
      <c r="Y984" s="5">
        <f t="shared" si="997"/>
        <v>3857.5689126638945</v>
      </c>
      <c r="Z984" s="5">
        <f t="shared" si="997"/>
        <v>4113.2251734442698</v>
      </c>
      <c r="AA984" s="5">
        <f t="shared" si="997"/>
        <v>4368.881434224646</v>
      </c>
      <c r="AB984" s="5">
        <f t="shared" si="997"/>
        <v>4624.5376950050222</v>
      </c>
      <c r="AC984" s="5">
        <f t="shared" si="997"/>
        <v>4624.5376950050222</v>
      </c>
      <c r="AD984" s="5">
        <f t="shared" si="997"/>
        <v>4624.5376950050222</v>
      </c>
      <c r="AE984" s="5">
        <f t="shared" si="997"/>
        <v>4624.5376950050222</v>
      </c>
      <c r="AF984" s="5">
        <f t="shared" si="997"/>
        <v>4624.5376950050222</v>
      </c>
      <c r="AG984" s="5">
        <f t="shared" si="997"/>
        <v>4624.5376950050222</v>
      </c>
      <c r="AH984" s="5">
        <f t="shared" si="997"/>
        <v>4624.5376950050222</v>
      </c>
    </row>
    <row r="985" spans="1:34" x14ac:dyDescent="0.35">
      <c r="A985" t="s">
        <v>1005</v>
      </c>
      <c r="B985" s="3" t="s">
        <v>1265</v>
      </c>
      <c r="C985" s="4" t="s">
        <v>1263</v>
      </c>
      <c r="D985" s="2">
        <f t="shared" si="976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ref="W985:AH985" si="998">IF(OR((SLOPE($E985:$V985,$E$1:$V$1)*W$1+INTERCEPT($E985:$V985,$E$1:$V$1))&gt;(AVERAGE($E985:$V985)+_xlfn.STDEV.P($E985:$V985)),(SLOPE($E985:$V985,$E$1:$V$1)*W$1+INTERCEPT($E985:$V985,$E$1:$V$1))&lt;(AVERAGE($E985:$V985)-_xlfn.STDEV.P($E985:$V985))),V985,(SLOPE($E985:$V985,$E$1:$V$1)*W$1+INTERCEPT($E985:$V985,$E$1:$V$1)))</f>
        <v>2268.54859542029</v>
      </c>
      <c r="X985" s="5">
        <f t="shared" si="998"/>
        <v>2411.341305729462</v>
      </c>
      <c r="Y985" s="5">
        <f t="shared" si="998"/>
        <v>2554.1340160386339</v>
      </c>
      <c r="Z985" s="5">
        <f t="shared" si="998"/>
        <v>2696.9267263478059</v>
      </c>
      <c r="AA985" s="5">
        <f t="shared" si="998"/>
        <v>2839.7194366569779</v>
      </c>
      <c r="AB985" s="5">
        <f t="shared" si="998"/>
        <v>2982.5121469661499</v>
      </c>
      <c r="AC985" s="5">
        <f t="shared" si="998"/>
        <v>3125.3048572753214</v>
      </c>
      <c r="AD985" s="5">
        <f t="shared" si="998"/>
        <v>3268.0975675844934</v>
      </c>
      <c r="AE985" s="5">
        <f t="shared" si="998"/>
        <v>3410.8902778936654</v>
      </c>
      <c r="AF985" s="5">
        <f t="shared" si="998"/>
        <v>3553.6829882028374</v>
      </c>
      <c r="AG985" s="5">
        <f t="shared" si="998"/>
        <v>3696.4756985120093</v>
      </c>
      <c r="AH985" s="5">
        <f t="shared" si="998"/>
        <v>3696.4756985120093</v>
      </c>
    </row>
    <row r="986" spans="1:34" x14ac:dyDescent="0.35">
      <c r="A986" t="s">
        <v>1006</v>
      </c>
      <c r="B986" s="3" t="s">
        <v>1264</v>
      </c>
      <c r="C986" s="4" t="s">
        <v>1263</v>
      </c>
      <c r="D986" s="2">
        <f t="shared" si="976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ref="W986:AH986" si="999">IF(OR((SLOPE($E986:$V986,$E$1:$V$1)*W$1+INTERCEPT($E986:$V986,$E$1:$V$1))&gt;(AVERAGE($E986:$V986)+_xlfn.STDEV.P($E986:$V986)),(SLOPE($E986:$V986,$E$1:$V$1)*W$1+INTERCEPT($E986:$V986,$E$1:$V$1))&lt;(AVERAGE($E986:$V986)-_xlfn.STDEV.P($E986:$V986))),V986,(SLOPE($E986:$V986,$E$1:$V$1)*W$1+INTERCEPT($E986:$V986,$E$1:$V$1)))</f>
        <v>544.43998541803967</v>
      </c>
      <c r="X986" s="5">
        <f t="shared" si="999"/>
        <v>506.88871112412494</v>
      </c>
      <c r="Y986" s="5">
        <f t="shared" si="999"/>
        <v>469.33743683021032</v>
      </c>
      <c r="Z986" s="5">
        <f t="shared" si="999"/>
        <v>431.78616253629559</v>
      </c>
      <c r="AA986" s="5">
        <f t="shared" si="999"/>
        <v>394.23488824238086</v>
      </c>
      <c r="AB986" s="5">
        <f t="shared" si="999"/>
        <v>356.68361394846625</v>
      </c>
      <c r="AC986" s="5">
        <f t="shared" si="999"/>
        <v>319.13233965455152</v>
      </c>
      <c r="AD986" s="5">
        <f t="shared" si="999"/>
        <v>281.58106536063679</v>
      </c>
      <c r="AE986" s="5">
        <f t="shared" si="999"/>
        <v>244.02979106672205</v>
      </c>
      <c r="AF986" s="5">
        <f t="shared" si="999"/>
        <v>206.47851677280732</v>
      </c>
      <c r="AG986" s="5">
        <f t="shared" si="999"/>
        <v>168.92724247889282</v>
      </c>
      <c r="AH986" s="5">
        <f t="shared" si="999"/>
        <v>131.37596818497809</v>
      </c>
    </row>
    <row r="987" spans="1:34" x14ac:dyDescent="0.35">
      <c r="A987" t="s">
        <v>1007</v>
      </c>
      <c r="B987" s="3" t="s">
        <v>1264</v>
      </c>
      <c r="C987" s="4" t="s">
        <v>1267</v>
      </c>
      <c r="D987" s="2">
        <f t="shared" si="976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ref="W987:AH987" si="1000">IF(OR((SLOPE($E987:$V987,$E$1:$V$1)*W$1+INTERCEPT($E987:$V987,$E$1:$V$1))&gt;(AVERAGE($E987:$V987)+_xlfn.STDEV.P($E987:$V987)),(SLOPE($E987:$V987,$E$1:$V$1)*W$1+INTERCEPT($E987:$V987,$E$1:$V$1))&lt;(AVERAGE($E987:$V987)-_xlfn.STDEV.P($E987:$V987))),V987,(SLOPE($E987:$V987,$E$1:$V$1)*W$1+INTERCEPT($E987:$V987,$E$1:$V$1)))</f>
        <v>-211.67244339223316</v>
      </c>
      <c r="X987" s="5">
        <f t="shared" si="1000"/>
        <v>-328.64932000373028</v>
      </c>
      <c r="Y987" s="5">
        <f t="shared" si="1000"/>
        <v>-445.62619661522785</v>
      </c>
      <c r="Z987" s="5">
        <f t="shared" si="1000"/>
        <v>-562.60307322672497</v>
      </c>
      <c r="AA987" s="5">
        <f t="shared" si="1000"/>
        <v>-679.57994983822209</v>
      </c>
      <c r="AB987" s="5">
        <f t="shared" si="1000"/>
        <v>-796.55682644971921</v>
      </c>
      <c r="AC987" s="5">
        <f t="shared" si="1000"/>
        <v>-913.53370306121633</v>
      </c>
      <c r="AD987" s="5">
        <f t="shared" si="1000"/>
        <v>-1030.5105796727139</v>
      </c>
      <c r="AE987" s="5">
        <f t="shared" si="1000"/>
        <v>-1147.487456284211</v>
      </c>
      <c r="AF987" s="5">
        <f t="shared" si="1000"/>
        <v>-1264.4643328957081</v>
      </c>
      <c r="AG987" s="5">
        <f t="shared" si="1000"/>
        <v>-1381.4412095072053</v>
      </c>
      <c r="AH987" s="5">
        <f t="shared" si="1000"/>
        <v>-1498.4180861187028</v>
      </c>
    </row>
    <row r="988" spans="1:34" x14ac:dyDescent="0.35">
      <c r="A988" t="s">
        <v>1008</v>
      </c>
      <c r="B988" s="3" t="s">
        <v>1266</v>
      </c>
      <c r="C988" s="4" t="s">
        <v>1266</v>
      </c>
      <c r="D988" s="2">
        <f t="shared" si="976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ref="W988:AH988" si="1001">IF(OR((SLOPE($E988:$V988,$E$1:$V$1)*W$1+INTERCEPT($E988:$V988,$E$1:$V$1))&gt;(AVERAGE($E988:$V988)+_xlfn.STDEV.P($E988:$V988)),(SLOPE($E988:$V988,$E$1:$V$1)*W$1+INTERCEPT($E988:$V988,$E$1:$V$1))&lt;(AVERAGE($E988:$V988)-_xlfn.STDEV.P($E988:$V988))),V988,(SLOPE($E988:$V988,$E$1:$V$1)*W$1+INTERCEPT($E988:$V988,$E$1:$V$1)))</f>
        <v>-209.32287581699347</v>
      </c>
      <c r="X988" s="5">
        <f t="shared" si="1001"/>
        <v>-325.00130718954233</v>
      </c>
      <c r="Y988" s="5">
        <f t="shared" si="1001"/>
        <v>-440.67973856209119</v>
      </c>
      <c r="Z988" s="5">
        <f t="shared" si="1001"/>
        <v>-556.3581699346405</v>
      </c>
      <c r="AA988" s="5">
        <f t="shared" si="1001"/>
        <v>-672.03660130718936</v>
      </c>
      <c r="AB988" s="5">
        <f t="shared" si="1001"/>
        <v>-787.71503267973821</v>
      </c>
      <c r="AC988" s="5">
        <f t="shared" si="1001"/>
        <v>-903.39346405228753</v>
      </c>
      <c r="AD988" s="5">
        <f t="shared" si="1001"/>
        <v>-1019.0718954248364</v>
      </c>
      <c r="AE988" s="5">
        <f t="shared" si="1001"/>
        <v>-1134.7503267973852</v>
      </c>
      <c r="AF988" s="5">
        <f t="shared" si="1001"/>
        <v>-1250.4287581699346</v>
      </c>
      <c r="AG988" s="5">
        <f t="shared" si="1001"/>
        <v>-1366.1071895424834</v>
      </c>
      <c r="AH988" s="5">
        <f t="shared" si="1001"/>
        <v>-1481.7856209150323</v>
      </c>
    </row>
    <row r="989" spans="1:34" x14ac:dyDescent="0.35">
      <c r="A989" t="s">
        <v>1009</v>
      </c>
      <c r="B989" s="3" t="s">
        <v>1266</v>
      </c>
      <c r="C989" s="4" t="s">
        <v>1267</v>
      </c>
      <c r="D989" s="2">
        <f t="shared" si="976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ref="W989:AH989" si="1002">IF(OR((SLOPE($E989:$V989,$E$1:$V$1)*W$1+INTERCEPT($E989:$V989,$E$1:$V$1))&gt;(AVERAGE($E989:$V989)+_xlfn.STDEV.P($E989:$V989)),(SLOPE($E989:$V989,$E$1:$V$1)*W$1+INTERCEPT($E989:$V989,$E$1:$V$1))&lt;(AVERAGE($E989:$V989)-_xlfn.STDEV.P($E989:$V989))),V989,(SLOPE($E989:$V989,$E$1:$V$1)*W$1+INTERCEPT($E989:$V989,$E$1:$V$1)))</f>
        <v>725.13124226840318</v>
      </c>
      <c r="X989" s="5">
        <f t="shared" si="1002"/>
        <v>708.77489845783771</v>
      </c>
      <c r="Y989" s="5">
        <f t="shared" si="1002"/>
        <v>692.41855464727223</v>
      </c>
      <c r="Z989" s="5">
        <f t="shared" si="1002"/>
        <v>676.06221083670664</v>
      </c>
      <c r="AA989" s="5">
        <f t="shared" si="1002"/>
        <v>659.70586702614116</v>
      </c>
      <c r="AB989" s="5">
        <f t="shared" si="1002"/>
        <v>643.34952321557569</v>
      </c>
      <c r="AC989" s="5">
        <f t="shared" si="1002"/>
        <v>626.99317940501021</v>
      </c>
      <c r="AD989" s="5">
        <f t="shared" si="1002"/>
        <v>610.63683559444473</v>
      </c>
      <c r="AE989" s="5">
        <f t="shared" si="1002"/>
        <v>594.28049178387914</v>
      </c>
      <c r="AF989" s="5">
        <f t="shared" si="1002"/>
        <v>577.92414797331367</v>
      </c>
      <c r="AG989" s="5">
        <f t="shared" si="1002"/>
        <v>561.56780416274819</v>
      </c>
      <c r="AH989" s="5">
        <f t="shared" si="1002"/>
        <v>545.21146035218271</v>
      </c>
    </row>
    <row r="990" spans="1:34" x14ac:dyDescent="0.35">
      <c r="A990" t="s">
        <v>1010</v>
      </c>
      <c r="B990" s="3" t="s">
        <v>1266</v>
      </c>
      <c r="C990" s="4" t="s">
        <v>1267</v>
      </c>
      <c r="D990" s="2">
        <f t="shared" si="976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ref="W990:AH990" si="1003">IF(OR((SLOPE($E990:$V990,$E$1:$V$1)*W$1+INTERCEPT($E990:$V990,$E$1:$V$1))&gt;(AVERAGE($E990:$V990)+_xlfn.STDEV.P($E990:$V990)),(SLOPE($E990:$V990,$E$1:$V$1)*W$1+INTERCEPT($E990:$V990,$E$1:$V$1))&lt;(AVERAGE($E990:$V990)-_xlfn.STDEV.P($E990:$V990))),V990,(SLOPE($E990:$V990,$E$1:$V$1)*W$1+INTERCEPT($E990:$V990,$E$1:$V$1)))</f>
        <v>3187.5899264574373</v>
      </c>
      <c r="X990" s="5">
        <f t="shared" si="1003"/>
        <v>3431.1239615857639</v>
      </c>
      <c r="Y990" s="5">
        <f t="shared" si="1003"/>
        <v>3674.6579967140906</v>
      </c>
      <c r="Z990" s="5">
        <f t="shared" si="1003"/>
        <v>3918.1920318424181</v>
      </c>
      <c r="AA990" s="5">
        <f t="shared" si="1003"/>
        <v>4161.7260669707457</v>
      </c>
      <c r="AB990" s="5">
        <f t="shared" si="1003"/>
        <v>4405.2601020990724</v>
      </c>
      <c r="AC990" s="5">
        <f t="shared" si="1003"/>
        <v>4405.2601020990724</v>
      </c>
      <c r="AD990" s="5">
        <f t="shared" si="1003"/>
        <v>4405.2601020990724</v>
      </c>
      <c r="AE990" s="5">
        <f t="shared" si="1003"/>
        <v>4405.2601020990724</v>
      </c>
      <c r="AF990" s="5">
        <f t="shared" si="1003"/>
        <v>4405.2601020990724</v>
      </c>
      <c r="AG990" s="5">
        <f t="shared" si="1003"/>
        <v>4405.2601020990724</v>
      </c>
      <c r="AH990" s="5">
        <f t="shared" si="1003"/>
        <v>4405.2601020990724</v>
      </c>
    </row>
    <row r="991" spans="1:34" x14ac:dyDescent="0.35">
      <c r="A991" t="s">
        <v>1011</v>
      </c>
      <c r="B991" s="3" t="s">
        <v>1266</v>
      </c>
      <c r="C991" s="4" t="s">
        <v>1267</v>
      </c>
      <c r="D991" s="2">
        <f t="shared" si="976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ref="W991:AH991" si="1004">IF(OR((SLOPE($E991:$V991,$E$1:$V$1)*W$1+INTERCEPT($E991:$V991,$E$1:$V$1))&gt;(AVERAGE($E991:$V991)+_xlfn.STDEV.P($E991:$V991)),(SLOPE($E991:$V991,$E$1:$V$1)*W$1+INTERCEPT($E991:$V991,$E$1:$V$1))&lt;(AVERAGE($E991:$V991)-_xlfn.STDEV.P($E991:$V991))),V991,(SLOPE($E991:$V991,$E$1:$V$1)*W$1+INTERCEPT($E991:$V991,$E$1:$V$1)))</f>
        <v>-1128.9563328121735</v>
      </c>
      <c r="X991" s="5">
        <f t="shared" si="1004"/>
        <v>-1339.6228255378896</v>
      </c>
      <c r="Y991" s="5">
        <f t="shared" si="1004"/>
        <v>-1550.2893182636067</v>
      </c>
      <c r="Z991" s="5">
        <f t="shared" si="1004"/>
        <v>-1760.9558109893228</v>
      </c>
      <c r="AA991" s="5">
        <f t="shared" si="1004"/>
        <v>-1971.6223037150398</v>
      </c>
      <c r="AB991" s="5">
        <f t="shared" si="1004"/>
        <v>-2182.288796440756</v>
      </c>
      <c r="AC991" s="5">
        <f t="shared" si="1004"/>
        <v>-2392.955289166473</v>
      </c>
      <c r="AD991" s="5">
        <f t="shared" si="1004"/>
        <v>-2603.6217818921891</v>
      </c>
      <c r="AE991" s="5">
        <f t="shared" si="1004"/>
        <v>-2603.6217818921891</v>
      </c>
      <c r="AF991" s="5">
        <f t="shared" si="1004"/>
        <v>-2603.6217818921891</v>
      </c>
      <c r="AG991" s="5">
        <f t="shared" si="1004"/>
        <v>-2603.6217818921891</v>
      </c>
      <c r="AH991" s="5">
        <f t="shared" si="1004"/>
        <v>-2603.6217818921891</v>
      </c>
    </row>
    <row r="992" spans="1:34" x14ac:dyDescent="0.35">
      <c r="A992" t="s">
        <v>1012</v>
      </c>
      <c r="B992" s="3" t="s">
        <v>1266</v>
      </c>
      <c r="C992" s="4" t="s">
        <v>1267</v>
      </c>
      <c r="D992" s="2">
        <f t="shared" si="976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ref="W992:AH992" si="1005">IF(OR((SLOPE($E992:$V992,$E$1:$V$1)*W$1+INTERCEPT($E992:$V992,$E$1:$V$1))&gt;(AVERAGE($E992:$V992)+_xlfn.STDEV.P($E992:$V992)),(SLOPE($E992:$V992,$E$1:$V$1)*W$1+INTERCEPT($E992:$V992,$E$1:$V$1))&lt;(AVERAGE($E992:$V992)-_xlfn.STDEV.P($E992:$V992))),V992,(SLOPE($E992:$V992,$E$1:$V$1)*W$1+INTERCEPT($E992:$V992,$E$1:$V$1)))</f>
        <v>2560.8826253898983</v>
      </c>
      <c r="X992" s="5">
        <f t="shared" si="1005"/>
        <v>2738.7965762064596</v>
      </c>
      <c r="Y992" s="5">
        <f t="shared" si="1005"/>
        <v>2916.7105270230209</v>
      </c>
      <c r="Z992" s="5">
        <f t="shared" si="1005"/>
        <v>3094.6244778395821</v>
      </c>
      <c r="AA992" s="5">
        <f t="shared" si="1005"/>
        <v>3272.5384286561434</v>
      </c>
      <c r="AB992" s="5">
        <f t="shared" si="1005"/>
        <v>3450.4523794727047</v>
      </c>
      <c r="AC992" s="5">
        <f t="shared" si="1005"/>
        <v>3628.3663302892664</v>
      </c>
      <c r="AD992" s="5">
        <f t="shared" si="1005"/>
        <v>3806.2802811058273</v>
      </c>
      <c r="AE992" s="5">
        <f t="shared" si="1005"/>
        <v>3984.194231922389</v>
      </c>
      <c r="AF992" s="5">
        <f t="shared" si="1005"/>
        <v>4162.1081827389507</v>
      </c>
      <c r="AG992" s="5">
        <f t="shared" si="1005"/>
        <v>4340.0221335555116</v>
      </c>
      <c r="AH992" s="5">
        <f t="shared" si="1005"/>
        <v>4340.0221335555116</v>
      </c>
    </row>
    <row r="993" spans="1:34" x14ac:dyDescent="0.35">
      <c r="A993" t="s">
        <v>1013</v>
      </c>
      <c r="B993" s="3" t="s">
        <v>1266</v>
      </c>
      <c r="C993" s="4" t="s">
        <v>1263</v>
      </c>
      <c r="D993" s="2">
        <f t="shared" si="976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ref="W993:AH993" si="1006">IF(OR((SLOPE($E993:$V993,$E$1:$V$1)*W$1+INTERCEPT($E993:$V993,$E$1:$V$1))&gt;(AVERAGE($E993:$V993)+_xlfn.STDEV.P($E993:$V993)),(SLOPE($E993:$V993,$E$1:$V$1)*W$1+INTERCEPT($E993:$V993,$E$1:$V$1))&lt;(AVERAGE($E993:$V993)-_xlfn.STDEV.P($E993:$V993))),V993,(SLOPE($E993:$V993,$E$1:$V$1)*W$1+INTERCEPT($E993:$V993,$E$1:$V$1)))</f>
        <v>0</v>
      </c>
      <c r="X993" s="5">
        <f t="shared" si="1006"/>
        <v>0</v>
      </c>
      <c r="Y993" s="5">
        <f t="shared" si="1006"/>
        <v>0</v>
      </c>
      <c r="Z993" s="5">
        <f t="shared" si="1006"/>
        <v>0</v>
      </c>
      <c r="AA993" s="5">
        <f t="shared" si="1006"/>
        <v>0</v>
      </c>
      <c r="AB993" s="5">
        <f t="shared" si="1006"/>
        <v>0</v>
      </c>
      <c r="AC993" s="5">
        <f t="shared" si="1006"/>
        <v>0</v>
      </c>
      <c r="AD993" s="5">
        <f t="shared" si="1006"/>
        <v>0</v>
      </c>
      <c r="AE993" s="5">
        <f t="shared" si="1006"/>
        <v>0</v>
      </c>
      <c r="AF993" s="5">
        <f t="shared" si="1006"/>
        <v>0</v>
      </c>
      <c r="AG993" s="5">
        <f t="shared" si="1006"/>
        <v>0</v>
      </c>
      <c r="AH993" s="5">
        <f t="shared" si="1006"/>
        <v>0</v>
      </c>
    </row>
    <row r="994" spans="1:34" x14ac:dyDescent="0.35">
      <c r="A994" t="s">
        <v>1014</v>
      </c>
      <c r="B994" s="3" t="s">
        <v>1266</v>
      </c>
      <c r="C994" s="4" t="s">
        <v>1267</v>
      </c>
      <c r="D994" s="2">
        <f t="shared" si="976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ref="W994:AH994" si="1007">IF(OR((SLOPE($E994:$V994,$E$1:$V$1)*W$1+INTERCEPT($E994:$V994,$E$1:$V$1))&gt;(AVERAGE($E994:$V994)+_xlfn.STDEV.P($E994:$V994)),(SLOPE($E994:$V994,$E$1:$V$1)*W$1+INTERCEPT($E994:$V994,$E$1:$V$1))&lt;(AVERAGE($E994:$V994)-_xlfn.STDEV.P($E994:$V994))),V994,(SLOPE($E994:$V994,$E$1:$V$1)*W$1+INTERCEPT($E994:$V994,$E$1:$V$1)))</f>
        <v>-1570.3393073986922</v>
      </c>
      <c r="X994" s="5">
        <f t="shared" si="1007"/>
        <v>-1570.3393073986922</v>
      </c>
      <c r="Y994" s="5">
        <f t="shared" si="1007"/>
        <v>-1570.3393073986922</v>
      </c>
      <c r="Z994" s="5">
        <f t="shared" si="1007"/>
        <v>-1570.3393073986922</v>
      </c>
      <c r="AA994" s="5">
        <f t="shared" si="1007"/>
        <v>-1570.3393073986922</v>
      </c>
      <c r="AB994" s="5">
        <f t="shared" si="1007"/>
        <v>-1570.3393073986922</v>
      </c>
      <c r="AC994" s="5">
        <f t="shared" si="1007"/>
        <v>-1570.3393073986922</v>
      </c>
      <c r="AD994" s="5">
        <f t="shared" si="1007"/>
        <v>-1570.3393073986922</v>
      </c>
      <c r="AE994" s="5">
        <f t="shared" si="1007"/>
        <v>-1570.3393073986922</v>
      </c>
      <c r="AF994" s="5">
        <f t="shared" si="1007"/>
        <v>-1570.3393073986922</v>
      </c>
      <c r="AG994" s="5">
        <f t="shared" si="1007"/>
        <v>-1570.3393073986922</v>
      </c>
      <c r="AH994" s="5">
        <f t="shared" si="1007"/>
        <v>-1570.3393073986922</v>
      </c>
    </row>
    <row r="995" spans="1:34" x14ac:dyDescent="0.35">
      <c r="A995" t="s">
        <v>1015</v>
      </c>
      <c r="B995" s="3" t="s">
        <v>1264</v>
      </c>
      <c r="C995" s="4" t="s">
        <v>1263</v>
      </c>
      <c r="D995" s="2">
        <f t="shared" si="976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ref="W995:AH995" si="1008">IF(OR((SLOPE($E995:$V995,$E$1:$V$1)*W$1+INTERCEPT($E995:$V995,$E$1:$V$1))&gt;(AVERAGE($E995:$V995)+_xlfn.STDEV.P($E995:$V995)),(SLOPE($E995:$V995,$E$1:$V$1)*W$1+INTERCEPT($E995:$V995,$E$1:$V$1))&lt;(AVERAGE($E995:$V995)-_xlfn.STDEV.P($E995:$V995))),V995,(SLOPE($E995:$V995,$E$1:$V$1)*W$1+INTERCEPT($E995:$V995,$E$1:$V$1)))</f>
        <v>444.52799999999979</v>
      </c>
      <c r="X995" s="5">
        <f t="shared" si="1008"/>
        <v>402.21263157894714</v>
      </c>
      <c r="Y995" s="5">
        <f t="shared" si="1008"/>
        <v>359.8972631578946</v>
      </c>
      <c r="Z995" s="5">
        <f t="shared" si="1008"/>
        <v>317.58189473684195</v>
      </c>
      <c r="AA995" s="5">
        <f t="shared" si="1008"/>
        <v>275.26652631578929</v>
      </c>
      <c r="AB995" s="5">
        <f t="shared" si="1008"/>
        <v>232.95115789473664</v>
      </c>
      <c r="AC995" s="5">
        <f t="shared" si="1008"/>
        <v>190.6357894736841</v>
      </c>
      <c r="AD995" s="5">
        <f t="shared" si="1008"/>
        <v>148.32042105263145</v>
      </c>
      <c r="AE995" s="5">
        <f t="shared" si="1008"/>
        <v>148.32042105263145</v>
      </c>
      <c r="AF995" s="5">
        <f t="shared" si="1008"/>
        <v>148.32042105263145</v>
      </c>
      <c r="AG995" s="5">
        <f t="shared" si="1008"/>
        <v>148.32042105263145</v>
      </c>
      <c r="AH995" s="5">
        <f t="shared" si="1008"/>
        <v>148.32042105263145</v>
      </c>
    </row>
    <row r="996" spans="1:34" x14ac:dyDescent="0.35">
      <c r="A996" t="s">
        <v>1016</v>
      </c>
      <c r="B996" s="3" t="s">
        <v>1266</v>
      </c>
      <c r="C996" s="4" t="s">
        <v>1263</v>
      </c>
      <c r="D996" s="2">
        <f t="shared" si="976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ref="W996:AH996" si="1009">IF(OR((SLOPE($E996:$V996,$E$1:$V$1)*W$1+INTERCEPT($E996:$V996,$E$1:$V$1))&gt;(AVERAGE($E996:$V996)+_xlfn.STDEV.P($E996:$V996)),(SLOPE($E996:$V996,$E$1:$V$1)*W$1+INTERCEPT($E996:$V996,$E$1:$V$1))&lt;(AVERAGE($E996:$V996)-_xlfn.STDEV.P($E996:$V996))),V996,(SLOPE($E996:$V996,$E$1:$V$1)*W$1+INTERCEPT($E996:$V996,$E$1:$V$1)))</f>
        <v>-156.25495530555554</v>
      </c>
      <c r="X996" s="5">
        <f t="shared" si="1009"/>
        <v>-260.01764442274862</v>
      </c>
      <c r="Y996" s="5">
        <f t="shared" si="1009"/>
        <v>-363.78033353994124</v>
      </c>
      <c r="Z996" s="5">
        <f t="shared" si="1009"/>
        <v>-467.54302265713432</v>
      </c>
      <c r="AA996" s="5">
        <f t="shared" si="1009"/>
        <v>-571.30571177432739</v>
      </c>
      <c r="AB996" s="5">
        <f t="shared" si="1009"/>
        <v>-675.06840089152047</v>
      </c>
      <c r="AC996" s="5">
        <f t="shared" si="1009"/>
        <v>-778.83109000871355</v>
      </c>
      <c r="AD996" s="5">
        <f t="shared" si="1009"/>
        <v>-778.83109000871355</v>
      </c>
      <c r="AE996" s="5">
        <f t="shared" si="1009"/>
        <v>-778.83109000871355</v>
      </c>
      <c r="AF996" s="5">
        <f t="shared" si="1009"/>
        <v>-778.83109000871355</v>
      </c>
      <c r="AG996" s="5">
        <f t="shared" si="1009"/>
        <v>-778.83109000871355</v>
      </c>
      <c r="AH996" s="5">
        <f t="shared" si="1009"/>
        <v>-778.83109000871355</v>
      </c>
    </row>
    <row r="997" spans="1:34" x14ac:dyDescent="0.35">
      <c r="A997" t="s">
        <v>1017</v>
      </c>
      <c r="B997" s="3" t="s">
        <v>1266</v>
      </c>
      <c r="C997" s="4" t="s">
        <v>1268</v>
      </c>
      <c r="D997" s="2">
        <f t="shared" si="976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H997" si="1010">IF(OR((SLOPE($E997:$V997,$E$1:$V$1)*W$1+INTERCEPT($E997:$V997,$E$1:$V$1))&gt;(AVERAGE($E997:$V997)+_xlfn.STDEV.P($E997:$V997)),(SLOPE($E997:$V997,$E$1:$V$1)*W$1+INTERCEPT($E997:$V997,$E$1:$V$1))&lt;(AVERAGE($E997:$V997)-_xlfn.STDEV.P($E997:$V997))),V997,(SLOPE($E997:$V997,$E$1:$V$1)*W$1+INTERCEPT($E997:$V997,$E$1:$V$1)))</f>
        <v>2301.4472118586955</v>
      </c>
      <c r="X997" s="5">
        <f t="shared" si="1010"/>
        <v>2457.5157163153713</v>
      </c>
      <c r="Y997" s="5">
        <f t="shared" si="1010"/>
        <v>2613.5842207720475</v>
      </c>
      <c r="Z997" s="5">
        <f t="shared" si="1010"/>
        <v>2613.5842207720475</v>
      </c>
      <c r="AA997" s="5">
        <f t="shared" si="1010"/>
        <v>2613.5842207720475</v>
      </c>
      <c r="AB997" s="5">
        <f t="shared" si="1010"/>
        <v>2613.5842207720475</v>
      </c>
      <c r="AC997" s="5">
        <f t="shared" si="1010"/>
        <v>2613.5842207720475</v>
      </c>
      <c r="AD997" s="5">
        <f t="shared" si="1010"/>
        <v>2613.5842207720475</v>
      </c>
      <c r="AE997" s="5">
        <f t="shared" si="1010"/>
        <v>2613.5842207720475</v>
      </c>
      <c r="AF997" s="5">
        <f t="shared" si="1010"/>
        <v>2613.5842207720475</v>
      </c>
      <c r="AG997" s="5">
        <f t="shared" si="1010"/>
        <v>2613.5842207720475</v>
      </c>
      <c r="AH997" s="5">
        <f t="shared" si="1010"/>
        <v>2613.5842207720475</v>
      </c>
    </row>
    <row r="998" spans="1:34" x14ac:dyDescent="0.35">
      <c r="A998" t="s">
        <v>1018</v>
      </c>
      <c r="B998" s="3" t="s">
        <v>1266</v>
      </c>
      <c r="C998" s="4" t="s">
        <v>1268</v>
      </c>
      <c r="D998" s="2">
        <f t="shared" si="976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ref="W998:AH998" si="1011">IF(OR((SLOPE($E998:$V998,$E$1:$V$1)*W$1+INTERCEPT($E998:$V998,$E$1:$V$1))&gt;(AVERAGE($E998:$V998)+_xlfn.STDEV.P($E998:$V998)),(SLOPE($E998:$V998,$E$1:$V$1)*W$1+INTERCEPT($E998:$V998,$E$1:$V$1))&lt;(AVERAGE($E998:$V998)-_xlfn.STDEV.P($E998:$V998))),V998,(SLOPE($E998:$V998,$E$1:$V$1)*W$1+INTERCEPT($E998:$V998,$E$1:$V$1)))</f>
        <v>1088.3536679738559</v>
      </c>
      <c r="X998" s="5">
        <f t="shared" si="1011"/>
        <v>1117.0676072927413</v>
      </c>
      <c r="Y998" s="5">
        <f t="shared" si="1011"/>
        <v>1145.7815466116267</v>
      </c>
      <c r="Z998" s="5">
        <f t="shared" si="1011"/>
        <v>1174.4954859305121</v>
      </c>
      <c r="AA998" s="5">
        <f t="shared" si="1011"/>
        <v>1203.2094252493976</v>
      </c>
      <c r="AB998" s="5">
        <f t="shared" si="1011"/>
        <v>1231.923364568283</v>
      </c>
      <c r="AC998" s="5">
        <f t="shared" si="1011"/>
        <v>1260.6373038871686</v>
      </c>
      <c r="AD998" s="5">
        <f t="shared" si="1011"/>
        <v>1289.3512432060541</v>
      </c>
      <c r="AE998" s="5">
        <f t="shared" si="1011"/>
        <v>1318.0651825249395</v>
      </c>
      <c r="AF998" s="5">
        <f t="shared" si="1011"/>
        <v>1346.7791218438249</v>
      </c>
      <c r="AG998" s="5">
        <f t="shared" si="1011"/>
        <v>1375.4930611627103</v>
      </c>
      <c r="AH998" s="5">
        <f t="shared" si="1011"/>
        <v>1404.207000481596</v>
      </c>
    </row>
    <row r="999" spans="1:34" x14ac:dyDescent="0.35">
      <c r="A999" t="s">
        <v>1019</v>
      </c>
      <c r="B999" s="3" t="s">
        <v>1264</v>
      </c>
      <c r="C999" s="4" t="s">
        <v>1263</v>
      </c>
      <c r="D999" s="2">
        <f t="shared" si="976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ref="W999:AH999" si="1012">IF(OR((SLOPE($E999:$V999,$E$1:$V$1)*W$1+INTERCEPT($E999:$V999,$E$1:$V$1))&gt;(AVERAGE($E999:$V999)+_xlfn.STDEV.P($E999:$V999)),(SLOPE($E999:$V999,$E$1:$V$1)*W$1+INTERCEPT($E999:$V999,$E$1:$V$1))&lt;(AVERAGE($E999:$V999)-_xlfn.STDEV.P($E999:$V999))),V999,(SLOPE($E999:$V999,$E$1:$V$1)*W$1+INTERCEPT($E999:$V999,$E$1:$V$1)))</f>
        <v>1706.1582620815534</v>
      </c>
      <c r="X999" s="5">
        <f t="shared" si="1012"/>
        <v>1801.1798912300528</v>
      </c>
      <c r="Y999" s="5">
        <f t="shared" si="1012"/>
        <v>1896.2015203785522</v>
      </c>
      <c r="Z999" s="5">
        <f t="shared" si="1012"/>
        <v>1991.2231495270521</v>
      </c>
      <c r="AA999" s="5">
        <f t="shared" si="1012"/>
        <v>2086.2447786755515</v>
      </c>
      <c r="AB999" s="5">
        <f t="shared" si="1012"/>
        <v>2181.2664078240509</v>
      </c>
      <c r="AC999" s="5">
        <f t="shared" si="1012"/>
        <v>2181.2664078240509</v>
      </c>
      <c r="AD999" s="5">
        <f t="shared" si="1012"/>
        <v>2181.2664078240509</v>
      </c>
      <c r="AE999" s="5">
        <f t="shared" si="1012"/>
        <v>2181.2664078240509</v>
      </c>
      <c r="AF999" s="5">
        <f t="shared" si="1012"/>
        <v>2181.2664078240509</v>
      </c>
      <c r="AG999" s="5">
        <f t="shared" si="1012"/>
        <v>2181.2664078240509</v>
      </c>
      <c r="AH999" s="5">
        <f t="shared" si="1012"/>
        <v>2181.2664078240509</v>
      </c>
    </row>
    <row r="1000" spans="1:34" x14ac:dyDescent="0.35">
      <c r="A1000" t="s">
        <v>1020</v>
      </c>
      <c r="B1000" s="3" t="s">
        <v>1266</v>
      </c>
      <c r="C1000" s="4" t="s">
        <v>1263</v>
      </c>
      <c r="D1000" s="2">
        <f t="shared" si="976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ref="W1000:AH1000" si="1013">IF(OR((SLOPE($E1000:$V1000,$E$1:$V$1)*W$1+INTERCEPT($E1000:$V1000,$E$1:$V$1))&gt;(AVERAGE($E1000:$V1000)+_xlfn.STDEV.P($E1000:$V1000)),(SLOPE($E1000:$V1000,$E$1:$V$1)*W$1+INTERCEPT($E1000:$V1000,$E$1:$V$1))&lt;(AVERAGE($E1000:$V1000)-_xlfn.STDEV.P($E1000:$V1000))),V1000,(SLOPE($E1000:$V1000,$E$1:$V$1)*W$1+INTERCEPT($E1000:$V1000,$E$1:$V$1)))</f>
        <v>1522.772497801604</v>
      </c>
      <c r="X1000" s="5">
        <f t="shared" si="1013"/>
        <v>1597.9092986799728</v>
      </c>
      <c r="Y1000" s="5">
        <f t="shared" si="1013"/>
        <v>1673.0460995583417</v>
      </c>
      <c r="Z1000" s="5">
        <f t="shared" si="1013"/>
        <v>1748.18290043671</v>
      </c>
      <c r="AA1000" s="5">
        <f t="shared" si="1013"/>
        <v>1823.3197013150789</v>
      </c>
      <c r="AB1000" s="5">
        <f t="shared" si="1013"/>
        <v>1898.4565021934472</v>
      </c>
      <c r="AC1000" s="5">
        <f t="shared" si="1013"/>
        <v>1973.5933030718161</v>
      </c>
      <c r="AD1000" s="5">
        <f t="shared" si="1013"/>
        <v>2048.7301039501845</v>
      </c>
      <c r="AE1000" s="5">
        <f t="shared" si="1013"/>
        <v>2123.8669048285533</v>
      </c>
      <c r="AF1000" s="5">
        <f t="shared" si="1013"/>
        <v>2199.0037057069221</v>
      </c>
      <c r="AG1000" s="5">
        <f t="shared" si="1013"/>
        <v>2274.1405065852905</v>
      </c>
      <c r="AH1000" s="5">
        <f t="shared" si="1013"/>
        <v>2349.2773074636593</v>
      </c>
    </row>
    <row r="1001" spans="1:34" x14ac:dyDescent="0.35">
      <c r="A1001" t="s">
        <v>1021</v>
      </c>
      <c r="B1001" s="3" t="s">
        <v>1264</v>
      </c>
      <c r="C1001" s="4" t="s">
        <v>1263</v>
      </c>
      <c r="D1001" s="2">
        <f t="shared" si="976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ref="W1001:AH1001" si="1014">IF(OR((SLOPE($E1001:$V1001,$E$1:$V$1)*W$1+INTERCEPT($E1001:$V1001,$E$1:$V$1))&gt;(AVERAGE($E1001:$V1001)+_xlfn.STDEV.P($E1001:$V1001)),(SLOPE($E1001:$V1001,$E$1:$V$1)*W$1+INTERCEPT($E1001:$V1001,$E$1:$V$1))&lt;(AVERAGE($E1001:$V1001)-_xlfn.STDEV.P($E1001:$V1001))),V1001,(SLOPE($E1001:$V1001,$E$1:$V$1)*W$1+INTERCEPT($E1001:$V1001,$E$1:$V$1)))</f>
        <v>2396.2625201167766</v>
      </c>
      <c r="X1001" s="5">
        <f t="shared" si="1014"/>
        <v>2565.1804357944766</v>
      </c>
      <c r="Y1001" s="5">
        <f t="shared" si="1014"/>
        <v>2734.0983514721765</v>
      </c>
      <c r="Z1001" s="5">
        <f t="shared" si="1014"/>
        <v>2734.0983514721765</v>
      </c>
      <c r="AA1001" s="5">
        <f t="shared" si="1014"/>
        <v>2734.0983514721765</v>
      </c>
      <c r="AB1001" s="5">
        <f t="shared" si="1014"/>
        <v>2734.0983514721765</v>
      </c>
      <c r="AC1001" s="5">
        <f t="shared" si="1014"/>
        <v>2734.0983514721765</v>
      </c>
      <c r="AD1001" s="5">
        <f t="shared" si="1014"/>
        <v>2734.0983514721765</v>
      </c>
      <c r="AE1001" s="5">
        <f t="shared" si="1014"/>
        <v>2734.0983514721765</v>
      </c>
      <c r="AF1001" s="5">
        <f t="shared" si="1014"/>
        <v>2734.0983514721765</v>
      </c>
      <c r="AG1001" s="5">
        <f t="shared" si="1014"/>
        <v>2734.0983514721765</v>
      </c>
      <c r="AH1001" s="5">
        <f t="shared" si="1014"/>
        <v>2734.0983514721765</v>
      </c>
    </row>
    <row r="1002" spans="1:34" x14ac:dyDescent="0.35">
      <c r="A1002" t="s">
        <v>1022</v>
      </c>
      <c r="B1002" s="3" t="s">
        <v>1264</v>
      </c>
      <c r="C1002" s="4" t="s">
        <v>1263</v>
      </c>
      <c r="D1002" s="2">
        <f t="shared" si="976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ref="W1002:AH1002" si="1015">IF(OR((SLOPE($E1002:$V1002,$E$1:$V$1)*W$1+INTERCEPT($E1002:$V1002,$E$1:$V$1))&gt;(AVERAGE($E1002:$V1002)+_xlfn.STDEV.P($E1002:$V1002)),(SLOPE($E1002:$V1002,$E$1:$V$1)*W$1+INTERCEPT($E1002:$V1002,$E$1:$V$1))&lt;(AVERAGE($E1002:$V1002)-_xlfn.STDEV.P($E1002:$V1002))),V1002,(SLOPE($E1002:$V1002,$E$1:$V$1)*W$1+INTERCEPT($E1002:$V1002,$E$1:$V$1)))</f>
        <v>0</v>
      </c>
      <c r="X1002" s="5">
        <f t="shared" si="1015"/>
        <v>0</v>
      </c>
      <c r="Y1002" s="5">
        <f t="shared" si="1015"/>
        <v>0</v>
      </c>
      <c r="Z1002" s="5">
        <f t="shared" si="1015"/>
        <v>0</v>
      </c>
      <c r="AA1002" s="5">
        <f t="shared" si="1015"/>
        <v>0</v>
      </c>
      <c r="AB1002" s="5">
        <f t="shared" si="1015"/>
        <v>0</v>
      </c>
      <c r="AC1002" s="5">
        <f t="shared" si="1015"/>
        <v>0</v>
      </c>
      <c r="AD1002" s="5">
        <f t="shared" si="1015"/>
        <v>0</v>
      </c>
      <c r="AE1002" s="5">
        <f t="shared" si="1015"/>
        <v>0</v>
      </c>
      <c r="AF1002" s="5">
        <f t="shared" si="1015"/>
        <v>0</v>
      </c>
      <c r="AG1002" s="5">
        <f t="shared" si="1015"/>
        <v>0</v>
      </c>
      <c r="AH1002" s="5">
        <f t="shared" si="1015"/>
        <v>0</v>
      </c>
    </row>
    <row r="1003" spans="1:34" x14ac:dyDescent="0.35">
      <c r="A1003" t="s">
        <v>1023</v>
      </c>
      <c r="B1003" s="3" t="s">
        <v>1264</v>
      </c>
      <c r="C1003" s="4" t="s">
        <v>1268</v>
      </c>
      <c r="D1003" s="2">
        <f t="shared" si="976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ref="W1003:AH1003" si="1016">IF(OR((SLOPE($E1003:$V1003,$E$1:$V$1)*W$1+INTERCEPT($E1003:$V1003,$E$1:$V$1))&gt;(AVERAGE($E1003:$V1003)+_xlfn.STDEV.P($E1003:$V1003)),(SLOPE($E1003:$V1003,$E$1:$V$1)*W$1+INTERCEPT($E1003:$V1003,$E$1:$V$1))&lt;(AVERAGE($E1003:$V1003)-_xlfn.STDEV.P($E1003:$V1003))),V1003,(SLOPE($E1003:$V1003,$E$1:$V$1)*W$1+INTERCEPT($E1003:$V1003,$E$1:$V$1)))</f>
        <v>2872.009551489391</v>
      </c>
      <c r="X1003" s="5">
        <f t="shared" si="1016"/>
        <v>3091.4330316541154</v>
      </c>
      <c r="Y1003" s="5">
        <f t="shared" si="1016"/>
        <v>3310.8565118188399</v>
      </c>
      <c r="Z1003" s="5">
        <f t="shared" si="1016"/>
        <v>3530.2799919835643</v>
      </c>
      <c r="AA1003" s="5">
        <f t="shared" si="1016"/>
        <v>3749.7034721482878</v>
      </c>
      <c r="AB1003" s="5">
        <f t="shared" si="1016"/>
        <v>3969.1269523130122</v>
      </c>
      <c r="AC1003" s="5">
        <f t="shared" si="1016"/>
        <v>3969.1269523130122</v>
      </c>
      <c r="AD1003" s="5">
        <f t="shared" si="1016"/>
        <v>3969.1269523130122</v>
      </c>
      <c r="AE1003" s="5">
        <f t="shared" si="1016"/>
        <v>3969.1269523130122</v>
      </c>
      <c r="AF1003" s="5">
        <f t="shared" si="1016"/>
        <v>3969.1269523130122</v>
      </c>
      <c r="AG1003" s="5">
        <f t="shared" si="1016"/>
        <v>3969.1269523130122</v>
      </c>
      <c r="AH1003" s="5">
        <f t="shared" si="1016"/>
        <v>3969.1269523130122</v>
      </c>
    </row>
    <row r="1004" spans="1:34" x14ac:dyDescent="0.35">
      <c r="A1004" t="s">
        <v>1024</v>
      </c>
      <c r="B1004" s="3" t="s">
        <v>1265</v>
      </c>
      <c r="C1004" s="4" t="s">
        <v>1263</v>
      </c>
      <c r="D1004" s="2">
        <f t="shared" si="976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ref="W1004:AH1004" si="1017">IF(OR((SLOPE($E1004:$V1004,$E$1:$V$1)*W$1+INTERCEPT($E1004:$V1004,$E$1:$V$1))&gt;(AVERAGE($E1004:$V1004)+_xlfn.STDEV.P($E1004:$V1004)),(SLOPE($E1004:$V1004,$E$1:$V$1)*W$1+INTERCEPT($E1004:$V1004,$E$1:$V$1))&lt;(AVERAGE($E1004:$V1004)-_xlfn.STDEV.P($E1004:$V1004))),V1004,(SLOPE($E1004:$V1004,$E$1:$V$1)*W$1+INTERCEPT($E1004:$V1004,$E$1:$V$1)))</f>
        <v>2939.6863999999991</v>
      </c>
      <c r="X1004" s="5">
        <f t="shared" si="1017"/>
        <v>3166.4439578947363</v>
      </c>
      <c r="Y1004" s="5">
        <f t="shared" si="1017"/>
        <v>3166.4439578947363</v>
      </c>
      <c r="Z1004" s="5">
        <f t="shared" si="1017"/>
        <v>3166.4439578947363</v>
      </c>
      <c r="AA1004" s="5">
        <f t="shared" si="1017"/>
        <v>3166.4439578947363</v>
      </c>
      <c r="AB1004" s="5">
        <f t="shared" si="1017"/>
        <v>3166.4439578947363</v>
      </c>
      <c r="AC1004" s="5">
        <f t="shared" si="1017"/>
        <v>3166.4439578947363</v>
      </c>
      <c r="AD1004" s="5">
        <f t="shared" si="1017"/>
        <v>3166.4439578947363</v>
      </c>
      <c r="AE1004" s="5">
        <f t="shared" si="1017"/>
        <v>3166.4439578947363</v>
      </c>
      <c r="AF1004" s="5">
        <f t="shared" si="1017"/>
        <v>3166.4439578947363</v>
      </c>
      <c r="AG1004" s="5">
        <f t="shared" si="1017"/>
        <v>3166.4439578947363</v>
      </c>
      <c r="AH1004" s="5">
        <f t="shared" si="1017"/>
        <v>3166.4439578947363</v>
      </c>
    </row>
    <row r="1005" spans="1:34" x14ac:dyDescent="0.35">
      <c r="A1005" t="s">
        <v>1025</v>
      </c>
      <c r="B1005" s="3" t="s">
        <v>1266</v>
      </c>
      <c r="C1005" s="4" t="s">
        <v>1267</v>
      </c>
      <c r="D1005" s="2">
        <f t="shared" si="976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ref="W1005:AH1005" si="1018">IF(OR((SLOPE($E1005:$V1005,$E$1:$V$1)*W$1+INTERCEPT($E1005:$V1005,$E$1:$V$1))&gt;(AVERAGE($E1005:$V1005)+_xlfn.STDEV.P($E1005:$V1005)),(SLOPE($E1005:$V1005,$E$1:$V$1)*W$1+INTERCEPT($E1005:$V1005,$E$1:$V$1))&lt;(AVERAGE($E1005:$V1005)-_xlfn.STDEV.P($E1005:$V1005))),V1005,(SLOPE($E1005:$V1005,$E$1:$V$1)*W$1+INTERCEPT($E1005:$V1005,$E$1:$V$1)))</f>
        <v>2838.1138834332273</v>
      </c>
      <c r="X1005" s="5">
        <f t="shared" si="1018"/>
        <v>3054.9477115393315</v>
      </c>
      <c r="Y1005" s="5">
        <f t="shared" si="1018"/>
        <v>3271.7815396454357</v>
      </c>
      <c r="Z1005" s="5">
        <f t="shared" si="1018"/>
        <v>3488.615367751539</v>
      </c>
      <c r="AA1005" s="5">
        <f t="shared" si="1018"/>
        <v>3705.4491958576432</v>
      </c>
      <c r="AB1005" s="5">
        <f t="shared" si="1018"/>
        <v>3922.2830239637474</v>
      </c>
      <c r="AC1005" s="5">
        <f t="shared" si="1018"/>
        <v>3922.2830239637474</v>
      </c>
      <c r="AD1005" s="5">
        <f t="shared" si="1018"/>
        <v>3922.2830239637474</v>
      </c>
      <c r="AE1005" s="5">
        <f t="shared" si="1018"/>
        <v>3922.2830239637474</v>
      </c>
      <c r="AF1005" s="5">
        <f t="shared" si="1018"/>
        <v>3922.2830239637474</v>
      </c>
      <c r="AG1005" s="5">
        <f t="shared" si="1018"/>
        <v>3922.2830239637474</v>
      </c>
      <c r="AH1005" s="5">
        <f t="shared" si="1018"/>
        <v>3922.2830239637474</v>
      </c>
    </row>
    <row r="1006" spans="1:34" x14ac:dyDescent="0.35">
      <c r="A1006" t="s">
        <v>1026</v>
      </c>
      <c r="B1006" s="3" t="s">
        <v>1266</v>
      </c>
      <c r="C1006" s="4" t="s">
        <v>1267</v>
      </c>
      <c r="D1006" s="2">
        <f t="shared" si="976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ref="W1006:AH1006" si="1019">IF(OR((SLOPE($E1006:$V1006,$E$1:$V$1)*W$1+INTERCEPT($E1006:$V1006,$E$1:$V$1))&gt;(AVERAGE($E1006:$V1006)+_xlfn.STDEV.P($E1006:$V1006)),(SLOPE($E1006:$V1006,$E$1:$V$1)*W$1+INTERCEPT($E1006:$V1006,$E$1:$V$1))&lt;(AVERAGE($E1006:$V1006)-_xlfn.STDEV.P($E1006:$V1006))),V1006,(SLOPE($E1006:$V1006,$E$1:$V$1)*W$1+INTERCEPT($E1006:$V1006,$E$1:$V$1)))</f>
        <v>91.547382058212179</v>
      </c>
      <c r="X1006" s="5">
        <f t="shared" si="1019"/>
        <v>19.273133064886679</v>
      </c>
      <c r="Y1006" s="5">
        <f t="shared" si="1019"/>
        <v>-53.001115928438821</v>
      </c>
      <c r="Z1006" s="5">
        <f t="shared" si="1019"/>
        <v>-125.27536492176455</v>
      </c>
      <c r="AA1006" s="5">
        <f t="shared" si="1019"/>
        <v>-197.54961391509005</v>
      </c>
      <c r="AB1006" s="5">
        <f t="shared" si="1019"/>
        <v>-269.82386290841555</v>
      </c>
      <c r="AC1006" s="5">
        <f t="shared" si="1019"/>
        <v>-342.09811190174105</v>
      </c>
      <c r="AD1006" s="5">
        <f t="shared" si="1019"/>
        <v>-414.37236089506655</v>
      </c>
      <c r="AE1006" s="5">
        <f t="shared" si="1019"/>
        <v>-486.64660988839228</v>
      </c>
      <c r="AF1006" s="5">
        <f t="shared" si="1019"/>
        <v>-558.92085888171778</v>
      </c>
      <c r="AG1006" s="5">
        <f t="shared" si="1019"/>
        <v>-631.19510787504328</v>
      </c>
      <c r="AH1006" s="5">
        <f t="shared" si="1019"/>
        <v>-703.469356868369</v>
      </c>
    </row>
    <row r="1007" spans="1:34" x14ac:dyDescent="0.35">
      <c r="A1007" t="s">
        <v>1027</v>
      </c>
      <c r="B1007" s="3" t="s">
        <v>1266</v>
      </c>
      <c r="C1007" s="4" t="s">
        <v>1267</v>
      </c>
      <c r="D1007" s="2">
        <f t="shared" si="976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ref="W1007:AH1007" si="1020">IF(OR((SLOPE($E1007:$V1007,$E$1:$V$1)*W$1+INTERCEPT($E1007:$V1007,$E$1:$V$1))&gt;(AVERAGE($E1007:$V1007)+_xlfn.STDEV.P($E1007:$V1007)),(SLOPE($E1007:$V1007,$E$1:$V$1)*W$1+INTERCEPT($E1007:$V1007,$E$1:$V$1))&lt;(AVERAGE($E1007:$V1007)-_xlfn.STDEV.P($E1007:$V1007))),V1007,(SLOPE($E1007:$V1007,$E$1:$V$1)*W$1+INTERCEPT($E1007:$V1007,$E$1:$V$1)))</f>
        <v>1746.31578292938</v>
      </c>
      <c r="X1007" s="5">
        <f t="shared" si="1020"/>
        <v>1850.5476971637706</v>
      </c>
      <c r="Y1007" s="5">
        <f t="shared" si="1020"/>
        <v>1954.7796113981615</v>
      </c>
      <c r="Z1007" s="5">
        <f t="shared" si="1020"/>
        <v>2059.0115256325525</v>
      </c>
      <c r="AA1007" s="5">
        <f t="shared" si="1020"/>
        <v>2163.2434398669429</v>
      </c>
      <c r="AB1007" s="5">
        <f t="shared" si="1020"/>
        <v>2267.4753541013342</v>
      </c>
      <c r="AC1007" s="5">
        <f t="shared" si="1020"/>
        <v>2371.7072683357246</v>
      </c>
      <c r="AD1007" s="5">
        <f t="shared" si="1020"/>
        <v>2475.9391825701159</v>
      </c>
      <c r="AE1007" s="5">
        <f t="shared" si="1020"/>
        <v>2580.1710968045063</v>
      </c>
      <c r="AF1007" s="5">
        <f t="shared" si="1020"/>
        <v>2684.4030110388976</v>
      </c>
      <c r="AG1007" s="5">
        <f t="shared" si="1020"/>
        <v>2788.634925273288</v>
      </c>
      <c r="AH1007" s="5">
        <f t="shared" si="1020"/>
        <v>2892.8668395076793</v>
      </c>
    </row>
    <row r="1008" spans="1:34" x14ac:dyDescent="0.35">
      <c r="A1008" t="s">
        <v>1028</v>
      </c>
      <c r="B1008" s="3" t="s">
        <v>1266</v>
      </c>
      <c r="C1008" s="4" t="s">
        <v>1263</v>
      </c>
      <c r="D1008" s="2">
        <f t="shared" si="976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ref="W1008:AH1008" si="1021">IF(OR((SLOPE($E1008:$V1008,$E$1:$V$1)*W$1+INTERCEPT($E1008:$V1008,$E$1:$V$1))&gt;(AVERAGE($E1008:$V1008)+_xlfn.STDEV.P($E1008:$V1008)),(SLOPE($E1008:$V1008,$E$1:$V$1)*W$1+INTERCEPT($E1008:$V1008,$E$1:$V$1))&lt;(AVERAGE($E1008:$V1008)-_xlfn.STDEV.P($E1008:$V1008))),V1008,(SLOPE($E1008:$V1008,$E$1:$V$1)*W$1+INTERCEPT($E1008:$V1008,$E$1:$V$1)))</f>
        <v>-510.79905882352932</v>
      </c>
      <c r="X1008" s="5">
        <f t="shared" si="1021"/>
        <v>-642.8848544891639</v>
      </c>
      <c r="Y1008" s="5">
        <f t="shared" si="1021"/>
        <v>-774.97065015479848</v>
      </c>
      <c r="Z1008" s="5">
        <f t="shared" si="1021"/>
        <v>-907.05644582043305</v>
      </c>
      <c r="AA1008" s="5">
        <f t="shared" si="1021"/>
        <v>-1039.1422414860676</v>
      </c>
      <c r="AB1008" s="5">
        <f t="shared" si="1021"/>
        <v>-1171.2280371517022</v>
      </c>
      <c r="AC1008" s="5">
        <f t="shared" si="1021"/>
        <v>-1171.2280371517022</v>
      </c>
      <c r="AD1008" s="5">
        <f t="shared" si="1021"/>
        <v>-1171.2280371517022</v>
      </c>
      <c r="AE1008" s="5">
        <f t="shared" si="1021"/>
        <v>-1171.2280371517022</v>
      </c>
      <c r="AF1008" s="5">
        <f t="shared" si="1021"/>
        <v>-1171.2280371517022</v>
      </c>
      <c r="AG1008" s="5">
        <f t="shared" si="1021"/>
        <v>-1171.2280371517022</v>
      </c>
      <c r="AH1008" s="5">
        <f t="shared" si="1021"/>
        <v>-1171.2280371517022</v>
      </c>
    </row>
    <row r="1009" spans="1:34" x14ac:dyDescent="0.35">
      <c r="A1009" t="s">
        <v>1029</v>
      </c>
      <c r="B1009" s="3" t="s">
        <v>1266</v>
      </c>
      <c r="C1009" s="4" t="s">
        <v>1263</v>
      </c>
      <c r="D1009" s="2">
        <f t="shared" si="976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ref="W1009:AH1009" si="1022">IF(OR((SLOPE($E1009:$V1009,$E$1:$V$1)*W$1+INTERCEPT($E1009:$V1009,$E$1:$V$1))&gt;(AVERAGE($E1009:$V1009)+_xlfn.STDEV.P($E1009:$V1009)),(SLOPE($E1009:$V1009,$E$1:$V$1)*W$1+INTERCEPT($E1009:$V1009,$E$1:$V$1))&lt;(AVERAGE($E1009:$V1009)-_xlfn.STDEV.P($E1009:$V1009))),V1009,(SLOPE($E1009:$V1009,$E$1:$V$1)*W$1+INTERCEPT($E1009:$V1009,$E$1:$V$1)))</f>
        <v>0</v>
      </c>
      <c r="X1009" s="5">
        <f t="shared" si="1022"/>
        <v>0</v>
      </c>
      <c r="Y1009" s="5">
        <f t="shared" si="1022"/>
        <v>0</v>
      </c>
      <c r="Z1009" s="5">
        <f t="shared" si="1022"/>
        <v>0</v>
      </c>
      <c r="AA1009" s="5">
        <f t="shared" si="1022"/>
        <v>0</v>
      </c>
      <c r="AB1009" s="5">
        <f t="shared" si="1022"/>
        <v>0</v>
      </c>
      <c r="AC1009" s="5">
        <f t="shared" si="1022"/>
        <v>0</v>
      </c>
      <c r="AD1009" s="5">
        <f t="shared" si="1022"/>
        <v>0</v>
      </c>
      <c r="AE1009" s="5">
        <f t="shared" si="1022"/>
        <v>0</v>
      </c>
      <c r="AF1009" s="5">
        <f t="shared" si="1022"/>
        <v>0</v>
      </c>
      <c r="AG1009" s="5">
        <f t="shared" si="1022"/>
        <v>0</v>
      </c>
      <c r="AH1009" s="5">
        <f t="shared" si="1022"/>
        <v>0</v>
      </c>
    </row>
    <row r="1010" spans="1:34" x14ac:dyDescent="0.35">
      <c r="A1010" t="s">
        <v>1030</v>
      </c>
      <c r="B1010" s="3" t="s">
        <v>1264</v>
      </c>
      <c r="C1010" s="4" t="s">
        <v>1268</v>
      </c>
      <c r="D1010" s="2">
        <f t="shared" si="976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ref="W1010:AH1010" si="1023">IF(OR((SLOPE($E1010:$V1010,$E$1:$V$1)*W$1+INTERCEPT($E1010:$V1010,$E$1:$V$1))&gt;(AVERAGE($E1010:$V1010)+_xlfn.STDEV.P($E1010:$V1010)),(SLOPE($E1010:$V1010,$E$1:$V$1)*W$1+INTERCEPT($E1010:$V1010,$E$1:$V$1))&lt;(AVERAGE($E1010:$V1010)-_xlfn.STDEV.P($E1010:$V1010))),V1010,(SLOPE($E1010:$V1010,$E$1:$V$1)*W$1+INTERCEPT($E1010:$V1010,$E$1:$V$1)))</f>
        <v>1112.8764705882352</v>
      </c>
      <c r="X1010" s="5">
        <f t="shared" si="1023"/>
        <v>1153.4266253869969</v>
      </c>
      <c r="Y1010" s="5">
        <f t="shared" si="1023"/>
        <v>1193.9767801857583</v>
      </c>
      <c r="Z1010" s="5">
        <f t="shared" si="1023"/>
        <v>1234.52693498452</v>
      </c>
      <c r="AA1010" s="5">
        <f t="shared" si="1023"/>
        <v>1275.0770897832815</v>
      </c>
      <c r="AB1010" s="5">
        <f t="shared" si="1023"/>
        <v>1315.6272445820432</v>
      </c>
      <c r="AC1010" s="5">
        <f t="shared" si="1023"/>
        <v>1356.1773993808049</v>
      </c>
      <c r="AD1010" s="5">
        <f t="shared" si="1023"/>
        <v>1396.7275541795664</v>
      </c>
      <c r="AE1010" s="5">
        <f t="shared" si="1023"/>
        <v>1437.2777089783281</v>
      </c>
      <c r="AF1010" s="5">
        <f t="shared" si="1023"/>
        <v>1477.8278637770898</v>
      </c>
      <c r="AG1010" s="5">
        <f t="shared" si="1023"/>
        <v>1518.3780185758512</v>
      </c>
      <c r="AH1010" s="5">
        <f t="shared" si="1023"/>
        <v>1558.9281733746129</v>
      </c>
    </row>
    <row r="1011" spans="1:34" x14ac:dyDescent="0.35">
      <c r="A1011" t="s">
        <v>1031</v>
      </c>
      <c r="B1011" s="3" t="s">
        <v>1266</v>
      </c>
      <c r="C1011" s="4" t="s">
        <v>1267</v>
      </c>
      <c r="D1011" s="2">
        <f t="shared" si="976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ref="W1011:AH1011" si="1024">IF(OR((SLOPE($E1011:$V1011,$E$1:$V$1)*W$1+INTERCEPT($E1011:$V1011,$E$1:$V$1))&gt;(AVERAGE($E1011:$V1011)+_xlfn.STDEV.P($E1011:$V1011)),(SLOPE($E1011:$V1011,$E$1:$V$1)*W$1+INTERCEPT($E1011:$V1011,$E$1:$V$1))&lt;(AVERAGE($E1011:$V1011)-_xlfn.STDEV.P($E1011:$V1011))),V1011,(SLOPE($E1011:$V1011,$E$1:$V$1)*W$1+INTERCEPT($E1011:$V1011,$E$1:$V$1)))</f>
        <v>1364.965591339896</v>
      </c>
      <c r="X1011" s="5">
        <f t="shared" si="1024"/>
        <v>1432.315867228378</v>
      </c>
      <c r="Y1011" s="5">
        <f t="shared" si="1024"/>
        <v>1499.6661431168595</v>
      </c>
      <c r="Z1011" s="5">
        <f t="shared" si="1024"/>
        <v>1567.016419005341</v>
      </c>
      <c r="AA1011" s="5">
        <f t="shared" si="1024"/>
        <v>1634.366694893823</v>
      </c>
      <c r="AB1011" s="5">
        <f t="shared" si="1024"/>
        <v>1701.7169707823045</v>
      </c>
      <c r="AC1011" s="5">
        <f t="shared" si="1024"/>
        <v>1769.0672466707865</v>
      </c>
      <c r="AD1011" s="5">
        <f t="shared" si="1024"/>
        <v>1836.417522559268</v>
      </c>
      <c r="AE1011" s="5">
        <f t="shared" si="1024"/>
        <v>1903.76779844775</v>
      </c>
      <c r="AF1011" s="5">
        <f t="shared" si="1024"/>
        <v>1971.1180743362315</v>
      </c>
      <c r="AG1011" s="5">
        <f t="shared" si="1024"/>
        <v>2038.468350224713</v>
      </c>
      <c r="AH1011" s="5">
        <f t="shared" si="1024"/>
        <v>2105.818626113195</v>
      </c>
    </row>
    <row r="1012" spans="1:34" x14ac:dyDescent="0.35">
      <c r="A1012" t="s">
        <v>1032</v>
      </c>
      <c r="B1012" s="3" t="s">
        <v>1264</v>
      </c>
      <c r="C1012" s="4" t="s">
        <v>1267</v>
      </c>
      <c r="D1012" s="2">
        <f t="shared" si="976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ref="W1012:AH1012" si="1025">IF(OR((SLOPE($E1012:$V1012,$E$1:$V$1)*W$1+INTERCEPT($E1012:$V1012,$E$1:$V$1))&gt;(AVERAGE($E1012:$V1012)+_xlfn.STDEV.P($E1012:$V1012)),(SLOPE($E1012:$V1012,$E$1:$V$1)*W$1+INTERCEPT($E1012:$V1012,$E$1:$V$1))&lt;(AVERAGE($E1012:$V1012)-_xlfn.STDEV.P($E1012:$V1012))),V1012,(SLOPE($E1012:$V1012,$E$1:$V$1)*W$1+INTERCEPT($E1012:$V1012,$E$1:$V$1)))</f>
        <v>844.93084339143991</v>
      </c>
      <c r="X1012" s="5">
        <f t="shared" si="1025"/>
        <v>858.27185670814686</v>
      </c>
      <c r="Y1012" s="5">
        <f t="shared" si="1025"/>
        <v>871.61287002485381</v>
      </c>
      <c r="Z1012" s="5">
        <f t="shared" si="1025"/>
        <v>884.95388334156075</v>
      </c>
      <c r="AA1012" s="5">
        <f t="shared" si="1025"/>
        <v>898.2948966582677</v>
      </c>
      <c r="AB1012" s="5">
        <f t="shared" si="1025"/>
        <v>911.63590997497454</v>
      </c>
      <c r="AC1012" s="5">
        <f t="shared" si="1025"/>
        <v>924.97692329168149</v>
      </c>
      <c r="AD1012" s="5">
        <f t="shared" si="1025"/>
        <v>938.31793660838844</v>
      </c>
      <c r="AE1012" s="5">
        <f t="shared" si="1025"/>
        <v>951.65894992509538</v>
      </c>
      <c r="AF1012" s="5">
        <f t="shared" si="1025"/>
        <v>964.99996324180233</v>
      </c>
      <c r="AG1012" s="5">
        <f t="shared" si="1025"/>
        <v>978.34097655850928</v>
      </c>
      <c r="AH1012" s="5">
        <f t="shared" si="1025"/>
        <v>991.68198987521623</v>
      </c>
    </row>
    <row r="1013" spans="1:34" x14ac:dyDescent="0.35">
      <c r="A1013" t="s">
        <v>1033</v>
      </c>
      <c r="B1013" s="3" t="s">
        <v>1265</v>
      </c>
      <c r="C1013" s="4" t="s">
        <v>1263</v>
      </c>
      <c r="D1013" s="2">
        <f t="shared" si="976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H1013" si="1026">IF(OR((SLOPE($E1013:$V1013,$E$1:$V$1)*W$1+INTERCEPT($E1013:$V1013,$E$1:$V$1))&gt;(AVERAGE($E1013:$V1013)+_xlfn.STDEV.P($E1013:$V1013)),(SLOPE($E1013:$V1013,$E$1:$V$1)*W$1+INTERCEPT($E1013:$V1013,$E$1:$V$1))&lt;(AVERAGE($E1013:$V1013)-_xlfn.STDEV.P($E1013:$V1013))),V1013,(SLOPE($E1013:$V1013,$E$1:$V$1)*W$1+INTERCEPT($E1013:$V1013,$E$1:$V$1)))</f>
        <v>2681.4193777777773</v>
      </c>
      <c r="X1013" s="5">
        <f t="shared" si="1026"/>
        <v>2888.2550830409355</v>
      </c>
      <c r="Y1013" s="5">
        <f t="shared" si="1026"/>
        <v>2888.2550830409355</v>
      </c>
      <c r="Z1013" s="5">
        <f t="shared" si="1026"/>
        <v>2888.2550830409355</v>
      </c>
      <c r="AA1013" s="5">
        <f t="shared" si="1026"/>
        <v>2888.2550830409355</v>
      </c>
      <c r="AB1013" s="5">
        <f t="shared" si="1026"/>
        <v>2888.2550830409355</v>
      </c>
      <c r="AC1013" s="5">
        <f t="shared" si="1026"/>
        <v>2888.2550830409355</v>
      </c>
      <c r="AD1013" s="5">
        <f t="shared" si="1026"/>
        <v>2888.2550830409355</v>
      </c>
      <c r="AE1013" s="5">
        <f t="shared" si="1026"/>
        <v>2888.2550830409355</v>
      </c>
      <c r="AF1013" s="5">
        <f t="shared" si="1026"/>
        <v>2888.2550830409355</v>
      </c>
      <c r="AG1013" s="5">
        <f t="shared" si="1026"/>
        <v>2888.2550830409355</v>
      </c>
      <c r="AH1013" s="5">
        <f t="shared" si="1026"/>
        <v>2888.2550830409355</v>
      </c>
    </row>
    <row r="1014" spans="1:34" x14ac:dyDescent="0.35">
      <c r="A1014" t="s">
        <v>1034</v>
      </c>
      <c r="B1014" s="3" t="s">
        <v>1266</v>
      </c>
      <c r="C1014" s="4" t="s">
        <v>1267</v>
      </c>
      <c r="D1014" s="2">
        <f t="shared" si="976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ref="W1014:AH1014" si="1027">IF(OR((SLOPE($E1014:$V1014,$E$1:$V$1)*W$1+INTERCEPT($E1014:$V1014,$E$1:$V$1))&gt;(AVERAGE($E1014:$V1014)+_xlfn.STDEV.P($E1014:$V1014)),(SLOPE($E1014:$V1014,$E$1:$V$1)*W$1+INTERCEPT($E1014:$V1014,$E$1:$V$1))&lt;(AVERAGE($E1014:$V1014)-_xlfn.STDEV.P($E1014:$V1014))),V1014,(SLOPE($E1014:$V1014,$E$1:$V$1)*W$1+INTERCEPT($E1014:$V1014,$E$1:$V$1)))</f>
        <v>588.30126824401066</v>
      </c>
      <c r="X1014" s="5">
        <f t="shared" si="1027"/>
        <v>575.03131482497292</v>
      </c>
      <c r="Y1014" s="5">
        <f t="shared" si="1027"/>
        <v>561.76136140593508</v>
      </c>
      <c r="Z1014" s="5">
        <f t="shared" si="1027"/>
        <v>548.49140798689723</v>
      </c>
      <c r="AA1014" s="5">
        <f t="shared" si="1027"/>
        <v>535.22145456785938</v>
      </c>
      <c r="AB1014" s="5">
        <f t="shared" si="1027"/>
        <v>521.95150114882154</v>
      </c>
      <c r="AC1014" s="5">
        <f t="shared" si="1027"/>
        <v>508.68154772978374</v>
      </c>
      <c r="AD1014" s="5">
        <f t="shared" si="1027"/>
        <v>495.4115943107459</v>
      </c>
      <c r="AE1014" s="5">
        <f t="shared" si="1027"/>
        <v>482.14164089170805</v>
      </c>
      <c r="AF1014" s="5">
        <f t="shared" si="1027"/>
        <v>468.87168747267026</v>
      </c>
      <c r="AG1014" s="5">
        <f t="shared" si="1027"/>
        <v>455.60173405363241</v>
      </c>
      <c r="AH1014" s="5">
        <f t="shared" si="1027"/>
        <v>442.33178063459457</v>
      </c>
    </row>
    <row r="1015" spans="1:34" x14ac:dyDescent="0.35">
      <c r="A1015" t="s">
        <v>1035</v>
      </c>
      <c r="B1015" s="3" t="s">
        <v>1266</v>
      </c>
      <c r="C1015" s="4" t="s">
        <v>1263</v>
      </c>
      <c r="D1015" s="2">
        <f t="shared" si="976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ref="W1015:AH1015" si="1028">IF(OR((SLOPE($E1015:$V1015,$E$1:$V$1)*W$1+INTERCEPT($E1015:$V1015,$E$1:$V$1))&gt;(AVERAGE($E1015:$V1015)+_xlfn.STDEV.P($E1015:$V1015)),(SLOPE($E1015:$V1015,$E$1:$V$1)*W$1+INTERCEPT($E1015:$V1015,$E$1:$V$1))&lt;(AVERAGE($E1015:$V1015)-_xlfn.STDEV.P($E1015:$V1015))),V1015,(SLOPE($E1015:$V1015,$E$1:$V$1)*W$1+INTERCEPT($E1015:$V1015,$E$1:$V$1)))</f>
        <v>-444.32129019864874</v>
      </c>
      <c r="X1015" s="5">
        <f t="shared" si="1028"/>
        <v>-564.52487088598014</v>
      </c>
      <c r="Y1015" s="5">
        <f t="shared" si="1028"/>
        <v>-684.72845157331153</v>
      </c>
      <c r="Z1015" s="5">
        <f t="shared" si="1028"/>
        <v>-804.93203226064293</v>
      </c>
      <c r="AA1015" s="5">
        <f t="shared" si="1028"/>
        <v>-925.13561294797432</v>
      </c>
      <c r="AB1015" s="5">
        <f t="shared" si="1028"/>
        <v>-1045.3391936353057</v>
      </c>
      <c r="AC1015" s="5">
        <f t="shared" si="1028"/>
        <v>-1165.5427743226371</v>
      </c>
      <c r="AD1015" s="5">
        <f t="shared" si="1028"/>
        <v>-1285.7463550099685</v>
      </c>
      <c r="AE1015" s="5">
        <f t="shared" si="1028"/>
        <v>-1285.7463550099685</v>
      </c>
      <c r="AF1015" s="5">
        <f t="shared" si="1028"/>
        <v>-1285.7463550099685</v>
      </c>
      <c r="AG1015" s="5">
        <f t="shared" si="1028"/>
        <v>-1285.7463550099685</v>
      </c>
      <c r="AH1015" s="5">
        <f t="shared" si="1028"/>
        <v>-1285.7463550099685</v>
      </c>
    </row>
    <row r="1016" spans="1:34" x14ac:dyDescent="0.35">
      <c r="A1016" t="s">
        <v>1036</v>
      </c>
      <c r="B1016" s="3" t="s">
        <v>1264</v>
      </c>
      <c r="C1016" s="4" t="s">
        <v>1263</v>
      </c>
      <c r="D1016" s="2">
        <f t="shared" si="976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ref="W1016:AH1016" si="1029">IF(OR((SLOPE($E1016:$V1016,$E$1:$V$1)*W$1+INTERCEPT($E1016:$V1016,$E$1:$V$1))&gt;(AVERAGE($E1016:$V1016)+_xlfn.STDEV.P($E1016:$V1016)),(SLOPE($E1016:$V1016,$E$1:$V$1)*W$1+INTERCEPT($E1016:$V1016,$E$1:$V$1))&lt;(AVERAGE($E1016:$V1016)-_xlfn.STDEV.P($E1016:$V1016))),V1016,(SLOPE($E1016:$V1016,$E$1:$V$1)*W$1+INTERCEPT($E1016:$V1016,$E$1:$V$1)))</f>
        <v>1382.3230553987414</v>
      </c>
      <c r="X1016" s="5">
        <f t="shared" si="1029"/>
        <v>1382.3230553987414</v>
      </c>
      <c r="Y1016" s="5">
        <f t="shared" si="1029"/>
        <v>1382.3230553987414</v>
      </c>
      <c r="Z1016" s="5">
        <f t="shared" si="1029"/>
        <v>1382.3230553987414</v>
      </c>
      <c r="AA1016" s="5">
        <f t="shared" si="1029"/>
        <v>1382.3230553987414</v>
      </c>
      <c r="AB1016" s="5">
        <f t="shared" si="1029"/>
        <v>1382.3230553987414</v>
      </c>
      <c r="AC1016" s="5">
        <f t="shared" si="1029"/>
        <v>1382.3230553987414</v>
      </c>
      <c r="AD1016" s="5">
        <f t="shared" si="1029"/>
        <v>1382.3230553987414</v>
      </c>
      <c r="AE1016" s="5">
        <f t="shared" si="1029"/>
        <v>1382.3230553987414</v>
      </c>
      <c r="AF1016" s="5">
        <f t="shared" si="1029"/>
        <v>1382.3230553987414</v>
      </c>
      <c r="AG1016" s="5">
        <f t="shared" si="1029"/>
        <v>1382.3230553987414</v>
      </c>
      <c r="AH1016" s="5">
        <f t="shared" si="1029"/>
        <v>1382.3230553987414</v>
      </c>
    </row>
    <row r="1017" spans="1:34" x14ac:dyDescent="0.35">
      <c r="A1017" t="s">
        <v>1037</v>
      </c>
      <c r="B1017" s="3" t="s">
        <v>1264</v>
      </c>
      <c r="C1017" s="4" t="s">
        <v>1263</v>
      </c>
      <c r="D1017" s="2">
        <f t="shared" si="976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ref="W1017:AH1017" si="1030">IF(OR((SLOPE($E1017:$V1017,$E$1:$V$1)*W$1+INTERCEPT($E1017:$V1017,$E$1:$V$1))&gt;(AVERAGE($E1017:$V1017)+_xlfn.STDEV.P($E1017:$V1017)),(SLOPE($E1017:$V1017,$E$1:$V$1)*W$1+INTERCEPT($E1017:$V1017,$E$1:$V$1))&lt;(AVERAGE($E1017:$V1017)-_xlfn.STDEV.P($E1017:$V1017))),V1017,(SLOPE($E1017:$V1017,$E$1:$V$1)*W$1+INTERCEPT($E1017:$V1017,$E$1:$V$1)))</f>
        <v>992.59250521738727</v>
      </c>
      <c r="X1017" s="5">
        <f t="shared" si="1030"/>
        <v>992.59250521738727</v>
      </c>
      <c r="Y1017" s="5">
        <f t="shared" si="1030"/>
        <v>992.59250521738727</v>
      </c>
      <c r="Z1017" s="5">
        <f t="shared" si="1030"/>
        <v>992.59250521738727</v>
      </c>
      <c r="AA1017" s="5">
        <f t="shared" si="1030"/>
        <v>992.59250521738727</v>
      </c>
      <c r="AB1017" s="5">
        <f t="shared" si="1030"/>
        <v>992.59250521738727</v>
      </c>
      <c r="AC1017" s="5">
        <f t="shared" si="1030"/>
        <v>992.59250521738727</v>
      </c>
      <c r="AD1017" s="5">
        <f t="shared" si="1030"/>
        <v>992.59250521738727</v>
      </c>
      <c r="AE1017" s="5">
        <f t="shared" si="1030"/>
        <v>992.59250521738727</v>
      </c>
      <c r="AF1017" s="5">
        <f t="shared" si="1030"/>
        <v>992.59250521738727</v>
      </c>
      <c r="AG1017" s="5">
        <f t="shared" si="1030"/>
        <v>992.59250521738727</v>
      </c>
      <c r="AH1017" s="5">
        <f t="shared" si="1030"/>
        <v>992.59250521738727</v>
      </c>
    </row>
    <row r="1018" spans="1:34" x14ac:dyDescent="0.35">
      <c r="A1018" t="s">
        <v>1038</v>
      </c>
      <c r="B1018" s="3" t="s">
        <v>1266</v>
      </c>
      <c r="C1018" s="4" t="s">
        <v>1263</v>
      </c>
      <c r="D1018" s="2">
        <f t="shared" si="976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ref="W1018:AH1018" si="1031">IF(OR((SLOPE($E1018:$V1018,$E$1:$V$1)*W$1+INTERCEPT($E1018:$V1018,$E$1:$V$1))&gt;(AVERAGE($E1018:$V1018)+_xlfn.STDEV.P($E1018:$V1018)),(SLOPE($E1018:$V1018,$E$1:$V$1)*W$1+INTERCEPT($E1018:$V1018,$E$1:$V$1))&lt;(AVERAGE($E1018:$V1018)-_xlfn.STDEV.P($E1018:$V1018))),V1018,(SLOPE($E1018:$V1018,$E$1:$V$1)*W$1+INTERCEPT($E1018:$V1018,$E$1:$V$1)))</f>
        <v>-1170.3787712418298</v>
      </c>
      <c r="X1018" s="5">
        <f t="shared" si="1031"/>
        <v>-1364.4125413140691</v>
      </c>
      <c r="Y1018" s="5">
        <f t="shared" si="1031"/>
        <v>-1364.4125413140691</v>
      </c>
      <c r="Z1018" s="5">
        <f t="shared" si="1031"/>
        <v>-1364.4125413140691</v>
      </c>
      <c r="AA1018" s="5">
        <f t="shared" si="1031"/>
        <v>-1364.4125413140691</v>
      </c>
      <c r="AB1018" s="5">
        <f t="shared" si="1031"/>
        <v>-1364.4125413140691</v>
      </c>
      <c r="AC1018" s="5">
        <f t="shared" si="1031"/>
        <v>-1364.4125413140691</v>
      </c>
      <c r="AD1018" s="5">
        <f t="shared" si="1031"/>
        <v>-1364.4125413140691</v>
      </c>
      <c r="AE1018" s="5">
        <f t="shared" si="1031"/>
        <v>-1364.4125413140691</v>
      </c>
      <c r="AF1018" s="5">
        <f t="shared" si="1031"/>
        <v>-1364.4125413140691</v>
      </c>
      <c r="AG1018" s="5">
        <f t="shared" si="1031"/>
        <v>-1364.4125413140691</v>
      </c>
      <c r="AH1018" s="5">
        <f t="shared" si="1031"/>
        <v>-1364.4125413140691</v>
      </c>
    </row>
    <row r="1019" spans="1:34" x14ac:dyDescent="0.35">
      <c r="A1019" t="s">
        <v>1039</v>
      </c>
      <c r="B1019" s="3" t="s">
        <v>1266</v>
      </c>
      <c r="C1019" s="4" t="s">
        <v>1267</v>
      </c>
      <c r="D1019" s="2">
        <f t="shared" si="976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ref="W1019:AH1019" si="1032">IF(OR((SLOPE($E1019:$V1019,$E$1:$V$1)*W$1+INTERCEPT($E1019:$V1019,$E$1:$V$1))&gt;(AVERAGE($E1019:$V1019)+_xlfn.STDEV.P($E1019:$V1019)),(SLOPE($E1019:$V1019,$E$1:$V$1)*W$1+INTERCEPT($E1019:$V1019,$E$1:$V$1))&lt;(AVERAGE($E1019:$V1019)-_xlfn.STDEV.P($E1019:$V1019))),V1019,(SLOPE($E1019:$V1019,$E$1:$V$1)*W$1+INTERCEPT($E1019:$V1019,$E$1:$V$1)))</f>
        <v>1966.7181505752474</v>
      </c>
      <c r="X1019" s="5">
        <f t="shared" si="1032"/>
        <v>2103.3533062994225</v>
      </c>
      <c r="Y1019" s="5">
        <f t="shared" si="1032"/>
        <v>2239.9884620235975</v>
      </c>
      <c r="Z1019" s="5">
        <f t="shared" si="1032"/>
        <v>2376.6236177477726</v>
      </c>
      <c r="AA1019" s="5">
        <f t="shared" si="1032"/>
        <v>2513.2587734719477</v>
      </c>
      <c r="AB1019" s="5">
        <f t="shared" si="1032"/>
        <v>2649.8939291961228</v>
      </c>
      <c r="AC1019" s="5">
        <f t="shared" si="1032"/>
        <v>2786.5290849202979</v>
      </c>
      <c r="AD1019" s="5">
        <f t="shared" si="1032"/>
        <v>2923.164240644473</v>
      </c>
      <c r="AE1019" s="5">
        <f t="shared" si="1032"/>
        <v>3059.7993963686481</v>
      </c>
      <c r="AF1019" s="5">
        <f t="shared" si="1032"/>
        <v>3196.4345520928232</v>
      </c>
      <c r="AG1019" s="5">
        <f t="shared" si="1032"/>
        <v>3333.0697078169983</v>
      </c>
      <c r="AH1019" s="5">
        <f t="shared" si="1032"/>
        <v>3333.0697078169983</v>
      </c>
    </row>
    <row r="1020" spans="1:34" x14ac:dyDescent="0.35">
      <c r="A1020" t="s">
        <v>1040</v>
      </c>
      <c r="B1020" s="3" t="s">
        <v>1264</v>
      </c>
      <c r="C1020" s="4" t="s">
        <v>1263</v>
      </c>
      <c r="D1020" s="2">
        <f t="shared" si="976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ref="W1020:AH1020" si="1033">IF(OR((SLOPE($E1020:$V1020,$E$1:$V$1)*W$1+INTERCEPT($E1020:$V1020,$E$1:$V$1))&gt;(AVERAGE($E1020:$V1020)+_xlfn.STDEV.P($E1020:$V1020)),(SLOPE($E1020:$V1020,$E$1:$V$1)*W$1+INTERCEPT($E1020:$V1020,$E$1:$V$1))&lt;(AVERAGE($E1020:$V1020)-_xlfn.STDEV.P($E1020:$V1020))),V1020,(SLOPE($E1020:$V1020,$E$1:$V$1)*W$1+INTERCEPT($E1020:$V1020,$E$1:$V$1)))</f>
        <v>37.239999999999995</v>
      </c>
      <c r="X1020" s="5">
        <f t="shared" si="1033"/>
        <v>37.239999999999995</v>
      </c>
      <c r="Y1020" s="5">
        <f t="shared" si="1033"/>
        <v>37.239999999999995</v>
      </c>
      <c r="Z1020" s="5">
        <f t="shared" si="1033"/>
        <v>37.239999999999995</v>
      </c>
      <c r="AA1020" s="5">
        <f t="shared" si="1033"/>
        <v>37.239999999999995</v>
      </c>
      <c r="AB1020" s="5">
        <f t="shared" si="1033"/>
        <v>37.239999999999995</v>
      </c>
      <c r="AC1020" s="5">
        <f t="shared" si="1033"/>
        <v>37.239999999999995</v>
      </c>
      <c r="AD1020" s="5">
        <f t="shared" si="1033"/>
        <v>37.239999999999995</v>
      </c>
      <c r="AE1020" s="5">
        <f t="shared" si="1033"/>
        <v>37.239999999999995</v>
      </c>
      <c r="AF1020" s="5">
        <f t="shared" si="1033"/>
        <v>37.239999999999995</v>
      </c>
      <c r="AG1020" s="5">
        <f t="shared" si="1033"/>
        <v>37.239999999999995</v>
      </c>
      <c r="AH1020" s="5">
        <f t="shared" si="1033"/>
        <v>37.239999999999995</v>
      </c>
    </row>
    <row r="1021" spans="1:34" x14ac:dyDescent="0.35">
      <c r="A1021" t="s">
        <v>1041</v>
      </c>
      <c r="B1021" s="3" t="s">
        <v>1264</v>
      </c>
      <c r="C1021" s="4" t="s">
        <v>1267</v>
      </c>
      <c r="D1021" s="2">
        <f t="shared" si="976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ref="W1021:AH1021" si="1034">IF(OR((SLOPE($E1021:$V1021,$E$1:$V$1)*W$1+INTERCEPT($E1021:$V1021,$E$1:$V$1))&gt;(AVERAGE($E1021:$V1021)+_xlfn.STDEV.P($E1021:$V1021)),(SLOPE($E1021:$V1021,$E$1:$V$1)*W$1+INTERCEPT($E1021:$V1021,$E$1:$V$1))&lt;(AVERAGE($E1021:$V1021)-_xlfn.STDEV.P($E1021:$V1021))),V1021,(SLOPE($E1021:$V1021,$E$1:$V$1)*W$1+INTERCEPT($E1021:$V1021,$E$1:$V$1)))</f>
        <v>1696.3143865894444</v>
      </c>
      <c r="X1021" s="5">
        <f t="shared" si="1034"/>
        <v>1805.8849330916332</v>
      </c>
      <c r="Y1021" s="5">
        <f t="shared" si="1034"/>
        <v>1915.4554795938225</v>
      </c>
      <c r="Z1021" s="5">
        <f t="shared" si="1034"/>
        <v>2025.0260260960113</v>
      </c>
      <c r="AA1021" s="5">
        <f t="shared" si="1034"/>
        <v>2134.5965725982001</v>
      </c>
      <c r="AB1021" s="5">
        <f t="shared" si="1034"/>
        <v>2244.1671191003893</v>
      </c>
      <c r="AC1021" s="5">
        <f t="shared" si="1034"/>
        <v>2353.7376656025781</v>
      </c>
      <c r="AD1021" s="5">
        <f t="shared" si="1034"/>
        <v>2463.3082121047673</v>
      </c>
      <c r="AE1021" s="5">
        <f t="shared" si="1034"/>
        <v>2572.8787586069561</v>
      </c>
      <c r="AF1021" s="5">
        <f t="shared" si="1034"/>
        <v>2682.4493051091449</v>
      </c>
      <c r="AG1021" s="5">
        <f t="shared" si="1034"/>
        <v>2792.0198516113342</v>
      </c>
      <c r="AH1021" s="5">
        <f t="shared" si="1034"/>
        <v>2901.590398113523</v>
      </c>
    </row>
    <row r="1022" spans="1:34" x14ac:dyDescent="0.35">
      <c r="A1022" t="s">
        <v>1042</v>
      </c>
      <c r="B1022" s="3" t="s">
        <v>1266</v>
      </c>
      <c r="C1022" s="4" t="s">
        <v>1267</v>
      </c>
      <c r="D1022" s="2">
        <f t="shared" si="976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ref="W1022:AH1022" si="1035">IF(OR((SLOPE($E1022:$V1022,$E$1:$V$1)*W$1+INTERCEPT($E1022:$V1022,$E$1:$V$1))&gt;(AVERAGE($E1022:$V1022)+_xlfn.STDEV.P($E1022:$V1022)),(SLOPE($E1022:$V1022,$E$1:$V$1)*W$1+INTERCEPT($E1022:$V1022,$E$1:$V$1))&lt;(AVERAGE($E1022:$V1022)-_xlfn.STDEV.P($E1022:$V1022))),V1022,(SLOPE($E1022:$V1022,$E$1:$V$1)*W$1+INTERCEPT($E1022:$V1022,$E$1:$V$1)))</f>
        <v>1685.3694468221302</v>
      </c>
      <c r="X1022" s="5">
        <f t="shared" si="1035"/>
        <v>1794.2330235307368</v>
      </c>
      <c r="Y1022" s="5">
        <f t="shared" si="1035"/>
        <v>1903.0966002393434</v>
      </c>
      <c r="Z1022" s="5">
        <f t="shared" si="1035"/>
        <v>2011.9601769479495</v>
      </c>
      <c r="AA1022" s="5">
        <f t="shared" si="1035"/>
        <v>2120.8237536565562</v>
      </c>
      <c r="AB1022" s="5">
        <f t="shared" si="1035"/>
        <v>2229.6873303651628</v>
      </c>
      <c r="AC1022" s="5">
        <f t="shared" si="1035"/>
        <v>2338.5509070737694</v>
      </c>
      <c r="AD1022" s="5">
        <f t="shared" si="1035"/>
        <v>2447.414483782376</v>
      </c>
      <c r="AE1022" s="5">
        <f t="shared" si="1035"/>
        <v>2556.2780604909822</v>
      </c>
      <c r="AF1022" s="5">
        <f t="shared" si="1035"/>
        <v>2665.1416371995888</v>
      </c>
      <c r="AG1022" s="5">
        <f t="shared" si="1035"/>
        <v>2774.0052139081954</v>
      </c>
      <c r="AH1022" s="5">
        <f t="shared" si="1035"/>
        <v>2882.8687906168016</v>
      </c>
    </row>
    <row r="1023" spans="1:34" x14ac:dyDescent="0.35">
      <c r="A1023" t="s">
        <v>1043</v>
      </c>
      <c r="B1023" s="3" t="s">
        <v>1264</v>
      </c>
      <c r="C1023" s="4" t="s">
        <v>1268</v>
      </c>
      <c r="D1023" s="2">
        <f t="shared" si="976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ref="W1023:AH1023" si="1036">IF(OR((SLOPE($E1023:$V1023,$E$1:$V$1)*W$1+INTERCEPT($E1023:$V1023,$E$1:$V$1))&gt;(AVERAGE($E1023:$V1023)+_xlfn.STDEV.P($E1023:$V1023)),(SLOPE($E1023:$V1023,$E$1:$V$1)*W$1+INTERCEPT($E1023:$V1023,$E$1:$V$1))&lt;(AVERAGE($E1023:$V1023)-_xlfn.STDEV.P($E1023:$V1023))),V1023,(SLOPE($E1023:$V1023,$E$1:$V$1)*W$1+INTERCEPT($E1023:$V1023,$E$1:$V$1)))</f>
        <v>1672.6689980000006</v>
      </c>
      <c r="X1023" s="5">
        <f t="shared" si="1036"/>
        <v>1780.7122107894743</v>
      </c>
      <c r="Y1023" s="5">
        <f t="shared" si="1036"/>
        <v>1888.755423578948</v>
      </c>
      <c r="Z1023" s="5">
        <f t="shared" si="1036"/>
        <v>1996.7986363684217</v>
      </c>
      <c r="AA1023" s="5">
        <f t="shared" si="1036"/>
        <v>2104.8418491578955</v>
      </c>
      <c r="AB1023" s="5">
        <f t="shared" si="1036"/>
        <v>2212.8850619473692</v>
      </c>
      <c r="AC1023" s="5">
        <f t="shared" si="1036"/>
        <v>2320.9282747368429</v>
      </c>
      <c r="AD1023" s="5">
        <f t="shared" si="1036"/>
        <v>2428.9714875263167</v>
      </c>
      <c r="AE1023" s="5">
        <f t="shared" si="1036"/>
        <v>2537.0147003157904</v>
      </c>
      <c r="AF1023" s="5">
        <f t="shared" si="1036"/>
        <v>2645.0579131052641</v>
      </c>
      <c r="AG1023" s="5">
        <f t="shared" si="1036"/>
        <v>2753.1011258947378</v>
      </c>
      <c r="AH1023" s="5">
        <f t="shared" si="1036"/>
        <v>2861.1443386842116</v>
      </c>
    </row>
    <row r="1024" spans="1:34" x14ac:dyDescent="0.35">
      <c r="A1024" t="s">
        <v>1044</v>
      </c>
      <c r="B1024" s="3" t="s">
        <v>1266</v>
      </c>
      <c r="C1024" s="4" t="s">
        <v>1263</v>
      </c>
      <c r="D1024" s="2">
        <f t="shared" si="976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ref="W1024:AH1024" si="1037">IF(OR((SLOPE($E1024:$V1024,$E$1:$V$1)*W$1+INTERCEPT($E1024:$V1024,$E$1:$V$1))&gt;(AVERAGE($E1024:$V1024)+_xlfn.STDEV.P($E1024:$V1024)),(SLOPE($E1024:$V1024,$E$1:$V$1)*W$1+INTERCEPT($E1024:$V1024,$E$1:$V$1))&lt;(AVERAGE($E1024:$V1024)-_xlfn.STDEV.P($E1024:$V1024))),V1024,(SLOPE($E1024:$V1024,$E$1:$V$1)*W$1+INTERCEPT($E1024:$V1024,$E$1:$V$1)))</f>
        <v>299.02182192688804</v>
      </c>
      <c r="X1024" s="5">
        <f t="shared" si="1037"/>
        <v>263.6113430144934</v>
      </c>
      <c r="Y1024" s="5">
        <f t="shared" si="1037"/>
        <v>228.20086410209876</v>
      </c>
      <c r="Z1024" s="5">
        <f t="shared" si="1037"/>
        <v>192.79038518970412</v>
      </c>
      <c r="AA1024" s="5">
        <f t="shared" si="1037"/>
        <v>157.37990627730949</v>
      </c>
      <c r="AB1024" s="5">
        <f t="shared" si="1037"/>
        <v>121.96942736491496</v>
      </c>
      <c r="AC1024" s="5">
        <f t="shared" si="1037"/>
        <v>86.558948452520326</v>
      </c>
      <c r="AD1024" s="5">
        <f t="shared" si="1037"/>
        <v>51.148469540125689</v>
      </c>
      <c r="AE1024" s="5">
        <f t="shared" si="1037"/>
        <v>15.737990627731051</v>
      </c>
      <c r="AF1024" s="5">
        <f t="shared" si="1037"/>
        <v>-19.672488284663586</v>
      </c>
      <c r="AG1024" s="5">
        <f t="shared" si="1037"/>
        <v>-55.082967197058224</v>
      </c>
      <c r="AH1024" s="5">
        <f t="shared" si="1037"/>
        <v>-90.493446109452861</v>
      </c>
    </row>
    <row r="1025" spans="1:34" x14ac:dyDescent="0.35">
      <c r="A1025" t="s">
        <v>1045</v>
      </c>
      <c r="B1025" s="3" t="s">
        <v>1262</v>
      </c>
      <c r="C1025" s="4" t="s">
        <v>1268</v>
      </c>
      <c r="D1025" s="2">
        <f t="shared" si="976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ref="W1025:AH1025" si="1038">IF(OR((SLOPE($E1025:$V1025,$E$1:$V$1)*W$1+INTERCEPT($E1025:$V1025,$E$1:$V$1))&gt;(AVERAGE($E1025:$V1025)+_xlfn.STDEV.P($E1025:$V1025)),(SLOPE($E1025:$V1025,$E$1:$V$1)*W$1+INTERCEPT($E1025:$V1025,$E$1:$V$1))&lt;(AVERAGE($E1025:$V1025)-_xlfn.STDEV.P($E1025:$V1025))),V1025,(SLOPE($E1025:$V1025,$E$1:$V$1)*W$1+INTERCEPT($E1025:$V1025,$E$1:$V$1)))</f>
        <v>521.56176470588241</v>
      </c>
      <c r="X1025" s="5">
        <f t="shared" si="1038"/>
        <v>509.79721362229105</v>
      </c>
      <c r="Y1025" s="5">
        <f t="shared" si="1038"/>
        <v>498.0326625386997</v>
      </c>
      <c r="Z1025" s="5">
        <f t="shared" si="1038"/>
        <v>486.2681114551084</v>
      </c>
      <c r="AA1025" s="5">
        <f t="shared" si="1038"/>
        <v>474.50356037151704</v>
      </c>
      <c r="AB1025" s="5">
        <f t="shared" si="1038"/>
        <v>462.73900928792568</v>
      </c>
      <c r="AC1025" s="5">
        <f t="shared" si="1038"/>
        <v>450.97445820433438</v>
      </c>
      <c r="AD1025" s="5">
        <f t="shared" si="1038"/>
        <v>439.20990712074303</v>
      </c>
      <c r="AE1025" s="5">
        <f t="shared" si="1038"/>
        <v>427.44535603715173</v>
      </c>
      <c r="AF1025" s="5">
        <f t="shared" si="1038"/>
        <v>415.68080495356037</v>
      </c>
      <c r="AG1025" s="5">
        <f t="shared" si="1038"/>
        <v>403.91625386996907</v>
      </c>
      <c r="AH1025" s="5">
        <f t="shared" si="1038"/>
        <v>392.15170278637771</v>
      </c>
    </row>
    <row r="1026" spans="1:34" x14ac:dyDescent="0.35">
      <c r="A1026" t="s">
        <v>1046</v>
      </c>
      <c r="B1026" s="3" t="s">
        <v>1264</v>
      </c>
      <c r="C1026" s="4" t="s">
        <v>1263</v>
      </c>
      <c r="D1026" s="2">
        <f t="shared" si="976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ref="W1026:AH1026" si="1039">IF(OR((SLOPE($E1026:$V1026,$E$1:$V$1)*W$1+INTERCEPT($E1026:$V1026,$E$1:$V$1))&gt;(AVERAGE($E1026:$V1026)+_xlfn.STDEV.P($E1026:$V1026)),(SLOPE($E1026:$V1026,$E$1:$V$1)*W$1+INTERCEPT($E1026:$V1026,$E$1:$V$1))&lt;(AVERAGE($E1026:$V1026)-_xlfn.STDEV.P($E1026:$V1026))),V1026,(SLOPE($E1026:$V1026,$E$1:$V$1)*W$1+INTERCEPT($E1026:$V1026,$E$1:$V$1)))</f>
        <v>1992.8384081634304</v>
      </c>
      <c r="X1026" s="5">
        <f t="shared" si="1039"/>
        <v>1992.8384081634304</v>
      </c>
      <c r="Y1026" s="5">
        <f t="shared" si="1039"/>
        <v>1992.8384081634304</v>
      </c>
      <c r="Z1026" s="5">
        <f t="shared" si="1039"/>
        <v>1992.8384081634304</v>
      </c>
      <c r="AA1026" s="5">
        <f t="shared" si="1039"/>
        <v>1992.8384081634304</v>
      </c>
      <c r="AB1026" s="5">
        <f t="shared" si="1039"/>
        <v>1992.8384081634304</v>
      </c>
      <c r="AC1026" s="5">
        <f t="shared" si="1039"/>
        <v>1992.8384081634304</v>
      </c>
      <c r="AD1026" s="5">
        <f t="shared" si="1039"/>
        <v>1992.8384081634304</v>
      </c>
      <c r="AE1026" s="5">
        <f t="shared" si="1039"/>
        <v>1992.8384081634304</v>
      </c>
      <c r="AF1026" s="5">
        <f t="shared" si="1039"/>
        <v>1992.8384081634304</v>
      </c>
      <c r="AG1026" s="5">
        <f t="shared" si="1039"/>
        <v>1992.8384081634304</v>
      </c>
      <c r="AH1026" s="5">
        <f t="shared" si="1039"/>
        <v>1992.8384081634304</v>
      </c>
    </row>
    <row r="1027" spans="1:34" x14ac:dyDescent="0.35">
      <c r="A1027" t="s">
        <v>1047</v>
      </c>
      <c r="B1027" s="3" t="s">
        <v>1264</v>
      </c>
      <c r="C1027" s="4" t="s">
        <v>1263</v>
      </c>
      <c r="D1027" s="2">
        <f t="shared" si="976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ref="W1027:AH1027" si="1040">IF(OR((SLOPE($E1027:$V1027,$E$1:$V$1)*W$1+INTERCEPT($E1027:$V1027,$E$1:$V$1))&gt;(AVERAGE($E1027:$V1027)+_xlfn.STDEV.P($E1027:$V1027)),(SLOPE($E1027:$V1027,$E$1:$V$1)*W$1+INTERCEPT($E1027:$V1027,$E$1:$V$1))&lt;(AVERAGE($E1027:$V1027)-_xlfn.STDEV.P($E1027:$V1027))),V1027,(SLOPE($E1027:$V1027,$E$1:$V$1)*W$1+INTERCEPT($E1027:$V1027,$E$1:$V$1)))</f>
        <v>669.7515179673785</v>
      </c>
      <c r="X1027" s="5">
        <f t="shared" si="1040"/>
        <v>674.87460205360378</v>
      </c>
      <c r="Y1027" s="5">
        <f t="shared" si="1040"/>
        <v>679.99768613982917</v>
      </c>
      <c r="Z1027" s="5">
        <f t="shared" si="1040"/>
        <v>685.12077022605445</v>
      </c>
      <c r="AA1027" s="5">
        <f t="shared" si="1040"/>
        <v>690.24385431227984</v>
      </c>
      <c r="AB1027" s="5">
        <f t="shared" si="1040"/>
        <v>695.36693839850511</v>
      </c>
      <c r="AC1027" s="5">
        <f t="shared" si="1040"/>
        <v>700.4900224847305</v>
      </c>
      <c r="AD1027" s="5">
        <f t="shared" si="1040"/>
        <v>705.61310657095578</v>
      </c>
      <c r="AE1027" s="5">
        <f t="shared" si="1040"/>
        <v>710.73619065718117</v>
      </c>
      <c r="AF1027" s="5">
        <f t="shared" si="1040"/>
        <v>715.85927474340656</v>
      </c>
      <c r="AG1027" s="5">
        <f t="shared" si="1040"/>
        <v>720.98235882963183</v>
      </c>
      <c r="AH1027" s="5">
        <f t="shared" si="1040"/>
        <v>726.10544291585711</v>
      </c>
    </row>
    <row r="1028" spans="1:34" x14ac:dyDescent="0.35">
      <c r="A1028" t="s">
        <v>1048</v>
      </c>
      <c r="B1028" s="3" t="s">
        <v>1266</v>
      </c>
      <c r="C1028" s="4" t="s">
        <v>1266</v>
      </c>
      <c r="D1028" s="2">
        <f t="shared" ref="D1028:D1091" si="1041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ref="W1028:AH1028" si="1042">IF(OR((SLOPE($E1028:$V1028,$E$1:$V$1)*W$1+INTERCEPT($E1028:$V1028,$E$1:$V$1))&gt;(AVERAGE($E1028:$V1028)+_xlfn.STDEV.P($E1028:$V1028)),(SLOPE($E1028:$V1028,$E$1:$V$1)*W$1+INTERCEPT($E1028:$V1028,$E$1:$V$1))&lt;(AVERAGE($E1028:$V1028)-_xlfn.STDEV.P($E1028:$V1028))),V1028,(SLOPE($E1028:$V1028,$E$1:$V$1)*W$1+INTERCEPT($E1028:$V1028,$E$1:$V$1)))</f>
        <v>1418.9819808917591</v>
      </c>
      <c r="X1028" s="5">
        <f t="shared" si="1042"/>
        <v>1503.08846129936</v>
      </c>
      <c r="Y1028" s="5">
        <f t="shared" si="1042"/>
        <v>1587.1949417069613</v>
      </c>
      <c r="Z1028" s="5">
        <f t="shared" si="1042"/>
        <v>1671.3014221145622</v>
      </c>
      <c r="AA1028" s="5">
        <f t="shared" si="1042"/>
        <v>1755.4079025221631</v>
      </c>
      <c r="AB1028" s="5">
        <f t="shared" si="1042"/>
        <v>1839.5143829297645</v>
      </c>
      <c r="AC1028" s="5">
        <f t="shared" si="1042"/>
        <v>1923.6208633373653</v>
      </c>
      <c r="AD1028" s="5">
        <f t="shared" si="1042"/>
        <v>2007.7273437449667</v>
      </c>
      <c r="AE1028" s="5">
        <f t="shared" si="1042"/>
        <v>2091.8338241525676</v>
      </c>
      <c r="AF1028" s="5">
        <f t="shared" si="1042"/>
        <v>2175.9403045601684</v>
      </c>
      <c r="AG1028" s="5">
        <f t="shared" si="1042"/>
        <v>2260.0467849677698</v>
      </c>
      <c r="AH1028" s="5">
        <f t="shared" si="1042"/>
        <v>2344.1532653753707</v>
      </c>
    </row>
    <row r="1029" spans="1:34" x14ac:dyDescent="0.35">
      <c r="A1029" t="s">
        <v>1049</v>
      </c>
      <c r="B1029" s="3" t="s">
        <v>1265</v>
      </c>
      <c r="C1029" s="4" t="s">
        <v>1263</v>
      </c>
      <c r="D1029" s="2">
        <f t="shared" si="1041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H1029" si="1043">IF(OR((SLOPE($E1029:$V1029,$E$1:$V$1)*W$1+INTERCEPT($E1029:$V1029,$E$1:$V$1))&gt;(AVERAGE($E1029:$V1029)+_xlfn.STDEV.P($E1029:$V1029)),(SLOPE($E1029:$V1029,$E$1:$V$1)*W$1+INTERCEPT($E1029:$V1029,$E$1:$V$1))&lt;(AVERAGE($E1029:$V1029)-_xlfn.STDEV.P($E1029:$V1029))),V1029,(SLOPE($E1029:$V1029,$E$1:$V$1)*W$1+INTERCEPT($E1029:$V1029,$E$1:$V$1)))</f>
        <v>729.23785769705421</v>
      </c>
      <c r="X1029" s="5">
        <f t="shared" si="1043"/>
        <v>740.75213966069191</v>
      </c>
      <c r="Y1029" s="5">
        <f t="shared" si="1043"/>
        <v>752.26642162432961</v>
      </c>
      <c r="Z1029" s="5">
        <f t="shared" si="1043"/>
        <v>763.78070358796731</v>
      </c>
      <c r="AA1029" s="5">
        <f t="shared" si="1043"/>
        <v>775.2949855516049</v>
      </c>
      <c r="AB1029" s="5">
        <f t="shared" si="1043"/>
        <v>786.80926751524271</v>
      </c>
      <c r="AC1029" s="5">
        <f t="shared" si="1043"/>
        <v>798.3235494788803</v>
      </c>
      <c r="AD1029" s="5">
        <f t="shared" si="1043"/>
        <v>809.83783144251811</v>
      </c>
      <c r="AE1029" s="5">
        <f t="shared" si="1043"/>
        <v>821.35211340615569</v>
      </c>
      <c r="AF1029" s="5">
        <f t="shared" si="1043"/>
        <v>832.86639536979339</v>
      </c>
      <c r="AG1029" s="5">
        <f t="shared" si="1043"/>
        <v>844.38067733343109</v>
      </c>
      <c r="AH1029" s="5">
        <f t="shared" si="1043"/>
        <v>855.89495929706879</v>
      </c>
    </row>
    <row r="1030" spans="1:34" x14ac:dyDescent="0.35">
      <c r="A1030" t="s">
        <v>1050</v>
      </c>
      <c r="B1030" s="3" t="s">
        <v>1266</v>
      </c>
      <c r="C1030" s="4" t="s">
        <v>1263</v>
      </c>
      <c r="D1030" s="2">
        <f t="shared" si="1041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ref="W1030:AH1030" si="1044">IF(OR((SLOPE($E1030:$V1030,$E$1:$V$1)*W$1+INTERCEPT($E1030:$V1030,$E$1:$V$1))&gt;(AVERAGE($E1030:$V1030)+_xlfn.STDEV.P($E1030:$V1030)),(SLOPE($E1030:$V1030,$E$1:$V$1)*W$1+INTERCEPT($E1030:$V1030,$E$1:$V$1))&lt;(AVERAGE($E1030:$V1030)-_xlfn.STDEV.P($E1030:$V1030))),V1030,(SLOPE($E1030:$V1030,$E$1:$V$1)*W$1+INTERCEPT($E1030:$V1030,$E$1:$V$1)))</f>
        <v>0</v>
      </c>
      <c r="X1030" s="5">
        <f t="shared" si="1044"/>
        <v>0</v>
      </c>
      <c r="Y1030" s="5">
        <f t="shared" si="1044"/>
        <v>0</v>
      </c>
      <c r="Z1030" s="5">
        <f t="shared" si="1044"/>
        <v>0</v>
      </c>
      <c r="AA1030" s="5">
        <f t="shared" si="1044"/>
        <v>0</v>
      </c>
      <c r="AB1030" s="5">
        <f t="shared" si="1044"/>
        <v>0</v>
      </c>
      <c r="AC1030" s="5">
        <f t="shared" si="1044"/>
        <v>0</v>
      </c>
      <c r="AD1030" s="5">
        <f t="shared" si="1044"/>
        <v>0</v>
      </c>
      <c r="AE1030" s="5">
        <f t="shared" si="1044"/>
        <v>0</v>
      </c>
      <c r="AF1030" s="5">
        <f t="shared" si="1044"/>
        <v>0</v>
      </c>
      <c r="AG1030" s="5">
        <f t="shared" si="1044"/>
        <v>0</v>
      </c>
      <c r="AH1030" s="5">
        <f t="shared" si="1044"/>
        <v>0</v>
      </c>
    </row>
    <row r="1031" spans="1:34" x14ac:dyDescent="0.35">
      <c r="A1031" t="s">
        <v>1051</v>
      </c>
      <c r="B1031" s="3" t="s">
        <v>1266</v>
      </c>
      <c r="C1031" s="4" t="s">
        <v>1267</v>
      </c>
      <c r="D1031" s="2">
        <f t="shared" si="1041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ref="W1031:AH1031" si="1045">IF(OR((SLOPE($E1031:$V1031,$E$1:$V$1)*W$1+INTERCEPT($E1031:$V1031,$E$1:$V$1))&gt;(AVERAGE($E1031:$V1031)+_xlfn.STDEV.P($E1031:$V1031)),(SLOPE($E1031:$V1031,$E$1:$V$1)*W$1+INTERCEPT($E1031:$V1031,$E$1:$V$1))&lt;(AVERAGE($E1031:$V1031)-_xlfn.STDEV.P($E1031:$V1031))),V1031,(SLOPE($E1031:$V1031,$E$1:$V$1)*W$1+INTERCEPT($E1031:$V1031,$E$1:$V$1)))</f>
        <v>1790.3596669724284</v>
      </c>
      <c r="X1031" s="5">
        <f t="shared" si="1045"/>
        <v>1914.742549098934</v>
      </c>
      <c r="Y1031" s="5">
        <f t="shared" si="1045"/>
        <v>2039.1254312254396</v>
      </c>
      <c r="Z1031" s="5">
        <f t="shared" si="1045"/>
        <v>2163.5083133519452</v>
      </c>
      <c r="AA1031" s="5">
        <f t="shared" si="1045"/>
        <v>2287.8911954784508</v>
      </c>
      <c r="AB1031" s="5">
        <f t="shared" si="1045"/>
        <v>2412.2740776049563</v>
      </c>
      <c r="AC1031" s="5">
        <f t="shared" si="1045"/>
        <v>2536.6569597314619</v>
      </c>
      <c r="AD1031" s="5">
        <f t="shared" si="1045"/>
        <v>2661.0398418579675</v>
      </c>
      <c r="AE1031" s="5">
        <f t="shared" si="1045"/>
        <v>2785.4227239844727</v>
      </c>
      <c r="AF1031" s="5">
        <f t="shared" si="1045"/>
        <v>2909.8056061109783</v>
      </c>
      <c r="AG1031" s="5">
        <f t="shared" si="1045"/>
        <v>3034.1884882374839</v>
      </c>
      <c r="AH1031" s="5">
        <f t="shared" si="1045"/>
        <v>3034.1884882374839</v>
      </c>
    </row>
    <row r="1032" spans="1:34" x14ac:dyDescent="0.35">
      <c r="A1032" t="s">
        <v>1052</v>
      </c>
      <c r="B1032" s="3" t="s">
        <v>1264</v>
      </c>
      <c r="C1032" s="4" t="s">
        <v>1263</v>
      </c>
      <c r="D1032" s="2">
        <f t="shared" si="1041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ref="W1032:AH1032" si="1046">IF(OR((SLOPE($E1032:$V1032,$E$1:$V$1)*W$1+INTERCEPT($E1032:$V1032,$E$1:$V$1))&gt;(AVERAGE($E1032:$V1032)+_xlfn.STDEV.P($E1032:$V1032)),(SLOPE($E1032:$V1032,$E$1:$V$1)*W$1+INTERCEPT($E1032:$V1032,$E$1:$V$1))&lt;(AVERAGE($E1032:$V1032)-_xlfn.STDEV.P($E1032:$V1032))),V1032,(SLOPE($E1032:$V1032,$E$1:$V$1)*W$1+INTERCEPT($E1032:$V1032,$E$1:$V$1)))</f>
        <v>1984.940054748884</v>
      </c>
      <c r="X1032" s="5">
        <f t="shared" si="1046"/>
        <v>2130.4525775594225</v>
      </c>
      <c r="Y1032" s="5">
        <f t="shared" si="1046"/>
        <v>2275.965100369961</v>
      </c>
      <c r="Z1032" s="5">
        <f t="shared" si="1046"/>
        <v>2421.4776231804994</v>
      </c>
      <c r="AA1032" s="5">
        <f t="shared" si="1046"/>
        <v>2566.9901459910379</v>
      </c>
      <c r="AB1032" s="5">
        <f t="shared" si="1046"/>
        <v>2712.5026688015764</v>
      </c>
      <c r="AC1032" s="5">
        <f t="shared" si="1046"/>
        <v>2858.0151916121149</v>
      </c>
      <c r="AD1032" s="5">
        <f t="shared" si="1046"/>
        <v>3003.5277144226534</v>
      </c>
      <c r="AE1032" s="5">
        <f t="shared" si="1046"/>
        <v>3003.5277144226534</v>
      </c>
      <c r="AF1032" s="5">
        <f t="shared" si="1046"/>
        <v>3003.5277144226534</v>
      </c>
      <c r="AG1032" s="5">
        <f t="shared" si="1046"/>
        <v>3003.5277144226534</v>
      </c>
      <c r="AH1032" s="5">
        <f t="shared" si="1046"/>
        <v>3003.5277144226534</v>
      </c>
    </row>
    <row r="1033" spans="1:34" x14ac:dyDescent="0.35">
      <c r="A1033" t="s">
        <v>1053</v>
      </c>
      <c r="B1033" s="3" t="s">
        <v>1264</v>
      </c>
      <c r="C1033" s="4" t="s">
        <v>1267</v>
      </c>
      <c r="D1033" s="2">
        <f t="shared" si="1041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ref="W1033:AH1033" si="1047">IF(OR((SLOPE($E1033:$V1033,$E$1:$V$1)*W$1+INTERCEPT($E1033:$V1033,$E$1:$V$1))&gt;(AVERAGE($E1033:$V1033)+_xlfn.STDEV.P($E1033:$V1033)),(SLOPE($E1033:$V1033,$E$1:$V$1)*W$1+INTERCEPT($E1033:$V1033,$E$1:$V$1))&lt;(AVERAGE($E1033:$V1033)-_xlfn.STDEV.P($E1033:$V1033))),V1033,(SLOPE($E1033:$V1033,$E$1:$V$1)*W$1+INTERCEPT($E1033:$V1033,$E$1:$V$1)))</f>
        <v>-60.202681045751433</v>
      </c>
      <c r="X1033" s="5">
        <f t="shared" si="1047"/>
        <v>-129.62615916752657</v>
      </c>
      <c r="Y1033" s="5">
        <f t="shared" si="1047"/>
        <v>-199.0496372893017</v>
      </c>
      <c r="Z1033" s="5">
        <f t="shared" si="1047"/>
        <v>-268.47311541107661</v>
      </c>
      <c r="AA1033" s="5">
        <f t="shared" si="1047"/>
        <v>-337.89659353285151</v>
      </c>
      <c r="AB1033" s="5">
        <f t="shared" si="1047"/>
        <v>-407.32007165462664</v>
      </c>
      <c r="AC1033" s="5">
        <f t="shared" si="1047"/>
        <v>-476.74354977640178</v>
      </c>
      <c r="AD1033" s="5">
        <f t="shared" si="1047"/>
        <v>-546.16702789817668</v>
      </c>
      <c r="AE1033" s="5">
        <f t="shared" si="1047"/>
        <v>-615.59050601995159</v>
      </c>
      <c r="AF1033" s="5">
        <f t="shared" si="1047"/>
        <v>-685.01398414172672</v>
      </c>
      <c r="AG1033" s="5">
        <f t="shared" si="1047"/>
        <v>-754.43746226350186</v>
      </c>
      <c r="AH1033" s="5">
        <f t="shared" si="1047"/>
        <v>-823.86094038527654</v>
      </c>
    </row>
    <row r="1034" spans="1:34" x14ac:dyDescent="0.35">
      <c r="A1034" t="s">
        <v>1054</v>
      </c>
      <c r="B1034" s="3" t="s">
        <v>1264</v>
      </c>
      <c r="C1034" s="4" t="s">
        <v>1263</v>
      </c>
      <c r="D1034" s="2">
        <f t="shared" si="1041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ref="W1034:AH1034" si="1048">IF(OR((SLOPE($E1034:$V1034,$E$1:$V$1)*W$1+INTERCEPT($E1034:$V1034,$E$1:$V$1))&gt;(AVERAGE($E1034:$V1034)+_xlfn.STDEV.P($E1034:$V1034)),(SLOPE($E1034:$V1034,$E$1:$V$1)*W$1+INTERCEPT($E1034:$V1034,$E$1:$V$1))&lt;(AVERAGE($E1034:$V1034)-_xlfn.STDEV.P($E1034:$V1034))),V1034,(SLOPE($E1034:$V1034,$E$1:$V$1)*W$1+INTERCEPT($E1034:$V1034,$E$1:$V$1)))</f>
        <v>714.2579743768938</v>
      </c>
      <c r="X1034" s="5">
        <f t="shared" si="1048"/>
        <v>726.97724974173764</v>
      </c>
      <c r="Y1034" s="5">
        <f t="shared" si="1048"/>
        <v>739.69652510658148</v>
      </c>
      <c r="Z1034" s="5">
        <f t="shared" si="1048"/>
        <v>752.4158004714252</v>
      </c>
      <c r="AA1034" s="5">
        <f t="shared" si="1048"/>
        <v>765.13507583626892</v>
      </c>
      <c r="AB1034" s="5">
        <f t="shared" si="1048"/>
        <v>777.85435120111276</v>
      </c>
      <c r="AC1034" s="5">
        <f t="shared" si="1048"/>
        <v>790.5736265659566</v>
      </c>
      <c r="AD1034" s="5">
        <f t="shared" si="1048"/>
        <v>803.29290193080033</v>
      </c>
      <c r="AE1034" s="5">
        <f t="shared" si="1048"/>
        <v>816.01217729564405</v>
      </c>
      <c r="AF1034" s="5">
        <f t="shared" si="1048"/>
        <v>828.73145266048789</v>
      </c>
      <c r="AG1034" s="5">
        <f t="shared" si="1048"/>
        <v>841.45072802533173</v>
      </c>
      <c r="AH1034" s="5">
        <f t="shared" si="1048"/>
        <v>854.17000339017545</v>
      </c>
    </row>
    <row r="1035" spans="1:34" x14ac:dyDescent="0.35">
      <c r="A1035" t="s">
        <v>1055</v>
      </c>
      <c r="B1035" s="3" t="s">
        <v>1264</v>
      </c>
      <c r="C1035" s="4" t="s">
        <v>1263</v>
      </c>
      <c r="D1035" s="2">
        <f t="shared" si="1041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ref="W1035:AH1035" si="1049">IF(OR((SLOPE($E1035:$V1035,$E$1:$V$1)*W$1+INTERCEPT($E1035:$V1035,$E$1:$V$1))&gt;(AVERAGE($E1035:$V1035)+_xlfn.STDEV.P($E1035:$V1035)),(SLOPE($E1035:$V1035,$E$1:$V$1)*W$1+INTERCEPT($E1035:$V1035,$E$1:$V$1))&lt;(AVERAGE($E1035:$V1035)-_xlfn.STDEV.P($E1035:$V1035))),V1035,(SLOPE($E1035:$V1035,$E$1:$V$1)*W$1+INTERCEPT($E1035:$V1035,$E$1:$V$1)))</f>
        <v>2273.5340752482239</v>
      </c>
      <c r="X1035" s="5">
        <f t="shared" si="1049"/>
        <v>2273.5340752482239</v>
      </c>
      <c r="Y1035" s="5">
        <f t="shared" si="1049"/>
        <v>2273.5340752482239</v>
      </c>
      <c r="Z1035" s="5">
        <f t="shared" si="1049"/>
        <v>2273.5340752482239</v>
      </c>
      <c r="AA1035" s="5">
        <f t="shared" si="1049"/>
        <v>2273.5340752482239</v>
      </c>
      <c r="AB1035" s="5">
        <f t="shared" si="1049"/>
        <v>2273.5340752482239</v>
      </c>
      <c r="AC1035" s="5">
        <f t="shared" si="1049"/>
        <v>2273.5340752482239</v>
      </c>
      <c r="AD1035" s="5">
        <f t="shared" si="1049"/>
        <v>2273.5340752482239</v>
      </c>
      <c r="AE1035" s="5">
        <f t="shared" si="1049"/>
        <v>2273.5340752482239</v>
      </c>
      <c r="AF1035" s="5">
        <f t="shared" si="1049"/>
        <v>2273.5340752482239</v>
      </c>
      <c r="AG1035" s="5">
        <f t="shared" si="1049"/>
        <v>2273.5340752482239</v>
      </c>
      <c r="AH1035" s="5">
        <f t="shared" si="1049"/>
        <v>2273.5340752482239</v>
      </c>
    </row>
    <row r="1036" spans="1:34" x14ac:dyDescent="0.35">
      <c r="A1036" t="s">
        <v>1056</v>
      </c>
      <c r="B1036" s="3" t="s">
        <v>1264</v>
      </c>
      <c r="C1036" s="4" t="s">
        <v>1263</v>
      </c>
      <c r="D1036" s="2">
        <f t="shared" si="1041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ref="W1036:AH1036" si="1050">IF(OR((SLOPE($E1036:$V1036,$E$1:$V$1)*W$1+INTERCEPT($E1036:$V1036,$E$1:$V$1))&gt;(AVERAGE($E1036:$V1036)+_xlfn.STDEV.P($E1036:$V1036)),(SLOPE($E1036:$V1036,$E$1:$V$1)*W$1+INTERCEPT($E1036:$V1036,$E$1:$V$1))&lt;(AVERAGE($E1036:$V1036)-_xlfn.STDEV.P($E1036:$V1036))),V1036,(SLOPE($E1036:$V1036,$E$1:$V$1)*W$1+INTERCEPT($E1036:$V1036,$E$1:$V$1)))</f>
        <v>1132.4464941176473</v>
      </c>
      <c r="X1036" s="5">
        <f t="shared" si="1050"/>
        <v>1203.6705882352942</v>
      </c>
      <c r="Y1036" s="5">
        <f t="shared" si="1050"/>
        <v>1203.6705882352942</v>
      </c>
      <c r="Z1036" s="5">
        <f t="shared" si="1050"/>
        <v>1203.6705882352942</v>
      </c>
      <c r="AA1036" s="5">
        <f t="shared" si="1050"/>
        <v>1203.6705882352942</v>
      </c>
      <c r="AB1036" s="5">
        <f t="shared" si="1050"/>
        <v>1203.6705882352942</v>
      </c>
      <c r="AC1036" s="5">
        <f t="shared" si="1050"/>
        <v>1203.6705882352942</v>
      </c>
      <c r="AD1036" s="5">
        <f t="shared" si="1050"/>
        <v>1203.6705882352942</v>
      </c>
      <c r="AE1036" s="5">
        <f t="shared" si="1050"/>
        <v>1203.6705882352942</v>
      </c>
      <c r="AF1036" s="5">
        <f t="shared" si="1050"/>
        <v>1203.6705882352942</v>
      </c>
      <c r="AG1036" s="5">
        <f t="shared" si="1050"/>
        <v>1203.6705882352942</v>
      </c>
      <c r="AH1036" s="5">
        <f t="shared" si="1050"/>
        <v>1203.6705882352942</v>
      </c>
    </row>
    <row r="1037" spans="1:34" x14ac:dyDescent="0.35">
      <c r="A1037" t="s">
        <v>1057</v>
      </c>
      <c r="B1037" s="3" t="s">
        <v>1264</v>
      </c>
      <c r="C1037" s="4" t="s">
        <v>1263</v>
      </c>
      <c r="D1037" s="2">
        <f t="shared" si="1041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ref="W1037:AH1037" si="1051">IF(OR((SLOPE($E1037:$V1037,$E$1:$V$1)*W$1+INTERCEPT($E1037:$V1037,$E$1:$V$1))&gt;(AVERAGE($E1037:$V1037)+_xlfn.STDEV.P($E1037:$V1037)),(SLOPE($E1037:$V1037,$E$1:$V$1)*W$1+INTERCEPT($E1037:$V1037,$E$1:$V$1))&lt;(AVERAGE($E1037:$V1037)-_xlfn.STDEV.P($E1037:$V1037))),V1037,(SLOPE($E1037:$V1037,$E$1:$V$1)*W$1+INTERCEPT($E1037:$V1037,$E$1:$V$1)))</f>
        <v>425.07017014966362</v>
      </c>
      <c r="X1037" s="5">
        <f t="shared" si="1051"/>
        <v>407.82283603292058</v>
      </c>
      <c r="Y1037" s="5">
        <f t="shared" si="1051"/>
        <v>390.57550191617747</v>
      </c>
      <c r="Z1037" s="5">
        <f t="shared" si="1051"/>
        <v>373.32816779943437</v>
      </c>
      <c r="AA1037" s="5">
        <f t="shared" si="1051"/>
        <v>356.08083368269132</v>
      </c>
      <c r="AB1037" s="5">
        <f t="shared" si="1051"/>
        <v>338.83349956594822</v>
      </c>
      <c r="AC1037" s="5">
        <f t="shared" si="1051"/>
        <v>321.58616544920511</v>
      </c>
      <c r="AD1037" s="5">
        <f t="shared" si="1051"/>
        <v>304.33883133246206</v>
      </c>
      <c r="AE1037" s="5">
        <f t="shared" si="1051"/>
        <v>287.09149721571896</v>
      </c>
      <c r="AF1037" s="5">
        <f t="shared" si="1051"/>
        <v>269.84416309897586</v>
      </c>
      <c r="AG1037" s="5">
        <f t="shared" si="1051"/>
        <v>252.59682898223281</v>
      </c>
      <c r="AH1037" s="5">
        <f t="shared" si="1051"/>
        <v>235.34949486548976</v>
      </c>
    </row>
    <row r="1038" spans="1:34" x14ac:dyDescent="0.35">
      <c r="A1038" t="s">
        <v>1058</v>
      </c>
      <c r="B1038" s="3" t="s">
        <v>1264</v>
      </c>
      <c r="C1038" s="4" t="s">
        <v>1263</v>
      </c>
      <c r="D1038" s="2">
        <f t="shared" si="1041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ref="W1038:AH1038" si="1052">IF(OR((SLOPE($E1038:$V1038,$E$1:$V$1)*W$1+INTERCEPT($E1038:$V1038,$E$1:$V$1))&gt;(AVERAGE($E1038:$V1038)+_xlfn.STDEV.P($E1038:$V1038)),(SLOPE($E1038:$V1038,$E$1:$V$1)*W$1+INTERCEPT($E1038:$V1038,$E$1:$V$1))&lt;(AVERAGE($E1038:$V1038)-_xlfn.STDEV.P($E1038:$V1038))),V1038,(SLOPE($E1038:$V1038,$E$1:$V$1)*W$1+INTERCEPT($E1038:$V1038,$E$1:$V$1)))</f>
        <v>1911.9368958651726</v>
      </c>
      <c r="X1038" s="5">
        <f t="shared" si="1052"/>
        <v>2052.0976833440104</v>
      </c>
      <c r="Y1038" s="5">
        <f t="shared" si="1052"/>
        <v>2192.2584708228483</v>
      </c>
      <c r="Z1038" s="5">
        <f t="shared" si="1052"/>
        <v>2332.4192583016861</v>
      </c>
      <c r="AA1038" s="5">
        <f t="shared" si="1052"/>
        <v>2472.580045780524</v>
      </c>
      <c r="AB1038" s="5">
        <f t="shared" si="1052"/>
        <v>2612.7408332593618</v>
      </c>
      <c r="AC1038" s="5">
        <f t="shared" si="1052"/>
        <v>2752.9016207381997</v>
      </c>
      <c r="AD1038" s="5">
        <f t="shared" si="1052"/>
        <v>2893.0624082170375</v>
      </c>
      <c r="AE1038" s="5">
        <f t="shared" si="1052"/>
        <v>2893.0624082170375</v>
      </c>
      <c r="AF1038" s="5">
        <f t="shared" si="1052"/>
        <v>2893.0624082170375</v>
      </c>
      <c r="AG1038" s="5">
        <f t="shared" si="1052"/>
        <v>2893.0624082170375</v>
      </c>
      <c r="AH1038" s="5">
        <f t="shared" si="1052"/>
        <v>2893.0624082170375</v>
      </c>
    </row>
    <row r="1039" spans="1:34" x14ac:dyDescent="0.35">
      <c r="A1039" t="s">
        <v>1059</v>
      </c>
      <c r="B1039" s="3" t="s">
        <v>1266</v>
      </c>
      <c r="C1039" s="4" t="s">
        <v>1267</v>
      </c>
      <c r="D1039" s="2">
        <f t="shared" si="1041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ref="W1039:AH1039" si="1053">IF(OR((SLOPE($E1039:$V1039,$E$1:$V$1)*W$1+INTERCEPT($E1039:$V1039,$E$1:$V$1))&gt;(AVERAGE($E1039:$V1039)+_xlfn.STDEV.P($E1039:$V1039)),(SLOPE($E1039:$V1039,$E$1:$V$1)*W$1+INTERCEPT($E1039:$V1039,$E$1:$V$1))&lt;(AVERAGE($E1039:$V1039)-_xlfn.STDEV.P($E1039:$V1039))),V1039,(SLOPE($E1039:$V1039,$E$1:$V$1)*W$1+INTERCEPT($E1039:$V1039,$E$1:$V$1)))</f>
        <v>476.48322797959224</v>
      </c>
      <c r="X1039" s="5">
        <f t="shared" si="1053"/>
        <v>465.73548599509019</v>
      </c>
      <c r="Y1039" s="5">
        <f t="shared" si="1053"/>
        <v>454.98774401058807</v>
      </c>
      <c r="Z1039" s="5">
        <f t="shared" si="1053"/>
        <v>444.24000202608602</v>
      </c>
      <c r="AA1039" s="5">
        <f t="shared" si="1053"/>
        <v>433.4922600415839</v>
      </c>
      <c r="AB1039" s="5">
        <f t="shared" si="1053"/>
        <v>422.74451805708179</v>
      </c>
      <c r="AC1039" s="5">
        <f t="shared" si="1053"/>
        <v>411.99677607257973</v>
      </c>
      <c r="AD1039" s="5">
        <f t="shared" si="1053"/>
        <v>401.24903408807762</v>
      </c>
      <c r="AE1039" s="5">
        <f t="shared" si="1053"/>
        <v>390.50129210357557</v>
      </c>
      <c r="AF1039" s="5">
        <f t="shared" si="1053"/>
        <v>379.75355011907345</v>
      </c>
      <c r="AG1039" s="5">
        <f t="shared" si="1053"/>
        <v>369.0058081345714</v>
      </c>
      <c r="AH1039" s="5">
        <f t="shared" si="1053"/>
        <v>358.25806615006928</v>
      </c>
    </row>
    <row r="1040" spans="1:34" x14ac:dyDescent="0.35">
      <c r="A1040" t="s">
        <v>1060</v>
      </c>
      <c r="B1040" s="3" t="s">
        <v>1264</v>
      </c>
      <c r="C1040" s="4" t="s">
        <v>1263</v>
      </c>
      <c r="D1040" s="2">
        <f t="shared" si="1041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ref="W1040:AH1040" si="1054">IF(OR((SLOPE($E1040:$V1040,$E$1:$V$1)*W$1+INTERCEPT($E1040:$V1040,$E$1:$V$1))&gt;(AVERAGE($E1040:$V1040)+_xlfn.STDEV.P($E1040:$V1040)),(SLOPE($E1040:$V1040,$E$1:$V$1)*W$1+INTERCEPT($E1040:$V1040,$E$1:$V$1))&lt;(AVERAGE($E1040:$V1040)-_xlfn.STDEV.P($E1040:$V1040))),V1040,(SLOPE($E1040:$V1040,$E$1:$V$1)*W$1+INTERCEPT($E1040:$V1040,$E$1:$V$1)))</f>
        <v>490.26133333333337</v>
      </c>
      <c r="X1040" s="5">
        <f t="shared" si="1054"/>
        <v>484.86961403508769</v>
      </c>
      <c r="Y1040" s="5">
        <f t="shared" si="1054"/>
        <v>479.47789473684213</v>
      </c>
      <c r="Z1040" s="5">
        <f t="shared" si="1054"/>
        <v>474.08617543859651</v>
      </c>
      <c r="AA1040" s="5">
        <f t="shared" si="1054"/>
        <v>468.69445614035089</v>
      </c>
      <c r="AB1040" s="5">
        <f t="shared" si="1054"/>
        <v>463.30273684210528</v>
      </c>
      <c r="AC1040" s="5">
        <f t="shared" si="1054"/>
        <v>457.91101754385966</v>
      </c>
      <c r="AD1040" s="5">
        <f t="shared" si="1054"/>
        <v>452.51929824561404</v>
      </c>
      <c r="AE1040" s="5">
        <f t="shared" si="1054"/>
        <v>447.12757894736842</v>
      </c>
      <c r="AF1040" s="5">
        <f t="shared" si="1054"/>
        <v>441.7358596491228</v>
      </c>
      <c r="AG1040" s="5">
        <f t="shared" si="1054"/>
        <v>436.34414035087718</v>
      </c>
      <c r="AH1040" s="5">
        <f t="shared" si="1054"/>
        <v>430.95242105263156</v>
      </c>
    </row>
    <row r="1041" spans="1:34" x14ac:dyDescent="0.35">
      <c r="A1041" t="s">
        <v>1061</v>
      </c>
      <c r="B1041" s="3" t="s">
        <v>1266</v>
      </c>
      <c r="C1041" s="4" t="s">
        <v>1263</v>
      </c>
      <c r="D1041" s="2">
        <f t="shared" si="1041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ref="W1041:AH1041" si="1055">IF(OR((SLOPE($E1041:$V1041,$E$1:$V$1)*W$1+INTERCEPT($E1041:$V1041,$E$1:$V$1))&gt;(AVERAGE($E1041:$V1041)+_xlfn.STDEV.P($E1041:$V1041)),(SLOPE($E1041:$V1041,$E$1:$V$1)*W$1+INTERCEPT($E1041:$V1041,$E$1:$V$1))&lt;(AVERAGE($E1041:$V1041)-_xlfn.STDEV.P($E1041:$V1041))),V1041,(SLOPE($E1041:$V1041,$E$1:$V$1)*W$1+INTERCEPT($E1041:$V1041,$E$1:$V$1)))</f>
        <v>-125.15560784313698</v>
      </c>
      <c r="X1041" s="5">
        <f t="shared" si="1055"/>
        <v>-194.3205490196076</v>
      </c>
      <c r="Y1041" s="5">
        <f t="shared" si="1055"/>
        <v>-263.48549019607822</v>
      </c>
      <c r="Z1041" s="5">
        <f t="shared" si="1055"/>
        <v>-332.65043137254861</v>
      </c>
      <c r="AA1041" s="5">
        <f t="shared" si="1055"/>
        <v>-401.81537254901923</v>
      </c>
      <c r="AB1041" s="5">
        <f t="shared" si="1055"/>
        <v>-470.98031372548985</v>
      </c>
      <c r="AC1041" s="5">
        <f t="shared" si="1055"/>
        <v>-540.14525490196047</v>
      </c>
      <c r="AD1041" s="5">
        <f t="shared" si="1055"/>
        <v>-609.31019607843109</v>
      </c>
      <c r="AE1041" s="5">
        <f t="shared" si="1055"/>
        <v>-678.47513725490148</v>
      </c>
      <c r="AF1041" s="5">
        <f t="shared" si="1055"/>
        <v>-747.6400784313721</v>
      </c>
      <c r="AG1041" s="5">
        <f t="shared" si="1055"/>
        <v>-816.80501960784272</v>
      </c>
      <c r="AH1041" s="5">
        <f t="shared" si="1055"/>
        <v>-885.96996078431312</v>
      </c>
    </row>
    <row r="1042" spans="1:34" x14ac:dyDescent="0.35">
      <c r="A1042" t="s">
        <v>1062</v>
      </c>
      <c r="B1042" s="3" t="s">
        <v>1264</v>
      </c>
      <c r="C1042" s="4" t="s">
        <v>1263</v>
      </c>
      <c r="D1042" s="2">
        <f t="shared" si="1041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ref="W1042:AH1042" si="1056">IF(OR((SLOPE($E1042:$V1042,$E$1:$V$1)*W$1+INTERCEPT($E1042:$V1042,$E$1:$V$1))&gt;(AVERAGE($E1042:$V1042)+_xlfn.STDEV.P($E1042:$V1042)),(SLOPE($E1042:$V1042,$E$1:$V$1)*W$1+INTERCEPT($E1042:$V1042,$E$1:$V$1))&lt;(AVERAGE($E1042:$V1042)-_xlfn.STDEV.P($E1042:$V1042))),V1042,(SLOPE($E1042:$V1042,$E$1:$V$1)*W$1+INTERCEPT($E1042:$V1042,$E$1:$V$1)))</f>
        <v>1733.8353728426223</v>
      </c>
      <c r="X1042" s="5">
        <f t="shared" si="1056"/>
        <v>1860.9398456637923</v>
      </c>
      <c r="Y1042" s="5">
        <f t="shared" si="1056"/>
        <v>1988.0443184849619</v>
      </c>
      <c r="Z1042" s="5">
        <f t="shared" si="1056"/>
        <v>2115.1487913061314</v>
      </c>
      <c r="AA1042" s="5">
        <f t="shared" si="1056"/>
        <v>2242.253264127301</v>
      </c>
      <c r="AB1042" s="5">
        <f t="shared" si="1056"/>
        <v>2369.357736948471</v>
      </c>
      <c r="AC1042" s="5">
        <f t="shared" si="1056"/>
        <v>2496.4622097696406</v>
      </c>
      <c r="AD1042" s="5">
        <f t="shared" si="1056"/>
        <v>2623.5666825908102</v>
      </c>
      <c r="AE1042" s="5">
        <f t="shared" si="1056"/>
        <v>2623.5666825908102</v>
      </c>
      <c r="AF1042" s="5">
        <f t="shared" si="1056"/>
        <v>2623.5666825908102</v>
      </c>
      <c r="AG1042" s="5">
        <f t="shared" si="1056"/>
        <v>2623.5666825908102</v>
      </c>
      <c r="AH1042" s="5">
        <f t="shared" si="1056"/>
        <v>2623.5666825908102</v>
      </c>
    </row>
    <row r="1043" spans="1:34" x14ac:dyDescent="0.35">
      <c r="A1043" t="s">
        <v>1063</v>
      </c>
      <c r="B1043" s="3" t="s">
        <v>1265</v>
      </c>
      <c r="C1043" s="4" t="s">
        <v>1263</v>
      </c>
      <c r="D1043" s="2">
        <f t="shared" si="1041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ref="W1043:AH1043" si="1057">IF(OR((SLOPE($E1043:$V1043,$E$1:$V$1)*W$1+INTERCEPT($E1043:$V1043,$E$1:$V$1))&gt;(AVERAGE($E1043:$V1043)+_xlfn.STDEV.P($E1043:$V1043)),(SLOPE($E1043:$V1043,$E$1:$V$1)*W$1+INTERCEPT($E1043:$V1043,$E$1:$V$1))&lt;(AVERAGE($E1043:$V1043)-_xlfn.STDEV.P($E1043:$V1043))),V1043,(SLOPE($E1043:$V1043,$E$1:$V$1)*W$1+INTERCEPT($E1043:$V1043,$E$1:$V$1)))</f>
        <v>-586.86394912561195</v>
      </c>
      <c r="X1043" s="5">
        <f t="shared" si="1057"/>
        <v>-703.91160656894704</v>
      </c>
      <c r="Y1043" s="5">
        <f t="shared" si="1057"/>
        <v>-820.95926401228257</v>
      </c>
      <c r="Z1043" s="5">
        <f t="shared" si="1057"/>
        <v>-938.00692145561811</v>
      </c>
      <c r="AA1043" s="5">
        <f t="shared" si="1057"/>
        <v>-938.00692145561811</v>
      </c>
      <c r="AB1043" s="5">
        <f t="shared" si="1057"/>
        <v>-938.00692145561811</v>
      </c>
      <c r="AC1043" s="5">
        <f t="shared" si="1057"/>
        <v>-938.00692145561811</v>
      </c>
      <c r="AD1043" s="5">
        <f t="shared" si="1057"/>
        <v>-938.00692145561811</v>
      </c>
      <c r="AE1043" s="5">
        <f t="shared" si="1057"/>
        <v>-938.00692145561811</v>
      </c>
      <c r="AF1043" s="5">
        <f t="shared" si="1057"/>
        <v>-938.00692145561811</v>
      </c>
      <c r="AG1043" s="5">
        <f t="shared" si="1057"/>
        <v>-938.00692145561811</v>
      </c>
      <c r="AH1043" s="5">
        <f t="shared" si="1057"/>
        <v>-938.00692145561811</v>
      </c>
    </row>
    <row r="1044" spans="1:34" x14ac:dyDescent="0.35">
      <c r="A1044" t="s">
        <v>1064</v>
      </c>
      <c r="B1044" s="3" t="s">
        <v>1266</v>
      </c>
      <c r="C1044" s="4" t="s">
        <v>1267</v>
      </c>
      <c r="D1044" s="2">
        <f t="shared" si="1041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ref="W1044:AH1044" si="1058">IF(OR((SLOPE($E1044:$V1044,$E$1:$V$1)*W$1+INTERCEPT($E1044:$V1044,$E$1:$V$1))&gt;(AVERAGE($E1044:$V1044)+_xlfn.STDEV.P($E1044:$V1044)),(SLOPE($E1044:$V1044,$E$1:$V$1)*W$1+INTERCEPT($E1044:$V1044,$E$1:$V$1))&lt;(AVERAGE($E1044:$V1044)-_xlfn.STDEV.P($E1044:$V1044))),V1044,(SLOPE($E1044:$V1044,$E$1:$V$1)*W$1+INTERCEPT($E1044:$V1044,$E$1:$V$1)))</f>
        <v>-303.47717647058812</v>
      </c>
      <c r="X1044" s="5">
        <f t="shared" si="1058"/>
        <v>-389.72858452012383</v>
      </c>
      <c r="Y1044" s="5">
        <f t="shared" si="1058"/>
        <v>-475.97999256965954</v>
      </c>
      <c r="Z1044" s="5">
        <f t="shared" si="1058"/>
        <v>-562.23140061919503</v>
      </c>
      <c r="AA1044" s="5">
        <f t="shared" si="1058"/>
        <v>-648.48280866873051</v>
      </c>
      <c r="AB1044" s="5">
        <f t="shared" si="1058"/>
        <v>-734.73421671826623</v>
      </c>
      <c r="AC1044" s="5">
        <f t="shared" si="1058"/>
        <v>-820.98562476780194</v>
      </c>
      <c r="AD1044" s="5">
        <f t="shared" si="1058"/>
        <v>-907.23703281733765</v>
      </c>
      <c r="AE1044" s="5">
        <f t="shared" si="1058"/>
        <v>-993.48844086687291</v>
      </c>
      <c r="AF1044" s="5">
        <f t="shared" si="1058"/>
        <v>-1079.7398489164086</v>
      </c>
      <c r="AG1044" s="5">
        <f t="shared" si="1058"/>
        <v>-1165.9912569659443</v>
      </c>
      <c r="AH1044" s="5">
        <f t="shared" si="1058"/>
        <v>-1252.2426650154796</v>
      </c>
    </row>
    <row r="1045" spans="1:34" x14ac:dyDescent="0.35">
      <c r="A1045" t="s">
        <v>1065</v>
      </c>
      <c r="B1045" s="3" t="s">
        <v>1266</v>
      </c>
      <c r="C1045" s="4" t="s">
        <v>1267</v>
      </c>
      <c r="D1045" s="2">
        <f t="shared" si="1041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H1045" si="1059">IF(OR((SLOPE($E1045:$V1045,$E$1:$V$1)*W$1+INTERCEPT($E1045:$V1045,$E$1:$V$1))&gt;(AVERAGE($E1045:$V1045)+_xlfn.STDEV.P($E1045:$V1045)),(SLOPE($E1045:$V1045,$E$1:$V$1)*W$1+INTERCEPT($E1045:$V1045,$E$1:$V$1))&lt;(AVERAGE($E1045:$V1045)-_xlfn.STDEV.P($E1045:$V1045))),V1045,(SLOPE($E1045:$V1045,$E$1:$V$1)*W$1+INTERCEPT($E1045:$V1045,$E$1:$V$1)))</f>
        <v>1314.4881731239459</v>
      </c>
      <c r="X1045" s="5">
        <f t="shared" si="1059"/>
        <v>1399.3953039238179</v>
      </c>
      <c r="Y1045" s="5">
        <f t="shared" si="1059"/>
        <v>1484.3024347236899</v>
      </c>
      <c r="Z1045" s="5">
        <f t="shared" si="1059"/>
        <v>1569.2095655235621</v>
      </c>
      <c r="AA1045" s="5">
        <f t="shared" si="1059"/>
        <v>1654.1166963234343</v>
      </c>
      <c r="AB1045" s="5">
        <f t="shared" si="1059"/>
        <v>1739.0238271233063</v>
      </c>
      <c r="AC1045" s="5">
        <f t="shared" si="1059"/>
        <v>1823.9309579231783</v>
      </c>
      <c r="AD1045" s="5">
        <f t="shared" si="1059"/>
        <v>1908.8380887230503</v>
      </c>
      <c r="AE1045" s="5">
        <f t="shared" si="1059"/>
        <v>1993.7452195229228</v>
      </c>
      <c r="AF1045" s="5">
        <f t="shared" si="1059"/>
        <v>2078.6523503227945</v>
      </c>
      <c r="AG1045" s="5">
        <f t="shared" si="1059"/>
        <v>2163.5594811226665</v>
      </c>
      <c r="AH1045" s="5">
        <f t="shared" si="1059"/>
        <v>2248.466611922539</v>
      </c>
    </row>
    <row r="1046" spans="1:34" x14ac:dyDescent="0.35">
      <c r="A1046" t="s">
        <v>1066</v>
      </c>
      <c r="B1046" s="3" t="s">
        <v>1264</v>
      </c>
      <c r="C1046" s="4" t="s">
        <v>1263</v>
      </c>
      <c r="D1046" s="2">
        <f t="shared" si="1041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ref="W1046:AH1046" si="1060">IF(OR((SLOPE($E1046:$V1046,$E$1:$V$1)*W$1+INTERCEPT($E1046:$V1046,$E$1:$V$1))&gt;(AVERAGE($E1046:$V1046)+_xlfn.STDEV.P($E1046:$V1046)),(SLOPE($E1046:$V1046,$E$1:$V$1)*W$1+INTERCEPT($E1046:$V1046,$E$1:$V$1))&lt;(AVERAGE($E1046:$V1046)-_xlfn.STDEV.P($E1046:$V1046))),V1046,(SLOPE($E1046:$V1046,$E$1:$V$1)*W$1+INTERCEPT($E1046:$V1046,$E$1:$V$1)))</f>
        <v>0</v>
      </c>
      <c r="X1046" s="5">
        <f t="shared" si="1060"/>
        <v>0</v>
      </c>
      <c r="Y1046" s="5">
        <f t="shared" si="1060"/>
        <v>0</v>
      </c>
      <c r="Z1046" s="5">
        <f t="shared" si="1060"/>
        <v>0</v>
      </c>
      <c r="AA1046" s="5">
        <f t="shared" si="1060"/>
        <v>0</v>
      </c>
      <c r="AB1046" s="5">
        <f t="shared" si="1060"/>
        <v>0</v>
      </c>
      <c r="AC1046" s="5">
        <f t="shared" si="1060"/>
        <v>0</v>
      </c>
      <c r="AD1046" s="5">
        <f t="shared" si="1060"/>
        <v>0</v>
      </c>
      <c r="AE1046" s="5">
        <f t="shared" si="1060"/>
        <v>0</v>
      </c>
      <c r="AF1046" s="5">
        <f t="shared" si="1060"/>
        <v>0</v>
      </c>
      <c r="AG1046" s="5">
        <f t="shared" si="1060"/>
        <v>0</v>
      </c>
      <c r="AH1046" s="5">
        <f t="shared" si="1060"/>
        <v>0</v>
      </c>
    </row>
    <row r="1047" spans="1:34" x14ac:dyDescent="0.35">
      <c r="A1047" t="s">
        <v>1067</v>
      </c>
      <c r="B1047" s="3" t="s">
        <v>1264</v>
      </c>
      <c r="C1047" s="4" t="s">
        <v>1263</v>
      </c>
      <c r="D1047" s="2">
        <f t="shared" si="1041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ref="W1047:AH1047" si="1061">IF(OR((SLOPE($E1047:$V1047,$E$1:$V$1)*W$1+INTERCEPT($E1047:$V1047,$E$1:$V$1))&gt;(AVERAGE($E1047:$V1047)+_xlfn.STDEV.P($E1047:$V1047)),(SLOPE($E1047:$V1047,$E$1:$V$1)*W$1+INTERCEPT($E1047:$V1047,$E$1:$V$1))&lt;(AVERAGE($E1047:$V1047)-_xlfn.STDEV.P($E1047:$V1047))),V1047,(SLOPE($E1047:$V1047,$E$1:$V$1)*W$1+INTERCEPT($E1047:$V1047,$E$1:$V$1)))</f>
        <v>1068.1850433574466</v>
      </c>
      <c r="X1047" s="5">
        <f t="shared" si="1061"/>
        <v>1130.3232314751929</v>
      </c>
      <c r="Y1047" s="5">
        <f t="shared" si="1061"/>
        <v>1192.4614195929391</v>
      </c>
      <c r="Z1047" s="5">
        <f t="shared" si="1061"/>
        <v>1254.5996077106852</v>
      </c>
      <c r="AA1047" s="5">
        <f t="shared" si="1061"/>
        <v>1316.7377958284314</v>
      </c>
      <c r="AB1047" s="5">
        <f t="shared" si="1061"/>
        <v>1378.8759839461777</v>
      </c>
      <c r="AC1047" s="5">
        <f t="shared" si="1061"/>
        <v>1441.014172063924</v>
      </c>
      <c r="AD1047" s="5">
        <f t="shared" si="1061"/>
        <v>1503.1523601816702</v>
      </c>
      <c r="AE1047" s="5">
        <f t="shared" si="1061"/>
        <v>1565.2905482994163</v>
      </c>
      <c r="AF1047" s="5">
        <f t="shared" si="1061"/>
        <v>1627.4287364171626</v>
      </c>
      <c r="AG1047" s="5">
        <f t="shared" si="1061"/>
        <v>1689.5669245349088</v>
      </c>
      <c r="AH1047" s="5">
        <f t="shared" si="1061"/>
        <v>1751.7051126526549</v>
      </c>
    </row>
    <row r="1048" spans="1:34" x14ac:dyDescent="0.35">
      <c r="A1048" t="s">
        <v>1068</v>
      </c>
      <c r="B1048" s="3" t="s">
        <v>1262</v>
      </c>
      <c r="C1048" s="4" t="s">
        <v>1263</v>
      </c>
      <c r="D1048" s="2">
        <f t="shared" si="1041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ref="W1048:AH1048" si="1062">IF(OR((SLOPE($E1048:$V1048,$E$1:$V$1)*W$1+INTERCEPT($E1048:$V1048,$E$1:$V$1))&gt;(AVERAGE($E1048:$V1048)+_xlfn.STDEV.P($E1048:$V1048)),(SLOPE($E1048:$V1048,$E$1:$V$1)*W$1+INTERCEPT($E1048:$V1048,$E$1:$V$1))&lt;(AVERAGE($E1048:$V1048)-_xlfn.STDEV.P($E1048:$V1048))),V1048,(SLOPE($E1048:$V1048,$E$1:$V$1)*W$1+INTERCEPT($E1048:$V1048,$E$1:$V$1)))</f>
        <v>541.70941176470581</v>
      </c>
      <c r="X1048" s="5">
        <f t="shared" si="1062"/>
        <v>550.26271826625384</v>
      </c>
      <c r="Y1048" s="5">
        <f t="shared" si="1062"/>
        <v>558.81602476780176</v>
      </c>
      <c r="Z1048" s="5">
        <f t="shared" si="1062"/>
        <v>567.3693312693498</v>
      </c>
      <c r="AA1048" s="5">
        <f t="shared" si="1062"/>
        <v>575.92263777089784</v>
      </c>
      <c r="AB1048" s="5">
        <f t="shared" si="1062"/>
        <v>584.47594427244576</v>
      </c>
      <c r="AC1048" s="5">
        <f t="shared" si="1062"/>
        <v>593.02925077399379</v>
      </c>
      <c r="AD1048" s="5">
        <f t="shared" si="1062"/>
        <v>601.58255727554183</v>
      </c>
      <c r="AE1048" s="5">
        <f t="shared" si="1062"/>
        <v>610.13586377708975</v>
      </c>
      <c r="AF1048" s="5">
        <f t="shared" si="1062"/>
        <v>618.68917027863768</v>
      </c>
      <c r="AG1048" s="5">
        <f t="shared" si="1062"/>
        <v>627.24247678018571</v>
      </c>
      <c r="AH1048" s="5">
        <f t="shared" si="1062"/>
        <v>635.79578328173375</v>
      </c>
    </row>
    <row r="1049" spans="1:34" x14ac:dyDescent="0.35">
      <c r="A1049" t="s">
        <v>1069</v>
      </c>
      <c r="B1049" s="3" t="s">
        <v>1265</v>
      </c>
      <c r="C1049" s="4" t="s">
        <v>1263</v>
      </c>
      <c r="D1049" s="2">
        <f t="shared" si="1041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ref="W1049:AH1049" si="1063">IF(OR((SLOPE($E1049:$V1049,$E$1:$V$1)*W$1+INTERCEPT($E1049:$V1049,$E$1:$V$1))&gt;(AVERAGE($E1049:$V1049)+_xlfn.STDEV.P($E1049:$V1049)),(SLOPE($E1049:$V1049,$E$1:$V$1)*W$1+INTERCEPT($E1049:$V1049,$E$1:$V$1))&lt;(AVERAGE($E1049:$V1049)-_xlfn.STDEV.P($E1049:$V1049))),V1049,(SLOPE($E1049:$V1049,$E$1:$V$1)*W$1+INTERCEPT($E1049:$V1049,$E$1:$V$1)))</f>
        <v>1504.1835789484667</v>
      </c>
      <c r="X1049" s="5">
        <f t="shared" si="1063"/>
        <v>1614.4526759014557</v>
      </c>
      <c r="Y1049" s="5">
        <f t="shared" si="1063"/>
        <v>1724.7217728544451</v>
      </c>
      <c r="Z1049" s="5">
        <f t="shared" si="1063"/>
        <v>1834.9908698074341</v>
      </c>
      <c r="AA1049" s="5">
        <f t="shared" si="1063"/>
        <v>1945.2599667604231</v>
      </c>
      <c r="AB1049" s="5">
        <f t="shared" si="1063"/>
        <v>2055.5290637134121</v>
      </c>
      <c r="AC1049" s="5">
        <f t="shared" si="1063"/>
        <v>2165.7981606664011</v>
      </c>
      <c r="AD1049" s="5">
        <f t="shared" si="1063"/>
        <v>2276.0672576193906</v>
      </c>
      <c r="AE1049" s="5">
        <f t="shared" si="1063"/>
        <v>2276.0672576193906</v>
      </c>
      <c r="AF1049" s="5">
        <f t="shared" si="1063"/>
        <v>2276.0672576193906</v>
      </c>
      <c r="AG1049" s="5">
        <f t="shared" si="1063"/>
        <v>2276.0672576193906</v>
      </c>
      <c r="AH1049" s="5">
        <f t="shared" si="1063"/>
        <v>2276.0672576193906</v>
      </c>
    </row>
    <row r="1050" spans="1:34" x14ac:dyDescent="0.35">
      <c r="A1050" t="s">
        <v>1070</v>
      </c>
      <c r="B1050" s="3" t="s">
        <v>1265</v>
      </c>
      <c r="C1050" s="4" t="s">
        <v>1268</v>
      </c>
      <c r="D1050" s="2">
        <f t="shared" si="1041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ref="W1050:AH1050" si="1064">IF(OR((SLOPE($E1050:$V1050,$E$1:$V$1)*W$1+INTERCEPT($E1050:$V1050,$E$1:$V$1))&gt;(AVERAGE($E1050:$V1050)+_xlfn.STDEV.P($E1050:$V1050)),(SLOPE($E1050:$V1050,$E$1:$V$1)*W$1+INTERCEPT($E1050:$V1050,$E$1:$V$1))&lt;(AVERAGE($E1050:$V1050)-_xlfn.STDEV.P($E1050:$V1050))),V1050,(SLOPE($E1050:$V1050,$E$1:$V$1)*W$1+INTERCEPT($E1050:$V1050,$E$1:$V$1)))</f>
        <v>1174.1307673386668</v>
      </c>
      <c r="X1050" s="5">
        <f t="shared" si="1064"/>
        <v>1174.1307673386668</v>
      </c>
      <c r="Y1050" s="5">
        <f t="shared" si="1064"/>
        <v>1174.1307673386668</v>
      </c>
      <c r="Z1050" s="5">
        <f t="shared" si="1064"/>
        <v>1174.1307673386668</v>
      </c>
      <c r="AA1050" s="5">
        <f t="shared" si="1064"/>
        <v>1174.1307673386668</v>
      </c>
      <c r="AB1050" s="5">
        <f t="shared" si="1064"/>
        <v>1174.1307673386668</v>
      </c>
      <c r="AC1050" s="5">
        <f t="shared" si="1064"/>
        <v>1174.1307673386668</v>
      </c>
      <c r="AD1050" s="5">
        <f t="shared" si="1064"/>
        <v>1174.1307673386668</v>
      </c>
      <c r="AE1050" s="5">
        <f t="shared" si="1064"/>
        <v>1174.1307673386668</v>
      </c>
      <c r="AF1050" s="5">
        <f t="shared" si="1064"/>
        <v>1174.1307673386668</v>
      </c>
      <c r="AG1050" s="5">
        <f t="shared" si="1064"/>
        <v>1174.1307673386668</v>
      </c>
      <c r="AH1050" s="5">
        <f t="shared" si="1064"/>
        <v>1174.1307673386668</v>
      </c>
    </row>
    <row r="1051" spans="1:34" x14ac:dyDescent="0.35">
      <c r="A1051" t="s">
        <v>1071</v>
      </c>
      <c r="B1051" s="3" t="s">
        <v>1264</v>
      </c>
      <c r="C1051" s="4" t="s">
        <v>1263</v>
      </c>
      <c r="D1051" s="2">
        <f t="shared" si="1041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ref="W1051:AH1051" si="1065">IF(OR((SLOPE($E1051:$V1051,$E$1:$V$1)*W$1+INTERCEPT($E1051:$V1051,$E$1:$V$1))&gt;(AVERAGE($E1051:$V1051)+_xlfn.STDEV.P($E1051:$V1051)),(SLOPE($E1051:$V1051,$E$1:$V$1)*W$1+INTERCEPT($E1051:$V1051,$E$1:$V$1))&lt;(AVERAGE($E1051:$V1051)-_xlfn.STDEV.P($E1051:$V1051))),V1051,(SLOPE($E1051:$V1051,$E$1:$V$1)*W$1+INTERCEPT($E1051:$V1051,$E$1:$V$1)))</f>
        <v>1353.6827111111113</v>
      </c>
      <c r="X1051" s="5">
        <f t="shared" si="1065"/>
        <v>1353.6827111111113</v>
      </c>
      <c r="Y1051" s="5">
        <f t="shared" si="1065"/>
        <v>1353.6827111111113</v>
      </c>
      <c r="Z1051" s="5">
        <f t="shared" si="1065"/>
        <v>1353.6827111111113</v>
      </c>
      <c r="AA1051" s="5">
        <f t="shared" si="1065"/>
        <v>1353.6827111111113</v>
      </c>
      <c r="AB1051" s="5">
        <f t="shared" si="1065"/>
        <v>1353.6827111111113</v>
      </c>
      <c r="AC1051" s="5">
        <f t="shared" si="1065"/>
        <v>1353.6827111111113</v>
      </c>
      <c r="AD1051" s="5">
        <f t="shared" si="1065"/>
        <v>1353.6827111111113</v>
      </c>
      <c r="AE1051" s="5">
        <f t="shared" si="1065"/>
        <v>1353.6827111111113</v>
      </c>
      <c r="AF1051" s="5">
        <f t="shared" si="1065"/>
        <v>1353.6827111111113</v>
      </c>
      <c r="AG1051" s="5">
        <f t="shared" si="1065"/>
        <v>1353.6827111111113</v>
      </c>
      <c r="AH1051" s="5">
        <f t="shared" si="1065"/>
        <v>1353.6827111111113</v>
      </c>
    </row>
    <row r="1052" spans="1:34" x14ac:dyDescent="0.35">
      <c r="A1052" t="s">
        <v>1072</v>
      </c>
      <c r="B1052" s="3" t="s">
        <v>1264</v>
      </c>
      <c r="C1052" s="4" t="s">
        <v>1267</v>
      </c>
      <c r="D1052" s="2">
        <f t="shared" si="1041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ref="W1052:AH1052" si="1066">IF(OR((SLOPE($E1052:$V1052,$E$1:$V$1)*W$1+INTERCEPT($E1052:$V1052,$E$1:$V$1))&gt;(AVERAGE($E1052:$V1052)+_xlfn.STDEV.P($E1052:$V1052)),(SLOPE($E1052:$V1052,$E$1:$V$1)*W$1+INTERCEPT($E1052:$V1052,$E$1:$V$1))&lt;(AVERAGE($E1052:$V1052)-_xlfn.STDEV.P($E1052:$V1052))),V1052,(SLOPE($E1052:$V1052,$E$1:$V$1)*W$1+INTERCEPT($E1052:$V1052,$E$1:$V$1)))</f>
        <v>1129.4064673592409</v>
      </c>
      <c r="X1052" s="5">
        <f t="shared" si="1066"/>
        <v>1202.3585597484741</v>
      </c>
      <c r="Y1052" s="5">
        <f t="shared" si="1066"/>
        <v>1275.3106521377074</v>
      </c>
      <c r="Z1052" s="5">
        <f t="shared" si="1066"/>
        <v>1348.2627445269407</v>
      </c>
      <c r="AA1052" s="5">
        <f t="shared" si="1066"/>
        <v>1421.2148369161739</v>
      </c>
      <c r="AB1052" s="5">
        <f t="shared" si="1066"/>
        <v>1494.1669293054072</v>
      </c>
      <c r="AC1052" s="5">
        <f t="shared" si="1066"/>
        <v>1567.1190216946404</v>
      </c>
      <c r="AD1052" s="5">
        <f t="shared" si="1066"/>
        <v>1640.0711140838737</v>
      </c>
      <c r="AE1052" s="5">
        <f t="shared" si="1066"/>
        <v>1713.0232064731069</v>
      </c>
      <c r="AF1052" s="5">
        <f t="shared" si="1066"/>
        <v>1785.9752988623402</v>
      </c>
      <c r="AG1052" s="5">
        <f t="shared" si="1066"/>
        <v>1858.9273912515735</v>
      </c>
      <c r="AH1052" s="5">
        <f t="shared" si="1066"/>
        <v>1931.8794836408067</v>
      </c>
    </row>
    <row r="1053" spans="1:34" x14ac:dyDescent="0.35">
      <c r="A1053" t="s">
        <v>1073</v>
      </c>
      <c r="B1053" s="3" t="s">
        <v>1264</v>
      </c>
      <c r="C1053" s="4" t="s">
        <v>1263</v>
      </c>
      <c r="D1053" s="2">
        <f t="shared" si="1041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ref="W1053:AH1053" si="1067">IF(OR((SLOPE($E1053:$V1053,$E$1:$V$1)*W$1+INTERCEPT($E1053:$V1053,$E$1:$V$1))&gt;(AVERAGE($E1053:$V1053)+_xlfn.STDEV.P($E1053:$V1053)),(SLOPE($E1053:$V1053,$E$1:$V$1)*W$1+INTERCEPT($E1053:$V1053,$E$1:$V$1))&lt;(AVERAGE($E1053:$V1053)-_xlfn.STDEV.P($E1053:$V1053))),V1053,(SLOPE($E1053:$V1053,$E$1:$V$1)*W$1+INTERCEPT($E1053:$V1053,$E$1:$V$1)))</f>
        <v>973.1014868629677</v>
      </c>
      <c r="X1053" s="5">
        <f t="shared" si="1067"/>
        <v>1029.7084985641377</v>
      </c>
      <c r="Y1053" s="5">
        <f t="shared" si="1067"/>
        <v>1086.3155102653075</v>
      </c>
      <c r="Z1053" s="5">
        <f t="shared" si="1067"/>
        <v>1142.9225219664775</v>
      </c>
      <c r="AA1053" s="5">
        <f t="shared" si="1067"/>
        <v>1199.5295336676472</v>
      </c>
      <c r="AB1053" s="5">
        <f t="shared" si="1067"/>
        <v>1256.136545368817</v>
      </c>
      <c r="AC1053" s="5">
        <f t="shared" si="1067"/>
        <v>1312.743557069987</v>
      </c>
      <c r="AD1053" s="5">
        <f t="shared" si="1067"/>
        <v>1369.3505687711568</v>
      </c>
      <c r="AE1053" s="5">
        <f t="shared" si="1067"/>
        <v>1425.9575804723268</v>
      </c>
      <c r="AF1053" s="5">
        <f t="shared" si="1067"/>
        <v>1482.5645921734965</v>
      </c>
      <c r="AG1053" s="5">
        <f t="shared" si="1067"/>
        <v>1539.1716038746665</v>
      </c>
      <c r="AH1053" s="5">
        <f t="shared" si="1067"/>
        <v>1595.7786155758363</v>
      </c>
    </row>
    <row r="1054" spans="1:34" x14ac:dyDescent="0.35">
      <c r="A1054" t="s">
        <v>1074</v>
      </c>
      <c r="B1054" s="3" t="s">
        <v>1266</v>
      </c>
      <c r="C1054" s="4" t="s">
        <v>1263</v>
      </c>
      <c r="D1054" s="2">
        <f t="shared" si="1041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ref="W1054:AH1054" si="1068">IF(OR((SLOPE($E1054:$V1054,$E$1:$V$1)*W$1+INTERCEPT($E1054:$V1054,$E$1:$V$1))&gt;(AVERAGE($E1054:$V1054)+_xlfn.STDEV.P($E1054:$V1054)),(SLOPE($E1054:$V1054,$E$1:$V$1)*W$1+INTERCEPT($E1054:$V1054,$E$1:$V$1))&lt;(AVERAGE($E1054:$V1054)-_xlfn.STDEV.P($E1054:$V1054))),V1054,(SLOPE($E1054:$V1054,$E$1:$V$1)*W$1+INTERCEPT($E1054:$V1054,$E$1:$V$1)))</f>
        <v>0</v>
      </c>
      <c r="X1054" s="5">
        <f t="shared" si="1068"/>
        <v>0</v>
      </c>
      <c r="Y1054" s="5">
        <f t="shared" si="1068"/>
        <v>0</v>
      </c>
      <c r="Z1054" s="5">
        <f t="shared" si="1068"/>
        <v>0</v>
      </c>
      <c r="AA1054" s="5">
        <f t="shared" si="1068"/>
        <v>0</v>
      </c>
      <c r="AB1054" s="5">
        <f t="shared" si="1068"/>
        <v>0</v>
      </c>
      <c r="AC1054" s="5">
        <f t="shared" si="1068"/>
        <v>0</v>
      </c>
      <c r="AD1054" s="5">
        <f t="shared" si="1068"/>
        <v>0</v>
      </c>
      <c r="AE1054" s="5">
        <f t="shared" si="1068"/>
        <v>0</v>
      </c>
      <c r="AF1054" s="5">
        <f t="shared" si="1068"/>
        <v>0</v>
      </c>
      <c r="AG1054" s="5">
        <f t="shared" si="1068"/>
        <v>0</v>
      </c>
      <c r="AH1054" s="5">
        <f t="shared" si="1068"/>
        <v>0</v>
      </c>
    </row>
    <row r="1055" spans="1:34" x14ac:dyDescent="0.35">
      <c r="A1055" t="s">
        <v>1075</v>
      </c>
      <c r="B1055" s="3" t="s">
        <v>1264</v>
      </c>
      <c r="C1055" s="4" t="s">
        <v>1267</v>
      </c>
      <c r="D1055" s="2">
        <f t="shared" si="1041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ref="W1055:AH1055" si="1069">IF(OR((SLOPE($E1055:$V1055,$E$1:$V$1)*W$1+INTERCEPT($E1055:$V1055,$E$1:$V$1))&gt;(AVERAGE($E1055:$V1055)+_xlfn.STDEV.P($E1055:$V1055)),(SLOPE($E1055:$V1055,$E$1:$V$1)*W$1+INTERCEPT($E1055:$V1055,$E$1:$V$1))&lt;(AVERAGE($E1055:$V1055)-_xlfn.STDEV.P($E1055:$V1055))),V1055,(SLOPE($E1055:$V1055,$E$1:$V$1)*W$1+INTERCEPT($E1055:$V1055,$E$1:$V$1)))</f>
        <v>1109.2313507703698</v>
      </c>
      <c r="X1055" s="5">
        <f t="shared" si="1069"/>
        <v>1180.8802657722836</v>
      </c>
      <c r="Y1055" s="5">
        <f t="shared" si="1069"/>
        <v>1252.5291807741974</v>
      </c>
      <c r="Z1055" s="5">
        <f t="shared" si="1069"/>
        <v>1324.1780957761111</v>
      </c>
      <c r="AA1055" s="5">
        <f t="shared" si="1069"/>
        <v>1395.8270107780249</v>
      </c>
      <c r="AB1055" s="5">
        <f t="shared" si="1069"/>
        <v>1467.4759257799387</v>
      </c>
      <c r="AC1055" s="5">
        <f t="shared" si="1069"/>
        <v>1539.124840781853</v>
      </c>
      <c r="AD1055" s="5">
        <f t="shared" si="1069"/>
        <v>1610.7737557837668</v>
      </c>
      <c r="AE1055" s="5">
        <f t="shared" si="1069"/>
        <v>1682.4226707856806</v>
      </c>
      <c r="AF1055" s="5">
        <f t="shared" si="1069"/>
        <v>1754.0715857875944</v>
      </c>
      <c r="AG1055" s="5">
        <f t="shared" si="1069"/>
        <v>1825.7205007895082</v>
      </c>
      <c r="AH1055" s="5">
        <f t="shared" si="1069"/>
        <v>1897.3694157914219</v>
      </c>
    </row>
    <row r="1056" spans="1:34" x14ac:dyDescent="0.35">
      <c r="A1056" t="s">
        <v>1076</v>
      </c>
      <c r="B1056" s="3" t="s">
        <v>1264</v>
      </c>
      <c r="C1056" s="4" t="s">
        <v>1267</v>
      </c>
      <c r="D1056" s="2">
        <f t="shared" si="1041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ref="W1056:AH1056" si="1070">IF(OR((SLOPE($E1056:$V1056,$E$1:$V$1)*W$1+INTERCEPT($E1056:$V1056,$E$1:$V$1))&gt;(AVERAGE($E1056:$V1056)+_xlfn.STDEV.P($E1056:$V1056)),(SLOPE($E1056:$V1056,$E$1:$V$1)*W$1+INTERCEPT($E1056:$V1056,$E$1:$V$1))&lt;(AVERAGE($E1056:$V1056)-_xlfn.STDEV.P($E1056:$V1056))),V1056,(SLOPE($E1056:$V1056,$E$1:$V$1)*W$1+INTERCEPT($E1056:$V1056,$E$1:$V$1)))</f>
        <v>1100.2280929212357</v>
      </c>
      <c r="X1056" s="5">
        <f t="shared" si="1070"/>
        <v>1171.2954577749997</v>
      </c>
      <c r="Y1056" s="5">
        <f t="shared" si="1070"/>
        <v>1242.3628226287638</v>
      </c>
      <c r="Z1056" s="5">
        <f t="shared" si="1070"/>
        <v>1313.4301874825278</v>
      </c>
      <c r="AA1056" s="5">
        <f t="shared" si="1070"/>
        <v>1384.4975523362918</v>
      </c>
      <c r="AB1056" s="5">
        <f t="shared" si="1070"/>
        <v>1455.5649171900559</v>
      </c>
      <c r="AC1056" s="5">
        <f t="shared" si="1070"/>
        <v>1526.6322820438199</v>
      </c>
      <c r="AD1056" s="5">
        <f t="shared" si="1070"/>
        <v>1597.699646897584</v>
      </c>
      <c r="AE1056" s="5">
        <f t="shared" si="1070"/>
        <v>1668.767011751348</v>
      </c>
      <c r="AF1056" s="5">
        <f t="shared" si="1070"/>
        <v>1739.8343766051121</v>
      </c>
      <c r="AG1056" s="5">
        <f t="shared" si="1070"/>
        <v>1810.9017414588761</v>
      </c>
      <c r="AH1056" s="5">
        <f t="shared" si="1070"/>
        <v>1881.9691063126402</v>
      </c>
    </row>
    <row r="1057" spans="1:34" x14ac:dyDescent="0.35">
      <c r="A1057" t="s">
        <v>1077</v>
      </c>
      <c r="B1057" s="3" t="s">
        <v>1264</v>
      </c>
      <c r="C1057" s="4" t="s">
        <v>1263</v>
      </c>
      <c r="D1057" s="2">
        <f t="shared" si="1041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ref="W1057:AH1057" si="1071">IF(OR((SLOPE($E1057:$V1057,$E$1:$V$1)*W$1+INTERCEPT($E1057:$V1057,$E$1:$V$1))&gt;(AVERAGE($E1057:$V1057)+_xlfn.STDEV.P($E1057:$V1057)),(SLOPE($E1057:$V1057,$E$1:$V$1)*W$1+INTERCEPT($E1057:$V1057,$E$1:$V$1))&lt;(AVERAGE($E1057:$V1057)-_xlfn.STDEV.P($E1057:$V1057))),V1057,(SLOPE($E1057:$V1057,$E$1:$V$1)*W$1+INTERCEPT($E1057:$V1057,$E$1:$V$1)))</f>
        <v>1389.4751785644917</v>
      </c>
      <c r="X1057" s="5">
        <f t="shared" si="1071"/>
        <v>1491.3352010532417</v>
      </c>
      <c r="Y1057" s="5">
        <f t="shared" si="1071"/>
        <v>1593.1952235419922</v>
      </c>
      <c r="Z1057" s="5">
        <f t="shared" si="1071"/>
        <v>1695.0552460307422</v>
      </c>
      <c r="AA1057" s="5">
        <f t="shared" si="1071"/>
        <v>1796.9152685194927</v>
      </c>
      <c r="AB1057" s="5">
        <f t="shared" si="1071"/>
        <v>1898.7752910082431</v>
      </c>
      <c r="AC1057" s="5">
        <f t="shared" si="1071"/>
        <v>2000.6353134969931</v>
      </c>
      <c r="AD1057" s="5">
        <f t="shared" si="1071"/>
        <v>2102.4953359857436</v>
      </c>
      <c r="AE1057" s="5">
        <f t="shared" si="1071"/>
        <v>2102.4953359857436</v>
      </c>
      <c r="AF1057" s="5">
        <f t="shared" si="1071"/>
        <v>2102.4953359857436</v>
      </c>
      <c r="AG1057" s="5">
        <f t="shared" si="1071"/>
        <v>2102.4953359857436</v>
      </c>
      <c r="AH1057" s="5">
        <f t="shared" si="1071"/>
        <v>2102.4953359857436</v>
      </c>
    </row>
    <row r="1058" spans="1:34" x14ac:dyDescent="0.35">
      <c r="A1058" t="s">
        <v>1078</v>
      </c>
      <c r="B1058" s="3" t="s">
        <v>1265</v>
      </c>
      <c r="C1058" s="4" t="s">
        <v>1263</v>
      </c>
      <c r="D1058" s="2">
        <f t="shared" si="1041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ref="W1058:AH1058" si="1072">IF(OR((SLOPE($E1058:$V1058,$E$1:$V$1)*W$1+INTERCEPT($E1058:$V1058,$E$1:$V$1))&gt;(AVERAGE($E1058:$V1058)+_xlfn.STDEV.P($E1058:$V1058)),(SLOPE($E1058:$V1058,$E$1:$V$1)*W$1+INTERCEPT($E1058:$V1058,$E$1:$V$1))&lt;(AVERAGE($E1058:$V1058)-_xlfn.STDEV.P($E1058:$V1058))),V1058,(SLOPE($E1058:$V1058,$E$1:$V$1)*W$1+INTERCEPT($E1058:$V1058,$E$1:$V$1)))</f>
        <v>927.51120000000003</v>
      </c>
      <c r="X1058" s="5">
        <f t="shared" si="1072"/>
        <v>927.51120000000003</v>
      </c>
      <c r="Y1058" s="5">
        <f t="shared" si="1072"/>
        <v>927.51120000000003</v>
      </c>
      <c r="Z1058" s="5">
        <f t="shared" si="1072"/>
        <v>927.51120000000003</v>
      </c>
      <c r="AA1058" s="5">
        <f t="shared" si="1072"/>
        <v>927.51120000000003</v>
      </c>
      <c r="AB1058" s="5">
        <f t="shared" si="1072"/>
        <v>927.51120000000003</v>
      </c>
      <c r="AC1058" s="5">
        <f t="shared" si="1072"/>
        <v>927.51120000000003</v>
      </c>
      <c r="AD1058" s="5">
        <f t="shared" si="1072"/>
        <v>927.51120000000003</v>
      </c>
      <c r="AE1058" s="5">
        <f t="shared" si="1072"/>
        <v>927.51120000000003</v>
      </c>
      <c r="AF1058" s="5">
        <f t="shared" si="1072"/>
        <v>927.51120000000003</v>
      </c>
      <c r="AG1058" s="5">
        <f t="shared" si="1072"/>
        <v>927.51120000000003</v>
      </c>
      <c r="AH1058" s="5">
        <f t="shared" si="1072"/>
        <v>927.51120000000003</v>
      </c>
    </row>
    <row r="1059" spans="1:34" x14ac:dyDescent="0.35">
      <c r="A1059" t="s">
        <v>1079</v>
      </c>
      <c r="B1059" s="3" t="s">
        <v>1264</v>
      </c>
      <c r="C1059" s="4" t="s">
        <v>1263</v>
      </c>
      <c r="D1059" s="2">
        <f t="shared" si="1041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ref="W1059:AH1059" si="1073">IF(OR((SLOPE($E1059:$V1059,$E$1:$V$1)*W$1+INTERCEPT($E1059:$V1059,$E$1:$V$1))&gt;(AVERAGE($E1059:$V1059)+_xlfn.STDEV.P($E1059:$V1059)),(SLOPE($E1059:$V1059,$E$1:$V$1)*W$1+INTERCEPT($E1059:$V1059,$E$1:$V$1))&lt;(AVERAGE($E1059:$V1059)-_xlfn.STDEV.P($E1059:$V1059))),V1059,(SLOPE($E1059:$V1059,$E$1:$V$1)*W$1+INTERCEPT($E1059:$V1059,$E$1:$V$1)))</f>
        <v>932.5609542483661</v>
      </c>
      <c r="X1059" s="5">
        <f t="shared" si="1073"/>
        <v>986.7715201926386</v>
      </c>
      <c r="Y1059" s="5">
        <f t="shared" si="1073"/>
        <v>1040.9820861369108</v>
      </c>
      <c r="Z1059" s="5">
        <f t="shared" si="1073"/>
        <v>1040.9820861369108</v>
      </c>
      <c r="AA1059" s="5">
        <f t="shared" si="1073"/>
        <v>1040.9820861369108</v>
      </c>
      <c r="AB1059" s="5">
        <f t="shared" si="1073"/>
        <v>1040.9820861369108</v>
      </c>
      <c r="AC1059" s="5">
        <f t="shared" si="1073"/>
        <v>1040.9820861369108</v>
      </c>
      <c r="AD1059" s="5">
        <f t="shared" si="1073"/>
        <v>1040.9820861369108</v>
      </c>
      <c r="AE1059" s="5">
        <f t="shared" si="1073"/>
        <v>1040.9820861369108</v>
      </c>
      <c r="AF1059" s="5">
        <f t="shared" si="1073"/>
        <v>1040.9820861369108</v>
      </c>
      <c r="AG1059" s="5">
        <f t="shared" si="1073"/>
        <v>1040.9820861369108</v>
      </c>
      <c r="AH1059" s="5">
        <f t="shared" si="1073"/>
        <v>1040.9820861369108</v>
      </c>
    </row>
    <row r="1060" spans="1:34" x14ac:dyDescent="0.35">
      <c r="A1060" t="s">
        <v>1080</v>
      </c>
      <c r="B1060" s="3" t="s">
        <v>1266</v>
      </c>
      <c r="C1060" s="4" t="s">
        <v>1266</v>
      </c>
      <c r="D1060" s="2">
        <f t="shared" si="1041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ref="W1060:AH1060" si="1074">IF(OR((SLOPE($E1060:$V1060,$E$1:$V$1)*W$1+INTERCEPT($E1060:$V1060,$E$1:$V$1))&gt;(AVERAGE($E1060:$V1060)+_xlfn.STDEV.P($E1060:$V1060)),(SLOPE($E1060:$V1060,$E$1:$V$1)*W$1+INTERCEPT($E1060:$V1060,$E$1:$V$1))&lt;(AVERAGE($E1060:$V1060)-_xlfn.STDEV.P($E1060:$V1060))),V1060,(SLOPE($E1060:$V1060,$E$1:$V$1)*W$1+INTERCEPT($E1060:$V1060,$E$1:$V$1)))</f>
        <v>1045.0391092156415</v>
      </c>
      <c r="X1060" s="5">
        <f t="shared" si="1074"/>
        <v>1111.5518077730035</v>
      </c>
      <c r="Y1060" s="5">
        <f t="shared" si="1074"/>
        <v>1178.0645063303659</v>
      </c>
      <c r="Z1060" s="5">
        <f t="shared" si="1074"/>
        <v>1244.5772048877284</v>
      </c>
      <c r="AA1060" s="5">
        <f t="shared" si="1074"/>
        <v>1311.0899034450908</v>
      </c>
      <c r="AB1060" s="5">
        <f t="shared" si="1074"/>
        <v>1377.6026020024533</v>
      </c>
      <c r="AC1060" s="5">
        <f t="shared" si="1074"/>
        <v>1444.1153005598153</v>
      </c>
      <c r="AD1060" s="5">
        <f t="shared" si="1074"/>
        <v>1510.6279991171778</v>
      </c>
      <c r="AE1060" s="5">
        <f t="shared" si="1074"/>
        <v>1577.1406976745402</v>
      </c>
      <c r="AF1060" s="5">
        <f t="shared" si="1074"/>
        <v>1643.6533962319027</v>
      </c>
      <c r="AG1060" s="5">
        <f t="shared" si="1074"/>
        <v>1643.6533962319027</v>
      </c>
      <c r="AH1060" s="5">
        <f t="shared" si="1074"/>
        <v>1643.6533962319027</v>
      </c>
    </row>
    <row r="1061" spans="1:34" x14ac:dyDescent="0.35">
      <c r="A1061" t="s">
        <v>1081</v>
      </c>
      <c r="B1061" s="3" t="s">
        <v>1264</v>
      </c>
      <c r="C1061" s="4" t="s">
        <v>1263</v>
      </c>
      <c r="D1061" s="2">
        <f t="shared" si="1041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H1061" si="1075">IF(OR((SLOPE($E1061:$V1061,$E$1:$V$1)*W$1+INTERCEPT($E1061:$V1061,$E$1:$V$1))&gt;(AVERAGE($E1061:$V1061)+_xlfn.STDEV.P($E1061:$V1061)),(SLOPE($E1061:$V1061,$E$1:$V$1)*W$1+INTERCEPT($E1061:$V1061,$E$1:$V$1))&lt;(AVERAGE($E1061:$V1061)-_xlfn.STDEV.P($E1061:$V1061))),V1061,(SLOPE($E1061:$V1061,$E$1:$V$1)*W$1+INTERCEPT($E1061:$V1061,$E$1:$V$1)))</f>
        <v>-427.95696975136138</v>
      </c>
      <c r="X1061" s="5">
        <f t="shared" si="1075"/>
        <v>-514.62560092526405</v>
      </c>
      <c r="Y1061" s="5">
        <f t="shared" si="1075"/>
        <v>-601.29423209916672</v>
      </c>
      <c r="Z1061" s="5">
        <f t="shared" si="1075"/>
        <v>-687.96286327306939</v>
      </c>
      <c r="AA1061" s="5">
        <f t="shared" si="1075"/>
        <v>-687.96286327306939</v>
      </c>
      <c r="AB1061" s="5">
        <f t="shared" si="1075"/>
        <v>-687.96286327306939</v>
      </c>
      <c r="AC1061" s="5">
        <f t="shared" si="1075"/>
        <v>-687.96286327306939</v>
      </c>
      <c r="AD1061" s="5">
        <f t="shared" si="1075"/>
        <v>-687.96286327306939</v>
      </c>
      <c r="AE1061" s="5">
        <f t="shared" si="1075"/>
        <v>-687.96286327306939</v>
      </c>
      <c r="AF1061" s="5">
        <f t="shared" si="1075"/>
        <v>-687.96286327306939</v>
      </c>
      <c r="AG1061" s="5">
        <f t="shared" si="1075"/>
        <v>-687.96286327306939</v>
      </c>
      <c r="AH1061" s="5">
        <f t="shared" si="1075"/>
        <v>-687.96286327306939</v>
      </c>
    </row>
    <row r="1062" spans="1:34" x14ac:dyDescent="0.35">
      <c r="A1062" t="s">
        <v>1082</v>
      </c>
      <c r="B1062" s="3" t="s">
        <v>1266</v>
      </c>
      <c r="C1062" s="4" t="s">
        <v>1267</v>
      </c>
      <c r="D1062" s="2">
        <f t="shared" si="1041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ref="W1062:AH1062" si="1076">IF(OR((SLOPE($E1062:$V1062,$E$1:$V$1)*W$1+INTERCEPT($E1062:$V1062,$E$1:$V$1))&gt;(AVERAGE($E1062:$V1062)+_xlfn.STDEV.P($E1062:$V1062)),(SLOPE($E1062:$V1062,$E$1:$V$1)*W$1+INTERCEPT($E1062:$V1062,$E$1:$V$1))&lt;(AVERAGE($E1062:$V1062)-_xlfn.STDEV.P($E1062:$V1062))),V1062,(SLOPE($E1062:$V1062,$E$1:$V$1)*W$1+INTERCEPT($E1062:$V1062,$E$1:$V$1)))</f>
        <v>1121.9978274780829</v>
      </c>
      <c r="X1062" s="5">
        <f t="shared" si="1076"/>
        <v>1198.5484909113227</v>
      </c>
      <c r="Y1062" s="5">
        <f t="shared" si="1076"/>
        <v>1275.0991543445627</v>
      </c>
      <c r="Z1062" s="5">
        <f t="shared" si="1076"/>
        <v>1351.6498177778026</v>
      </c>
      <c r="AA1062" s="5">
        <f t="shared" si="1076"/>
        <v>1428.2004812110424</v>
      </c>
      <c r="AB1062" s="5">
        <f t="shared" si="1076"/>
        <v>1504.7511446442825</v>
      </c>
      <c r="AC1062" s="5">
        <f t="shared" si="1076"/>
        <v>1581.3018080775223</v>
      </c>
      <c r="AD1062" s="5">
        <f t="shared" si="1076"/>
        <v>1581.3018080775223</v>
      </c>
      <c r="AE1062" s="5">
        <f t="shared" si="1076"/>
        <v>1581.3018080775223</v>
      </c>
      <c r="AF1062" s="5">
        <f t="shared" si="1076"/>
        <v>1581.3018080775223</v>
      </c>
      <c r="AG1062" s="5">
        <f t="shared" si="1076"/>
        <v>1581.3018080775223</v>
      </c>
      <c r="AH1062" s="5">
        <f t="shared" si="1076"/>
        <v>1581.3018080775223</v>
      </c>
    </row>
    <row r="1063" spans="1:34" x14ac:dyDescent="0.35">
      <c r="A1063" t="s">
        <v>1083</v>
      </c>
      <c r="B1063" s="3" t="s">
        <v>1264</v>
      </c>
      <c r="C1063" s="4" t="s">
        <v>1263</v>
      </c>
      <c r="D1063" s="2">
        <f t="shared" si="1041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ref="W1063:AH1063" si="1077">IF(OR((SLOPE($E1063:$V1063,$E$1:$V$1)*W$1+INTERCEPT($E1063:$V1063,$E$1:$V$1))&gt;(AVERAGE($E1063:$V1063)+_xlfn.STDEV.P($E1063:$V1063)),(SLOPE($E1063:$V1063,$E$1:$V$1)*W$1+INTERCEPT($E1063:$V1063,$E$1:$V$1))&lt;(AVERAGE($E1063:$V1063)-_xlfn.STDEV.P($E1063:$V1063))),V1063,(SLOPE($E1063:$V1063,$E$1:$V$1)*W$1+INTERCEPT($E1063:$V1063,$E$1:$V$1)))</f>
        <v>739.90355906340778</v>
      </c>
      <c r="X1063" s="5">
        <f t="shared" si="1077"/>
        <v>776.41195835929966</v>
      </c>
      <c r="Y1063" s="5">
        <f t="shared" si="1077"/>
        <v>812.92035765519154</v>
      </c>
      <c r="Z1063" s="5">
        <f t="shared" si="1077"/>
        <v>849.42875695108341</v>
      </c>
      <c r="AA1063" s="5">
        <f t="shared" si="1077"/>
        <v>885.93715624697506</v>
      </c>
      <c r="AB1063" s="5">
        <f t="shared" si="1077"/>
        <v>922.44555554286694</v>
      </c>
      <c r="AC1063" s="5">
        <f t="shared" si="1077"/>
        <v>958.95395483875882</v>
      </c>
      <c r="AD1063" s="5">
        <f t="shared" si="1077"/>
        <v>995.4623541346507</v>
      </c>
      <c r="AE1063" s="5">
        <f t="shared" si="1077"/>
        <v>1031.9707534305426</v>
      </c>
      <c r="AF1063" s="5">
        <f t="shared" si="1077"/>
        <v>1068.4791527264344</v>
      </c>
      <c r="AG1063" s="5">
        <f t="shared" si="1077"/>
        <v>1104.9875520223263</v>
      </c>
      <c r="AH1063" s="5">
        <f t="shared" si="1077"/>
        <v>1141.495951318218</v>
      </c>
    </row>
    <row r="1064" spans="1:34" x14ac:dyDescent="0.35">
      <c r="A1064" t="s">
        <v>1084</v>
      </c>
      <c r="B1064" s="3" t="s">
        <v>1266</v>
      </c>
      <c r="C1064" s="4" t="s">
        <v>1267</v>
      </c>
      <c r="D1064" s="2">
        <f t="shared" si="1041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ref="W1064:AH1064" si="1078">IF(OR((SLOPE($E1064:$V1064,$E$1:$V$1)*W$1+INTERCEPT($E1064:$V1064,$E$1:$V$1))&gt;(AVERAGE($E1064:$V1064)+_xlfn.STDEV.P($E1064:$V1064)),(SLOPE($E1064:$V1064,$E$1:$V$1)*W$1+INTERCEPT($E1064:$V1064,$E$1:$V$1))&lt;(AVERAGE($E1064:$V1064)-_xlfn.STDEV.P($E1064:$V1064))),V1064,(SLOPE($E1064:$V1064,$E$1:$V$1)*W$1+INTERCEPT($E1064:$V1064,$E$1:$V$1)))</f>
        <v>1177.786210116443</v>
      </c>
      <c r="X1064" s="5">
        <f t="shared" si="1078"/>
        <v>1260.4627151912448</v>
      </c>
      <c r="Y1064" s="5">
        <f t="shared" si="1078"/>
        <v>1343.1392202660466</v>
      </c>
      <c r="Z1064" s="5">
        <f t="shared" si="1078"/>
        <v>1425.8157253408483</v>
      </c>
      <c r="AA1064" s="5">
        <f t="shared" si="1078"/>
        <v>1508.4922304156501</v>
      </c>
      <c r="AB1064" s="5">
        <f t="shared" si="1078"/>
        <v>1591.1687354904518</v>
      </c>
      <c r="AC1064" s="5">
        <f t="shared" si="1078"/>
        <v>1591.1687354904518</v>
      </c>
      <c r="AD1064" s="5">
        <f t="shared" si="1078"/>
        <v>1591.1687354904518</v>
      </c>
      <c r="AE1064" s="5">
        <f t="shared" si="1078"/>
        <v>1591.1687354904518</v>
      </c>
      <c r="AF1064" s="5">
        <f t="shared" si="1078"/>
        <v>1591.1687354904518</v>
      </c>
      <c r="AG1064" s="5">
        <f t="shared" si="1078"/>
        <v>1591.1687354904518</v>
      </c>
      <c r="AH1064" s="5">
        <f t="shared" si="1078"/>
        <v>1591.1687354904518</v>
      </c>
    </row>
    <row r="1065" spans="1:34" x14ac:dyDescent="0.35">
      <c r="A1065" t="s">
        <v>1085</v>
      </c>
      <c r="B1065" s="3" t="s">
        <v>1264</v>
      </c>
      <c r="C1065" s="4" t="s">
        <v>1263</v>
      </c>
      <c r="D1065" s="2">
        <f t="shared" si="1041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ref="W1065:AH1065" si="1079">IF(OR((SLOPE($E1065:$V1065,$E$1:$V$1)*W$1+INTERCEPT($E1065:$V1065,$E$1:$V$1))&gt;(AVERAGE($E1065:$V1065)+_xlfn.STDEV.P($E1065:$V1065)),(SLOPE($E1065:$V1065,$E$1:$V$1)*W$1+INTERCEPT($E1065:$V1065,$E$1:$V$1))&lt;(AVERAGE($E1065:$V1065)-_xlfn.STDEV.P($E1065:$V1065))),V1065,(SLOPE($E1065:$V1065,$E$1:$V$1)*W$1+INTERCEPT($E1065:$V1065,$E$1:$V$1)))</f>
        <v>1039.4880502722706</v>
      </c>
      <c r="X1065" s="5">
        <f t="shared" si="1079"/>
        <v>1039.4880502722706</v>
      </c>
      <c r="Y1065" s="5">
        <f t="shared" si="1079"/>
        <v>1039.4880502722706</v>
      </c>
      <c r="Z1065" s="5">
        <f t="shared" si="1079"/>
        <v>1039.4880502722706</v>
      </c>
      <c r="AA1065" s="5">
        <f t="shared" si="1079"/>
        <v>1039.4880502722706</v>
      </c>
      <c r="AB1065" s="5">
        <f t="shared" si="1079"/>
        <v>1039.4880502722706</v>
      </c>
      <c r="AC1065" s="5">
        <f t="shared" si="1079"/>
        <v>1039.4880502722706</v>
      </c>
      <c r="AD1065" s="5">
        <f t="shared" si="1079"/>
        <v>1039.4880502722706</v>
      </c>
      <c r="AE1065" s="5">
        <f t="shared" si="1079"/>
        <v>1039.4880502722706</v>
      </c>
      <c r="AF1065" s="5">
        <f t="shared" si="1079"/>
        <v>1039.4880502722706</v>
      </c>
      <c r="AG1065" s="5">
        <f t="shared" si="1079"/>
        <v>1039.4880502722706</v>
      </c>
      <c r="AH1065" s="5">
        <f t="shared" si="1079"/>
        <v>1039.4880502722706</v>
      </c>
    </row>
    <row r="1066" spans="1:34" x14ac:dyDescent="0.35">
      <c r="A1066" t="s">
        <v>1086</v>
      </c>
      <c r="B1066" s="3" t="s">
        <v>1265</v>
      </c>
      <c r="C1066" s="4" t="s">
        <v>1263</v>
      </c>
      <c r="D1066" s="2">
        <f t="shared" si="1041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ref="W1066:AH1066" si="1080">IF(OR((SLOPE($E1066:$V1066,$E$1:$V$1)*W$1+INTERCEPT($E1066:$V1066,$E$1:$V$1))&gt;(AVERAGE($E1066:$V1066)+_xlfn.STDEV.P($E1066:$V1066)),(SLOPE($E1066:$V1066,$E$1:$V$1)*W$1+INTERCEPT($E1066:$V1066,$E$1:$V$1))&lt;(AVERAGE($E1066:$V1066)-_xlfn.STDEV.P($E1066:$V1066))),V1066,(SLOPE($E1066:$V1066,$E$1:$V$1)*W$1+INTERCEPT($E1066:$V1066,$E$1:$V$1)))</f>
        <v>136.41152629040397</v>
      </c>
      <c r="X1066" s="5">
        <f t="shared" si="1080"/>
        <v>109.74144822900041</v>
      </c>
      <c r="Y1066" s="5">
        <f t="shared" si="1080"/>
        <v>83.071370167596911</v>
      </c>
      <c r="Z1066" s="5">
        <f t="shared" si="1080"/>
        <v>56.401292106193409</v>
      </c>
      <c r="AA1066" s="5">
        <f t="shared" si="1080"/>
        <v>29.731214044789908</v>
      </c>
      <c r="AB1066" s="5">
        <f t="shared" si="1080"/>
        <v>3.0611359833864071</v>
      </c>
      <c r="AC1066" s="5">
        <f t="shared" si="1080"/>
        <v>-23.608942078017094</v>
      </c>
      <c r="AD1066" s="5">
        <f t="shared" si="1080"/>
        <v>-50.279020139420595</v>
      </c>
      <c r="AE1066" s="5">
        <f t="shared" si="1080"/>
        <v>-76.949098200824096</v>
      </c>
      <c r="AF1066" s="5">
        <f t="shared" si="1080"/>
        <v>-103.6191762622276</v>
      </c>
      <c r="AG1066" s="5">
        <f t="shared" si="1080"/>
        <v>-130.2892543236311</v>
      </c>
      <c r="AH1066" s="5">
        <f t="shared" si="1080"/>
        <v>-156.9593323850346</v>
      </c>
    </row>
    <row r="1067" spans="1:34" x14ac:dyDescent="0.35">
      <c r="A1067" t="s">
        <v>1087</v>
      </c>
      <c r="B1067" s="3" t="s">
        <v>1266</v>
      </c>
      <c r="C1067" s="4" t="s">
        <v>1266</v>
      </c>
      <c r="D1067" s="2">
        <f t="shared" si="1041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ref="W1067:AH1067" si="1081">IF(OR((SLOPE($E1067:$V1067,$E$1:$V$1)*W$1+INTERCEPT($E1067:$V1067,$E$1:$V$1))&gt;(AVERAGE($E1067:$V1067)+_xlfn.STDEV.P($E1067:$V1067)),(SLOPE($E1067:$V1067,$E$1:$V$1)*W$1+INTERCEPT($E1067:$V1067,$E$1:$V$1))&lt;(AVERAGE($E1067:$V1067)-_xlfn.STDEV.P($E1067:$V1067))),V1067,(SLOPE($E1067:$V1067,$E$1:$V$1)*W$1+INTERCEPT($E1067:$V1067,$E$1:$V$1)))</f>
        <v>979.49044734884853</v>
      </c>
      <c r="X1067" s="5">
        <f t="shared" si="1081"/>
        <v>1041.6878613883559</v>
      </c>
      <c r="Y1067" s="5">
        <f t="shared" si="1081"/>
        <v>1103.8852754278632</v>
      </c>
      <c r="Z1067" s="5">
        <f t="shared" si="1081"/>
        <v>1166.0826894673705</v>
      </c>
      <c r="AA1067" s="5">
        <f t="shared" si="1081"/>
        <v>1228.2801035068783</v>
      </c>
      <c r="AB1067" s="5">
        <f t="shared" si="1081"/>
        <v>1290.4775175463856</v>
      </c>
      <c r="AC1067" s="5">
        <f t="shared" si="1081"/>
        <v>1352.6749315858929</v>
      </c>
      <c r="AD1067" s="5">
        <f t="shared" si="1081"/>
        <v>1414.8723456254006</v>
      </c>
      <c r="AE1067" s="5">
        <f t="shared" si="1081"/>
        <v>1477.0697596649079</v>
      </c>
      <c r="AF1067" s="5">
        <f t="shared" si="1081"/>
        <v>1539.2671737044152</v>
      </c>
      <c r="AG1067" s="5">
        <f t="shared" si="1081"/>
        <v>1539.2671737044152</v>
      </c>
      <c r="AH1067" s="5">
        <f t="shared" si="1081"/>
        <v>1539.2671737044152</v>
      </c>
    </row>
    <row r="1068" spans="1:34" x14ac:dyDescent="0.35">
      <c r="A1068" t="s">
        <v>1088</v>
      </c>
      <c r="B1068" s="3" t="s">
        <v>1264</v>
      </c>
      <c r="C1068" s="4" t="s">
        <v>1267</v>
      </c>
      <c r="D1068" s="2">
        <f t="shared" si="1041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ref="W1068:AH1068" si="1082">IF(OR((SLOPE($E1068:$V1068,$E$1:$V$1)*W$1+INTERCEPT($E1068:$V1068,$E$1:$V$1))&gt;(AVERAGE($E1068:$V1068)+_xlfn.STDEV.P($E1068:$V1068)),(SLOPE($E1068:$V1068,$E$1:$V$1)*W$1+INTERCEPT($E1068:$V1068,$E$1:$V$1))&lt;(AVERAGE($E1068:$V1068)-_xlfn.STDEV.P($E1068:$V1068))),V1068,(SLOPE($E1068:$V1068,$E$1:$V$1)*W$1+INTERCEPT($E1068:$V1068,$E$1:$V$1)))</f>
        <v>854.55915059587801</v>
      </c>
      <c r="X1068" s="5">
        <f t="shared" si="1082"/>
        <v>904.27034772195407</v>
      </c>
      <c r="Y1068" s="5">
        <f t="shared" si="1082"/>
        <v>953.98154484803013</v>
      </c>
      <c r="Z1068" s="5">
        <f t="shared" si="1082"/>
        <v>1003.692741974106</v>
      </c>
      <c r="AA1068" s="5">
        <f t="shared" si="1082"/>
        <v>1053.403939100182</v>
      </c>
      <c r="AB1068" s="5">
        <f t="shared" si="1082"/>
        <v>1103.1151362262581</v>
      </c>
      <c r="AC1068" s="5">
        <f t="shared" si="1082"/>
        <v>1152.8263333523341</v>
      </c>
      <c r="AD1068" s="5">
        <f t="shared" si="1082"/>
        <v>1202.5375304784102</v>
      </c>
      <c r="AE1068" s="5">
        <f t="shared" si="1082"/>
        <v>1252.248727604486</v>
      </c>
      <c r="AF1068" s="5">
        <f t="shared" si="1082"/>
        <v>1301.9599247305621</v>
      </c>
      <c r="AG1068" s="5">
        <f t="shared" si="1082"/>
        <v>1351.6711218566381</v>
      </c>
      <c r="AH1068" s="5">
        <f t="shared" si="1082"/>
        <v>1401.382318982714</v>
      </c>
    </row>
    <row r="1069" spans="1:34" x14ac:dyDescent="0.35">
      <c r="A1069" t="s">
        <v>1089</v>
      </c>
      <c r="B1069" s="3" t="s">
        <v>1266</v>
      </c>
      <c r="C1069" s="4" t="s">
        <v>1263</v>
      </c>
      <c r="D1069" s="2">
        <f t="shared" si="1041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ref="W1069:AH1069" si="1083">IF(OR((SLOPE($E1069:$V1069,$E$1:$V$1)*W$1+INTERCEPT($E1069:$V1069,$E$1:$V$1))&gt;(AVERAGE($E1069:$V1069)+_xlfn.STDEV.P($E1069:$V1069)),(SLOPE($E1069:$V1069,$E$1:$V$1)*W$1+INTERCEPT($E1069:$V1069,$E$1:$V$1))&lt;(AVERAGE($E1069:$V1069)-_xlfn.STDEV.P($E1069:$V1069))),V1069,(SLOPE($E1069:$V1069,$E$1:$V$1)*W$1+INTERCEPT($E1069:$V1069,$E$1:$V$1)))</f>
        <v>177.08547710955412</v>
      </c>
      <c r="X1069" s="5">
        <f t="shared" si="1083"/>
        <v>156.11482850447533</v>
      </c>
      <c r="Y1069" s="5">
        <f t="shared" si="1083"/>
        <v>135.14417989939659</v>
      </c>
      <c r="Z1069" s="5">
        <f t="shared" si="1083"/>
        <v>114.1735312943178</v>
      </c>
      <c r="AA1069" s="5">
        <f t="shared" si="1083"/>
        <v>93.202882689239004</v>
      </c>
      <c r="AB1069" s="5">
        <f t="shared" si="1083"/>
        <v>72.232234084160211</v>
      </c>
      <c r="AC1069" s="5">
        <f t="shared" si="1083"/>
        <v>51.261585479081418</v>
      </c>
      <c r="AD1069" s="5">
        <f t="shared" si="1083"/>
        <v>30.290936874002682</v>
      </c>
      <c r="AE1069" s="5">
        <f t="shared" si="1083"/>
        <v>9.3202882689238322</v>
      </c>
      <c r="AF1069" s="5">
        <f t="shared" si="1083"/>
        <v>-11.650360336154904</v>
      </c>
      <c r="AG1069" s="5">
        <f t="shared" si="1083"/>
        <v>-32.621008941233754</v>
      </c>
      <c r="AH1069" s="5">
        <f t="shared" si="1083"/>
        <v>-53.59165754631249</v>
      </c>
    </row>
    <row r="1070" spans="1:34" x14ac:dyDescent="0.35">
      <c r="A1070" t="s">
        <v>1090</v>
      </c>
      <c r="B1070" s="3" t="s">
        <v>1264</v>
      </c>
      <c r="C1070" s="4" t="s">
        <v>1263</v>
      </c>
      <c r="D1070" s="2">
        <f t="shared" si="1041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ref="W1070:AH1070" si="1084">IF(OR((SLOPE($E1070:$V1070,$E$1:$V$1)*W$1+INTERCEPT($E1070:$V1070,$E$1:$V$1))&gt;(AVERAGE($E1070:$V1070)+_xlfn.STDEV.P($E1070:$V1070)),(SLOPE($E1070:$V1070,$E$1:$V$1)*W$1+INTERCEPT($E1070:$V1070,$E$1:$V$1))&lt;(AVERAGE($E1070:$V1070)-_xlfn.STDEV.P($E1070:$V1070))),V1070,(SLOPE($E1070:$V1070,$E$1:$V$1)*W$1+INTERCEPT($E1070:$V1070,$E$1:$V$1)))</f>
        <v>560.82807301000776</v>
      </c>
      <c r="X1070" s="5">
        <f t="shared" si="1084"/>
        <v>581.2095710388603</v>
      </c>
      <c r="Y1070" s="5">
        <f t="shared" si="1084"/>
        <v>601.59106906771285</v>
      </c>
      <c r="Z1070" s="5">
        <f t="shared" si="1084"/>
        <v>621.97256709656551</v>
      </c>
      <c r="AA1070" s="5">
        <f t="shared" si="1084"/>
        <v>642.35406512541817</v>
      </c>
      <c r="AB1070" s="5">
        <f t="shared" si="1084"/>
        <v>662.73556315427072</v>
      </c>
      <c r="AC1070" s="5">
        <f t="shared" si="1084"/>
        <v>683.11706118312327</v>
      </c>
      <c r="AD1070" s="5">
        <f t="shared" si="1084"/>
        <v>703.49855921197582</v>
      </c>
      <c r="AE1070" s="5">
        <f t="shared" si="1084"/>
        <v>723.88005724082836</v>
      </c>
      <c r="AF1070" s="5">
        <f t="shared" si="1084"/>
        <v>744.26155526968091</v>
      </c>
      <c r="AG1070" s="5">
        <f t="shared" si="1084"/>
        <v>764.64305329853346</v>
      </c>
      <c r="AH1070" s="5">
        <f t="shared" si="1084"/>
        <v>785.02455132738623</v>
      </c>
    </row>
    <row r="1071" spans="1:34" x14ac:dyDescent="0.35">
      <c r="A1071" t="s">
        <v>1091</v>
      </c>
      <c r="B1071" s="3" t="s">
        <v>1266</v>
      </c>
      <c r="C1071" s="4" t="s">
        <v>1263</v>
      </c>
      <c r="D1071" s="2">
        <f t="shared" si="1041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ref="W1071:AH1071" si="1085">IF(OR((SLOPE($E1071:$V1071,$E$1:$V$1)*W$1+INTERCEPT($E1071:$V1071,$E$1:$V$1))&gt;(AVERAGE($E1071:$V1071)+_xlfn.STDEV.P($E1071:$V1071)),(SLOPE($E1071:$V1071,$E$1:$V$1)*W$1+INTERCEPT($E1071:$V1071,$E$1:$V$1))&lt;(AVERAGE($E1071:$V1071)-_xlfn.STDEV.P($E1071:$V1071))),V1071,(SLOPE($E1071:$V1071,$E$1:$V$1)*W$1+INTERCEPT($E1071:$V1071,$E$1:$V$1)))</f>
        <v>-83.932167730851802</v>
      </c>
      <c r="X1071" s="5">
        <f t="shared" si="1085"/>
        <v>-130.3157341084277</v>
      </c>
      <c r="Y1071" s="5">
        <f t="shared" si="1085"/>
        <v>-176.69930048600372</v>
      </c>
      <c r="Z1071" s="5">
        <f t="shared" si="1085"/>
        <v>-223.08286686357962</v>
      </c>
      <c r="AA1071" s="5">
        <f t="shared" si="1085"/>
        <v>-269.46643324115564</v>
      </c>
      <c r="AB1071" s="5">
        <f t="shared" si="1085"/>
        <v>-315.84999961873166</v>
      </c>
      <c r="AC1071" s="5">
        <f t="shared" si="1085"/>
        <v>-362.23356599630768</v>
      </c>
      <c r="AD1071" s="5">
        <f t="shared" si="1085"/>
        <v>-408.61713237388346</v>
      </c>
      <c r="AE1071" s="5">
        <f t="shared" si="1085"/>
        <v>-455.00069875145948</v>
      </c>
      <c r="AF1071" s="5">
        <f t="shared" si="1085"/>
        <v>-501.3842651290355</v>
      </c>
      <c r="AG1071" s="5">
        <f t="shared" si="1085"/>
        <v>-547.76783150661151</v>
      </c>
      <c r="AH1071" s="5">
        <f t="shared" si="1085"/>
        <v>-594.1513978841873</v>
      </c>
    </row>
    <row r="1072" spans="1:34" x14ac:dyDescent="0.35">
      <c r="A1072" t="s">
        <v>1092</v>
      </c>
      <c r="B1072" s="3" t="s">
        <v>1264</v>
      </c>
      <c r="C1072" s="4" t="s">
        <v>1263</v>
      </c>
      <c r="D1072" s="2">
        <f t="shared" si="1041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ref="W1072:AH1072" si="1086">IF(OR((SLOPE($E1072:$V1072,$E$1:$V$1)*W$1+INTERCEPT($E1072:$V1072,$E$1:$V$1))&gt;(AVERAGE($E1072:$V1072)+_xlfn.STDEV.P($E1072:$V1072)),(SLOPE($E1072:$V1072,$E$1:$V$1)*W$1+INTERCEPT($E1072:$V1072,$E$1:$V$1))&lt;(AVERAGE($E1072:$V1072)-_xlfn.STDEV.P($E1072:$V1072))),V1072,(SLOPE($E1072:$V1072,$E$1:$V$1)*W$1+INTERCEPT($E1072:$V1072,$E$1:$V$1)))</f>
        <v>543.38576365016047</v>
      </c>
      <c r="X1072" s="5">
        <f t="shared" si="1086"/>
        <v>563.67805777406033</v>
      </c>
      <c r="Y1072" s="5">
        <f t="shared" si="1086"/>
        <v>583.97035189795997</v>
      </c>
      <c r="Z1072" s="5">
        <f t="shared" si="1086"/>
        <v>604.26264602185984</v>
      </c>
      <c r="AA1072" s="5">
        <f t="shared" si="1086"/>
        <v>624.55494014575947</v>
      </c>
      <c r="AB1072" s="5">
        <f t="shared" si="1086"/>
        <v>644.84723426965934</v>
      </c>
      <c r="AC1072" s="5">
        <f t="shared" si="1086"/>
        <v>665.13952839355898</v>
      </c>
      <c r="AD1072" s="5">
        <f t="shared" si="1086"/>
        <v>685.43182251745884</v>
      </c>
      <c r="AE1072" s="5">
        <f t="shared" si="1086"/>
        <v>705.72411664135848</v>
      </c>
      <c r="AF1072" s="5">
        <f t="shared" si="1086"/>
        <v>726.01641076525834</v>
      </c>
      <c r="AG1072" s="5">
        <f t="shared" si="1086"/>
        <v>746.30870488915798</v>
      </c>
      <c r="AH1072" s="5">
        <f t="shared" si="1086"/>
        <v>766.60099901305784</v>
      </c>
    </row>
    <row r="1073" spans="1:34" x14ac:dyDescent="0.35">
      <c r="A1073" t="s">
        <v>1093</v>
      </c>
      <c r="B1073" s="3" t="s">
        <v>1264</v>
      </c>
      <c r="C1073" s="4" t="s">
        <v>1263</v>
      </c>
      <c r="D1073" s="2">
        <f t="shared" si="1041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ref="W1073:AH1073" si="1087">IF(OR((SLOPE($E1073:$V1073,$E$1:$V$1)*W$1+INTERCEPT($E1073:$V1073,$E$1:$V$1))&gt;(AVERAGE($E1073:$V1073)+_xlfn.STDEV.P($E1073:$V1073)),(SLOPE($E1073:$V1073,$E$1:$V$1)*W$1+INTERCEPT($E1073:$V1073,$E$1:$V$1))&lt;(AVERAGE($E1073:$V1073)-_xlfn.STDEV.P($E1073:$V1073))),V1073,(SLOPE($E1073:$V1073,$E$1:$V$1)*W$1+INTERCEPT($E1073:$V1073,$E$1:$V$1)))</f>
        <v>0</v>
      </c>
      <c r="X1073" s="5">
        <f t="shared" si="1087"/>
        <v>0</v>
      </c>
      <c r="Y1073" s="5">
        <f t="shared" si="1087"/>
        <v>0</v>
      </c>
      <c r="Z1073" s="5">
        <f t="shared" si="1087"/>
        <v>0</v>
      </c>
      <c r="AA1073" s="5">
        <f t="shared" si="1087"/>
        <v>0</v>
      </c>
      <c r="AB1073" s="5">
        <f t="shared" si="1087"/>
        <v>0</v>
      </c>
      <c r="AC1073" s="5">
        <f t="shared" si="1087"/>
        <v>0</v>
      </c>
      <c r="AD1073" s="5">
        <f t="shared" si="1087"/>
        <v>0</v>
      </c>
      <c r="AE1073" s="5">
        <f t="shared" si="1087"/>
        <v>0</v>
      </c>
      <c r="AF1073" s="5">
        <f t="shared" si="1087"/>
        <v>0</v>
      </c>
      <c r="AG1073" s="5">
        <f t="shared" si="1087"/>
        <v>0</v>
      </c>
      <c r="AH1073" s="5">
        <f t="shared" si="1087"/>
        <v>0</v>
      </c>
    </row>
    <row r="1074" spans="1:34" x14ac:dyDescent="0.35">
      <c r="A1074" t="s">
        <v>1094</v>
      </c>
      <c r="B1074" s="3" t="s">
        <v>1264</v>
      </c>
      <c r="C1074" s="4" t="s">
        <v>1267</v>
      </c>
      <c r="D1074" s="2">
        <f t="shared" si="1041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ref="W1074:AH1074" si="1088">IF(OR((SLOPE($E1074:$V1074,$E$1:$V$1)*W$1+INTERCEPT($E1074:$V1074,$E$1:$V$1))&gt;(AVERAGE($E1074:$V1074)+_xlfn.STDEV.P($E1074:$V1074)),(SLOPE($E1074:$V1074,$E$1:$V$1)*W$1+INTERCEPT($E1074:$V1074,$E$1:$V$1))&lt;(AVERAGE($E1074:$V1074)-_xlfn.STDEV.P($E1074:$V1074))),V1074,(SLOPE($E1074:$V1074,$E$1:$V$1)*W$1+INTERCEPT($E1074:$V1074,$E$1:$V$1)))</f>
        <v>861.5336440532102</v>
      </c>
      <c r="X1074" s="5">
        <f t="shared" si="1088"/>
        <v>917.18294642028366</v>
      </c>
      <c r="Y1074" s="5">
        <f t="shared" si="1088"/>
        <v>972.83224878735689</v>
      </c>
      <c r="Z1074" s="5">
        <f t="shared" si="1088"/>
        <v>1028.4815511544302</v>
      </c>
      <c r="AA1074" s="5">
        <f t="shared" si="1088"/>
        <v>1084.1308535215039</v>
      </c>
      <c r="AB1074" s="5">
        <f t="shared" si="1088"/>
        <v>1139.7801558885772</v>
      </c>
      <c r="AC1074" s="5">
        <f t="shared" si="1088"/>
        <v>1195.4294582556504</v>
      </c>
      <c r="AD1074" s="5">
        <f t="shared" si="1088"/>
        <v>1251.0787606227241</v>
      </c>
      <c r="AE1074" s="5">
        <f t="shared" si="1088"/>
        <v>1306.7280629897973</v>
      </c>
      <c r="AF1074" s="5">
        <f t="shared" si="1088"/>
        <v>1362.3773653568705</v>
      </c>
      <c r="AG1074" s="5">
        <f t="shared" si="1088"/>
        <v>1418.0266677239442</v>
      </c>
      <c r="AH1074" s="5">
        <f t="shared" si="1088"/>
        <v>1473.6759700910175</v>
      </c>
    </row>
    <row r="1075" spans="1:34" x14ac:dyDescent="0.35">
      <c r="A1075" t="s">
        <v>1095</v>
      </c>
      <c r="B1075" s="3" t="s">
        <v>1266</v>
      </c>
      <c r="C1075" s="4" t="s">
        <v>1266</v>
      </c>
      <c r="D1075" s="2">
        <f t="shared" si="1041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ref="W1075:AH1075" si="1089">IF(OR((SLOPE($E1075:$V1075,$E$1:$V$1)*W$1+INTERCEPT($E1075:$V1075,$E$1:$V$1))&gt;(AVERAGE($E1075:$V1075)+_xlfn.STDEV.P($E1075:$V1075)),(SLOPE($E1075:$V1075,$E$1:$V$1)*W$1+INTERCEPT($E1075:$V1075,$E$1:$V$1))&lt;(AVERAGE($E1075:$V1075)-_xlfn.STDEV.P($E1075:$V1075))),V1075,(SLOPE($E1075:$V1075,$E$1:$V$1)*W$1+INTERCEPT($E1075:$V1075,$E$1:$V$1)))</f>
        <v>-660.04960000000005</v>
      </c>
      <c r="X1075" s="5">
        <f t="shared" si="1089"/>
        <v>-764.26795789473704</v>
      </c>
      <c r="Y1075" s="5">
        <f t="shared" si="1089"/>
        <v>-868.48631578947357</v>
      </c>
      <c r="Z1075" s="5">
        <f t="shared" si="1089"/>
        <v>-972.70467368421055</v>
      </c>
      <c r="AA1075" s="5">
        <f t="shared" si="1089"/>
        <v>-972.70467368421055</v>
      </c>
      <c r="AB1075" s="5">
        <f t="shared" si="1089"/>
        <v>-972.70467368421055</v>
      </c>
      <c r="AC1075" s="5">
        <f t="shared" si="1089"/>
        <v>-972.70467368421055</v>
      </c>
      <c r="AD1075" s="5">
        <f t="shared" si="1089"/>
        <v>-972.70467368421055</v>
      </c>
      <c r="AE1075" s="5">
        <f t="shared" si="1089"/>
        <v>-972.70467368421055</v>
      </c>
      <c r="AF1075" s="5">
        <f t="shared" si="1089"/>
        <v>-972.70467368421055</v>
      </c>
      <c r="AG1075" s="5">
        <f t="shared" si="1089"/>
        <v>-972.70467368421055</v>
      </c>
      <c r="AH1075" s="5">
        <f t="shared" si="1089"/>
        <v>-972.70467368421055</v>
      </c>
    </row>
    <row r="1076" spans="1:34" x14ac:dyDescent="0.35">
      <c r="A1076" t="s">
        <v>1096</v>
      </c>
      <c r="B1076" s="3" t="s">
        <v>1262</v>
      </c>
      <c r="C1076" s="4" t="s">
        <v>1268</v>
      </c>
      <c r="D1076" s="2">
        <f t="shared" si="1041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ref="W1076:AH1076" si="1090">IF(OR((SLOPE($E1076:$V1076,$E$1:$V$1)*W$1+INTERCEPT($E1076:$V1076,$E$1:$V$1))&gt;(AVERAGE($E1076:$V1076)+_xlfn.STDEV.P($E1076:$V1076)),(SLOPE($E1076:$V1076,$E$1:$V$1)*W$1+INTERCEPT($E1076:$V1076,$E$1:$V$1))&lt;(AVERAGE($E1076:$V1076)-_xlfn.STDEV.P($E1076:$V1076))),V1076,(SLOPE($E1076:$V1076,$E$1:$V$1)*W$1+INTERCEPT($E1076:$V1076,$E$1:$V$1)))</f>
        <v>501.69703327058829</v>
      </c>
      <c r="X1076" s="5">
        <f t="shared" si="1090"/>
        <v>519.97749197275539</v>
      </c>
      <c r="Y1076" s="5">
        <f t="shared" si="1090"/>
        <v>538.25795067492254</v>
      </c>
      <c r="Z1076" s="5">
        <f t="shared" si="1090"/>
        <v>556.53840937708981</v>
      </c>
      <c r="AA1076" s="5">
        <f t="shared" si="1090"/>
        <v>574.81886807925707</v>
      </c>
      <c r="AB1076" s="5">
        <f t="shared" si="1090"/>
        <v>593.09932678142422</v>
      </c>
      <c r="AC1076" s="5">
        <f t="shared" si="1090"/>
        <v>611.37978548359138</v>
      </c>
      <c r="AD1076" s="5">
        <f t="shared" si="1090"/>
        <v>629.66024418575853</v>
      </c>
      <c r="AE1076" s="5">
        <f t="shared" si="1090"/>
        <v>647.94070288792568</v>
      </c>
      <c r="AF1076" s="5">
        <f t="shared" si="1090"/>
        <v>666.22116159009283</v>
      </c>
      <c r="AG1076" s="5">
        <f t="shared" si="1090"/>
        <v>684.50162029225999</v>
      </c>
      <c r="AH1076" s="5">
        <f t="shared" si="1090"/>
        <v>702.78207899442737</v>
      </c>
    </row>
    <row r="1077" spans="1:34" x14ac:dyDescent="0.35">
      <c r="A1077" t="s">
        <v>1097</v>
      </c>
      <c r="B1077" s="3" t="s">
        <v>1266</v>
      </c>
      <c r="C1077" s="4" t="s">
        <v>1267</v>
      </c>
      <c r="D1077" s="2">
        <f t="shared" si="1041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H1077" si="1091">IF(OR((SLOPE($E1077:$V1077,$E$1:$V$1)*W$1+INTERCEPT($E1077:$V1077,$E$1:$V$1))&gt;(AVERAGE($E1077:$V1077)+_xlfn.STDEV.P($E1077:$V1077)),(SLOPE($E1077:$V1077,$E$1:$V$1)*W$1+INTERCEPT($E1077:$V1077,$E$1:$V$1))&lt;(AVERAGE($E1077:$V1077)-_xlfn.STDEV.P($E1077:$V1077))),V1077,(SLOPE($E1077:$V1077,$E$1:$V$1)*W$1+INTERCEPT($E1077:$V1077,$E$1:$V$1)))</f>
        <v>0</v>
      </c>
      <c r="X1077" s="5">
        <f t="shared" si="1091"/>
        <v>0</v>
      </c>
      <c r="Y1077" s="5">
        <f t="shared" si="1091"/>
        <v>0</v>
      </c>
      <c r="Z1077" s="5">
        <f t="shared" si="1091"/>
        <v>0</v>
      </c>
      <c r="AA1077" s="5">
        <f t="shared" si="1091"/>
        <v>0</v>
      </c>
      <c r="AB1077" s="5">
        <f t="shared" si="1091"/>
        <v>0</v>
      </c>
      <c r="AC1077" s="5">
        <f t="shared" si="1091"/>
        <v>0</v>
      </c>
      <c r="AD1077" s="5">
        <f t="shared" si="1091"/>
        <v>0</v>
      </c>
      <c r="AE1077" s="5">
        <f t="shared" si="1091"/>
        <v>0</v>
      </c>
      <c r="AF1077" s="5">
        <f t="shared" si="1091"/>
        <v>0</v>
      </c>
      <c r="AG1077" s="5">
        <f t="shared" si="1091"/>
        <v>0</v>
      </c>
      <c r="AH1077" s="5">
        <f t="shared" si="1091"/>
        <v>0</v>
      </c>
    </row>
    <row r="1078" spans="1:34" x14ac:dyDescent="0.35">
      <c r="A1078" t="s">
        <v>1098</v>
      </c>
      <c r="B1078" s="3" t="s">
        <v>1264</v>
      </c>
      <c r="C1078" s="4" t="s">
        <v>1267</v>
      </c>
      <c r="D1078" s="2">
        <f t="shared" si="1041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ref="W1078:AH1078" si="1092">IF(OR((SLOPE($E1078:$V1078,$E$1:$V$1)*W$1+INTERCEPT($E1078:$V1078,$E$1:$V$1))&gt;(AVERAGE($E1078:$V1078)+_xlfn.STDEV.P($E1078:$V1078)),(SLOPE($E1078:$V1078,$E$1:$V$1)*W$1+INTERCEPT($E1078:$V1078,$E$1:$V$1))&lt;(AVERAGE($E1078:$V1078)-_xlfn.STDEV.P($E1078:$V1078))),V1078,(SLOPE($E1078:$V1078,$E$1:$V$1)*W$1+INTERCEPT($E1078:$V1078,$E$1:$V$1)))</f>
        <v>1031.9164634252261</v>
      </c>
      <c r="X1078" s="5">
        <f t="shared" si="1092"/>
        <v>1106.6466614410526</v>
      </c>
      <c r="Y1078" s="5">
        <f t="shared" si="1092"/>
        <v>1181.3768594568792</v>
      </c>
      <c r="Z1078" s="5">
        <f t="shared" si="1092"/>
        <v>1181.3768594568792</v>
      </c>
      <c r="AA1078" s="5">
        <f t="shared" si="1092"/>
        <v>1181.3768594568792</v>
      </c>
      <c r="AB1078" s="5">
        <f t="shared" si="1092"/>
        <v>1181.3768594568792</v>
      </c>
      <c r="AC1078" s="5">
        <f t="shared" si="1092"/>
        <v>1181.3768594568792</v>
      </c>
      <c r="AD1078" s="5">
        <f t="shared" si="1092"/>
        <v>1181.3768594568792</v>
      </c>
      <c r="AE1078" s="5">
        <f t="shared" si="1092"/>
        <v>1181.3768594568792</v>
      </c>
      <c r="AF1078" s="5">
        <f t="shared" si="1092"/>
        <v>1181.3768594568792</v>
      </c>
      <c r="AG1078" s="5">
        <f t="shared" si="1092"/>
        <v>1181.3768594568792</v>
      </c>
      <c r="AH1078" s="5">
        <f t="shared" si="1092"/>
        <v>1181.3768594568792</v>
      </c>
    </row>
    <row r="1079" spans="1:34" x14ac:dyDescent="0.35">
      <c r="A1079" t="s">
        <v>1099</v>
      </c>
      <c r="B1079" s="3" t="s">
        <v>1266</v>
      </c>
      <c r="C1079" s="4" t="s">
        <v>1263</v>
      </c>
      <c r="D1079" s="2">
        <f t="shared" si="1041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ref="W1079:AH1079" si="1093">IF(OR((SLOPE($E1079:$V1079,$E$1:$V$1)*W$1+INTERCEPT($E1079:$V1079,$E$1:$V$1))&gt;(AVERAGE($E1079:$V1079)+_xlfn.STDEV.P($E1079:$V1079)),(SLOPE($E1079:$V1079,$E$1:$V$1)*W$1+INTERCEPT($E1079:$V1079,$E$1:$V$1))&lt;(AVERAGE($E1079:$V1079)-_xlfn.STDEV.P($E1079:$V1079))),V1079,(SLOPE($E1079:$V1079,$E$1:$V$1)*W$1+INTERCEPT($E1079:$V1079,$E$1:$V$1)))</f>
        <v>0</v>
      </c>
      <c r="X1079" s="5">
        <f t="shared" si="1093"/>
        <v>0</v>
      </c>
      <c r="Y1079" s="5">
        <f t="shared" si="1093"/>
        <v>0</v>
      </c>
      <c r="Z1079" s="5">
        <f t="shared" si="1093"/>
        <v>0</v>
      </c>
      <c r="AA1079" s="5">
        <f t="shared" si="1093"/>
        <v>0</v>
      </c>
      <c r="AB1079" s="5">
        <f t="shared" si="1093"/>
        <v>0</v>
      </c>
      <c r="AC1079" s="5">
        <f t="shared" si="1093"/>
        <v>0</v>
      </c>
      <c r="AD1079" s="5">
        <f t="shared" si="1093"/>
        <v>0</v>
      </c>
      <c r="AE1079" s="5">
        <f t="shared" si="1093"/>
        <v>0</v>
      </c>
      <c r="AF1079" s="5">
        <f t="shared" si="1093"/>
        <v>0</v>
      </c>
      <c r="AG1079" s="5">
        <f t="shared" si="1093"/>
        <v>0</v>
      </c>
      <c r="AH1079" s="5">
        <f t="shared" si="1093"/>
        <v>0</v>
      </c>
    </row>
    <row r="1080" spans="1:34" x14ac:dyDescent="0.35">
      <c r="A1080" t="s">
        <v>1100</v>
      </c>
      <c r="B1080" s="3" t="s">
        <v>1266</v>
      </c>
      <c r="C1080" s="4" t="s">
        <v>1263</v>
      </c>
      <c r="D1080" s="2">
        <f t="shared" si="1041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ref="W1080:AH1080" si="1094">IF(OR((SLOPE($E1080:$V1080,$E$1:$V$1)*W$1+INTERCEPT($E1080:$V1080,$E$1:$V$1))&gt;(AVERAGE($E1080:$V1080)+_xlfn.STDEV.P($E1080:$V1080)),(SLOPE($E1080:$V1080,$E$1:$V$1)*W$1+INTERCEPT($E1080:$V1080,$E$1:$V$1))&lt;(AVERAGE($E1080:$V1080)-_xlfn.STDEV.P($E1080:$V1080))),V1080,(SLOPE($E1080:$V1080,$E$1:$V$1)*W$1+INTERCEPT($E1080:$V1080,$E$1:$V$1)))</f>
        <v>0</v>
      </c>
      <c r="X1080" s="5">
        <f t="shared" si="1094"/>
        <v>0</v>
      </c>
      <c r="Y1080" s="5">
        <f t="shared" si="1094"/>
        <v>0</v>
      </c>
      <c r="Z1080" s="5">
        <f t="shared" si="1094"/>
        <v>0</v>
      </c>
      <c r="AA1080" s="5">
        <f t="shared" si="1094"/>
        <v>0</v>
      </c>
      <c r="AB1080" s="5">
        <f t="shared" si="1094"/>
        <v>0</v>
      </c>
      <c r="AC1080" s="5">
        <f t="shared" si="1094"/>
        <v>0</v>
      </c>
      <c r="AD1080" s="5">
        <f t="shared" si="1094"/>
        <v>0</v>
      </c>
      <c r="AE1080" s="5">
        <f t="shared" si="1094"/>
        <v>0</v>
      </c>
      <c r="AF1080" s="5">
        <f t="shared" si="1094"/>
        <v>0</v>
      </c>
      <c r="AG1080" s="5">
        <f t="shared" si="1094"/>
        <v>0</v>
      </c>
      <c r="AH1080" s="5">
        <f t="shared" si="1094"/>
        <v>0</v>
      </c>
    </row>
    <row r="1081" spans="1:34" x14ac:dyDescent="0.35">
      <c r="A1081" t="s">
        <v>1101</v>
      </c>
      <c r="B1081" s="3" t="s">
        <v>1264</v>
      </c>
      <c r="C1081" s="4" t="s">
        <v>1263</v>
      </c>
      <c r="D1081" s="2">
        <f t="shared" si="1041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ref="W1081:AH1081" si="1095">IF(OR((SLOPE($E1081:$V1081,$E$1:$V$1)*W$1+INTERCEPT($E1081:$V1081,$E$1:$V$1))&gt;(AVERAGE($E1081:$V1081)+_xlfn.STDEV.P($E1081:$V1081)),(SLOPE($E1081:$V1081,$E$1:$V$1)*W$1+INTERCEPT($E1081:$V1081,$E$1:$V$1))&lt;(AVERAGE($E1081:$V1081)-_xlfn.STDEV.P($E1081:$V1081))),V1081,(SLOPE($E1081:$V1081,$E$1:$V$1)*W$1+INTERCEPT($E1081:$V1081,$E$1:$V$1)))</f>
        <v>273.04853571579599</v>
      </c>
      <c r="X1081" s="5">
        <f t="shared" si="1095"/>
        <v>270.20592516467724</v>
      </c>
      <c r="Y1081" s="5">
        <f t="shared" si="1095"/>
        <v>267.36331461355849</v>
      </c>
      <c r="Z1081" s="5">
        <f t="shared" si="1095"/>
        <v>264.52070406243973</v>
      </c>
      <c r="AA1081" s="5">
        <f t="shared" si="1095"/>
        <v>261.67809351132098</v>
      </c>
      <c r="AB1081" s="5">
        <f t="shared" si="1095"/>
        <v>258.83548296020223</v>
      </c>
      <c r="AC1081" s="5">
        <f t="shared" si="1095"/>
        <v>255.99287240908347</v>
      </c>
      <c r="AD1081" s="5">
        <f t="shared" si="1095"/>
        <v>253.15026185796472</v>
      </c>
      <c r="AE1081" s="5">
        <f t="shared" si="1095"/>
        <v>250.30765130684597</v>
      </c>
      <c r="AF1081" s="5">
        <f t="shared" si="1095"/>
        <v>247.46504075572722</v>
      </c>
      <c r="AG1081" s="5">
        <f t="shared" si="1095"/>
        <v>244.62243020460846</v>
      </c>
      <c r="AH1081" s="5">
        <f t="shared" si="1095"/>
        <v>241.77981965348971</v>
      </c>
    </row>
    <row r="1082" spans="1:34" x14ac:dyDescent="0.35">
      <c r="A1082" t="s">
        <v>1102</v>
      </c>
      <c r="B1082" s="3" t="s">
        <v>1264</v>
      </c>
      <c r="C1082" s="4" t="s">
        <v>1263</v>
      </c>
      <c r="D1082" s="2">
        <f t="shared" si="1041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ref="W1082:AH1082" si="1096">IF(OR((SLOPE($E1082:$V1082,$E$1:$V$1)*W$1+INTERCEPT($E1082:$V1082,$E$1:$V$1))&gt;(AVERAGE($E1082:$V1082)+_xlfn.STDEV.P($E1082:$V1082)),(SLOPE($E1082:$V1082,$E$1:$V$1)*W$1+INTERCEPT($E1082:$V1082,$E$1:$V$1))&lt;(AVERAGE($E1082:$V1082)-_xlfn.STDEV.P($E1082:$V1082))),V1082,(SLOPE($E1082:$V1082,$E$1:$V$1)*W$1+INTERCEPT($E1082:$V1082,$E$1:$V$1)))</f>
        <v>955.08839999999998</v>
      </c>
      <c r="X1082" s="5">
        <f t="shared" si="1096"/>
        <v>955.08839999999998</v>
      </c>
      <c r="Y1082" s="5">
        <f t="shared" si="1096"/>
        <v>955.08839999999998</v>
      </c>
      <c r="Z1082" s="5">
        <f t="shared" si="1096"/>
        <v>955.08839999999998</v>
      </c>
      <c r="AA1082" s="5">
        <f t="shared" si="1096"/>
        <v>955.08839999999998</v>
      </c>
      <c r="AB1082" s="5">
        <f t="shared" si="1096"/>
        <v>955.08839999999998</v>
      </c>
      <c r="AC1082" s="5">
        <f t="shared" si="1096"/>
        <v>955.08839999999998</v>
      </c>
      <c r="AD1082" s="5">
        <f t="shared" si="1096"/>
        <v>955.08839999999998</v>
      </c>
      <c r="AE1082" s="5">
        <f t="shared" si="1096"/>
        <v>955.08839999999998</v>
      </c>
      <c r="AF1082" s="5">
        <f t="shared" si="1096"/>
        <v>955.08839999999998</v>
      </c>
      <c r="AG1082" s="5">
        <f t="shared" si="1096"/>
        <v>955.08839999999998</v>
      </c>
      <c r="AH1082" s="5">
        <f t="shared" si="1096"/>
        <v>955.08839999999998</v>
      </c>
    </row>
    <row r="1083" spans="1:34" x14ac:dyDescent="0.35">
      <c r="A1083" t="s">
        <v>1103</v>
      </c>
      <c r="B1083" s="3" t="s">
        <v>1264</v>
      </c>
      <c r="C1083" s="4" t="s">
        <v>1263</v>
      </c>
      <c r="D1083" s="2">
        <f t="shared" si="1041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ref="W1083:AH1083" si="1097">IF(OR((SLOPE($E1083:$V1083,$E$1:$V$1)*W$1+INTERCEPT($E1083:$V1083,$E$1:$V$1))&gt;(AVERAGE($E1083:$V1083)+_xlfn.STDEV.P($E1083:$V1083)),(SLOPE($E1083:$V1083,$E$1:$V$1)*W$1+INTERCEPT($E1083:$V1083,$E$1:$V$1))&lt;(AVERAGE($E1083:$V1083)-_xlfn.STDEV.P($E1083:$V1083))),V1083,(SLOPE($E1083:$V1083,$E$1:$V$1)*W$1+INTERCEPT($E1083:$V1083,$E$1:$V$1)))</f>
        <v>828.79792152939194</v>
      </c>
      <c r="X1083" s="5">
        <f t="shared" si="1097"/>
        <v>887.25231114391431</v>
      </c>
      <c r="Y1083" s="5">
        <f t="shared" si="1097"/>
        <v>945.70670075843668</v>
      </c>
      <c r="Z1083" s="5">
        <f t="shared" si="1097"/>
        <v>1004.1610903729591</v>
      </c>
      <c r="AA1083" s="5">
        <f t="shared" si="1097"/>
        <v>1004.1610903729591</v>
      </c>
      <c r="AB1083" s="5">
        <f t="shared" si="1097"/>
        <v>1004.1610903729591</v>
      </c>
      <c r="AC1083" s="5">
        <f t="shared" si="1097"/>
        <v>1004.1610903729591</v>
      </c>
      <c r="AD1083" s="5">
        <f t="shared" si="1097"/>
        <v>1004.1610903729591</v>
      </c>
      <c r="AE1083" s="5">
        <f t="shared" si="1097"/>
        <v>1004.1610903729591</v>
      </c>
      <c r="AF1083" s="5">
        <f t="shared" si="1097"/>
        <v>1004.1610903729591</v>
      </c>
      <c r="AG1083" s="5">
        <f t="shared" si="1097"/>
        <v>1004.1610903729591</v>
      </c>
      <c r="AH1083" s="5">
        <f t="shared" si="1097"/>
        <v>1004.1610903729591</v>
      </c>
    </row>
    <row r="1084" spans="1:34" x14ac:dyDescent="0.35">
      <c r="A1084" t="s">
        <v>1104</v>
      </c>
      <c r="B1084" s="3" t="s">
        <v>1265</v>
      </c>
      <c r="C1084" s="4" t="s">
        <v>1263</v>
      </c>
      <c r="D1084" s="2">
        <f t="shared" si="1041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ref="W1084:AH1084" si="1098">IF(OR((SLOPE($E1084:$V1084,$E$1:$V$1)*W$1+INTERCEPT($E1084:$V1084,$E$1:$V$1))&gt;(AVERAGE($E1084:$V1084)+_xlfn.STDEV.P($E1084:$V1084)),(SLOPE($E1084:$V1084,$E$1:$V$1)*W$1+INTERCEPT($E1084:$V1084,$E$1:$V$1))&lt;(AVERAGE($E1084:$V1084)-_xlfn.STDEV.P($E1084:$V1084))),V1084,(SLOPE($E1084:$V1084,$E$1:$V$1)*W$1+INTERCEPT($E1084:$V1084,$E$1:$V$1)))</f>
        <v>872.50348624651747</v>
      </c>
      <c r="X1084" s="5">
        <f t="shared" si="1098"/>
        <v>936.46520798263418</v>
      </c>
      <c r="Y1084" s="5">
        <f t="shared" si="1098"/>
        <v>1000.4269297187511</v>
      </c>
      <c r="Z1084" s="5">
        <f t="shared" si="1098"/>
        <v>1064.3886514548681</v>
      </c>
      <c r="AA1084" s="5">
        <f t="shared" si="1098"/>
        <v>1128.350373190985</v>
      </c>
      <c r="AB1084" s="5">
        <f t="shared" si="1098"/>
        <v>1192.3120949271017</v>
      </c>
      <c r="AC1084" s="5">
        <f t="shared" si="1098"/>
        <v>1256.2738166632187</v>
      </c>
      <c r="AD1084" s="5">
        <f t="shared" si="1098"/>
        <v>1320.2355383993356</v>
      </c>
      <c r="AE1084" s="5">
        <f t="shared" si="1098"/>
        <v>1320.2355383993356</v>
      </c>
      <c r="AF1084" s="5">
        <f t="shared" si="1098"/>
        <v>1320.2355383993356</v>
      </c>
      <c r="AG1084" s="5">
        <f t="shared" si="1098"/>
        <v>1320.2355383993356</v>
      </c>
      <c r="AH1084" s="5">
        <f t="shared" si="1098"/>
        <v>1320.2355383993356</v>
      </c>
    </row>
    <row r="1085" spans="1:34" x14ac:dyDescent="0.35">
      <c r="A1085" t="s">
        <v>1105</v>
      </c>
      <c r="B1085" s="3" t="s">
        <v>1264</v>
      </c>
      <c r="C1085" s="4" t="s">
        <v>1263</v>
      </c>
      <c r="D1085" s="2">
        <f t="shared" si="1041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ref="W1085:AH1085" si="1099">IF(OR((SLOPE($E1085:$V1085,$E$1:$V$1)*W$1+INTERCEPT($E1085:$V1085,$E$1:$V$1))&gt;(AVERAGE($E1085:$V1085)+_xlfn.STDEV.P($E1085:$V1085)),(SLOPE($E1085:$V1085,$E$1:$V$1)*W$1+INTERCEPT($E1085:$V1085,$E$1:$V$1))&lt;(AVERAGE($E1085:$V1085)-_xlfn.STDEV.P($E1085:$V1085))),V1085,(SLOPE($E1085:$V1085,$E$1:$V$1)*W$1+INTERCEPT($E1085:$V1085,$E$1:$V$1)))</f>
        <v>867.75338075010291</v>
      </c>
      <c r="X1085" s="5">
        <f t="shared" si="1099"/>
        <v>931.36688046674567</v>
      </c>
      <c r="Y1085" s="5">
        <f t="shared" si="1099"/>
        <v>994.98038018338866</v>
      </c>
      <c r="Z1085" s="5">
        <f t="shared" si="1099"/>
        <v>1058.5938799000314</v>
      </c>
      <c r="AA1085" s="5">
        <f t="shared" si="1099"/>
        <v>1122.2073796166744</v>
      </c>
      <c r="AB1085" s="5">
        <f t="shared" si="1099"/>
        <v>1185.8208793333172</v>
      </c>
      <c r="AC1085" s="5">
        <f t="shared" si="1099"/>
        <v>1249.4343790499602</v>
      </c>
      <c r="AD1085" s="5">
        <f t="shared" si="1099"/>
        <v>1313.0478787666029</v>
      </c>
      <c r="AE1085" s="5">
        <f t="shared" si="1099"/>
        <v>1313.0478787666029</v>
      </c>
      <c r="AF1085" s="5">
        <f t="shared" si="1099"/>
        <v>1313.0478787666029</v>
      </c>
      <c r="AG1085" s="5">
        <f t="shared" si="1099"/>
        <v>1313.0478787666029</v>
      </c>
      <c r="AH1085" s="5">
        <f t="shared" si="1099"/>
        <v>1313.0478787666029</v>
      </c>
    </row>
    <row r="1086" spans="1:34" x14ac:dyDescent="0.35">
      <c r="A1086" t="s">
        <v>1106</v>
      </c>
      <c r="B1086" s="3" t="s">
        <v>1265</v>
      </c>
      <c r="C1086" s="4" t="s">
        <v>1263</v>
      </c>
      <c r="D1086" s="2">
        <f t="shared" si="1041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ref="W1086:AH1086" si="1100">IF(OR((SLOPE($E1086:$V1086,$E$1:$V$1)*W$1+INTERCEPT($E1086:$V1086,$E$1:$V$1))&gt;(AVERAGE($E1086:$V1086)+_xlfn.STDEV.P($E1086:$V1086)),(SLOPE($E1086:$V1086,$E$1:$V$1)*W$1+INTERCEPT($E1086:$V1086,$E$1:$V$1))&lt;(AVERAGE($E1086:$V1086)-_xlfn.STDEV.P($E1086:$V1086))),V1086,(SLOPE($E1086:$V1086,$E$1:$V$1)*W$1+INTERCEPT($E1086:$V1086,$E$1:$V$1)))</f>
        <v>161.60182344342732</v>
      </c>
      <c r="X1086" s="5">
        <f t="shared" si="1100"/>
        <v>152.3232498485894</v>
      </c>
      <c r="Y1086" s="5">
        <f t="shared" si="1100"/>
        <v>143.04467625375145</v>
      </c>
      <c r="Z1086" s="5">
        <f t="shared" si="1100"/>
        <v>133.76610265891352</v>
      </c>
      <c r="AA1086" s="5">
        <f t="shared" si="1100"/>
        <v>124.4875290640756</v>
      </c>
      <c r="AB1086" s="5">
        <f t="shared" si="1100"/>
        <v>115.20895546923765</v>
      </c>
      <c r="AC1086" s="5">
        <f t="shared" si="1100"/>
        <v>105.93038187439973</v>
      </c>
      <c r="AD1086" s="5">
        <f t="shared" si="1100"/>
        <v>96.651808279561806</v>
      </c>
      <c r="AE1086" s="5">
        <f t="shared" si="1100"/>
        <v>87.373234684723883</v>
      </c>
      <c r="AF1086" s="5">
        <f t="shared" si="1100"/>
        <v>78.09466108988596</v>
      </c>
      <c r="AG1086" s="5">
        <f t="shared" si="1100"/>
        <v>68.816087495048009</v>
      </c>
      <c r="AH1086" s="5">
        <f t="shared" si="1100"/>
        <v>59.537513900210058</v>
      </c>
    </row>
    <row r="1087" spans="1:34" x14ac:dyDescent="0.35">
      <c r="A1087" t="s">
        <v>1107</v>
      </c>
      <c r="B1087" s="3" t="s">
        <v>1264</v>
      </c>
      <c r="C1087" s="4" t="s">
        <v>1263</v>
      </c>
      <c r="D1087" s="2">
        <f t="shared" si="1041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ref="W1087:AH1087" si="1101">IF(OR((SLOPE($E1087:$V1087,$E$1:$V$1)*W$1+INTERCEPT($E1087:$V1087,$E$1:$V$1))&gt;(AVERAGE($E1087:$V1087)+_xlfn.STDEV.P($E1087:$V1087)),(SLOPE($E1087:$V1087,$E$1:$V$1)*W$1+INTERCEPT($E1087:$V1087,$E$1:$V$1))&lt;(AVERAGE($E1087:$V1087)-_xlfn.STDEV.P($E1087:$V1087))),V1087,(SLOPE($E1087:$V1087,$E$1:$V$1)*W$1+INTERCEPT($E1087:$V1087,$E$1:$V$1)))</f>
        <v>-322.75319999999988</v>
      </c>
      <c r="X1087" s="5">
        <f t="shared" si="1101"/>
        <v>-382.97987368421036</v>
      </c>
      <c r="Y1087" s="5">
        <f t="shared" si="1101"/>
        <v>-443.20654736842107</v>
      </c>
      <c r="Z1087" s="5">
        <f t="shared" si="1101"/>
        <v>-503.43322105263155</v>
      </c>
      <c r="AA1087" s="5">
        <f t="shared" si="1101"/>
        <v>-563.65989473684203</v>
      </c>
      <c r="AB1087" s="5">
        <f t="shared" si="1101"/>
        <v>-623.88656842105252</v>
      </c>
      <c r="AC1087" s="5">
        <f t="shared" si="1101"/>
        <v>-684.113242105263</v>
      </c>
      <c r="AD1087" s="5">
        <f t="shared" si="1101"/>
        <v>-744.33991578947348</v>
      </c>
      <c r="AE1087" s="5">
        <f t="shared" si="1101"/>
        <v>-744.33991578947348</v>
      </c>
      <c r="AF1087" s="5">
        <f t="shared" si="1101"/>
        <v>-744.33991578947348</v>
      </c>
      <c r="AG1087" s="5">
        <f t="shared" si="1101"/>
        <v>-744.33991578947348</v>
      </c>
      <c r="AH1087" s="5">
        <f t="shared" si="1101"/>
        <v>-744.33991578947348</v>
      </c>
    </row>
    <row r="1088" spans="1:34" x14ac:dyDescent="0.35">
      <c r="A1088" t="s">
        <v>1108</v>
      </c>
      <c r="B1088" s="3" t="s">
        <v>1266</v>
      </c>
      <c r="C1088" s="4" t="s">
        <v>1267</v>
      </c>
      <c r="D1088" s="2">
        <f t="shared" si="1041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ref="W1088:AH1088" si="1102">IF(OR((SLOPE($E1088:$V1088,$E$1:$V$1)*W$1+INTERCEPT($E1088:$V1088,$E$1:$V$1))&gt;(AVERAGE($E1088:$V1088)+_xlfn.STDEV.P($E1088:$V1088)),(SLOPE($E1088:$V1088,$E$1:$V$1)*W$1+INTERCEPT($E1088:$V1088,$E$1:$V$1))&lt;(AVERAGE($E1088:$V1088)-_xlfn.STDEV.P($E1088:$V1088))),V1088,(SLOPE($E1088:$V1088,$E$1:$V$1)*W$1+INTERCEPT($E1088:$V1088,$E$1:$V$1)))</f>
        <v>632.2710552103897</v>
      </c>
      <c r="X1088" s="5">
        <f t="shared" si="1102"/>
        <v>673.11153006847701</v>
      </c>
      <c r="Y1088" s="5">
        <f t="shared" si="1102"/>
        <v>713.95200492656443</v>
      </c>
      <c r="Z1088" s="5">
        <f t="shared" si="1102"/>
        <v>754.79247978465173</v>
      </c>
      <c r="AA1088" s="5">
        <f t="shared" si="1102"/>
        <v>795.63295464273915</v>
      </c>
      <c r="AB1088" s="5">
        <f t="shared" si="1102"/>
        <v>836.47342950082657</v>
      </c>
      <c r="AC1088" s="5">
        <f t="shared" si="1102"/>
        <v>877.31390435891387</v>
      </c>
      <c r="AD1088" s="5">
        <f t="shared" si="1102"/>
        <v>918.15437921700118</v>
      </c>
      <c r="AE1088" s="5">
        <f t="shared" si="1102"/>
        <v>958.9948540750886</v>
      </c>
      <c r="AF1088" s="5">
        <f t="shared" si="1102"/>
        <v>999.83532893317602</v>
      </c>
      <c r="AG1088" s="5">
        <f t="shared" si="1102"/>
        <v>1040.6758037912634</v>
      </c>
      <c r="AH1088" s="5">
        <f t="shared" si="1102"/>
        <v>1081.5162786493506</v>
      </c>
    </row>
    <row r="1089" spans="1:34" x14ac:dyDescent="0.35">
      <c r="A1089" t="s">
        <v>1109</v>
      </c>
      <c r="B1089" s="3" t="s">
        <v>1262</v>
      </c>
      <c r="C1089" s="4" t="s">
        <v>1267</v>
      </c>
      <c r="D1089" s="2">
        <f t="shared" si="1041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ref="W1089:AH1089" si="1103">IF(OR((SLOPE($E1089:$V1089,$E$1:$V$1)*W$1+INTERCEPT($E1089:$V1089,$E$1:$V$1))&gt;(AVERAGE($E1089:$V1089)+_xlfn.STDEV.P($E1089:$V1089)),(SLOPE($E1089:$V1089,$E$1:$V$1)*W$1+INTERCEPT($E1089:$V1089,$E$1:$V$1))&lt;(AVERAGE($E1089:$V1089)-_xlfn.STDEV.P($E1089:$V1089))),V1089,(SLOPE($E1089:$V1089,$E$1:$V$1)*W$1+INTERCEPT($E1089:$V1089,$E$1:$V$1)))</f>
        <v>-143.08517988064796</v>
      </c>
      <c r="X1089" s="5">
        <f t="shared" si="1103"/>
        <v>-183.75149416251634</v>
      </c>
      <c r="Y1089" s="5">
        <f t="shared" si="1103"/>
        <v>-224.41780844438472</v>
      </c>
      <c r="Z1089" s="5">
        <f t="shared" si="1103"/>
        <v>-265.0841227262531</v>
      </c>
      <c r="AA1089" s="5">
        <f t="shared" si="1103"/>
        <v>-305.75043700812148</v>
      </c>
      <c r="AB1089" s="5">
        <f t="shared" si="1103"/>
        <v>-346.41675128998986</v>
      </c>
      <c r="AC1089" s="5">
        <f t="shared" si="1103"/>
        <v>-387.08306557185813</v>
      </c>
      <c r="AD1089" s="5">
        <f t="shared" si="1103"/>
        <v>-427.74937985372662</v>
      </c>
      <c r="AE1089" s="5">
        <f t="shared" si="1103"/>
        <v>-427.74937985372662</v>
      </c>
      <c r="AF1089" s="5">
        <f t="shared" si="1103"/>
        <v>-427.74937985372662</v>
      </c>
      <c r="AG1089" s="5">
        <f t="shared" si="1103"/>
        <v>-427.74937985372662</v>
      </c>
      <c r="AH1089" s="5">
        <f t="shared" si="1103"/>
        <v>-427.74937985372662</v>
      </c>
    </row>
    <row r="1090" spans="1:34" x14ac:dyDescent="0.35">
      <c r="A1090" t="s">
        <v>1110</v>
      </c>
      <c r="B1090" s="3" t="s">
        <v>1264</v>
      </c>
      <c r="C1090" s="4" t="s">
        <v>1267</v>
      </c>
      <c r="D1090" s="2">
        <f t="shared" si="1041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ref="W1090:AH1090" si="1104">IF(OR((SLOPE($E1090:$V1090,$E$1:$V$1)*W$1+INTERCEPT($E1090:$V1090,$E$1:$V$1))&gt;(AVERAGE($E1090:$V1090)+_xlfn.STDEV.P($E1090:$V1090)),(SLOPE($E1090:$V1090,$E$1:$V$1)*W$1+INTERCEPT($E1090:$V1090,$E$1:$V$1))&lt;(AVERAGE($E1090:$V1090)-_xlfn.STDEV.P($E1090:$V1090))),V1090,(SLOPE($E1090:$V1090,$E$1:$V$1)*W$1+INTERCEPT($E1090:$V1090,$E$1:$V$1)))</f>
        <v>613.6468944171246</v>
      </c>
      <c r="X1090" s="5">
        <f t="shared" si="1104"/>
        <v>653.28437324311119</v>
      </c>
      <c r="Y1090" s="5">
        <f t="shared" si="1104"/>
        <v>692.92185206909767</v>
      </c>
      <c r="Z1090" s="5">
        <f t="shared" si="1104"/>
        <v>732.55933089508414</v>
      </c>
      <c r="AA1090" s="5">
        <f t="shared" si="1104"/>
        <v>772.19680972107074</v>
      </c>
      <c r="AB1090" s="5">
        <f t="shared" si="1104"/>
        <v>811.83428854705721</v>
      </c>
      <c r="AC1090" s="5">
        <f t="shared" si="1104"/>
        <v>851.47176737304369</v>
      </c>
      <c r="AD1090" s="5">
        <f t="shared" si="1104"/>
        <v>891.10924619903028</v>
      </c>
      <c r="AE1090" s="5">
        <f t="shared" si="1104"/>
        <v>930.74672502501687</v>
      </c>
      <c r="AF1090" s="5">
        <f t="shared" si="1104"/>
        <v>970.38420385100324</v>
      </c>
      <c r="AG1090" s="5">
        <f t="shared" si="1104"/>
        <v>1010.0216826769898</v>
      </c>
      <c r="AH1090" s="5">
        <f t="shared" si="1104"/>
        <v>1049.6591615029765</v>
      </c>
    </row>
    <row r="1091" spans="1:34" x14ac:dyDescent="0.35">
      <c r="A1091" t="s">
        <v>1111</v>
      </c>
      <c r="B1091" s="3" t="s">
        <v>1264</v>
      </c>
      <c r="C1091" s="4" t="s">
        <v>1263</v>
      </c>
      <c r="D1091" s="2">
        <f t="shared" si="1041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ref="W1091:AH1091" si="1105">IF(OR((SLOPE($E1091:$V1091,$E$1:$V$1)*W$1+INTERCEPT($E1091:$V1091,$E$1:$V$1))&gt;(AVERAGE($E1091:$V1091)+_xlfn.STDEV.P($E1091:$V1091)),(SLOPE($E1091:$V1091,$E$1:$V$1)*W$1+INTERCEPT($E1091:$V1091,$E$1:$V$1))&lt;(AVERAGE($E1091:$V1091)-_xlfn.STDEV.P($E1091:$V1091))),V1091,(SLOPE($E1091:$V1091,$E$1:$V$1)*W$1+INTERCEPT($E1091:$V1091,$E$1:$V$1)))</f>
        <v>194.17480188235294</v>
      </c>
      <c r="X1091" s="5">
        <f t="shared" si="1105"/>
        <v>189.79491913312694</v>
      </c>
      <c r="Y1091" s="5">
        <f t="shared" si="1105"/>
        <v>185.41503638390094</v>
      </c>
      <c r="Z1091" s="5">
        <f t="shared" si="1105"/>
        <v>181.03515363467491</v>
      </c>
      <c r="AA1091" s="5">
        <f t="shared" si="1105"/>
        <v>176.65527088544891</v>
      </c>
      <c r="AB1091" s="5">
        <f t="shared" si="1105"/>
        <v>172.27538813622292</v>
      </c>
      <c r="AC1091" s="5">
        <f t="shared" si="1105"/>
        <v>167.89550538699689</v>
      </c>
      <c r="AD1091" s="5">
        <f t="shared" si="1105"/>
        <v>163.51562263777089</v>
      </c>
      <c r="AE1091" s="5">
        <f t="shared" si="1105"/>
        <v>159.13573988854489</v>
      </c>
      <c r="AF1091" s="5">
        <f t="shared" si="1105"/>
        <v>154.75585713931889</v>
      </c>
      <c r="AG1091" s="5">
        <f t="shared" si="1105"/>
        <v>150.37597439009289</v>
      </c>
      <c r="AH1091" s="5">
        <f t="shared" si="1105"/>
        <v>145.99609164086687</v>
      </c>
    </row>
    <row r="1092" spans="1:34" x14ac:dyDescent="0.35">
      <c r="A1092" t="s">
        <v>1112</v>
      </c>
      <c r="B1092" s="3" t="s">
        <v>1266</v>
      </c>
      <c r="C1092" s="4" t="s">
        <v>1267</v>
      </c>
      <c r="D1092" s="2">
        <f t="shared" ref="D1092:D1155" si="1106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ref="W1092:AH1092" si="1107">IF(OR((SLOPE($E1092:$V1092,$E$1:$V$1)*W$1+INTERCEPT($E1092:$V1092,$E$1:$V$1))&gt;(AVERAGE($E1092:$V1092)+_xlfn.STDEV.P($E1092:$V1092)),(SLOPE($E1092:$V1092,$E$1:$V$1)*W$1+INTERCEPT($E1092:$V1092,$E$1:$V$1))&lt;(AVERAGE($E1092:$V1092)-_xlfn.STDEV.P($E1092:$V1092))),V1092,(SLOPE($E1092:$V1092,$E$1:$V$1)*W$1+INTERCEPT($E1092:$V1092,$E$1:$V$1)))</f>
        <v>430.09394565387822</v>
      </c>
      <c r="X1092" s="5">
        <f t="shared" si="1107"/>
        <v>451.31568639337888</v>
      </c>
      <c r="Y1092" s="5">
        <f t="shared" si="1107"/>
        <v>472.53742713287943</v>
      </c>
      <c r="Z1092" s="5">
        <f t="shared" si="1107"/>
        <v>493.75916787237998</v>
      </c>
      <c r="AA1092" s="5">
        <f t="shared" si="1107"/>
        <v>514.98090861188052</v>
      </c>
      <c r="AB1092" s="5">
        <f t="shared" si="1107"/>
        <v>536.20264935138107</v>
      </c>
      <c r="AC1092" s="5">
        <f t="shared" si="1107"/>
        <v>557.42439009088162</v>
      </c>
      <c r="AD1092" s="5">
        <f t="shared" si="1107"/>
        <v>578.64613083038228</v>
      </c>
      <c r="AE1092" s="5">
        <f t="shared" si="1107"/>
        <v>599.86787156988282</v>
      </c>
      <c r="AF1092" s="5">
        <f t="shared" si="1107"/>
        <v>621.08961230938337</v>
      </c>
      <c r="AG1092" s="5">
        <f t="shared" si="1107"/>
        <v>642.31135304888392</v>
      </c>
      <c r="AH1092" s="5">
        <f t="shared" si="1107"/>
        <v>663.53309378838458</v>
      </c>
    </row>
    <row r="1093" spans="1:34" x14ac:dyDescent="0.35">
      <c r="A1093" t="s">
        <v>1113</v>
      </c>
      <c r="B1093" s="3" t="s">
        <v>1264</v>
      </c>
      <c r="C1093" s="4" t="s">
        <v>1263</v>
      </c>
      <c r="D1093" s="2">
        <f t="shared" si="1106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H1093" si="1108">IF(OR((SLOPE($E1093:$V1093,$E$1:$V$1)*W$1+INTERCEPT($E1093:$V1093,$E$1:$V$1))&gt;(AVERAGE($E1093:$V1093)+_xlfn.STDEV.P($E1093:$V1093)),(SLOPE($E1093:$V1093,$E$1:$V$1)*W$1+INTERCEPT($E1093:$V1093,$E$1:$V$1))&lt;(AVERAGE($E1093:$V1093)-_xlfn.STDEV.P($E1093:$V1093))),V1093,(SLOPE($E1093:$V1093,$E$1:$V$1)*W$1+INTERCEPT($E1093:$V1093,$E$1:$V$1)))</f>
        <v>197.95999999999998</v>
      </c>
      <c r="X1093" s="5">
        <f t="shared" si="1108"/>
        <v>197.95999999999998</v>
      </c>
      <c r="Y1093" s="5">
        <f t="shared" si="1108"/>
        <v>197.95999999999998</v>
      </c>
      <c r="Z1093" s="5">
        <f t="shared" si="1108"/>
        <v>197.95999999999998</v>
      </c>
      <c r="AA1093" s="5">
        <f t="shared" si="1108"/>
        <v>197.95999999999998</v>
      </c>
      <c r="AB1093" s="5">
        <f t="shared" si="1108"/>
        <v>197.95999999999998</v>
      </c>
      <c r="AC1093" s="5">
        <f t="shared" si="1108"/>
        <v>197.95999999999998</v>
      </c>
      <c r="AD1093" s="5">
        <f t="shared" si="1108"/>
        <v>197.95999999999998</v>
      </c>
      <c r="AE1093" s="5">
        <f t="shared" si="1108"/>
        <v>197.95999999999998</v>
      </c>
      <c r="AF1093" s="5">
        <f t="shared" si="1108"/>
        <v>197.95999999999998</v>
      </c>
      <c r="AG1093" s="5">
        <f t="shared" si="1108"/>
        <v>197.95999999999998</v>
      </c>
      <c r="AH1093" s="5">
        <f t="shared" si="1108"/>
        <v>197.95999999999998</v>
      </c>
    </row>
    <row r="1094" spans="1:34" x14ac:dyDescent="0.35">
      <c r="A1094" t="s">
        <v>1114</v>
      </c>
      <c r="B1094" s="3" t="s">
        <v>1266</v>
      </c>
      <c r="C1094" s="4" t="s">
        <v>1267</v>
      </c>
      <c r="D1094" s="2">
        <f t="shared" si="1106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ref="W1094:AH1094" si="1109">IF(OR((SLOPE($E1094:$V1094,$E$1:$V$1)*W$1+INTERCEPT($E1094:$V1094,$E$1:$V$1))&gt;(AVERAGE($E1094:$V1094)+_xlfn.STDEV.P($E1094:$V1094)),(SLOPE($E1094:$V1094,$E$1:$V$1)*W$1+INTERCEPT($E1094:$V1094,$E$1:$V$1))&lt;(AVERAGE($E1094:$V1094)-_xlfn.STDEV.P($E1094:$V1094))),V1094,(SLOPE($E1094:$V1094,$E$1:$V$1)*W$1+INTERCEPT($E1094:$V1094,$E$1:$V$1)))</f>
        <v>816.7191528461276</v>
      </c>
      <c r="X1094" s="5">
        <f t="shared" si="1109"/>
        <v>879.11705077155329</v>
      </c>
      <c r="Y1094" s="5">
        <f t="shared" si="1109"/>
        <v>941.51494869697899</v>
      </c>
      <c r="Z1094" s="5">
        <f t="shared" si="1109"/>
        <v>1003.9128466224047</v>
      </c>
      <c r="AA1094" s="5">
        <f t="shared" si="1109"/>
        <v>1066.3107445478304</v>
      </c>
      <c r="AB1094" s="5">
        <f t="shared" si="1109"/>
        <v>1128.7086424732561</v>
      </c>
      <c r="AC1094" s="5">
        <f t="shared" si="1109"/>
        <v>1128.7086424732561</v>
      </c>
      <c r="AD1094" s="5">
        <f t="shared" si="1109"/>
        <v>1128.7086424732561</v>
      </c>
      <c r="AE1094" s="5">
        <f t="shared" si="1109"/>
        <v>1128.7086424732561</v>
      </c>
      <c r="AF1094" s="5">
        <f t="shared" si="1109"/>
        <v>1128.7086424732561</v>
      </c>
      <c r="AG1094" s="5">
        <f t="shared" si="1109"/>
        <v>1128.7086424732561</v>
      </c>
      <c r="AH1094" s="5">
        <f t="shared" si="1109"/>
        <v>1128.7086424732561</v>
      </c>
    </row>
    <row r="1095" spans="1:34" x14ac:dyDescent="0.35">
      <c r="A1095" t="s">
        <v>1115</v>
      </c>
      <c r="B1095" s="3" t="s">
        <v>1266</v>
      </c>
      <c r="C1095" s="4" t="s">
        <v>1266</v>
      </c>
      <c r="D1095" s="2">
        <f t="shared" si="1106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ref="W1095:AH1095" si="1110">IF(OR((SLOPE($E1095:$V1095,$E$1:$V$1)*W$1+INTERCEPT($E1095:$V1095,$E$1:$V$1))&gt;(AVERAGE($E1095:$V1095)+_xlfn.STDEV.P($E1095:$V1095)),(SLOPE($E1095:$V1095,$E$1:$V$1)*W$1+INTERCEPT($E1095:$V1095,$E$1:$V$1))&lt;(AVERAGE($E1095:$V1095)-_xlfn.STDEV.P($E1095:$V1095))),V1095,(SLOPE($E1095:$V1095,$E$1:$V$1)*W$1+INTERCEPT($E1095:$V1095,$E$1:$V$1)))</f>
        <v>578.46507436794275</v>
      </c>
      <c r="X1095" s="5">
        <f t="shared" si="1110"/>
        <v>615.8300432864462</v>
      </c>
      <c r="Y1095" s="5">
        <f t="shared" si="1110"/>
        <v>653.19501220494965</v>
      </c>
      <c r="Z1095" s="5">
        <f t="shared" si="1110"/>
        <v>690.5599811234531</v>
      </c>
      <c r="AA1095" s="5">
        <f t="shared" si="1110"/>
        <v>727.92495004195655</v>
      </c>
      <c r="AB1095" s="5">
        <f t="shared" si="1110"/>
        <v>765.28991896046</v>
      </c>
      <c r="AC1095" s="5">
        <f t="shared" si="1110"/>
        <v>802.65488787896356</v>
      </c>
      <c r="AD1095" s="5">
        <f t="shared" si="1110"/>
        <v>840.01985679746701</v>
      </c>
      <c r="AE1095" s="5">
        <f t="shared" si="1110"/>
        <v>877.38482571597046</v>
      </c>
      <c r="AF1095" s="5">
        <f t="shared" si="1110"/>
        <v>914.74979463447403</v>
      </c>
      <c r="AG1095" s="5">
        <f t="shared" si="1110"/>
        <v>952.11476355297737</v>
      </c>
      <c r="AH1095" s="5">
        <f t="shared" si="1110"/>
        <v>989.47973247148093</v>
      </c>
    </row>
    <row r="1096" spans="1:34" x14ac:dyDescent="0.35">
      <c r="A1096" t="s">
        <v>1116</v>
      </c>
      <c r="B1096" s="3" t="s">
        <v>1264</v>
      </c>
      <c r="C1096" s="4" t="s">
        <v>1267</v>
      </c>
      <c r="D1096" s="2">
        <f t="shared" si="1106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ref="W1096:AH1096" si="1111">IF(OR((SLOPE($E1096:$V1096,$E$1:$V$1)*W$1+INTERCEPT($E1096:$V1096,$E$1:$V$1))&gt;(AVERAGE($E1096:$V1096)+_xlfn.STDEV.P($E1096:$V1096)),(SLOPE($E1096:$V1096,$E$1:$V$1)*W$1+INTERCEPT($E1096:$V1096,$E$1:$V$1))&lt;(AVERAGE($E1096:$V1096)-_xlfn.STDEV.P($E1096:$V1096))),V1096,(SLOPE($E1096:$V1096,$E$1:$V$1)*W$1+INTERCEPT($E1096:$V1096,$E$1:$V$1)))</f>
        <v>628.60252133061636</v>
      </c>
      <c r="X1096" s="5">
        <f t="shared" si="1111"/>
        <v>671.70435702335749</v>
      </c>
      <c r="Y1096" s="5">
        <f t="shared" si="1111"/>
        <v>714.80619271609862</v>
      </c>
      <c r="Z1096" s="5">
        <f t="shared" si="1111"/>
        <v>757.90802840883953</v>
      </c>
      <c r="AA1096" s="5">
        <f t="shared" si="1111"/>
        <v>801.00986410158066</v>
      </c>
      <c r="AB1096" s="5">
        <f t="shared" si="1111"/>
        <v>844.11169979432179</v>
      </c>
      <c r="AC1096" s="5">
        <f t="shared" si="1111"/>
        <v>844.11169979432179</v>
      </c>
      <c r="AD1096" s="5">
        <f t="shared" si="1111"/>
        <v>844.11169979432179</v>
      </c>
      <c r="AE1096" s="5">
        <f t="shared" si="1111"/>
        <v>844.11169979432179</v>
      </c>
      <c r="AF1096" s="5">
        <f t="shared" si="1111"/>
        <v>844.11169979432179</v>
      </c>
      <c r="AG1096" s="5">
        <f t="shared" si="1111"/>
        <v>844.11169979432179</v>
      </c>
      <c r="AH1096" s="5">
        <f t="shared" si="1111"/>
        <v>844.11169979432179</v>
      </c>
    </row>
    <row r="1097" spans="1:34" x14ac:dyDescent="0.35">
      <c r="A1097" t="s">
        <v>1117</v>
      </c>
      <c r="B1097" s="3" t="s">
        <v>1264</v>
      </c>
      <c r="C1097" s="4" t="s">
        <v>1263</v>
      </c>
      <c r="D1097" s="2">
        <f t="shared" si="1106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ref="W1097:AH1097" si="1112">IF(OR((SLOPE($E1097:$V1097,$E$1:$V$1)*W$1+INTERCEPT($E1097:$V1097,$E$1:$V$1))&gt;(AVERAGE($E1097:$V1097)+_xlfn.STDEV.P($E1097:$V1097)),(SLOPE($E1097:$V1097,$E$1:$V$1)*W$1+INTERCEPT($E1097:$V1097,$E$1:$V$1))&lt;(AVERAGE($E1097:$V1097)-_xlfn.STDEV.P($E1097:$V1097))),V1097,(SLOPE($E1097:$V1097,$E$1:$V$1)*W$1+INTERCEPT($E1097:$V1097,$E$1:$V$1)))</f>
        <v>1022.9399423881008</v>
      </c>
      <c r="X1097" s="5">
        <f t="shared" si="1112"/>
        <v>1022.9399423881008</v>
      </c>
      <c r="Y1097" s="5">
        <f t="shared" si="1112"/>
        <v>1022.9399423881008</v>
      </c>
      <c r="Z1097" s="5">
        <f t="shared" si="1112"/>
        <v>1022.9399423881008</v>
      </c>
      <c r="AA1097" s="5">
        <f t="shared" si="1112"/>
        <v>1022.9399423881008</v>
      </c>
      <c r="AB1097" s="5">
        <f t="shared" si="1112"/>
        <v>1022.9399423881008</v>
      </c>
      <c r="AC1097" s="5">
        <f t="shared" si="1112"/>
        <v>1022.9399423881008</v>
      </c>
      <c r="AD1097" s="5">
        <f t="shared" si="1112"/>
        <v>1022.9399423881008</v>
      </c>
      <c r="AE1097" s="5">
        <f t="shared" si="1112"/>
        <v>1022.9399423881008</v>
      </c>
      <c r="AF1097" s="5">
        <f t="shared" si="1112"/>
        <v>1022.9399423881008</v>
      </c>
      <c r="AG1097" s="5">
        <f t="shared" si="1112"/>
        <v>1022.9399423881008</v>
      </c>
      <c r="AH1097" s="5">
        <f t="shared" si="1112"/>
        <v>1022.9399423881008</v>
      </c>
    </row>
    <row r="1098" spans="1:34" x14ac:dyDescent="0.35">
      <c r="A1098" t="s">
        <v>1118</v>
      </c>
      <c r="B1098" s="3" t="s">
        <v>1266</v>
      </c>
      <c r="C1098" s="4" t="s">
        <v>1266</v>
      </c>
      <c r="D1098" s="2">
        <f t="shared" si="1106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ref="W1098:AH1098" si="1113">IF(OR((SLOPE($E1098:$V1098,$E$1:$V$1)*W$1+INTERCEPT($E1098:$V1098,$E$1:$V$1))&gt;(AVERAGE($E1098:$V1098)+_xlfn.STDEV.P($E1098:$V1098)),(SLOPE($E1098:$V1098,$E$1:$V$1)*W$1+INTERCEPT($E1098:$V1098,$E$1:$V$1))&lt;(AVERAGE($E1098:$V1098)-_xlfn.STDEV.P($E1098:$V1098))),V1098,(SLOPE($E1098:$V1098,$E$1:$V$1)*W$1+INTERCEPT($E1098:$V1098,$E$1:$V$1)))</f>
        <v>656.37709803921575</v>
      </c>
      <c r="X1098" s="5">
        <f t="shared" si="1113"/>
        <v>703.64465221878231</v>
      </c>
      <c r="Y1098" s="5">
        <f t="shared" si="1113"/>
        <v>750.91220639834899</v>
      </c>
      <c r="Z1098" s="5">
        <f t="shared" si="1113"/>
        <v>798.17976057791543</v>
      </c>
      <c r="AA1098" s="5">
        <f t="shared" si="1113"/>
        <v>845.44731475748199</v>
      </c>
      <c r="AB1098" s="5">
        <f t="shared" si="1113"/>
        <v>892.71486893704878</v>
      </c>
      <c r="AC1098" s="5">
        <f t="shared" si="1113"/>
        <v>939.98242311661534</v>
      </c>
      <c r="AD1098" s="5">
        <f t="shared" si="1113"/>
        <v>939.98242311661534</v>
      </c>
      <c r="AE1098" s="5">
        <f t="shared" si="1113"/>
        <v>939.98242311661534</v>
      </c>
      <c r="AF1098" s="5">
        <f t="shared" si="1113"/>
        <v>939.98242311661534</v>
      </c>
      <c r="AG1098" s="5">
        <f t="shared" si="1113"/>
        <v>939.98242311661534</v>
      </c>
      <c r="AH1098" s="5">
        <f t="shared" si="1113"/>
        <v>939.98242311661534</v>
      </c>
    </row>
    <row r="1099" spans="1:34" x14ac:dyDescent="0.35">
      <c r="A1099" t="s">
        <v>1119</v>
      </c>
      <c r="B1099" s="3" t="s">
        <v>1264</v>
      </c>
      <c r="C1099" s="4" t="s">
        <v>1267</v>
      </c>
      <c r="D1099" s="2">
        <f t="shared" si="1106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ref="W1099:AH1099" si="1114">IF(OR((SLOPE($E1099:$V1099,$E$1:$V$1)*W$1+INTERCEPT($E1099:$V1099,$E$1:$V$1))&gt;(AVERAGE($E1099:$V1099)+_xlfn.STDEV.P($E1099:$V1099)),(SLOPE($E1099:$V1099,$E$1:$V$1)*W$1+INTERCEPT($E1099:$V1099,$E$1:$V$1))&lt;(AVERAGE($E1099:$V1099)-_xlfn.STDEV.P($E1099:$V1099))),V1099,(SLOPE($E1099:$V1099,$E$1:$V$1)*W$1+INTERCEPT($E1099:$V1099,$E$1:$V$1)))</f>
        <v>551.94676078431371</v>
      </c>
      <c r="X1099" s="5">
        <f t="shared" si="1114"/>
        <v>588.75944437564499</v>
      </c>
      <c r="Y1099" s="5">
        <f t="shared" si="1114"/>
        <v>625.57212796697604</v>
      </c>
      <c r="Z1099" s="5">
        <f t="shared" si="1114"/>
        <v>662.38481155830732</v>
      </c>
      <c r="AA1099" s="5">
        <f t="shared" si="1114"/>
        <v>699.1974951496386</v>
      </c>
      <c r="AB1099" s="5">
        <f t="shared" si="1114"/>
        <v>736.01017874096988</v>
      </c>
      <c r="AC1099" s="5">
        <f t="shared" si="1114"/>
        <v>772.82286233230116</v>
      </c>
      <c r="AD1099" s="5">
        <f t="shared" si="1114"/>
        <v>772.82286233230116</v>
      </c>
      <c r="AE1099" s="5">
        <f t="shared" si="1114"/>
        <v>772.82286233230116</v>
      </c>
      <c r="AF1099" s="5">
        <f t="shared" si="1114"/>
        <v>772.82286233230116</v>
      </c>
      <c r="AG1099" s="5">
        <f t="shared" si="1114"/>
        <v>772.82286233230116</v>
      </c>
      <c r="AH1099" s="5">
        <f t="shared" si="1114"/>
        <v>772.82286233230116</v>
      </c>
    </row>
    <row r="1100" spans="1:34" x14ac:dyDescent="0.35">
      <c r="A1100" t="s">
        <v>1120</v>
      </c>
      <c r="B1100" s="3" t="s">
        <v>1264</v>
      </c>
      <c r="C1100" s="4" t="s">
        <v>1263</v>
      </c>
      <c r="D1100" s="2">
        <f t="shared" si="1106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ref="W1100:AH1100" si="1115">IF(OR((SLOPE($E1100:$V1100,$E$1:$V$1)*W$1+INTERCEPT($E1100:$V1100,$E$1:$V$1))&gt;(AVERAGE($E1100:$V1100)+_xlfn.STDEV.P($E1100:$V1100)),(SLOPE($E1100:$V1100,$E$1:$V$1)*W$1+INTERCEPT($E1100:$V1100,$E$1:$V$1))&lt;(AVERAGE($E1100:$V1100)-_xlfn.STDEV.P($E1100:$V1100))),V1100,(SLOPE($E1100:$V1100,$E$1:$V$1)*W$1+INTERCEPT($E1100:$V1100,$E$1:$V$1)))</f>
        <v>96.008771768907849</v>
      </c>
      <c r="X1100" s="5">
        <f t="shared" si="1115"/>
        <v>84.894251791733097</v>
      </c>
      <c r="Y1100" s="5">
        <f t="shared" si="1115"/>
        <v>73.779731814558346</v>
      </c>
      <c r="Z1100" s="5">
        <f t="shared" si="1115"/>
        <v>62.665211837383595</v>
      </c>
      <c r="AA1100" s="5">
        <f t="shared" si="1115"/>
        <v>51.550691860208843</v>
      </c>
      <c r="AB1100" s="5">
        <f t="shared" si="1115"/>
        <v>40.436171883034092</v>
      </c>
      <c r="AC1100" s="5">
        <f t="shared" si="1115"/>
        <v>29.321651905859369</v>
      </c>
      <c r="AD1100" s="5">
        <f t="shared" si="1115"/>
        <v>18.207131928684589</v>
      </c>
      <c r="AE1100" s="5">
        <f t="shared" si="1115"/>
        <v>7.0926119515098094</v>
      </c>
      <c r="AF1100" s="5">
        <f t="shared" si="1115"/>
        <v>-4.0219080256649136</v>
      </c>
      <c r="AG1100" s="5">
        <f t="shared" si="1115"/>
        <v>-15.136428002839637</v>
      </c>
      <c r="AH1100" s="5">
        <f t="shared" si="1115"/>
        <v>-26.250947980014416</v>
      </c>
    </row>
    <row r="1101" spans="1:34" x14ac:dyDescent="0.35">
      <c r="A1101" t="s">
        <v>1121</v>
      </c>
      <c r="B1101" s="3" t="s">
        <v>1265</v>
      </c>
      <c r="C1101" s="4" t="s">
        <v>1263</v>
      </c>
      <c r="D1101" s="2">
        <f t="shared" si="1106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ref="W1101:AH1101" si="1116">IF(OR((SLOPE($E1101:$V1101,$E$1:$V$1)*W$1+INTERCEPT($E1101:$V1101,$E$1:$V$1))&gt;(AVERAGE($E1101:$V1101)+_xlfn.STDEV.P($E1101:$V1101)),(SLOPE($E1101:$V1101,$E$1:$V$1)*W$1+INTERCEPT($E1101:$V1101,$E$1:$V$1))&lt;(AVERAGE($E1101:$V1101)-_xlfn.STDEV.P($E1101:$V1101))),V1101,(SLOPE($E1101:$V1101,$E$1:$V$1)*W$1+INTERCEPT($E1101:$V1101,$E$1:$V$1)))</f>
        <v>661.17036703791268</v>
      </c>
      <c r="X1101" s="5">
        <f t="shared" si="1116"/>
        <v>709.63962326813567</v>
      </c>
      <c r="Y1101" s="5">
        <f t="shared" si="1116"/>
        <v>758.10887949835842</v>
      </c>
      <c r="Z1101" s="5">
        <f t="shared" si="1116"/>
        <v>806.5781357285814</v>
      </c>
      <c r="AA1101" s="5">
        <f t="shared" si="1116"/>
        <v>855.04739195880438</v>
      </c>
      <c r="AB1101" s="5">
        <f t="shared" si="1116"/>
        <v>903.51664818902714</v>
      </c>
      <c r="AC1101" s="5">
        <f t="shared" si="1116"/>
        <v>951.98590441925012</v>
      </c>
      <c r="AD1101" s="5">
        <f t="shared" si="1116"/>
        <v>1000.4551606494731</v>
      </c>
      <c r="AE1101" s="5">
        <f t="shared" si="1116"/>
        <v>1000.4551606494731</v>
      </c>
      <c r="AF1101" s="5">
        <f t="shared" si="1116"/>
        <v>1000.4551606494731</v>
      </c>
      <c r="AG1101" s="5">
        <f t="shared" si="1116"/>
        <v>1000.4551606494731</v>
      </c>
      <c r="AH1101" s="5">
        <f t="shared" si="1116"/>
        <v>1000.4551606494731</v>
      </c>
    </row>
    <row r="1102" spans="1:34" x14ac:dyDescent="0.35">
      <c r="A1102" t="s">
        <v>1122</v>
      </c>
      <c r="B1102" s="3" t="s">
        <v>1266</v>
      </c>
      <c r="C1102" s="4" t="s">
        <v>1266</v>
      </c>
      <c r="D1102" s="2">
        <f t="shared" si="1106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ref="W1102:AH1102" si="1117">IF(OR((SLOPE($E1102:$V1102,$E$1:$V$1)*W$1+INTERCEPT($E1102:$V1102,$E$1:$V$1))&gt;(AVERAGE($E1102:$V1102)+_xlfn.STDEV.P($E1102:$V1102)),(SLOPE($E1102:$V1102,$E$1:$V$1)*W$1+INTERCEPT($E1102:$V1102,$E$1:$V$1))&lt;(AVERAGE($E1102:$V1102)-_xlfn.STDEV.P($E1102:$V1102))),V1102,(SLOPE($E1102:$V1102,$E$1:$V$1)*W$1+INTERCEPT($E1102:$V1102,$E$1:$V$1)))</f>
        <v>-46.809411764705885</v>
      </c>
      <c r="X1102" s="5">
        <f t="shared" si="1117"/>
        <v>-72.677770897832829</v>
      </c>
      <c r="Y1102" s="5">
        <f t="shared" si="1117"/>
        <v>-98.546130030959716</v>
      </c>
      <c r="Z1102" s="5">
        <f t="shared" si="1117"/>
        <v>-124.41448916408672</v>
      </c>
      <c r="AA1102" s="5">
        <f t="shared" si="1117"/>
        <v>-150.2828482972136</v>
      </c>
      <c r="AB1102" s="5">
        <f t="shared" si="1117"/>
        <v>-176.15120743034049</v>
      </c>
      <c r="AC1102" s="5">
        <f t="shared" si="1117"/>
        <v>-202.01956656346749</v>
      </c>
      <c r="AD1102" s="5">
        <f t="shared" si="1117"/>
        <v>-227.88792569659438</v>
      </c>
      <c r="AE1102" s="5">
        <f t="shared" si="1117"/>
        <v>-253.75628482972138</v>
      </c>
      <c r="AF1102" s="5">
        <f t="shared" si="1117"/>
        <v>-279.62464396284827</v>
      </c>
      <c r="AG1102" s="5">
        <f t="shared" si="1117"/>
        <v>-305.49300309597527</v>
      </c>
      <c r="AH1102" s="5">
        <f t="shared" si="1117"/>
        <v>-331.36136222910216</v>
      </c>
    </row>
    <row r="1103" spans="1:34" x14ac:dyDescent="0.35">
      <c r="A1103" t="s">
        <v>1123</v>
      </c>
      <c r="B1103" s="3" t="s">
        <v>1264</v>
      </c>
      <c r="C1103" s="4" t="s">
        <v>1263</v>
      </c>
      <c r="D1103" s="2">
        <f t="shared" si="1106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ref="W1103:AH1103" si="1118">IF(OR((SLOPE($E1103:$V1103,$E$1:$V$1)*W$1+INTERCEPT($E1103:$V1103,$E$1:$V$1))&gt;(AVERAGE($E1103:$V1103)+_xlfn.STDEV.P($E1103:$V1103)),(SLOPE($E1103:$V1103,$E$1:$V$1)*W$1+INTERCEPT($E1103:$V1103,$E$1:$V$1))&lt;(AVERAGE($E1103:$V1103)-_xlfn.STDEV.P($E1103:$V1103))),V1103,(SLOPE($E1103:$V1103,$E$1:$V$1)*W$1+INTERCEPT($E1103:$V1103,$E$1:$V$1)))</f>
        <v>724.18000885777519</v>
      </c>
      <c r="X1103" s="5">
        <f t="shared" si="1118"/>
        <v>779.50785333757131</v>
      </c>
      <c r="Y1103" s="5">
        <f t="shared" si="1118"/>
        <v>834.83569781736742</v>
      </c>
      <c r="Z1103" s="5">
        <f t="shared" si="1118"/>
        <v>890.16354229716353</v>
      </c>
      <c r="AA1103" s="5">
        <f t="shared" si="1118"/>
        <v>945.49138677695964</v>
      </c>
      <c r="AB1103" s="5">
        <f t="shared" si="1118"/>
        <v>1000.8192312567558</v>
      </c>
      <c r="AC1103" s="5">
        <f t="shared" si="1118"/>
        <v>1000.8192312567558</v>
      </c>
      <c r="AD1103" s="5">
        <f t="shared" si="1118"/>
        <v>1000.8192312567558</v>
      </c>
      <c r="AE1103" s="5">
        <f t="shared" si="1118"/>
        <v>1000.8192312567558</v>
      </c>
      <c r="AF1103" s="5">
        <f t="shared" si="1118"/>
        <v>1000.8192312567558</v>
      </c>
      <c r="AG1103" s="5">
        <f t="shared" si="1118"/>
        <v>1000.8192312567558</v>
      </c>
      <c r="AH1103" s="5">
        <f t="shared" si="1118"/>
        <v>1000.8192312567558</v>
      </c>
    </row>
    <row r="1104" spans="1:34" x14ac:dyDescent="0.35">
      <c r="A1104" t="s">
        <v>1124</v>
      </c>
      <c r="B1104" s="3" t="s">
        <v>1266</v>
      </c>
      <c r="C1104" s="4" t="s">
        <v>1267</v>
      </c>
      <c r="D1104" s="2">
        <f t="shared" si="1106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ref="W1104:AH1104" si="1119">IF(OR((SLOPE($E1104:$V1104,$E$1:$V$1)*W$1+INTERCEPT($E1104:$V1104,$E$1:$V$1))&gt;(AVERAGE($E1104:$V1104)+_xlfn.STDEV.P($E1104:$V1104)),(SLOPE($E1104:$V1104,$E$1:$V$1)*W$1+INTERCEPT($E1104:$V1104,$E$1:$V$1))&lt;(AVERAGE($E1104:$V1104)-_xlfn.STDEV.P($E1104:$V1104))),V1104,(SLOPE($E1104:$V1104,$E$1:$V$1)*W$1+INTERCEPT($E1104:$V1104,$E$1:$V$1)))</f>
        <v>677.54509803921565</v>
      </c>
      <c r="X1104" s="5">
        <f t="shared" si="1119"/>
        <v>728.16528379772944</v>
      </c>
      <c r="Y1104" s="5">
        <f t="shared" si="1119"/>
        <v>728.16528379772944</v>
      </c>
      <c r="Z1104" s="5">
        <f t="shared" si="1119"/>
        <v>728.16528379772944</v>
      </c>
      <c r="AA1104" s="5">
        <f t="shared" si="1119"/>
        <v>728.16528379772944</v>
      </c>
      <c r="AB1104" s="5">
        <f t="shared" si="1119"/>
        <v>728.16528379772944</v>
      </c>
      <c r="AC1104" s="5">
        <f t="shared" si="1119"/>
        <v>728.16528379772944</v>
      </c>
      <c r="AD1104" s="5">
        <f t="shared" si="1119"/>
        <v>728.16528379772944</v>
      </c>
      <c r="AE1104" s="5">
        <f t="shared" si="1119"/>
        <v>728.16528379772944</v>
      </c>
      <c r="AF1104" s="5">
        <f t="shared" si="1119"/>
        <v>728.16528379772944</v>
      </c>
      <c r="AG1104" s="5">
        <f t="shared" si="1119"/>
        <v>728.16528379772944</v>
      </c>
      <c r="AH1104" s="5">
        <f t="shared" si="1119"/>
        <v>728.16528379772944</v>
      </c>
    </row>
    <row r="1105" spans="1:34" x14ac:dyDescent="0.35">
      <c r="A1105" t="s">
        <v>1125</v>
      </c>
      <c r="B1105" s="3" t="s">
        <v>1264</v>
      </c>
      <c r="C1105" s="4" t="s">
        <v>1267</v>
      </c>
      <c r="D1105" s="2">
        <f t="shared" si="1106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ref="W1105:AH1105" si="1120">IF(OR((SLOPE($E1105:$V1105,$E$1:$V$1)*W$1+INTERCEPT($E1105:$V1105,$E$1:$V$1))&gt;(AVERAGE($E1105:$V1105)+_xlfn.STDEV.P($E1105:$V1105)),(SLOPE($E1105:$V1105,$E$1:$V$1)*W$1+INTERCEPT($E1105:$V1105,$E$1:$V$1))&lt;(AVERAGE($E1105:$V1105)-_xlfn.STDEV.P($E1105:$V1105))),V1105,(SLOPE($E1105:$V1105,$E$1:$V$1)*W$1+INTERCEPT($E1105:$V1105,$E$1:$V$1)))</f>
        <v>664.2272360887107</v>
      </c>
      <c r="X1105" s="5">
        <f t="shared" si="1120"/>
        <v>664.2272360887107</v>
      </c>
      <c r="Y1105" s="5">
        <f t="shared" si="1120"/>
        <v>664.2272360887107</v>
      </c>
      <c r="Z1105" s="5">
        <f t="shared" si="1120"/>
        <v>664.2272360887107</v>
      </c>
      <c r="AA1105" s="5">
        <f t="shared" si="1120"/>
        <v>664.2272360887107</v>
      </c>
      <c r="AB1105" s="5">
        <f t="shared" si="1120"/>
        <v>664.2272360887107</v>
      </c>
      <c r="AC1105" s="5">
        <f t="shared" si="1120"/>
        <v>664.2272360887107</v>
      </c>
      <c r="AD1105" s="5">
        <f t="shared" si="1120"/>
        <v>664.2272360887107</v>
      </c>
      <c r="AE1105" s="5">
        <f t="shared" si="1120"/>
        <v>664.2272360887107</v>
      </c>
      <c r="AF1105" s="5">
        <f t="shared" si="1120"/>
        <v>664.2272360887107</v>
      </c>
      <c r="AG1105" s="5">
        <f t="shared" si="1120"/>
        <v>664.2272360887107</v>
      </c>
      <c r="AH1105" s="5">
        <f t="shared" si="1120"/>
        <v>664.2272360887107</v>
      </c>
    </row>
    <row r="1106" spans="1:34" x14ac:dyDescent="0.35">
      <c r="A1106" t="s">
        <v>1126</v>
      </c>
      <c r="B1106" s="3" t="s">
        <v>1264</v>
      </c>
      <c r="C1106" s="4" t="s">
        <v>1267</v>
      </c>
      <c r="D1106" s="2">
        <f t="shared" si="1106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ref="W1106:AH1106" si="1121">IF(OR((SLOPE($E1106:$V1106,$E$1:$V$1)*W$1+INTERCEPT($E1106:$V1106,$E$1:$V$1))&gt;(AVERAGE($E1106:$V1106)+_xlfn.STDEV.P($E1106:$V1106)),(SLOPE($E1106:$V1106,$E$1:$V$1)*W$1+INTERCEPT($E1106:$V1106,$E$1:$V$1))&lt;(AVERAGE($E1106:$V1106)-_xlfn.STDEV.P($E1106:$V1106))),V1106,(SLOPE($E1106:$V1106,$E$1:$V$1)*W$1+INTERCEPT($E1106:$V1106,$E$1:$V$1)))</f>
        <v>337.00470588235305</v>
      </c>
      <c r="X1106" s="5">
        <f t="shared" si="1121"/>
        <v>352.10520123839024</v>
      </c>
      <c r="Y1106" s="5">
        <f t="shared" si="1121"/>
        <v>367.20569659442742</v>
      </c>
      <c r="Z1106" s="5">
        <f t="shared" si="1121"/>
        <v>382.30619195046449</v>
      </c>
      <c r="AA1106" s="5">
        <f t="shared" si="1121"/>
        <v>397.40668730650168</v>
      </c>
      <c r="AB1106" s="5">
        <f t="shared" si="1121"/>
        <v>412.50718266253887</v>
      </c>
      <c r="AC1106" s="5">
        <f t="shared" si="1121"/>
        <v>427.60767801857605</v>
      </c>
      <c r="AD1106" s="5">
        <f t="shared" si="1121"/>
        <v>442.70817337461312</v>
      </c>
      <c r="AE1106" s="5">
        <f t="shared" si="1121"/>
        <v>457.80866873065031</v>
      </c>
      <c r="AF1106" s="5">
        <f t="shared" si="1121"/>
        <v>472.9091640866875</v>
      </c>
      <c r="AG1106" s="5">
        <f t="shared" si="1121"/>
        <v>488.00965944272468</v>
      </c>
      <c r="AH1106" s="5">
        <f t="shared" si="1121"/>
        <v>503.11015479876176</v>
      </c>
    </row>
    <row r="1107" spans="1:34" x14ac:dyDescent="0.35">
      <c r="A1107" t="s">
        <v>1127</v>
      </c>
      <c r="B1107" s="3" t="s">
        <v>1266</v>
      </c>
      <c r="C1107" s="4" t="s">
        <v>1267</v>
      </c>
      <c r="D1107" s="2">
        <f t="shared" si="1106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ref="W1107:AH1107" si="1122">IF(OR((SLOPE($E1107:$V1107,$E$1:$V$1)*W$1+INTERCEPT($E1107:$V1107,$E$1:$V$1))&gt;(AVERAGE($E1107:$V1107)+_xlfn.STDEV.P($E1107:$V1107)),(SLOPE($E1107:$V1107,$E$1:$V$1)*W$1+INTERCEPT($E1107:$V1107,$E$1:$V$1))&lt;(AVERAGE($E1107:$V1107)-_xlfn.STDEV.P($E1107:$V1107))),V1107,(SLOPE($E1107:$V1107,$E$1:$V$1)*W$1+INTERCEPT($E1107:$V1107,$E$1:$V$1)))</f>
        <v>762.0422888282128</v>
      </c>
      <c r="X1107" s="5">
        <f t="shared" si="1122"/>
        <v>822.20352215675598</v>
      </c>
      <c r="Y1107" s="5">
        <f t="shared" si="1122"/>
        <v>882.36475548529916</v>
      </c>
      <c r="Z1107" s="5">
        <f t="shared" si="1122"/>
        <v>942.5259888138421</v>
      </c>
      <c r="AA1107" s="5">
        <f t="shared" si="1122"/>
        <v>942.5259888138421</v>
      </c>
      <c r="AB1107" s="5">
        <f t="shared" si="1122"/>
        <v>942.5259888138421</v>
      </c>
      <c r="AC1107" s="5">
        <f t="shared" si="1122"/>
        <v>942.5259888138421</v>
      </c>
      <c r="AD1107" s="5">
        <f t="shared" si="1122"/>
        <v>942.5259888138421</v>
      </c>
      <c r="AE1107" s="5">
        <f t="shared" si="1122"/>
        <v>942.5259888138421</v>
      </c>
      <c r="AF1107" s="5">
        <f t="shared" si="1122"/>
        <v>942.5259888138421</v>
      </c>
      <c r="AG1107" s="5">
        <f t="shared" si="1122"/>
        <v>942.5259888138421</v>
      </c>
      <c r="AH1107" s="5">
        <f t="shared" si="1122"/>
        <v>942.5259888138421</v>
      </c>
    </row>
    <row r="1108" spans="1:34" x14ac:dyDescent="0.35">
      <c r="A1108" t="s">
        <v>1128</v>
      </c>
      <c r="B1108" s="3" t="s">
        <v>1266</v>
      </c>
      <c r="C1108" s="4" t="s">
        <v>1266</v>
      </c>
      <c r="D1108" s="2">
        <f t="shared" si="1106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ref="W1108:AH1108" si="1123">IF(OR((SLOPE($E1108:$V1108,$E$1:$V$1)*W$1+INTERCEPT($E1108:$V1108,$E$1:$V$1))&gt;(AVERAGE($E1108:$V1108)+_xlfn.STDEV.P($E1108:$V1108)),(SLOPE($E1108:$V1108,$E$1:$V$1)*W$1+INTERCEPT($E1108:$V1108,$E$1:$V$1))&lt;(AVERAGE($E1108:$V1108)-_xlfn.STDEV.P($E1108:$V1108))),V1108,(SLOPE($E1108:$V1108,$E$1:$V$1)*W$1+INTERCEPT($E1108:$V1108,$E$1:$V$1)))</f>
        <v>481.92227723596994</v>
      </c>
      <c r="X1108" s="5">
        <f t="shared" si="1123"/>
        <v>513.0512281579106</v>
      </c>
      <c r="Y1108" s="5">
        <f t="shared" si="1123"/>
        <v>544.18017907985131</v>
      </c>
      <c r="Z1108" s="5">
        <f t="shared" si="1123"/>
        <v>575.3091300017918</v>
      </c>
      <c r="AA1108" s="5">
        <f t="shared" si="1123"/>
        <v>606.43808092373251</v>
      </c>
      <c r="AB1108" s="5">
        <f t="shared" si="1123"/>
        <v>637.56703184567323</v>
      </c>
      <c r="AC1108" s="5">
        <f t="shared" si="1123"/>
        <v>668.69598276761371</v>
      </c>
      <c r="AD1108" s="5">
        <f t="shared" si="1123"/>
        <v>699.82493368955443</v>
      </c>
      <c r="AE1108" s="5">
        <f t="shared" si="1123"/>
        <v>730.95388461149514</v>
      </c>
      <c r="AF1108" s="5">
        <f t="shared" si="1123"/>
        <v>762.08283553343563</v>
      </c>
      <c r="AG1108" s="5">
        <f t="shared" si="1123"/>
        <v>793.21178645537634</v>
      </c>
      <c r="AH1108" s="5">
        <f t="shared" si="1123"/>
        <v>824.34073737731705</v>
      </c>
    </row>
    <row r="1109" spans="1:34" x14ac:dyDescent="0.35">
      <c r="A1109" t="s">
        <v>1129</v>
      </c>
      <c r="B1109" s="3" t="s">
        <v>1266</v>
      </c>
      <c r="C1109" s="4" t="s">
        <v>1266</v>
      </c>
      <c r="D1109" s="2">
        <f t="shared" si="1106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H1109" si="1124">IF(OR((SLOPE($E1109:$V1109,$E$1:$V$1)*W$1+INTERCEPT($E1109:$V1109,$E$1:$V$1))&gt;(AVERAGE($E1109:$V1109)+_xlfn.STDEV.P($E1109:$V1109)),(SLOPE($E1109:$V1109,$E$1:$V$1)*W$1+INTERCEPT($E1109:$V1109,$E$1:$V$1))&lt;(AVERAGE($E1109:$V1109)-_xlfn.STDEV.P($E1109:$V1109))),V1109,(SLOPE($E1109:$V1109,$E$1:$V$1)*W$1+INTERCEPT($E1109:$V1109,$E$1:$V$1)))</f>
        <v>-41.609220543438767</v>
      </c>
      <c r="X1109" s="5">
        <f t="shared" si="1124"/>
        <v>-64.603789791128634</v>
      </c>
      <c r="Y1109" s="5">
        <f t="shared" si="1124"/>
        <v>-87.598359038818444</v>
      </c>
      <c r="Z1109" s="5">
        <f t="shared" si="1124"/>
        <v>-110.59292828650825</v>
      </c>
      <c r="AA1109" s="5">
        <f t="shared" si="1124"/>
        <v>-133.58749753419806</v>
      </c>
      <c r="AB1109" s="5">
        <f t="shared" si="1124"/>
        <v>-156.58206678188787</v>
      </c>
      <c r="AC1109" s="5">
        <f t="shared" si="1124"/>
        <v>-179.5766360295778</v>
      </c>
      <c r="AD1109" s="5">
        <f t="shared" si="1124"/>
        <v>-202.57120527726761</v>
      </c>
      <c r="AE1109" s="5">
        <f t="shared" si="1124"/>
        <v>-225.56577452495742</v>
      </c>
      <c r="AF1109" s="5">
        <f t="shared" si="1124"/>
        <v>-248.56034377264723</v>
      </c>
      <c r="AG1109" s="5">
        <f t="shared" si="1124"/>
        <v>-271.55491302033704</v>
      </c>
      <c r="AH1109" s="5">
        <f t="shared" si="1124"/>
        <v>-294.54948226802696</v>
      </c>
    </row>
    <row r="1110" spans="1:34" x14ac:dyDescent="0.35">
      <c r="A1110" t="s">
        <v>1130</v>
      </c>
      <c r="B1110" s="3" t="s">
        <v>1266</v>
      </c>
      <c r="C1110" s="4" t="s">
        <v>1263</v>
      </c>
      <c r="D1110" s="2">
        <f t="shared" si="1106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ref="W1110:AH1110" si="1125">IF(OR((SLOPE($E1110:$V1110,$E$1:$V$1)*W$1+INTERCEPT($E1110:$V1110,$E$1:$V$1))&gt;(AVERAGE($E1110:$V1110)+_xlfn.STDEV.P($E1110:$V1110)),(SLOPE($E1110:$V1110,$E$1:$V$1)*W$1+INTERCEPT($E1110:$V1110,$E$1:$V$1))&lt;(AVERAGE($E1110:$V1110)-_xlfn.STDEV.P($E1110:$V1110))),V1110,(SLOPE($E1110:$V1110,$E$1:$V$1)*W$1+INTERCEPT($E1110:$V1110,$E$1:$V$1)))</f>
        <v>-349.66399999999987</v>
      </c>
      <c r="X1110" s="5">
        <f t="shared" si="1125"/>
        <v>-404.87410526315773</v>
      </c>
      <c r="Y1110" s="5">
        <f t="shared" si="1125"/>
        <v>-460.08421052631581</v>
      </c>
      <c r="Z1110" s="5">
        <f t="shared" si="1125"/>
        <v>-515.29431578947367</v>
      </c>
      <c r="AA1110" s="5">
        <f t="shared" si="1125"/>
        <v>-515.29431578947367</v>
      </c>
      <c r="AB1110" s="5">
        <f t="shared" si="1125"/>
        <v>-515.29431578947367</v>
      </c>
      <c r="AC1110" s="5">
        <f t="shared" si="1125"/>
        <v>-515.29431578947367</v>
      </c>
      <c r="AD1110" s="5">
        <f t="shared" si="1125"/>
        <v>-515.29431578947367</v>
      </c>
      <c r="AE1110" s="5">
        <f t="shared" si="1125"/>
        <v>-515.29431578947367</v>
      </c>
      <c r="AF1110" s="5">
        <f t="shared" si="1125"/>
        <v>-515.29431578947367</v>
      </c>
      <c r="AG1110" s="5">
        <f t="shared" si="1125"/>
        <v>-515.29431578947367</v>
      </c>
      <c r="AH1110" s="5">
        <f t="shared" si="1125"/>
        <v>-515.29431578947367</v>
      </c>
    </row>
    <row r="1111" spans="1:34" x14ac:dyDescent="0.35">
      <c r="A1111" t="s">
        <v>1131</v>
      </c>
      <c r="B1111" s="3" t="s">
        <v>1264</v>
      </c>
      <c r="C1111" s="4" t="s">
        <v>1263</v>
      </c>
      <c r="D1111" s="2">
        <f t="shared" si="1106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ref="W1111:AH1111" si="1126">IF(OR((SLOPE($E1111:$V1111,$E$1:$V$1)*W$1+INTERCEPT($E1111:$V1111,$E$1:$V$1))&gt;(AVERAGE($E1111:$V1111)+_xlfn.STDEV.P($E1111:$V1111)),(SLOPE($E1111:$V1111,$E$1:$V$1)*W$1+INTERCEPT($E1111:$V1111,$E$1:$V$1))&lt;(AVERAGE($E1111:$V1111)-_xlfn.STDEV.P($E1111:$V1111))),V1111,(SLOPE($E1111:$V1111,$E$1:$V$1)*W$1+INTERCEPT($E1111:$V1111,$E$1:$V$1)))</f>
        <v>-85.236172549019557</v>
      </c>
      <c r="X1111" s="5">
        <f t="shared" si="1126"/>
        <v>-110.4894679050567</v>
      </c>
      <c r="Y1111" s="5">
        <f t="shared" si="1126"/>
        <v>-135.74276326109384</v>
      </c>
      <c r="Z1111" s="5">
        <f t="shared" si="1126"/>
        <v>-160.99605861713098</v>
      </c>
      <c r="AA1111" s="5">
        <f t="shared" si="1126"/>
        <v>-186.24935397316813</v>
      </c>
      <c r="AB1111" s="5">
        <f t="shared" si="1126"/>
        <v>-211.50264932920538</v>
      </c>
      <c r="AC1111" s="5">
        <f t="shared" si="1126"/>
        <v>-211.50264932920538</v>
      </c>
      <c r="AD1111" s="5">
        <f t="shared" si="1126"/>
        <v>-211.50264932920538</v>
      </c>
      <c r="AE1111" s="5">
        <f t="shared" si="1126"/>
        <v>-211.50264932920538</v>
      </c>
      <c r="AF1111" s="5">
        <f t="shared" si="1126"/>
        <v>-211.50264932920538</v>
      </c>
      <c r="AG1111" s="5">
        <f t="shared" si="1126"/>
        <v>-211.50264932920538</v>
      </c>
      <c r="AH1111" s="5">
        <f t="shared" si="1126"/>
        <v>-211.50264932920538</v>
      </c>
    </row>
    <row r="1112" spans="1:34" x14ac:dyDescent="0.35">
      <c r="A1112" t="s">
        <v>1132</v>
      </c>
      <c r="B1112" s="3" t="s">
        <v>1265</v>
      </c>
      <c r="C1112" s="4" t="s">
        <v>1263</v>
      </c>
      <c r="D1112" s="2">
        <f t="shared" si="1106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ref="W1112:AH1112" si="1127">IF(OR((SLOPE($E1112:$V1112,$E$1:$V$1)*W$1+INTERCEPT($E1112:$V1112,$E$1:$V$1))&gt;(AVERAGE($E1112:$V1112)+_xlfn.STDEV.P($E1112:$V1112)),(SLOPE($E1112:$V1112,$E$1:$V$1)*W$1+INTERCEPT($E1112:$V1112,$E$1:$V$1))&lt;(AVERAGE($E1112:$V1112)-_xlfn.STDEV.P($E1112:$V1112))),V1112,(SLOPE($E1112:$V1112,$E$1:$V$1)*W$1+INTERCEPT($E1112:$V1112,$E$1:$V$1)))</f>
        <v>487.46352941176463</v>
      </c>
      <c r="X1112" s="5">
        <f t="shared" si="1127"/>
        <v>522.88916408668729</v>
      </c>
      <c r="Y1112" s="5">
        <f t="shared" si="1127"/>
        <v>558.31479876160984</v>
      </c>
      <c r="Z1112" s="5">
        <f t="shared" si="1127"/>
        <v>593.7404334365325</v>
      </c>
      <c r="AA1112" s="5">
        <f t="shared" si="1127"/>
        <v>629.16606811145505</v>
      </c>
      <c r="AB1112" s="5">
        <f t="shared" si="1127"/>
        <v>664.5917027863776</v>
      </c>
      <c r="AC1112" s="5">
        <f t="shared" si="1127"/>
        <v>700.01733746130026</v>
      </c>
      <c r="AD1112" s="5">
        <f t="shared" si="1127"/>
        <v>700.01733746130026</v>
      </c>
      <c r="AE1112" s="5">
        <f t="shared" si="1127"/>
        <v>700.01733746130026</v>
      </c>
      <c r="AF1112" s="5">
        <f t="shared" si="1127"/>
        <v>700.01733746130026</v>
      </c>
      <c r="AG1112" s="5">
        <f t="shared" si="1127"/>
        <v>700.01733746130026</v>
      </c>
      <c r="AH1112" s="5">
        <f t="shared" si="1127"/>
        <v>700.01733746130026</v>
      </c>
    </row>
    <row r="1113" spans="1:34" x14ac:dyDescent="0.35">
      <c r="A1113" t="s">
        <v>1133</v>
      </c>
      <c r="B1113" s="3" t="s">
        <v>1264</v>
      </c>
      <c r="C1113" s="4" t="s">
        <v>1267</v>
      </c>
      <c r="D1113" s="2">
        <f t="shared" si="1106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ref="W1113:AH1113" si="1128">IF(OR((SLOPE($E1113:$V1113,$E$1:$V$1)*W$1+INTERCEPT($E1113:$V1113,$E$1:$V$1))&gt;(AVERAGE($E1113:$V1113)+_xlfn.STDEV.P($E1113:$V1113)),(SLOPE($E1113:$V1113,$E$1:$V$1)*W$1+INTERCEPT($E1113:$V1113,$E$1:$V$1))&lt;(AVERAGE($E1113:$V1113)-_xlfn.STDEV.P($E1113:$V1113))),V1113,(SLOPE($E1113:$V1113,$E$1:$V$1)*W$1+INTERCEPT($E1113:$V1113,$E$1:$V$1)))</f>
        <v>441.78399999999999</v>
      </c>
      <c r="X1113" s="5">
        <f t="shared" si="1128"/>
        <v>441.78399999999999</v>
      </c>
      <c r="Y1113" s="5">
        <f t="shared" si="1128"/>
        <v>441.78399999999999</v>
      </c>
      <c r="Z1113" s="5">
        <f t="shared" si="1128"/>
        <v>441.78399999999999</v>
      </c>
      <c r="AA1113" s="5">
        <f t="shared" si="1128"/>
        <v>441.78399999999999</v>
      </c>
      <c r="AB1113" s="5">
        <f t="shared" si="1128"/>
        <v>441.78399999999999</v>
      </c>
      <c r="AC1113" s="5">
        <f t="shared" si="1128"/>
        <v>441.78399999999999</v>
      </c>
      <c r="AD1113" s="5">
        <f t="shared" si="1128"/>
        <v>441.78399999999999</v>
      </c>
      <c r="AE1113" s="5">
        <f t="shared" si="1128"/>
        <v>441.78399999999999</v>
      </c>
      <c r="AF1113" s="5">
        <f t="shared" si="1128"/>
        <v>441.78399999999999</v>
      </c>
      <c r="AG1113" s="5">
        <f t="shared" si="1128"/>
        <v>441.78399999999999</v>
      </c>
      <c r="AH1113" s="5">
        <f t="shared" si="1128"/>
        <v>441.78399999999999</v>
      </c>
    </row>
    <row r="1114" spans="1:34" x14ac:dyDescent="0.35">
      <c r="A1114" t="s">
        <v>1134</v>
      </c>
      <c r="B1114" s="3" t="s">
        <v>1266</v>
      </c>
      <c r="C1114" s="4" t="s">
        <v>1267</v>
      </c>
      <c r="D1114" s="2">
        <f t="shared" si="1106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ref="W1114:AH1114" si="1129">IF(OR((SLOPE($E1114:$V1114,$E$1:$V$1)*W$1+INTERCEPT($E1114:$V1114,$E$1:$V$1))&gt;(AVERAGE($E1114:$V1114)+_xlfn.STDEV.P($E1114:$V1114)),(SLOPE($E1114:$V1114,$E$1:$V$1)*W$1+INTERCEPT($E1114:$V1114,$E$1:$V$1))&lt;(AVERAGE($E1114:$V1114)-_xlfn.STDEV.P($E1114:$V1114))),V1114,(SLOPE($E1114:$V1114,$E$1:$V$1)*W$1+INTERCEPT($E1114:$V1114,$E$1:$V$1)))</f>
        <v>215.67737516339872</v>
      </c>
      <c r="X1114" s="5">
        <f t="shared" si="1129"/>
        <v>223.53606494668043</v>
      </c>
      <c r="Y1114" s="5">
        <f t="shared" si="1129"/>
        <v>231.39475472996219</v>
      </c>
      <c r="Z1114" s="5">
        <f t="shared" si="1129"/>
        <v>239.25344451324395</v>
      </c>
      <c r="AA1114" s="5">
        <f t="shared" si="1129"/>
        <v>247.11213429652565</v>
      </c>
      <c r="AB1114" s="5">
        <f t="shared" si="1129"/>
        <v>254.97082407980741</v>
      </c>
      <c r="AC1114" s="5">
        <f t="shared" si="1129"/>
        <v>262.82951386308912</v>
      </c>
      <c r="AD1114" s="5">
        <f t="shared" si="1129"/>
        <v>270.68820364637088</v>
      </c>
      <c r="AE1114" s="5">
        <f t="shared" si="1129"/>
        <v>278.54689342965258</v>
      </c>
      <c r="AF1114" s="5">
        <f t="shared" si="1129"/>
        <v>286.40558321293435</v>
      </c>
      <c r="AG1114" s="5">
        <f t="shared" si="1129"/>
        <v>294.26427299621611</v>
      </c>
      <c r="AH1114" s="5">
        <f t="shared" si="1129"/>
        <v>302.12296277949781</v>
      </c>
    </row>
    <row r="1115" spans="1:34" x14ac:dyDescent="0.35">
      <c r="A1115" t="s">
        <v>1135</v>
      </c>
      <c r="B1115" s="3" t="s">
        <v>1264</v>
      </c>
      <c r="C1115" s="4" t="s">
        <v>1263</v>
      </c>
      <c r="D1115" s="2">
        <f t="shared" si="1106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ref="W1115:AH1115" si="1130">IF(OR((SLOPE($E1115:$V1115,$E$1:$V$1)*W$1+INTERCEPT($E1115:$V1115,$E$1:$V$1))&gt;(AVERAGE($E1115:$V1115)+_xlfn.STDEV.P($E1115:$V1115)),(SLOPE($E1115:$V1115,$E$1:$V$1)*W$1+INTERCEPT($E1115:$V1115,$E$1:$V$1))&lt;(AVERAGE($E1115:$V1115)-_xlfn.STDEV.P($E1115:$V1115))),V1115,(SLOPE($E1115:$V1115,$E$1:$V$1)*W$1+INTERCEPT($E1115:$V1115,$E$1:$V$1)))</f>
        <v>563.41650088827532</v>
      </c>
      <c r="X1115" s="5">
        <f t="shared" si="1130"/>
        <v>607.89675095840232</v>
      </c>
      <c r="Y1115" s="5">
        <f t="shared" si="1130"/>
        <v>652.37700102852932</v>
      </c>
      <c r="Z1115" s="5">
        <f t="shared" si="1130"/>
        <v>696.85725109865632</v>
      </c>
      <c r="AA1115" s="5">
        <f t="shared" si="1130"/>
        <v>696.85725109865632</v>
      </c>
      <c r="AB1115" s="5">
        <f t="shared" si="1130"/>
        <v>696.85725109865632</v>
      </c>
      <c r="AC1115" s="5">
        <f t="shared" si="1130"/>
        <v>696.85725109865632</v>
      </c>
      <c r="AD1115" s="5">
        <f t="shared" si="1130"/>
        <v>696.85725109865632</v>
      </c>
      <c r="AE1115" s="5">
        <f t="shared" si="1130"/>
        <v>696.85725109865632</v>
      </c>
      <c r="AF1115" s="5">
        <f t="shared" si="1130"/>
        <v>696.85725109865632</v>
      </c>
      <c r="AG1115" s="5">
        <f t="shared" si="1130"/>
        <v>696.85725109865632</v>
      </c>
      <c r="AH1115" s="5">
        <f t="shared" si="1130"/>
        <v>696.85725109865632</v>
      </c>
    </row>
    <row r="1116" spans="1:34" x14ac:dyDescent="0.35">
      <c r="A1116" t="s">
        <v>1136</v>
      </c>
      <c r="B1116" s="3" t="s">
        <v>1266</v>
      </c>
      <c r="C1116" s="4" t="s">
        <v>1266</v>
      </c>
      <c r="D1116" s="2">
        <f t="shared" si="1106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ref="W1116:AH1116" si="1131">IF(OR((SLOPE($E1116:$V1116,$E$1:$V$1)*W$1+INTERCEPT($E1116:$V1116,$E$1:$V$1))&gt;(AVERAGE($E1116:$V1116)+_xlfn.STDEV.P($E1116:$V1116)),(SLOPE($E1116:$V1116,$E$1:$V$1)*W$1+INTERCEPT($E1116:$V1116,$E$1:$V$1))&lt;(AVERAGE($E1116:$V1116)-_xlfn.STDEV.P($E1116:$V1116))),V1116,(SLOPE($E1116:$V1116,$E$1:$V$1)*W$1+INTERCEPT($E1116:$V1116,$E$1:$V$1)))</f>
        <v>-126.21887581699337</v>
      </c>
      <c r="X1116" s="5">
        <f t="shared" si="1131"/>
        <v>-153.62165806673539</v>
      </c>
      <c r="Y1116" s="5">
        <f t="shared" si="1131"/>
        <v>-181.02444031647741</v>
      </c>
      <c r="Z1116" s="5">
        <f t="shared" si="1131"/>
        <v>-208.42722256621931</v>
      </c>
      <c r="AA1116" s="5">
        <f t="shared" si="1131"/>
        <v>-235.83000481596133</v>
      </c>
      <c r="AB1116" s="5">
        <f t="shared" si="1131"/>
        <v>-263.23278706570335</v>
      </c>
      <c r="AC1116" s="5">
        <f t="shared" si="1131"/>
        <v>-290.63556931544537</v>
      </c>
      <c r="AD1116" s="5">
        <f t="shared" si="1131"/>
        <v>-318.03835156518738</v>
      </c>
      <c r="AE1116" s="5">
        <f t="shared" si="1131"/>
        <v>-345.44113381492929</v>
      </c>
      <c r="AF1116" s="5">
        <f t="shared" si="1131"/>
        <v>-372.8439160646713</v>
      </c>
      <c r="AG1116" s="5">
        <f t="shared" si="1131"/>
        <v>-400.24669831441332</v>
      </c>
      <c r="AH1116" s="5">
        <f t="shared" si="1131"/>
        <v>-400.24669831441332</v>
      </c>
    </row>
    <row r="1117" spans="1:34" x14ac:dyDescent="0.35">
      <c r="A1117" t="s">
        <v>1137</v>
      </c>
      <c r="B1117" s="3" t="s">
        <v>1264</v>
      </c>
      <c r="C1117" s="4" t="s">
        <v>1263</v>
      </c>
      <c r="D1117" s="2">
        <f t="shared" si="1106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ref="W1117:AH1117" si="1132">IF(OR((SLOPE($E1117:$V1117,$E$1:$V$1)*W$1+INTERCEPT($E1117:$V1117,$E$1:$V$1))&gt;(AVERAGE($E1117:$V1117)+_xlfn.STDEV.P($E1117:$V1117)),(SLOPE($E1117:$V1117,$E$1:$V$1)*W$1+INTERCEPT($E1117:$V1117,$E$1:$V$1))&lt;(AVERAGE($E1117:$V1117)-_xlfn.STDEV.P($E1117:$V1117))),V1117,(SLOPE($E1117:$V1117,$E$1:$V$1)*W$1+INTERCEPT($E1117:$V1117,$E$1:$V$1)))</f>
        <v>432.72160629944386</v>
      </c>
      <c r="X1117" s="5">
        <f t="shared" si="1132"/>
        <v>465.49653961119708</v>
      </c>
      <c r="Y1117" s="5">
        <f t="shared" si="1132"/>
        <v>465.49653961119708</v>
      </c>
      <c r="Z1117" s="5">
        <f t="shared" si="1132"/>
        <v>465.49653961119708</v>
      </c>
      <c r="AA1117" s="5">
        <f t="shared" si="1132"/>
        <v>465.49653961119708</v>
      </c>
      <c r="AB1117" s="5">
        <f t="shared" si="1132"/>
        <v>465.49653961119708</v>
      </c>
      <c r="AC1117" s="5">
        <f t="shared" si="1132"/>
        <v>465.49653961119708</v>
      </c>
      <c r="AD1117" s="5">
        <f t="shared" si="1132"/>
        <v>465.49653961119708</v>
      </c>
      <c r="AE1117" s="5">
        <f t="shared" si="1132"/>
        <v>465.49653961119708</v>
      </c>
      <c r="AF1117" s="5">
        <f t="shared" si="1132"/>
        <v>465.49653961119708</v>
      </c>
      <c r="AG1117" s="5">
        <f t="shared" si="1132"/>
        <v>465.49653961119708</v>
      </c>
      <c r="AH1117" s="5">
        <f t="shared" si="1132"/>
        <v>465.49653961119708</v>
      </c>
    </row>
    <row r="1118" spans="1:34" x14ac:dyDescent="0.35">
      <c r="A1118" t="s">
        <v>1138</v>
      </c>
      <c r="B1118" s="3" t="s">
        <v>1266</v>
      </c>
      <c r="C1118" s="4" t="s">
        <v>1266</v>
      </c>
      <c r="D1118" s="2">
        <f t="shared" si="1106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ref="W1118:AH1118" si="1133">IF(OR((SLOPE($E1118:$V1118,$E$1:$V$1)*W$1+INTERCEPT($E1118:$V1118,$E$1:$V$1))&gt;(AVERAGE($E1118:$V1118)+_xlfn.STDEV.P($E1118:$V1118)),(SLOPE($E1118:$V1118,$E$1:$V$1)*W$1+INTERCEPT($E1118:$V1118,$E$1:$V$1))&lt;(AVERAGE($E1118:$V1118)-_xlfn.STDEV.P($E1118:$V1118))),V1118,(SLOPE($E1118:$V1118,$E$1:$V$1)*W$1+INTERCEPT($E1118:$V1118,$E$1:$V$1)))</f>
        <v>311.09293264974434</v>
      </c>
      <c r="X1118" s="5">
        <f t="shared" si="1133"/>
        <v>331.18745222281399</v>
      </c>
      <c r="Y1118" s="5">
        <f t="shared" si="1133"/>
        <v>351.28197179588358</v>
      </c>
      <c r="Z1118" s="5">
        <f t="shared" si="1133"/>
        <v>371.37649136895317</v>
      </c>
      <c r="AA1118" s="5">
        <f t="shared" si="1133"/>
        <v>391.47101094202282</v>
      </c>
      <c r="AB1118" s="5">
        <f t="shared" si="1133"/>
        <v>411.56553051509241</v>
      </c>
      <c r="AC1118" s="5">
        <f t="shared" si="1133"/>
        <v>431.660050088162</v>
      </c>
      <c r="AD1118" s="5">
        <f t="shared" si="1133"/>
        <v>451.75456966123164</v>
      </c>
      <c r="AE1118" s="5">
        <f t="shared" si="1133"/>
        <v>471.84908923430129</v>
      </c>
      <c r="AF1118" s="5">
        <f t="shared" si="1133"/>
        <v>491.94360880737082</v>
      </c>
      <c r="AG1118" s="5">
        <f t="shared" si="1133"/>
        <v>512.03812838044041</v>
      </c>
      <c r="AH1118" s="5">
        <f t="shared" si="1133"/>
        <v>532.13264795351006</v>
      </c>
    </row>
    <row r="1119" spans="1:34" x14ac:dyDescent="0.35">
      <c r="A1119" t="s">
        <v>1139</v>
      </c>
      <c r="B1119" s="3" t="s">
        <v>1264</v>
      </c>
      <c r="C1119" s="4" t="s">
        <v>1267</v>
      </c>
      <c r="D1119" s="2">
        <f t="shared" si="1106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ref="W1119:AH1119" si="1134">IF(OR((SLOPE($E1119:$V1119,$E$1:$V$1)*W$1+INTERCEPT($E1119:$V1119,$E$1:$V$1))&gt;(AVERAGE($E1119:$V1119)+_xlfn.STDEV.P($E1119:$V1119)),(SLOPE($E1119:$V1119,$E$1:$V$1)*W$1+INTERCEPT($E1119:$V1119,$E$1:$V$1))&lt;(AVERAGE($E1119:$V1119)-_xlfn.STDEV.P($E1119:$V1119))),V1119,(SLOPE($E1119:$V1119,$E$1:$V$1)*W$1+INTERCEPT($E1119:$V1119,$E$1:$V$1)))</f>
        <v>302.95776667366448</v>
      </c>
      <c r="X1119" s="5">
        <f t="shared" si="1134"/>
        <v>322.52680901861413</v>
      </c>
      <c r="Y1119" s="5">
        <f t="shared" si="1134"/>
        <v>342.09585136356372</v>
      </c>
      <c r="Z1119" s="5">
        <f t="shared" si="1134"/>
        <v>361.66489370851338</v>
      </c>
      <c r="AA1119" s="5">
        <f t="shared" si="1134"/>
        <v>381.23393605346297</v>
      </c>
      <c r="AB1119" s="5">
        <f t="shared" si="1134"/>
        <v>400.80297839841256</v>
      </c>
      <c r="AC1119" s="5">
        <f t="shared" si="1134"/>
        <v>420.37202074336221</v>
      </c>
      <c r="AD1119" s="5">
        <f t="shared" si="1134"/>
        <v>439.94106308831181</v>
      </c>
      <c r="AE1119" s="5">
        <f t="shared" si="1134"/>
        <v>459.51010543326146</v>
      </c>
      <c r="AF1119" s="5">
        <f t="shared" si="1134"/>
        <v>479.07914777821105</v>
      </c>
      <c r="AG1119" s="5">
        <f t="shared" si="1134"/>
        <v>498.64819012316065</v>
      </c>
      <c r="AH1119" s="5">
        <f t="shared" si="1134"/>
        <v>518.2172324681103</v>
      </c>
    </row>
    <row r="1120" spans="1:34" x14ac:dyDescent="0.35">
      <c r="A1120" t="s">
        <v>1140</v>
      </c>
      <c r="B1120" s="3" t="s">
        <v>1264</v>
      </c>
      <c r="C1120" s="4" t="s">
        <v>1267</v>
      </c>
      <c r="D1120" s="2">
        <f t="shared" si="1106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ref="W1120:AH1120" si="1135">IF(OR((SLOPE($E1120:$V1120,$E$1:$V$1)*W$1+INTERCEPT($E1120:$V1120,$E$1:$V$1))&gt;(AVERAGE($E1120:$V1120)+_xlfn.STDEV.P($E1120:$V1120)),(SLOPE($E1120:$V1120,$E$1:$V$1)*W$1+INTERCEPT($E1120:$V1120,$E$1:$V$1))&lt;(AVERAGE($E1120:$V1120)-_xlfn.STDEV.P($E1120:$V1120))),V1120,(SLOPE($E1120:$V1120,$E$1:$V$1)*W$1+INTERCEPT($E1120:$V1120,$E$1:$V$1)))</f>
        <v>295.18994124814799</v>
      </c>
      <c r="X1120" s="5">
        <f t="shared" si="1135"/>
        <v>314.25723410388957</v>
      </c>
      <c r="Y1120" s="5">
        <f t="shared" si="1135"/>
        <v>333.32452695963127</v>
      </c>
      <c r="Z1120" s="5">
        <f t="shared" si="1135"/>
        <v>352.39181981537286</v>
      </c>
      <c r="AA1120" s="5">
        <f t="shared" si="1135"/>
        <v>371.45911267111444</v>
      </c>
      <c r="AB1120" s="5">
        <f t="shared" si="1135"/>
        <v>390.52640552685614</v>
      </c>
      <c r="AC1120" s="5">
        <f t="shared" si="1135"/>
        <v>409.59369838259772</v>
      </c>
      <c r="AD1120" s="5">
        <f t="shared" si="1135"/>
        <v>428.66099123833931</v>
      </c>
      <c r="AE1120" s="5">
        <f t="shared" si="1135"/>
        <v>447.72828409408089</v>
      </c>
      <c r="AF1120" s="5">
        <f t="shared" si="1135"/>
        <v>466.79557694982259</v>
      </c>
      <c r="AG1120" s="5">
        <f t="shared" si="1135"/>
        <v>485.86286980556417</v>
      </c>
      <c r="AH1120" s="5">
        <f t="shared" si="1135"/>
        <v>504.93016266130576</v>
      </c>
    </row>
    <row r="1121" spans="1:34" x14ac:dyDescent="0.35">
      <c r="A1121" t="s">
        <v>1141</v>
      </c>
      <c r="B1121" s="3" t="s">
        <v>1264</v>
      </c>
      <c r="C1121" s="4" t="s">
        <v>1267</v>
      </c>
      <c r="D1121" s="2">
        <f t="shared" si="1106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ref="W1121:AH1121" si="1136">IF(OR((SLOPE($E1121:$V1121,$E$1:$V$1)*W$1+INTERCEPT($E1121:$V1121,$E$1:$V$1))&gt;(AVERAGE($E1121:$V1121)+_xlfn.STDEV.P($E1121:$V1121)),(SLOPE($E1121:$V1121,$E$1:$V$1)*W$1+INTERCEPT($E1121:$V1121,$E$1:$V$1))&lt;(AVERAGE($E1121:$V1121)-_xlfn.STDEV.P($E1121:$V1121))),V1121,(SLOPE($E1121:$V1121,$E$1:$V$1)*W$1+INTERCEPT($E1121:$V1121,$E$1:$V$1)))</f>
        <v>391.94182628535657</v>
      </c>
      <c r="X1121" s="5">
        <f t="shared" si="1136"/>
        <v>421.31688699675374</v>
      </c>
      <c r="Y1121" s="5">
        <f t="shared" si="1136"/>
        <v>450.69194770815079</v>
      </c>
      <c r="Z1121" s="5">
        <f t="shared" si="1136"/>
        <v>450.69194770815079</v>
      </c>
      <c r="AA1121" s="5">
        <f t="shared" si="1136"/>
        <v>450.69194770815079</v>
      </c>
      <c r="AB1121" s="5">
        <f t="shared" si="1136"/>
        <v>450.69194770815079</v>
      </c>
      <c r="AC1121" s="5">
        <f t="shared" si="1136"/>
        <v>450.69194770815079</v>
      </c>
      <c r="AD1121" s="5">
        <f t="shared" si="1136"/>
        <v>450.69194770815079</v>
      </c>
      <c r="AE1121" s="5">
        <f t="shared" si="1136"/>
        <v>450.69194770815079</v>
      </c>
      <c r="AF1121" s="5">
        <f t="shared" si="1136"/>
        <v>450.69194770815079</v>
      </c>
      <c r="AG1121" s="5">
        <f t="shared" si="1136"/>
        <v>450.69194770815079</v>
      </c>
      <c r="AH1121" s="5">
        <f t="shared" si="1136"/>
        <v>450.69194770815079</v>
      </c>
    </row>
    <row r="1122" spans="1:34" x14ac:dyDescent="0.35">
      <c r="A1122" t="s">
        <v>1142</v>
      </c>
      <c r="B1122" s="3" t="s">
        <v>1265</v>
      </c>
      <c r="C1122" s="4" t="s">
        <v>1268</v>
      </c>
      <c r="D1122" s="2">
        <f t="shared" si="1106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ref="W1122:AH1122" si="1137">IF(OR((SLOPE($E1122:$V1122,$E$1:$V$1)*W$1+INTERCEPT($E1122:$V1122,$E$1:$V$1))&gt;(AVERAGE($E1122:$V1122)+_xlfn.STDEV.P($E1122:$V1122)),(SLOPE($E1122:$V1122,$E$1:$V$1)*W$1+INTERCEPT($E1122:$V1122,$E$1:$V$1))&lt;(AVERAGE($E1122:$V1122)-_xlfn.STDEV.P($E1122:$V1122))),V1122,(SLOPE($E1122:$V1122,$E$1:$V$1)*W$1+INTERCEPT($E1122:$V1122,$E$1:$V$1)))</f>
        <v>159.06798120522876</v>
      </c>
      <c r="X1122" s="5">
        <f t="shared" si="1137"/>
        <v>164.86398052039902</v>
      </c>
      <c r="Y1122" s="5">
        <f t="shared" si="1137"/>
        <v>170.65997983556929</v>
      </c>
      <c r="Z1122" s="5">
        <f t="shared" si="1137"/>
        <v>176.45597915073958</v>
      </c>
      <c r="AA1122" s="5">
        <f t="shared" si="1137"/>
        <v>182.25197846590987</v>
      </c>
      <c r="AB1122" s="5">
        <f t="shared" si="1137"/>
        <v>188.04797778108014</v>
      </c>
      <c r="AC1122" s="5">
        <f t="shared" si="1137"/>
        <v>193.8439770962504</v>
      </c>
      <c r="AD1122" s="5">
        <f t="shared" si="1137"/>
        <v>199.63997641142072</v>
      </c>
      <c r="AE1122" s="5">
        <f t="shared" si="1137"/>
        <v>205.43597572659098</v>
      </c>
      <c r="AF1122" s="5">
        <f t="shared" si="1137"/>
        <v>211.23197504176125</v>
      </c>
      <c r="AG1122" s="5">
        <f t="shared" si="1137"/>
        <v>217.02797435693151</v>
      </c>
      <c r="AH1122" s="5">
        <f t="shared" si="1137"/>
        <v>222.82397367210183</v>
      </c>
    </row>
    <row r="1123" spans="1:34" x14ac:dyDescent="0.35">
      <c r="A1123" t="s">
        <v>1143</v>
      </c>
      <c r="B1123" s="3" t="s">
        <v>1264</v>
      </c>
      <c r="C1123" s="4" t="s">
        <v>1263</v>
      </c>
      <c r="D1123" s="2">
        <f t="shared" si="1106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ref="W1123:AH1123" si="1138">IF(OR((SLOPE($E1123:$V1123,$E$1:$V$1)*W$1+INTERCEPT($E1123:$V1123,$E$1:$V$1))&gt;(AVERAGE($E1123:$V1123)+_xlfn.STDEV.P($E1123:$V1123)),(SLOPE($E1123:$V1123,$E$1:$V$1)*W$1+INTERCEPT($E1123:$V1123,$E$1:$V$1))&lt;(AVERAGE($E1123:$V1123)-_xlfn.STDEV.P($E1123:$V1123))),V1123,(SLOPE($E1123:$V1123,$E$1:$V$1)*W$1+INTERCEPT($E1123:$V1123,$E$1:$V$1)))</f>
        <v>386.38374829234266</v>
      </c>
      <c r="X1123" s="5">
        <f t="shared" si="1138"/>
        <v>416.88772842068551</v>
      </c>
      <c r="Y1123" s="5">
        <f t="shared" si="1138"/>
        <v>447.39170854902835</v>
      </c>
      <c r="Z1123" s="5">
        <f t="shared" si="1138"/>
        <v>477.8956886773712</v>
      </c>
      <c r="AA1123" s="5">
        <f t="shared" si="1138"/>
        <v>477.8956886773712</v>
      </c>
      <c r="AB1123" s="5">
        <f t="shared" si="1138"/>
        <v>477.8956886773712</v>
      </c>
      <c r="AC1123" s="5">
        <f t="shared" si="1138"/>
        <v>477.8956886773712</v>
      </c>
      <c r="AD1123" s="5">
        <f t="shared" si="1138"/>
        <v>477.8956886773712</v>
      </c>
      <c r="AE1123" s="5">
        <f t="shared" si="1138"/>
        <v>477.8956886773712</v>
      </c>
      <c r="AF1123" s="5">
        <f t="shared" si="1138"/>
        <v>477.8956886773712</v>
      </c>
      <c r="AG1123" s="5">
        <f t="shared" si="1138"/>
        <v>477.8956886773712</v>
      </c>
      <c r="AH1123" s="5">
        <f t="shared" si="1138"/>
        <v>477.8956886773712</v>
      </c>
    </row>
    <row r="1124" spans="1:34" x14ac:dyDescent="0.35">
      <c r="A1124" t="s">
        <v>1144</v>
      </c>
      <c r="B1124" s="3" t="s">
        <v>1264</v>
      </c>
      <c r="C1124" s="4" t="s">
        <v>1263</v>
      </c>
      <c r="D1124" s="2">
        <f t="shared" si="1106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ref="W1124:AH1124" si="1139">IF(OR((SLOPE($E1124:$V1124,$E$1:$V$1)*W$1+INTERCEPT($E1124:$V1124,$E$1:$V$1))&gt;(AVERAGE($E1124:$V1124)+_xlfn.STDEV.P($E1124:$V1124)),(SLOPE($E1124:$V1124,$E$1:$V$1)*W$1+INTERCEPT($E1124:$V1124,$E$1:$V$1))&lt;(AVERAGE($E1124:$V1124)-_xlfn.STDEV.P($E1124:$V1124))),V1124,(SLOPE($E1124:$V1124,$E$1:$V$1)*W$1+INTERCEPT($E1124:$V1124,$E$1:$V$1)))</f>
        <v>334.12342400191511</v>
      </c>
      <c r="X1124" s="5">
        <f t="shared" si="1139"/>
        <v>359.29559132752252</v>
      </c>
      <c r="Y1124" s="5">
        <f t="shared" si="1139"/>
        <v>359.29559132752252</v>
      </c>
      <c r="Z1124" s="5">
        <f t="shared" si="1139"/>
        <v>359.29559132752252</v>
      </c>
      <c r="AA1124" s="5">
        <f t="shared" si="1139"/>
        <v>359.29559132752252</v>
      </c>
      <c r="AB1124" s="5">
        <f t="shared" si="1139"/>
        <v>359.29559132752252</v>
      </c>
      <c r="AC1124" s="5">
        <f t="shared" si="1139"/>
        <v>359.29559132752252</v>
      </c>
      <c r="AD1124" s="5">
        <f t="shared" si="1139"/>
        <v>359.29559132752252</v>
      </c>
      <c r="AE1124" s="5">
        <f t="shared" si="1139"/>
        <v>359.29559132752252</v>
      </c>
      <c r="AF1124" s="5">
        <f t="shared" si="1139"/>
        <v>359.29559132752252</v>
      </c>
      <c r="AG1124" s="5">
        <f t="shared" si="1139"/>
        <v>359.29559132752252</v>
      </c>
      <c r="AH1124" s="5">
        <f t="shared" si="1139"/>
        <v>359.29559132752252</v>
      </c>
    </row>
    <row r="1125" spans="1:34" x14ac:dyDescent="0.35">
      <c r="A1125" t="s">
        <v>1145</v>
      </c>
      <c r="B1125" s="3" t="s">
        <v>1266</v>
      </c>
      <c r="C1125" s="4" t="s">
        <v>1267</v>
      </c>
      <c r="D1125" s="2">
        <f t="shared" si="1106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H1125" si="1140">IF(OR((SLOPE($E1125:$V1125,$E$1:$V$1)*W$1+INTERCEPT($E1125:$V1125,$E$1:$V$1))&gt;(AVERAGE($E1125:$V1125)+_xlfn.STDEV.P($E1125:$V1125)),(SLOPE($E1125:$V1125,$E$1:$V$1)*W$1+INTERCEPT($E1125:$V1125,$E$1:$V$1))&lt;(AVERAGE($E1125:$V1125)-_xlfn.STDEV.P($E1125:$V1125))),V1125,(SLOPE($E1125:$V1125,$E$1:$V$1)*W$1+INTERCEPT($E1125:$V1125,$E$1:$V$1)))</f>
        <v>143.78713725490195</v>
      </c>
      <c r="X1125" s="5">
        <f t="shared" si="1140"/>
        <v>149.02634468524249</v>
      </c>
      <c r="Y1125" s="5">
        <f t="shared" si="1140"/>
        <v>154.26555211558306</v>
      </c>
      <c r="Z1125" s="5">
        <f t="shared" si="1140"/>
        <v>159.5047595459236</v>
      </c>
      <c r="AA1125" s="5">
        <f t="shared" si="1140"/>
        <v>164.74396697626418</v>
      </c>
      <c r="AB1125" s="5">
        <f t="shared" si="1140"/>
        <v>169.98317440660472</v>
      </c>
      <c r="AC1125" s="5">
        <f t="shared" si="1140"/>
        <v>175.22238183694529</v>
      </c>
      <c r="AD1125" s="5">
        <f t="shared" si="1140"/>
        <v>180.46158926728583</v>
      </c>
      <c r="AE1125" s="5">
        <f t="shared" si="1140"/>
        <v>185.70079669762637</v>
      </c>
      <c r="AF1125" s="5">
        <f t="shared" si="1140"/>
        <v>190.94000412796694</v>
      </c>
      <c r="AG1125" s="5">
        <f t="shared" si="1140"/>
        <v>196.17921155830751</v>
      </c>
      <c r="AH1125" s="5">
        <f t="shared" si="1140"/>
        <v>201.41841898864806</v>
      </c>
    </row>
    <row r="1126" spans="1:34" x14ac:dyDescent="0.35">
      <c r="A1126" t="s">
        <v>1146</v>
      </c>
      <c r="B1126" s="3" t="s">
        <v>1266</v>
      </c>
      <c r="C1126" s="4" t="s">
        <v>1267</v>
      </c>
      <c r="D1126" s="2">
        <f t="shared" si="1106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ref="W1126:AH1126" si="1141">IF(OR((SLOPE($E1126:$V1126,$E$1:$V$1)*W$1+INTERCEPT($E1126:$V1126,$E$1:$V$1))&gt;(AVERAGE($E1126:$V1126)+_xlfn.STDEV.P($E1126:$V1126)),(SLOPE($E1126:$V1126,$E$1:$V$1)*W$1+INTERCEPT($E1126:$V1126,$E$1:$V$1))&lt;(AVERAGE($E1126:$V1126)-_xlfn.STDEV.P($E1126:$V1126))),V1126,(SLOPE($E1126:$V1126,$E$1:$V$1)*W$1+INTERCEPT($E1126:$V1126,$E$1:$V$1)))</f>
        <v>143.78713725490195</v>
      </c>
      <c r="X1126" s="5">
        <f t="shared" si="1141"/>
        <v>149.02634468524249</v>
      </c>
      <c r="Y1126" s="5">
        <f t="shared" si="1141"/>
        <v>154.26555211558306</v>
      </c>
      <c r="Z1126" s="5">
        <f t="shared" si="1141"/>
        <v>159.5047595459236</v>
      </c>
      <c r="AA1126" s="5">
        <f t="shared" si="1141"/>
        <v>164.74396697626418</v>
      </c>
      <c r="AB1126" s="5">
        <f t="shared" si="1141"/>
        <v>169.98317440660472</v>
      </c>
      <c r="AC1126" s="5">
        <f t="shared" si="1141"/>
        <v>175.22238183694529</v>
      </c>
      <c r="AD1126" s="5">
        <f t="shared" si="1141"/>
        <v>180.46158926728583</v>
      </c>
      <c r="AE1126" s="5">
        <f t="shared" si="1141"/>
        <v>185.70079669762637</v>
      </c>
      <c r="AF1126" s="5">
        <f t="shared" si="1141"/>
        <v>190.94000412796694</v>
      </c>
      <c r="AG1126" s="5">
        <f t="shared" si="1141"/>
        <v>196.17921155830751</v>
      </c>
      <c r="AH1126" s="5">
        <f t="shared" si="1141"/>
        <v>201.41841898864806</v>
      </c>
    </row>
    <row r="1127" spans="1:34" x14ac:dyDescent="0.35">
      <c r="A1127" t="s">
        <v>1147</v>
      </c>
      <c r="B1127" s="3" t="s">
        <v>1266</v>
      </c>
      <c r="C1127" s="4" t="s">
        <v>1263</v>
      </c>
      <c r="D1127" s="2">
        <f t="shared" si="1106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ref="W1127:AH1127" si="1142">IF(OR((SLOPE($E1127:$V1127,$E$1:$V$1)*W$1+INTERCEPT($E1127:$V1127,$E$1:$V$1))&gt;(AVERAGE($E1127:$V1127)+_xlfn.STDEV.P($E1127:$V1127)),(SLOPE($E1127:$V1127,$E$1:$V$1)*W$1+INTERCEPT($E1127:$V1127,$E$1:$V$1))&lt;(AVERAGE($E1127:$V1127)-_xlfn.STDEV.P($E1127:$V1127))),V1127,(SLOPE($E1127:$V1127,$E$1:$V$1)*W$1+INTERCEPT($E1127:$V1127,$E$1:$V$1)))</f>
        <v>-182.77653333333325</v>
      </c>
      <c r="X1127" s="5">
        <f t="shared" si="1142"/>
        <v>-211.63598596491221</v>
      </c>
      <c r="Y1127" s="5">
        <f t="shared" si="1142"/>
        <v>-240.49543859649117</v>
      </c>
      <c r="Z1127" s="5">
        <f t="shared" si="1142"/>
        <v>-269.35489122807013</v>
      </c>
      <c r="AA1127" s="5">
        <f t="shared" si="1142"/>
        <v>-269.35489122807013</v>
      </c>
      <c r="AB1127" s="5">
        <f t="shared" si="1142"/>
        <v>-269.35489122807013</v>
      </c>
      <c r="AC1127" s="5">
        <f t="shared" si="1142"/>
        <v>-269.35489122807013</v>
      </c>
      <c r="AD1127" s="5">
        <f t="shared" si="1142"/>
        <v>-269.35489122807013</v>
      </c>
      <c r="AE1127" s="5">
        <f t="shared" si="1142"/>
        <v>-269.35489122807013</v>
      </c>
      <c r="AF1127" s="5">
        <f t="shared" si="1142"/>
        <v>-269.35489122807013</v>
      </c>
      <c r="AG1127" s="5">
        <f t="shared" si="1142"/>
        <v>-269.35489122807013</v>
      </c>
      <c r="AH1127" s="5">
        <f t="shared" si="1142"/>
        <v>-269.35489122807013</v>
      </c>
    </row>
    <row r="1128" spans="1:34" x14ac:dyDescent="0.35">
      <c r="A1128" t="s">
        <v>1148</v>
      </c>
      <c r="B1128" s="3" t="s">
        <v>1264</v>
      </c>
      <c r="C1128" s="4" t="s">
        <v>1263</v>
      </c>
      <c r="D1128" s="2">
        <f t="shared" si="1106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ref="W1128:AH1128" si="1143">IF(OR((SLOPE($E1128:$V1128,$E$1:$V$1)*W$1+INTERCEPT($E1128:$V1128,$E$1:$V$1))&gt;(AVERAGE($E1128:$V1128)+_xlfn.STDEV.P($E1128:$V1128)),(SLOPE($E1128:$V1128,$E$1:$V$1)*W$1+INTERCEPT($E1128:$V1128,$E$1:$V$1))&lt;(AVERAGE($E1128:$V1128)-_xlfn.STDEV.P($E1128:$V1128))),V1128,(SLOPE($E1128:$V1128,$E$1:$V$1)*W$1+INTERCEPT($E1128:$V1128,$E$1:$V$1)))</f>
        <v>-19.20774379084969</v>
      </c>
      <c r="X1128" s="5">
        <f t="shared" si="1143"/>
        <v>-29.822549570003474</v>
      </c>
      <c r="Y1128" s="5">
        <f t="shared" si="1143"/>
        <v>-40.43735534915723</v>
      </c>
      <c r="Z1128" s="5">
        <f t="shared" si="1143"/>
        <v>-51.052161128311013</v>
      </c>
      <c r="AA1128" s="5">
        <f t="shared" si="1143"/>
        <v>-61.666966907464769</v>
      </c>
      <c r="AB1128" s="5">
        <f t="shared" si="1143"/>
        <v>-72.281772686618524</v>
      </c>
      <c r="AC1128" s="5">
        <f t="shared" si="1143"/>
        <v>-82.896578465772279</v>
      </c>
      <c r="AD1128" s="5">
        <f t="shared" si="1143"/>
        <v>-93.511384244926091</v>
      </c>
      <c r="AE1128" s="5">
        <f t="shared" si="1143"/>
        <v>-104.12619002407985</v>
      </c>
      <c r="AF1128" s="5">
        <f t="shared" si="1143"/>
        <v>-114.7409958032336</v>
      </c>
      <c r="AG1128" s="5">
        <f t="shared" si="1143"/>
        <v>-125.35580158238736</v>
      </c>
      <c r="AH1128" s="5">
        <f t="shared" si="1143"/>
        <v>-135.97060736154117</v>
      </c>
    </row>
    <row r="1129" spans="1:34" x14ac:dyDescent="0.35">
      <c r="A1129" t="s">
        <v>1149</v>
      </c>
      <c r="B1129" s="3" t="s">
        <v>1266</v>
      </c>
      <c r="C1129" s="4" t="s">
        <v>1263</v>
      </c>
      <c r="D1129" s="2">
        <f t="shared" si="1106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ref="W1129:AH1129" si="1144">IF(OR((SLOPE($E1129:$V1129,$E$1:$V$1)*W$1+INTERCEPT($E1129:$V1129,$E$1:$V$1))&gt;(AVERAGE($E1129:$V1129)+_xlfn.STDEV.P($E1129:$V1129)),(SLOPE($E1129:$V1129,$E$1:$V$1)*W$1+INTERCEPT($E1129:$V1129,$E$1:$V$1))&lt;(AVERAGE($E1129:$V1129)-_xlfn.STDEV.P($E1129:$V1129))),V1129,(SLOPE($E1129:$V1129,$E$1:$V$1)*W$1+INTERCEPT($E1129:$V1129,$E$1:$V$1)))</f>
        <v>65.792972549019595</v>
      </c>
      <c r="X1129" s="5">
        <f t="shared" si="1144"/>
        <v>64.945257378740962</v>
      </c>
      <c r="Y1129" s="5">
        <f t="shared" si="1144"/>
        <v>64.097542208462329</v>
      </c>
      <c r="Z1129" s="5">
        <f t="shared" si="1144"/>
        <v>63.249827038183682</v>
      </c>
      <c r="AA1129" s="5">
        <f t="shared" si="1144"/>
        <v>62.402111867905049</v>
      </c>
      <c r="AB1129" s="5">
        <f t="shared" si="1144"/>
        <v>61.554396697626409</v>
      </c>
      <c r="AC1129" s="5">
        <f t="shared" si="1144"/>
        <v>60.706681527347769</v>
      </c>
      <c r="AD1129" s="5">
        <f t="shared" si="1144"/>
        <v>59.858966357069136</v>
      </c>
      <c r="AE1129" s="5">
        <f t="shared" si="1144"/>
        <v>59.011251186790496</v>
      </c>
      <c r="AF1129" s="5">
        <f t="shared" si="1144"/>
        <v>58.163536016511856</v>
      </c>
      <c r="AG1129" s="5">
        <f t="shared" si="1144"/>
        <v>57.315820846233223</v>
      </c>
      <c r="AH1129" s="5">
        <f t="shared" si="1144"/>
        <v>56.468105675954583</v>
      </c>
    </row>
    <row r="1130" spans="1:34" x14ac:dyDescent="0.35">
      <c r="A1130" t="s">
        <v>1150</v>
      </c>
      <c r="B1130" s="3" t="s">
        <v>1266</v>
      </c>
      <c r="C1130" s="4" t="s">
        <v>1263</v>
      </c>
      <c r="D1130" s="2">
        <f t="shared" si="1106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ref="W1130:AH1130" si="1145">IF(OR((SLOPE($E1130:$V1130,$E$1:$V$1)*W$1+INTERCEPT($E1130:$V1130,$E$1:$V$1))&gt;(AVERAGE($E1130:$V1130)+_xlfn.STDEV.P($E1130:$V1130)),(SLOPE($E1130:$V1130,$E$1:$V$1)*W$1+INTERCEPT($E1130:$V1130,$E$1:$V$1))&lt;(AVERAGE($E1130:$V1130)-_xlfn.STDEV.P($E1130:$V1130))),V1130,(SLOPE($E1130:$V1130,$E$1:$V$1)*W$1+INTERCEPT($E1130:$V1130,$E$1:$V$1)))</f>
        <v>0</v>
      </c>
      <c r="X1130" s="5">
        <f t="shared" si="1145"/>
        <v>0</v>
      </c>
      <c r="Y1130" s="5">
        <f t="shared" si="1145"/>
        <v>0</v>
      </c>
      <c r="Z1130" s="5">
        <f t="shared" si="1145"/>
        <v>0</v>
      </c>
      <c r="AA1130" s="5">
        <f t="shared" si="1145"/>
        <v>0</v>
      </c>
      <c r="AB1130" s="5">
        <f t="shared" si="1145"/>
        <v>0</v>
      </c>
      <c r="AC1130" s="5">
        <f t="shared" si="1145"/>
        <v>0</v>
      </c>
      <c r="AD1130" s="5">
        <f t="shared" si="1145"/>
        <v>0</v>
      </c>
      <c r="AE1130" s="5">
        <f t="shared" si="1145"/>
        <v>0</v>
      </c>
      <c r="AF1130" s="5">
        <f t="shared" si="1145"/>
        <v>0</v>
      </c>
      <c r="AG1130" s="5">
        <f t="shared" si="1145"/>
        <v>0</v>
      </c>
      <c r="AH1130" s="5">
        <f t="shared" si="1145"/>
        <v>0</v>
      </c>
    </row>
    <row r="1131" spans="1:34" x14ac:dyDescent="0.35">
      <c r="A1131" t="s">
        <v>1151</v>
      </c>
      <c r="B1131" s="3" t="s">
        <v>1266</v>
      </c>
      <c r="C1131" s="4" t="s">
        <v>1263</v>
      </c>
      <c r="D1131" s="2">
        <f t="shared" si="1106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ref="W1131:AH1131" si="1146">IF(OR((SLOPE($E1131:$V1131,$E$1:$V$1)*W$1+INTERCEPT($E1131:$V1131,$E$1:$V$1))&gt;(AVERAGE($E1131:$V1131)+_xlfn.STDEV.P($E1131:$V1131)),(SLOPE($E1131:$V1131,$E$1:$V$1)*W$1+INTERCEPT($E1131:$V1131,$E$1:$V$1))&lt;(AVERAGE($E1131:$V1131)-_xlfn.STDEV.P($E1131:$V1131))),V1131,(SLOPE($E1131:$V1131,$E$1:$V$1)*W$1+INTERCEPT($E1131:$V1131,$E$1:$V$1)))</f>
        <v>-116.75450980392156</v>
      </c>
      <c r="X1131" s="5">
        <f t="shared" si="1146"/>
        <v>-136.50621259029924</v>
      </c>
      <c r="Y1131" s="5">
        <f t="shared" si="1146"/>
        <v>-156.25791537667692</v>
      </c>
      <c r="Z1131" s="5">
        <f t="shared" si="1146"/>
        <v>-176.00961816305465</v>
      </c>
      <c r="AA1131" s="5">
        <f t="shared" si="1146"/>
        <v>-195.76132094943239</v>
      </c>
      <c r="AB1131" s="5">
        <f t="shared" si="1146"/>
        <v>-215.51302373581007</v>
      </c>
      <c r="AC1131" s="5">
        <f t="shared" si="1146"/>
        <v>-215.51302373581007</v>
      </c>
      <c r="AD1131" s="5">
        <f t="shared" si="1146"/>
        <v>-215.51302373581007</v>
      </c>
      <c r="AE1131" s="5">
        <f t="shared" si="1146"/>
        <v>-215.51302373581007</v>
      </c>
      <c r="AF1131" s="5">
        <f t="shared" si="1146"/>
        <v>-215.51302373581007</v>
      </c>
      <c r="AG1131" s="5">
        <f t="shared" si="1146"/>
        <v>-215.51302373581007</v>
      </c>
      <c r="AH1131" s="5">
        <f t="shared" si="1146"/>
        <v>-215.51302373581007</v>
      </c>
    </row>
    <row r="1132" spans="1:34" x14ac:dyDescent="0.35">
      <c r="A1132" t="s">
        <v>1152</v>
      </c>
      <c r="B1132" s="3" t="s">
        <v>1266</v>
      </c>
      <c r="C1132" s="4" t="s">
        <v>1267</v>
      </c>
      <c r="D1132" s="2">
        <f t="shared" si="1106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ref="W1132:AH1132" si="1147">IF(OR((SLOPE($E1132:$V1132,$E$1:$V$1)*W$1+INTERCEPT($E1132:$V1132,$E$1:$V$1))&gt;(AVERAGE($E1132:$V1132)+_xlfn.STDEV.P($E1132:$V1132)),(SLOPE($E1132:$V1132,$E$1:$V$1)*W$1+INTERCEPT($E1132:$V1132,$E$1:$V$1))&lt;(AVERAGE($E1132:$V1132)-_xlfn.STDEV.P($E1132:$V1132))),V1132,(SLOPE($E1132:$V1132,$E$1:$V$1)*W$1+INTERCEPT($E1132:$V1132,$E$1:$V$1)))</f>
        <v>95.858091503267985</v>
      </c>
      <c r="X1132" s="5">
        <f t="shared" si="1147"/>
        <v>99.350896456828366</v>
      </c>
      <c r="Y1132" s="5">
        <f t="shared" si="1147"/>
        <v>102.84370141038872</v>
      </c>
      <c r="Z1132" s="5">
        <f t="shared" si="1147"/>
        <v>106.3365063639491</v>
      </c>
      <c r="AA1132" s="5">
        <f t="shared" si="1147"/>
        <v>109.82931131750948</v>
      </c>
      <c r="AB1132" s="5">
        <f t="shared" si="1147"/>
        <v>113.32211627106983</v>
      </c>
      <c r="AC1132" s="5">
        <f t="shared" si="1147"/>
        <v>116.81492122463021</v>
      </c>
      <c r="AD1132" s="5">
        <f t="shared" si="1147"/>
        <v>120.30772617819059</v>
      </c>
      <c r="AE1132" s="5">
        <f t="shared" si="1147"/>
        <v>123.80053113175097</v>
      </c>
      <c r="AF1132" s="5">
        <f t="shared" si="1147"/>
        <v>127.29333608531132</v>
      </c>
      <c r="AG1132" s="5">
        <f t="shared" si="1147"/>
        <v>130.7861410388717</v>
      </c>
      <c r="AH1132" s="5">
        <f t="shared" si="1147"/>
        <v>134.27894599243209</v>
      </c>
    </row>
    <row r="1133" spans="1:34" x14ac:dyDescent="0.35">
      <c r="A1133" t="s">
        <v>1153</v>
      </c>
      <c r="B1133" s="3" t="s">
        <v>1266</v>
      </c>
      <c r="C1133" s="4" t="s">
        <v>1267</v>
      </c>
      <c r="D1133" s="2">
        <f t="shared" si="1106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ref="W1133:AH1133" si="1148">IF(OR((SLOPE($E1133:$V1133,$E$1:$V$1)*W$1+INTERCEPT($E1133:$V1133,$E$1:$V$1))&gt;(AVERAGE($E1133:$V1133)+_xlfn.STDEV.P($E1133:$V1133)),(SLOPE($E1133:$V1133,$E$1:$V$1)*W$1+INTERCEPT($E1133:$V1133,$E$1:$V$1))&lt;(AVERAGE($E1133:$V1133)-_xlfn.STDEV.P($E1133:$V1133))),V1133,(SLOPE($E1133:$V1133,$E$1:$V$1)*W$1+INTERCEPT($E1133:$V1133,$E$1:$V$1)))</f>
        <v>95.858091503267985</v>
      </c>
      <c r="X1133" s="5">
        <f t="shared" si="1148"/>
        <v>99.350896456828366</v>
      </c>
      <c r="Y1133" s="5">
        <f t="shared" si="1148"/>
        <v>102.84370141038872</v>
      </c>
      <c r="Z1133" s="5">
        <f t="shared" si="1148"/>
        <v>106.3365063639491</v>
      </c>
      <c r="AA1133" s="5">
        <f t="shared" si="1148"/>
        <v>109.82931131750948</v>
      </c>
      <c r="AB1133" s="5">
        <f t="shared" si="1148"/>
        <v>113.32211627106983</v>
      </c>
      <c r="AC1133" s="5">
        <f t="shared" si="1148"/>
        <v>116.81492122463021</v>
      </c>
      <c r="AD1133" s="5">
        <f t="shared" si="1148"/>
        <v>120.30772617819059</v>
      </c>
      <c r="AE1133" s="5">
        <f t="shared" si="1148"/>
        <v>123.80053113175097</v>
      </c>
      <c r="AF1133" s="5">
        <f t="shared" si="1148"/>
        <v>127.29333608531132</v>
      </c>
      <c r="AG1133" s="5">
        <f t="shared" si="1148"/>
        <v>130.7861410388717</v>
      </c>
      <c r="AH1133" s="5">
        <f t="shared" si="1148"/>
        <v>134.27894599243209</v>
      </c>
    </row>
    <row r="1134" spans="1:34" x14ac:dyDescent="0.35">
      <c r="A1134" t="s">
        <v>1154</v>
      </c>
      <c r="B1134" s="3" t="s">
        <v>1266</v>
      </c>
      <c r="C1134" s="4" t="s">
        <v>1263</v>
      </c>
      <c r="D1134" s="2">
        <f t="shared" si="1106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ref="W1134:AH1134" si="1149">IF(OR((SLOPE($E1134:$V1134,$E$1:$V$1)*W$1+INTERCEPT($E1134:$V1134,$E$1:$V$1))&gt;(AVERAGE($E1134:$V1134)+_xlfn.STDEV.P($E1134:$V1134)),(SLOPE($E1134:$V1134,$E$1:$V$1)*W$1+INTERCEPT($E1134:$V1134,$E$1:$V$1))&lt;(AVERAGE($E1134:$V1134)-_xlfn.STDEV.P($E1134:$V1134))),V1134,(SLOPE($E1134:$V1134,$E$1:$V$1)*W$1+INTERCEPT($E1134:$V1134,$E$1:$V$1)))</f>
        <v>2.8273345882352885</v>
      </c>
      <c r="X1134" s="5">
        <f t="shared" si="1149"/>
        <v>-1.9344920866873139</v>
      </c>
      <c r="Y1134" s="5">
        <f t="shared" si="1149"/>
        <v>-6.696318761609902</v>
      </c>
      <c r="Z1134" s="5">
        <f t="shared" si="1149"/>
        <v>-11.458145436532504</v>
      </c>
      <c r="AA1134" s="5">
        <f t="shared" si="1149"/>
        <v>-16.219972111455107</v>
      </c>
      <c r="AB1134" s="5">
        <f t="shared" si="1149"/>
        <v>-20.981798786377709</v>
      </c>
      <c r="AC1134" s="5">
        <f t="shared" si="1149"/>
        <v>-25.743625461300311</v>
      </c>
      <c r="AD1134" s="5">
        <f t="shared" si="1149"/>
        <v>-30.505452136222914</v>
      </c>
      <c r="AE1134" s="5">
        <f t="shared" si="1149"/>
        <v>-35.267278811145516</v>
      </c>
      <c r="AF1134" s="5">
        <f t="shared" si="1149"/>
        <v>-40.029105486068104</v>
      </c>
      <c r="AG1134" s="5">
        <f t="shared" si="1149"/>
        <v>-44.790932160990721</v>
      </c>
      <c r="AH1134" s="5">
        <f t="shared" si="1149"/>
        <v>-49.552758835913309</v>
      </c>
    </row>
    <row r="1135" spans="1:34" x14ac:dyDescent="0.35">
      <c r="A1135" t="s">
        <v>1155</v>
      </c>
      <c r="B1135" s="3" t="s">
        <v>1264</v>
      </c>
      <c r="C1135" s="4" t="s">
        <v>1267</v>
      </c>
      <c r="D1135" s="2">
        <f t="shared" si="1106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ref="W1135:AH1135" si="1150">IF(OR((SLOPE($E1135:$V1135,$E$1:$V$1)*W$1+INTERCEPT($E1135:$V1135,$E$1:$V$1))&gt;(AVERAGE($E1135:$V1135)+_xlfn.STDEV.P($E1135:$V1135)),(SLOPE($E1135:$V1135,$E$1:$V$1)*W$1+INTERCEPT($E1135:$V1135,$E$1:$V$1))&lt;(AVERAGE($E1135:$V1135)-_xlfn.STDEV.P($E1135:$V1135))),V1135,(SLOPE($E1135:$V1135,$E$1:$V$1)*W$1+INTERCEPT($E1135:$V1135,$E$1:$V$1)))</f>
        <v>139.92961287078933</v>
      </c>
      <c r="X1135" s="5">
        <f t="shared" si="1150"/>
        <v>149.65103860707575</v>
      </c>
      <c r="Y1135" s="5">
        <f t="shared" si="1150"/>
        <v>159.37246434336214</v>
      </c>
      <c r="Z1135" s="5">
        <f t="shared" si="1150"/>
        <v>169.09389007964856</v>
      </c>
      <c r="AA1135" s="5">
        <f t="shared" si="1150"/>
        <v>178.81531581593498</v>
      </c>
      <c r="AB1135" s="5">
        <f t="shared" si="1150"/>
        <v>188.5367415522214</v>
      </c>
      <c r="AC1135" s="5">
        <f t="shared" si="1150"/>
        <v>198.25816728850782</v>
      </c>
      <c r="AD1135" s="5">
        <f t="shared" si="1150"/>
        <v>207.97959302479424</v>
      </c>
      <c r="AE1135" s="5">
        <f t="shared" si="1150"/>
        <v>217.70101876108066</v>
      </c>
      <c r="AF1135" s="5">
        <f t="shared" si="1150"/>
        <v>227.42244449736705</v>
      </c>
      <c r="AG1135" s="5">
        <f t="shared" si="1150"/>
        <v>237.1438702336535</v>
      </c>
      <c r="AH1135" s="5">
        <f t="shared" si="1150"/>
        <v>237.1438702336535</v>
      </c>
    </row>
    <row r="1136" spans="1:34" x14ac:dyDescent="0.35">
      <c r="A1136" t="s">
        <v>1156</v>
      </c>
      <c r="B1136" s="3" t="s">
        <v>1266</v>
      </c>
      <c r="C1136" s="4" t="s">
        <v>1267</v>
      </c>
      <c r="D1136" s="2">
        <f t="shared" si="1106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ref="W1136:AH1136" si="1151">IF(OR((SLOPE($E1136:$V1136,$E$1:$V$1)*W$1+INTERCEPT($E1136:$V1136,$E$1:$V$1))&gt;(AVERAGE($E1136:$V1136)+_xlfn.STDEV.P($E1136:$V1136)),(SLOPE($E1136:$V1136,$E$1:$V$1)*W$1+INTERCEPT($E1136:$V1136,$E$1:$V$1))&lt;(AVERAGE($E1136:$V1136)-_xlfn.STDEV.P($E1136:$V1136))),V1136,(SLOPE($E1136:$V1136,$E$1:$V$1)*W$1+INTERCEPT($E1136:$V1136,$E$1:$V$1)))</f>
        <v>71.9435294117647</v>
      </c>
      <c r="X1136" s="5">
        <f t="shared" si="1151"/>
        <v>74.564953560371492</v>
      </c>
      <c r="Y1136" s="5">
        <f t="shared" si="1151"/>
        <v>77.186377708978313</v>
      </c>
      <c r="Z1136" s="5">
        <f t="shared" si="1151"/>
        <v>79.807801857585133</v>
      </c>
      <c r="AA1136" s="5">
        <f t="shared" si="1151"/>
        <v>82.429226006191925</v>
      </c>
      <c r="AB1136" s="5">
        <f t="shared" si="1151"/>
        <v>85.050650154798745</v>
      </c>
      <c r="AC1136" s="5">
        <f t="shared" si="1151"/>
        <v>87.672074303405566</v>
      </c>
      <c r="AD1136" s="5">
        <f t="shared" si="1151"/>
        <v>90.293498452012358</v>
      </c>
      <c r="AE1136" s="5">
        <f t="shared" si="1151"/>
        <v>92.914922600619178</v>
      </c>
      <c r="AF1136" s="5">
        <f t="shared" si="1151"/>
        <v>95.536346749225999</v>
      </c>
      <c r="AG1136" s="5">
        <f t="shared" si="1151"/>
        <v>98.157770897832791</v>
      </c>
      <c r="AH1136" s="5">
        <f t="shared" si="1151"/>
        <v>100.77919504643961</v>
      </c>
    </row>
    <row r="1137" spans="1:34" x14ac:dyDescent="0.35">
      <c r="A1137" t="s">
        <v>1157</v>
      </c>
      <c r="B1137" s="3" t="s">
        <v>1264</v>
      </c>
      <c r="C1137" s="4" t="s">
        <v>1267</v>
      </c>
      <c r="D1137" s="2">
        <f t="shared" si="1106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ref="W1137:AH1137" si="1152">IF(OR((SLOPE($E1137:$V1137,$E$1:$V$1)*W$1+INTERCEPT($E1137:$V1137,$E$1:$V$1))&gt;(AVERAGE($E1137:$V1137)+_xlfn.STDEV.P($E1137:$V1137)),(SLOPE($E1137:$V1137,$E$1:$V$1)*W$1+INTERCEPT($E1137:$V1137,$E$1:$V$1))&lt;(AVERAGE($E1137:$V1137)-_xlfn.STDEV.P($E1137:$V1137))),V1137,(SLOPE($E1137:$V1137,$E$1:$V$1)*W$1+INTERCEPT($E1137:$V1137,$E$1:$V$1)))</f>
        <v>-60.621647058823527</v>
      </c>
      <c r="X1137" s="5">
        <f t="shared" si="1152"/>
        <v>-71.933820433436523</v>
      </c>
      <c r="Y1137" s="5">
        <f t="shared" si="1152"/>
        <v>-83.245993808049519</v>
      </c>
      <c r="Z1137" s="5">
        <f t="shared" si="1152"/>
        <v>-94.558167182662515</v>
      </c>
      <c r="AA1137" s="5">
        <f t="shared" si="1152"/>
        <v>-105.87034055727551</v>
      </c>
      <c r="AB1137" s="5">
        <f t="shared" si="1152"/>
        <v>-117.18251393188851</v>
      </c>
      <c r="AC1137" s="5">
        <f t="shared" si="1152"/>
        <v>-128.4946873065015</v>
      </c>
      <c r="AD1137" s="5">
        <f t="shared" si="1152"/>
        <v>-139.8068606811145</v>
      </c>
      <c r="AE1137" s="5">
        <f t="shared" si="1152"/>
        <v>-139.8068606811145</v>
      </c>
      <c r="AF1137" s="5">
        <f t="shared" si="1152"/>
        <v>-139.8068606811145</v>
      </c>
      <c r="AG1137" s="5">
        <f t="shared" si="1152"/>
        <v>-139.8068606811145</v>
      </c>
      <c r="AH1137" s="5">
        <f t="shared" si="1152"/>
        <v>-139.8068606811145</v>
      </c>
    </row>
    <row r="1138" spans="1:34" x14ac:dyDescent="0.35">
      <c r="A1138" t="s">
        <v>1158</v>
      </c>
      <c r="B1138" s="3" t="s">
        <v>1266</v>
      </c>
      <c r="C1138" s="4" t="s">
        <v>1263</v>
      </c>
      <c r="D1138" s="2">
        <f t="shared" si="1106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ref="W1138:AH1138" si="1153">IF(OR((SLOPE($E1138:$V1138,$E$1:$V$1)*W$1+INTERCEPT($E1138:$V1138,$E$1:$V$1))&gt;(AVERAGE($E1138:$V1138)+_xlfn.STDEV.P($E1138:$V1138)),(SLOPE($E1138:$V1138,$E$1:$V$1)*W$1+INTERCEPT($E1138:$V1138,$E$1:$V$1))&lt;(AVERAGE($E1138:$V1138)-_xlfn.STDEV.P($E1138:$V1138))),V1138,(SLOPE($E1138:$V1138,$E$1:$V$1)*W$1+INTERCEPT($E1138:$V1138,$E$1:$V$1)))</f>
        <v>-14.609301960784322</v>
      </c>
      <c r="X1138" s="5">
        <f t="shared" si="1153"/>
        <v>-20.884821465428288</v>
      </c>
      <c r="Y1138" s="5">
        <f t="shared" si="1153"/>
        <v>-27.160340970072241</v>
      </c>
      <c r="Z1138" s="5">
        <f t="shared" si="1153"/>
        <v>-33.435860474716208</v>
      </c>
      <c r="AA1138" s="5">
        <f t="shared" si="1153"/>
        <v>-39.711379979360174</v>
      </c>
      <c r="AB1138" s="5">
        <f t="shared" si="1153"/>
        <v>-39.711379979360174</v>
      </c>
      <c r="AC1138" s="5">
        <f t="shared" si="1153"/>
        <v>-39.711379979360174</v>
      </c>
      <c r="AD1138" s="5">
        <f t="shared" si="1153"/>
        <v>-39.711379979360174</v>
      </c>
      <c r="AE1138" s="5">
        <f t="shared" si="1153"/>
        <v>-39.711379979360174</v>
      </c>
      <c r="AF1138" s="5">
        <f t="shared" si="1153"/>
        <v>-39.711379979360174</v>
      </c>
      <c r="AG1138" s="5">
        <f t="shared" si="1153"/>
        <v>-39.711379979360174</v>
      </c>
      <c r="AH1138" s="5">
        <f t="shared" si="1153"/>
        <v>-39.711379979360174</v>
      </c>
    </row>
    <row r="1139" spans="1:34" x14ac:dyDescent="0.35">
      <c r="A1139" t="s">
        <v>1159</v>
      </c>
      <c r="B1139" s="3" t="s">
        <v>1264</v>
      </c>
      <c r="C1139" s="4" t="s">
        <v>1263</v>
      </c>
      <c r="D1139" s="2">
        <f t="shared" si="1106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ref="W1139:AH1139" si="1154">IF(OR((SLOPE($E1139:$V1139,$E$1:$V$1)*W$1+INTERCEPT($E1139:$V1139,$E$1:$V$1))&gt;(AVERAGE($E1139:$V1139)+_xlfn.STDEV.P($E1139:$V1139)),(SLOPE($E1139:$V1139,$E$1:$V$1)*W$1+INTERCEPT($E1139:$V1139,$E$1:$V$1))&lt;(AVERAGE($E1139:$V1139)-_xlfn.STDEV.P($E1139:$V1139))),V1139,(SLOPE($E1139:$V1139,$E$1:$V$1)*W$1+INTERCEPT($E1139:$V1139,$E$1:$V$1)))</f>
        <v>143.94494933645251</v>
      </c>
      <c r="X1139" s="5">
        <f t="shared" si="1154"/>
        <v>155.30902428406722</v>
      </c>
      <c r="Y1139" s="5">
        <f t="shared" si="1154"/>
        <v>166.67309923168187</v>
      </c>
      <c r="Z1139" s="5">
        <f t="shared" si="1154"/>
        <v>178.03717417929653</v>
      </c>
      <c r="AA1139" s="5">
        <f t="shared" si="1154"/>
        <v>178.03717417929653</v>
      </c>
      <c r="AB1139" s="5">
        <f t="shared" si="1154"/>
        <v>178.03717417929653</v>
      </c>
      <c r="AC1139" s="5">
        <f t="shared" si="1154"/>
        <v>178.03717417929653</v>
      </c>
      <c r="AD1139" s="5">
        <f t="shared" si="1154"/>
        <v>178.03717417929653</v>
      </c>
      <c r="AE1139" s="5">
        <f t="shared" si="1154"/>
        <v>178.03717417929653</v>
      </c>
      <c r="AF1139" s="5">
        <f t="shared" si="1154"/>
        <v>178.03717417929653</v>
      </c>
      <c r="AG1139" s="5">
        <f t="shared" si="1154"/>
        <v>178.03717417929653</v>
      </c>
      <c r="AH1139" s="5">
        <f t="shared" si="1154"/>
        <v>178.03717417929653</v>
      </c>
    </row>
    <row r="1140" spans="1:34" x14ac:dyDescent="0.35">
      <c r="A1140" t="s">
        <v>1160</v>
      </c>
      <c r="B1140" s="3" t="s">
        <v>1266</v>
      </c>
      <c r="C1140" s="4" t="s">
        <v>1267</v>
      </c>
      <c r="D1140" s="2">
        <f t="shared" si="1106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ref="W1140:AH1140" si="1155">IF(OR((SLOPE($E1140:$V1140,$E$1:$V$1)*W$1+INTERCEPT($E1140:$V1140,$E$1:$V$1))&gt;(AVERAGE($E1140:$V1140)+_xlfn.STDEV.P($E1140:$V1140)),(SLOPE($E1140:$V1140,$E$1:$V$1)*W$1+INTERCEPT($E1140:$V1140,$E$1:$V$1))&lt;(AVERAGE($E1140:$V1140)-_xlfn.STDEV.P($E1140:$V1140))),V1140,(SLOPE($E1140:$V1140,$E$1:$V$1)*W$1+INTERCEPT($E1140:$V1140,$E$1:$V$1)))</f>
        <v>-38.943790849673235</v>
      </c>
      <c r="X1140" s="5">
        <f t="shared" si="1155"/>
        <v>-46.710973512211922</v>
      </c>
      <c r="Y1140" s="5">
        <f t="shared" si="1155"/>
        <v>-54.478156174750609</v>
      </c>
      <c r="Z1140" s="5">
        <f t="shared" si="1155"/>
        <v>-62.245338837289324</v>
      </c>
      <c r="AA1140" s="5">
        <f t="shared" si="1155"/>
        <v>-62.245338837289324</v>
      </c>
      <c r="AB1140" s="5">
        <f t="shared" si="1155"/>
        <v>-62.245338837289324</v>
      </c>
      <c r="AC1140" s="5">
        <f t="shared" si="1155"/>
        <v>-62.245338837289324</v>
      </c>
      <c r="AD1140" s="5">
        <f t="shared" si="1155"/>
        <v>-62.245338837289324</v>
      </c>
      <c r="AE1140" s="5">
        <f t="shared" si="1155"/>
        <v>-62.245338837289324</v>
      </c>
      <c r="AF1140" s="5">
        <f t="shared" si="1155"/>
        <v>-62.245338837289324</v>
      </c>
      <c r="AG1140" s="5">
        <f t="shared" si="1155"/>
        <v>-62.245338837289324</v>
      </c>
      <c r="AH1140" s="5">
        <f t="shared" si="1155"/>
        <v>-62.245338837289324</v>
      </c>
    </row>
    <row r="1141" spans="1:34" x14ac:dyDescent="0.35">
      <c r="A1141" t="s">
        <v>1161</v>
      </c>
      <c r="B1141" s="3" t="s">
        <v>1264</v>
      </c>
      <c r="C1141" s="4" t="s">
        <v>1267</v>
      </c>
      <c r="D1141" s="2">
        <f t="shared" si="1106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H1141" si="1156">IF(OR((SLOPE($E1141:$V1141,$E$1:$V$1)*W$1+INTERCEPT($E1141:$V1141,$E$1:$V$1))&gt;(AVERAGE($E1141:$V1141)+_xlfn.STDEV.P($E1141:$V1141)),(SLOPE($E1141:$V1141,$E$1:$V$1)*W$1+INTERCEPT($E1141:$V1141,$E$1:$V$1))&lt;(AVERAGE($E1141:$V1141)-_xlfn.STDEV.P($E1141:$V1141))),V1141,(SLOPE($E1141:$V1141,$E$1:$V$1)*W$1+INTERCEPT($E1141:$V1141,$E$1:$V$1)))</f>
        <v>44.931398692810461</v>
      </c>
      <c r="X1141" s="5">
        <f t="shared" si="1156"/>
        <v>46.568575163398691</v>
      </c>
      <c r="Y1141" s="5">
        <f t="shared" si="1156"/>
        <v>48.205751633986928</v>
      </c>
      <c r="Z1141" s="5">
        <f t="shared" si="1156"/>
        <v>49.842928104575165</v>
      </c>
      <c r="AA1141" s="5">
        <f t="shared" si="1156"/>
        <v>51.480104575163402</v>
      </c>
      <c r="AB1141" s="5">
        <f t="shared" si="1156"/>
        <v>53.117281045751639</v>
      </c>
      <c r="AC1141" s="5">
        <f t="shared" si="1156"/>
        <v>54.754457516339869</v>
      </c>
      <c r="AD1141" s="5">
        <f t="shared" si="1156"/>
        <v>56.391633986928106</v>
      </c>
      <c r="AE1141" s="5">
        <f t="shared" si="1156"/>
        <v>58.028810457516343</v>
      </c>
      <c r="AF1141" s="5">
        <f t="shared" si="1156"/>
        <v>59.66598692810458</v>
      </c>
      <c r="AG1141" s="5">
        <f t="shared" si="1156"/>
        <v>61.303163398692817</v>
      </c>
      <c r="AH1141" s="5">
        <f t="shared" si="1156"/>
        <v>62.940339869281047</v>
      </c>
    </row>
    <row r="1142" spans="1:34" x14ac:dyDescent="0.35">
      <c r="A1142" t="s">
        <v>1162</v>
      </c>
      <c r="B1142" s="3" t="s">
        <v>1264</v>
      </c>
      <c r="C1142" s="4" t="s">
        <v>1268</v>
      </c>
      <c r="D1142" s="2">
        <f t="shared" si="1106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ref="W1142:AH1142" si="1157">IF(OR((SLOPE($E1142:$V1142,$E$1:$V$1)*W$1+INTERCEPT($E1142:$V1142,$E$1:$V$1))&gt;(AVERAGE($E1142:$V1142)+_xlfn.STDEV.P($E1142:$V1142)),(SLOPE($E1142:$V1142,$E$1:$V$1)*W$1+INTERCEPT($E1142:$V1142,$E$1:$V$1))&lt;(AVERAGE($E1142:$V1142)-_xlfn.STDEV.P($E1142:$V1142))),V1142,(SLOPE($E1142:$V1142,$E$1:$V$1)*W$1+INTERCEPT($E1142:$V1142,$E$1:$V$1)))</f>
        <v>23.749140653594772</v>
      </c>
      <c r="X1142" s="5">
        <f t="shared" si="1157"/>
        <v>23.213445751633987</v>
      </c>
      <c r="Y1142" s="5">
        <f t="shared" si="1157"/>
        <v>22.677750849673203</v>
      </c>
      <c r="Z1142" s="5">
        <f t="shared" si="1157"/>
        <v>22.142055947712421</v>
      </c>
      <c r="AA1142" s="5">
        <f t="shared" si="1157"/>
        <v>21.606361045751633</v>
      </c>
      <c r="AB1142" s="5">
        <f t="shared" si="1157"/>
        <v>21.070666143790852</v>
      </c>
      <c r="AC1142" s="5">
        <f t="shared" si="1157"/>
        <v>20.534971241830068</v>
      </c>
      <c r="AD1142" s="5">
        <f t="shared" si="1157"/>
        <v>19.999276339869283</v>
      </c>
      <c r="AE1142" s="5">
        <f t="shared" si="1157"/>
        <v>19.463581437908498</v>
      </c>
      <c r="AF1142" s="5">
        <f t="shared" si="1157"/>
        <v>18.927886535947714</v>
      </c>
      <c r="AG1142" s="5">
        <f t="shared" si="1157"/>
        <v>18.392191633986933</v>
      </c>
      <c r="AH1142" s="5">
        <f t="shared" si="1157"/>
        <v>17.856496732026148</v>
      </c>
    </row>
    <row r="1143" spans="1:34" x14ac:dyDescent="0.35">
      <c r="A1143" t="s">
        <v>1163</v>
      </c>
      <c r="B1143" s="3" t="s">
        <v>1266</v>
      </c>
      <c r="C1143" s="4" t="s">
        <v>1263</v>
      </c>
      <c r="D1143" s="2">
        <f t="shared" si="1106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ref="W1143:AH1143" si="1158">IF(OR((SLOPE($E1143:$V1143,$E$1:$V$1)*W$1+INTERCEPT($E1143:$V1143,$E$1:$V$1))&gt;(AVERAGE($E1143:$V1143)+_xlfn.STDEV.P($E1143:$V1143)),(SLOPE($E1143:$V1143,$E$1:$V$1)*W$1+INTERCEPT($E1143:$V1143,$E$1:$V$1))&lt;(AVERAGE($E1143:$V1143)-_xlfn.STDEV.P($E1143:$V1143))),V1143,(SLOPE($E1143:$V1143,$E$1:$V$1)*W$1+INTERCEPT($E1143:$V1143,$E$1:$V$1)))</f>
        <v>-9.6501176470588206</v>
      </c>
      <c r="X1143" s="5">
        <f t="shared" si="1158"/>
        <v>-13.544024767801858</v>
      </c>
      <c r="Y1143" s="5">
        <f t="shared" si="1158"/>
        <v>-17.437931888544895</v>
      </c>
      <c r="Z1143" s="5">
        <f t="shared" si="1158"/>
        <v>-21.331839009287918</v>
      </c>
      <c r="AA1143" s="5">
        <f t="shared" si="1158"/>
        <v>-25.225746130030956</v>
      </c>
      <c r="AB1143" s="5">
        <f t="shared" si="1158"/>
        <v>-29.119653250773993</v>
      </c>
      <c r="AC1143" s="5">
        <f t="shared" si="1158"/>
        <v>-33.01356037151703</v>
      </c>
      <c r="AD1143" s="5">
        <f t="shared" si="1158"/>
        <v>-36.907467492260068</v>
      </c>
      <c r="AE1143" s="5">
        <f t="shared" si="1158"/>
        <v>-40.801374613003091</v>
      </c>
      <c r="AF1143" s="5">
        <f t="shared" si="1158"/>
        <v>-44.695281733746128</v>
      </c>
      <c r="AG1143" s="5">
        <f t="shared" si="1158"/>
        <v>-48.589188854489166</v>
      </c>
      <c r="AH1143" s="5">
        <f t="shared" si="1158"/>
        <v>-52.483095975232189</v>
      </c>
    </row>
    <row r="1144" spans="1:34" x14ac:dyDescent="0.35">
      <c r="A1144" t="s">
        <v>1164</v>
      </c>
      <c r="B1144" s="3" t="s">
        <v>1264</v>
      </c>
      <c r="C1144" s="4" t="s">
        <v>1268</v>
      </c>
      <c r="D1144" s="2">
        <f t="shared" si="1106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ref="W1144:AH1144" si="1159">IF(OR((SLOPE($E1144:$V1144,$E$1:$V$1)*W$1+INTERCEPT($E1144:$V1144,$E$1:$V$1))&gt;(AVERAGE($E1144:$V1144)+_xlfn.STDEV.P($E1144:$V1144)),(SLOPE($E1144:$V1144,$E$1:$V$1)*W$1+INTERCEPT($E1144:$V1144,$E$1:$V$1))&lt;(AVERAGE($E1144:$V1144)-_xlfn.STDEV.P($E1144:$V1144))),V1144,(SLOPE($E1144:$V1144,$E$1:$V$1)*W$1+INTERCEPT($E1144:$V1144,$E$1:$V$1)))</f>
        <v>-27.46161764705883</v>
      </c>
      <c r="X1144" s="5">
        <f t="shared" si="1159"/>
        <v>-32.875814241486083</v>
      </c>
      <c r="Y1144" s="5">
        <f t="shared" si="1159"/>
        <v>-38.290010835913321</v>
      </c>
      <c r="Z1144" s="5">
        <f t="shared" si="1159"/>
        <v>-43.704207430340574</v>
      </c>
      <c r="AA1144" s="5">
        <f t="shared" si="1159"/>
        <v>-43.704207430340574</v>
      </c>
      <c r="AB1144" s="5">
        <f t="shared" si="1159"/>
        <v>-43.704207430340574</v>
      </c>
      <c r="AC1144" s="5">
        <f t="shared" si="1159"/>
        <v>-43.704207430340574</v>
      </c>
      <c r="AD1144" s="5">
        <f t="shared" si="1159"/>
        <v>-43.704207430340574</v>
      </c>
      <c r="AE1144" s="5">
        <f t="shared" si="1159"/>
        <v>-43.704207430340574</v>
      </c>
      <c r="AF1144" s="5">
        <f t="shared" si="1159"/>
        <v>-43.704207430340574</v>
      </c>
      <c r="AG1144" s="5">
        <f t="shared" si="1159"/>
        <v>-43.704207430340574</v>
      </c>
      <c r="AH1144" s="5">
        <f t="shared" si="1159"/>
        <v>-43.704207430340574</v>
      </c>
    </row>
    <row r="1145" spans="1:34" x14ac:dyDescent="0.35">
      <c r="A1145" t="s">
        <v>1165</v>
      </c>
      <c r="B1145" s="3" t="s">
        <v>1266</v>
      </c>
      <c r="C1145" s="4" t="s">
        <v>1263</v>
      </c>
      <c r="D1145" s="2">
        <f t="shared" si="1106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ref="W1145:AH1145" si="1160">IF(OR((SLOPE($E1145:$V1145,$E$1:$V$1)*W$1+INTERCEPT($E1145:$V1145,$E$1:$V$1))&gt;(AVERAGE($E1145:$V1145)+_xlfn.STDEV.P($E1145:$V1145)),(SLOPE($E1145:$V1145,$E$1:$V$1)*W$1+INTERCEPT($E1145:$V1145,$E$1:$V$1))&lt;(AVERAGE($E1145:$V1145)-_xlfn.STDEV.P($E1145:$V1145))),V1145,(SLOPE($E1145:$V1145,$E$1:$V$1)*W$1+INTERCEPT($E1145:$V1145,$E$1:$V$1)))</f>
        <v>-5.1241830065359508</v>
      </c>
      <c r="X1145" s="5">
        <f t="shared" si="1160"/>
        <v>-7.955968352253187</v>
      </c>
      <c r="Y1145" s="5">
        <f t="shared" si="1160"/>
        <v>-10.787753697970423</v>
      </c>
      <c r="Z1145" s="5">
        <f t="shared" si="1160"/>
        <v>-13.619539043687652</v>
      </c>
      <c r="AA1145" s="5">
        <f t="shared" si="1160"/>
        <v>-16.451324389404888</v>
      </c>
      <c r="AB1145" s="5">
        <f t="shared" si="1160"/>
        <v>-19.283109735122125</v>
      </c>
      <c r="AC1145" s="5">
        <f t="shared" si="1160"/>
        <v>-22.114895080839361</v>
      </c>
      <c r="AD1145" s="5">
        <f t="shared" si="1160"/>
        <v>-24.946680426556597</v>
      </c>
      <c r="AE1145" s="5">
        <f t="shared" si="1160"/>
        <v>-27.778465772273833</v>
      </c>
      <c r="AF1145" s="5">
        <f t="shared" si="1160"/>
        <v>-30.610251117991055</v>
      </c>
      <c r="AG1145" s="5">
        <f t="shared" si="1160"/>
        <v>-33.442036463708291</v>
      </c>
      <c r="AH1145" s="5">
        <f t="shared" si="1160"/>
        <v>-36.273821809425527</v>
      </c>
    </row>
    <row r="1146" spans="1:34" x14ac:dyDescent="0.35">
      <c r="A1146" t="s">
        <v>1166</v>
      </c>
      <c r="B1146" s="3" t="s">
        <v>1264</v>
      </c>
      <c r="C1146" s="4" t="s">
        <v>1268</v>
      </c>
      <c r="D1146" s="2">
        <f t="shared" si="1106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ref="W1146:AH1146" si="1161">IF(OR((SLOPE($E1146:$V1146,$E$1:$V$1)*W$1+INTERCEPT($E1146:$V1146,$E$1:$V$1))&gt;(AVERAGE($E1146:$V1146)+_xlfn.STDEV.P($E1146:$V1146)),(SLOPE($E1146:$V1146,$E$1:$V$1)*W$1+INTERCEPT($E1146:$V1146,$E$1:$V$1))&lt;(AVERAGE($E1146:$V1146)-_xlfn.STDEV.P($E1146:$V1146))),V1146,(SLOPE($E1146:$V1146,$E$1:$V$1)*W$1+INTERCEPT($E1146:$V1146,$E$1:$V$1)))</f>
        <v>57.647058823529399</v>
      </c>
      <c r="X1146" s="5">
        <f t="shared" si="1161"/>
        <v>61.652012383900917</v>
      </c>
      <c r="Y1146" s="5">
        <f t="shared" si="1161"/>
        <v>65.656965944272429</v>
      </c>
      <c r="Z1146" s="5">
        <f t="shared" si="1161"/>
        <v>69.661919504643947</v>
      </c>
      <c r="AA1146" s="5">
        <f t="shared" si="1161"/>
        <v>73.666873065015466</v>
      </c>
      <c r="AB1146" s="5">
        <f t="shared" si="1161"/>
        <v>77.671826625386984</v>
      </c>
      <c r="AC1146" s="5">
        <f t="shared" si="1161"/>
        <v>81.676780185758503</v>
      </c>
      <c r="AD1146" s="5">
        <f t="shared" si="1161"/>
        <v>85.681733746130021</v>
      </c>
      <c r="AE1146" s="5">
        <f t="shared" si="1161"/>
        <v>89.68668730650154</v>
      </c>
      <c r="AF1146" s="5">
        <f t="shared" si="1161"/>
        <v>93.691640866873058</v>
      </c>
      <c r="AG1146" s="5">
        <f t="shared" si="1161"/>
        <v>97.696594427244577</v>
      </c>
      <c r="AH1146" s="5">
        <f t="shared" si="1161"/>
        <v>97.696594427244577</v>
      </c>
    </row>
    <row r="1147" spans="1:34" x14ac:dyDescent="0.35">
      <c r="A1147" t="s">
        <v>1167</v>
      </c>
      <c r="B1147" s="3" t="s">
        <v>1264</v>
      </c>
      <c r="C1147" s="4" t="s">
        <v>1268</v>
      </c>
      <c r="D1147" s="2">
        <f t="shared" si="1106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ref="W1147:AH1147" si="1162">IF(OR((SLOPE($E1147:$V1147,$E$1:$V$1)*W$1+INTERCEPT($E1147:$V1147,$E$1:$V$1))&gt;(AVERAGE($E1147:$V1147)+_xlfn.STDEV.P($E1147:$V1147)),(SLOPE($E1147:$V1147,$E$1:$V$1)*W$1+INTERCEPT($E1147:$V1147,$E$1:$V$1))&lt;(AVERAGE($E1147:$V1147)-_xlfn.STDEV.P($E1147:$V1147))),V1147,(SLOPE($E1147:$V1147,$E$1:$V$1)*W$1+INTERCEPT($E1147:$V1147,$E$1:$V$1)))</f>
        <v>-24.306305882352945</v>
      </c>
      <c r="X1147" s="5">
        <f t="shared" si="1162"/>
        <v>-28.491664396284833</v>
      </c>
      <c r="Y1147" s="5">
        <f t="shared" si="1162"/>
        <v>-28.491664396284833</v>
      </c>
      <c r="Z1147" s="5">
        <f t="shared" si="1162"/>
        <v>-28.491664396284833</v>
      </c>
      <c r="AA1147" s="5">
        <f t="shared" si="1162"/>
        <v>-28.491664396284833</v>
      </c>
      <c r="AB1147" s="5">
        <f t="shared" si="1162"/>
        <v>-28.491664396284833</v>
      </c>
      <c r="AC1147" s="5">
        <f t="shared" si="1162"/>
        <v>-28.491664396284833</v>
      </c>
      <c r="AD1147" s="5">
        <f t="shared" si="1162"/>
        <v>-28.491664396284833</v>
      </c>
      <c r="AE1147" s="5">
        <f t="shared" si="1162"/>
        <v>-28.491664396284833</v>
      </c>
      <c r="AF1147" s="5">
        <f t="shared" si="1162"/>
        <v>-28.491664396284833</v>
      </c>
      <c r="AG1147" s="5">
        <f t="shared" si="1162"/>
        <v>-28.491664396284833</v>
      </c>
      <c r="AH1147" s="5">
        <f t="shared" si="1162"/>
        <v>-28.491664396284833</v>
      </c>
    </row>
    <row r="1148" spans="1:34" x14ac:dyDescent="0.35">
      <c r="A1148" t="s">
        <v>1168</v>
      </c>
      <c r="B1148" s="3" t="s">
        <v>1266</v>
      </c>
      <c r="C1148" s="4" t="s">
        <v>1263</v>
      </c>
      <c r="D1148" s="2">
        <f t="shared" si="1106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ref="W1148:AH1148" si="1163">IF(OR((SLOPE($E1148:$V1148,$E$1:$V$1)*W$1+INTERCEPT($E1148:$V1148,$E$1:$V$1))&gt;(AVERAGE($E1148:$V1148)+_xlfn.STDEV.P($E1148:$V1148)),(SLOPE($E1148:$V1148,$E$1:$V$1)*W$1+INTERCEPT($E1148:$V1148,$E$1:$V$1))&lt;(AVERAGE($E1148:$V1148)-_xlfn.STDEV.P($E1148:$V1148))),V1148,(SLOPE($E1148:$V1148,$E$1:$V$1)*W$1+INTERCEPT($E1148:$V1148,$E$1:$V$1)))</f>
        <v>-15.280344912437954</v>
      </c>
      <c r="X1148" s="5">
        <f t="shared" si="1163"/>
        <v>-18.226901904511656</v>
      </c>
      <c r="Y1148" s="5">
        <f t="shared" si="1163"/>
        <v>-21.173458896585359</v>
      </c>
      <c r="Z1148" s="5">
        <f t="shared" si="1163"/>
        <v>-24.120015888659054</v>
      </c>
      <c r="AA1148" s="5">
        <f t="shared" si="1163"/>
        <v>-27.066572880732764</v>
      </c>
      <c r="AB1148" s="5">
        <f t="shared" si="1163"/>
        <v>-30.013129872806459</v>
      </c>
      <c r="AC1148" s="5">
        <f t="shared" si="1163"/>
        <v>-32.959686864880169</v>
      </c>
      <c r="AD1148" s="5">
        <f t="shared" si="1163"/>
        <v>-32.959686864880169</v>
      </c>
      <c r="AE1148" s="5">
        <f t="shared" si="1163"/>
        <v>-32.959686864880169</v>
      </c>
      <c r="AF1148" s="5">
        <f t="shared" si="1163"/>
        <v>-32.959686864880169</v>
      </c>
      <c r="AG1148" s="5">
        <f t="shared" si="1163"/>
        <v>-32.959686864880169</v>
      </c>
      <c r="AH1148" s="5">
        <f t="shared" si="1163"/>
        <v>-32.959686864880169</v>
      </c>
    </row>
    <row r="1149" spans="1:34" x14ac:dyDescent="0.35">
      <c r="A1149" t="s">
        <v>1169</v>
      </c>
      <c r="B1149" s="3" t="s">
        <v>1264</v>
      </c>
      <c r="C1149" s="4" t="s">
        <v>1263</v>
      </c>
      <c r="D1149" s="2">
        <f t="shared" si="1106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ref="W1149:AH1149" si="1164">IF(OR((SLOPE($E1149:$V1149,$E$1:$V$1)*W$1+INTERCEPT($E1149:$V1149,$E$1:$V$1))&gt;(AVERAGE($E1149:$V1149)+_xlfn.STDEV.P($E1149:$V1149)),(SLOPE($E1149:$V1149,$E$1:$V$1)*W$1+INTERCEPT($E1149:$V1149,$E$1:$V$1))&lt;(AVERAGE($E1149:$V1149)-_xlfn.STDEV.P($E1149:$V1149))),V1149,(SLOPE($E1149:$V1149,$E$1:$V$1)*W$1+INTERCEPT($E1149:$V1149,$E$1:$V$1)))</f>
        <v>-16.59496595072418</v>
      </c>
      <c r="X1149" s="5">
        <f t="shared" si="1164"/>
        <v>-19.621815457162981</v>
      </c>
      <c r="Y1149" s="5">
        <f t="shared" si="1164"/>
        <v>-22.648664963601789</v>
      </c>
      <c r="Z1149" s="5">
        <f t="shared" si="1164"/>
        <v>-25.675514470040582</v>
      </c>
      <c r="AA1149" s="5">
        <f t="shared" si="1164"/>
        <v>-25.675514470040582</v>
      </c>
      <c r="AB1149" s="5">
        <f t="shared" si="1164"/>
        <v>-25.675514470040582</v>
      </c>
      <c r="AC1149" s="5">
        <f t="shared" si="1164"/>
        <v>-25.675514470040582</v>
      </c>
      <c r="AD1149" s="5">
        <f t="shared" si="1164"/>
        <v>-25.675514470040582</v>
      </c>
      <c r="AE1149" s="5">
        <f t="shared" si="1164"/>
        <v>-25.675514470040582</v>
      </c>
      <c r="AF1149" s="5">
        <f t="shared" si="1164"/>
        <v>-25.675514470040582</v>
      </c>
      <c r="AG1149" s="5">
        <f t="shared" si="1164"/>
        <v>-25.675514470040582</v>
      </c>
      <c r="AH1149" s="5">
        <f t="shared" si="1164"/>
        <v>-25.675514470040582</v>
      </c>
    </row>
    <row r="1150" spans="1:34" x14ac:dyDescent="0.35">
      <c r="A1150" t="s">
        <v>1170</v>
      </c>
      <c r="B1150" s="3" t="s">
        <v>1266</v>
      </c>
      <c r="C1150" s="4" t="s">
        <v>1267</v>
      </c>
      <c r="D1150" s="2">
        <f t="shared" si="1106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ref="W1150:AH1150" si="1165">IF(OR((SLOPE($E1150:$V1150,$E$1:$V$1)*W$1+INTERCEPT($E1150:$V1150,$E$1:$V$1))&gt;(AVERAGE($E1150:$V1150)+_xlfn.STDEV.P($E1150:$V1150)),(SLOPE($E1150:$V1150,$E$1:$V$1)*W$1+INTERCEPT($E1150:$V1150,$E$1:$V$1))&lt;(AVERAGE($E1150:$V1150)-_xlfn.STDEV.P($E1150:$V1150))),V1150,(SLOPE($E1150:$V1150,$E$1:$V$1)*W$1+INTERCEPT($E1150:$V1150,$E$1:$V$1)))</f>
        <v>-22.86666666666666</v>
      </c>
      <c r="X1150" s="5">
        <f t="shared" si="1165"/>
        <v>-26.477192982456131</v>
      </c>
      <c r="Y1150" s="5">
        <f t="shared" si="1165"/>
        <v>-30.087719298245617</v>
      </c>
      <c r="Z1150" s="5">
        <f t="shared" si="1165"/>
        <v>-33.698245614035088</v>
      </c>
      <c r="AA1150" s="5">
        <f t="shared" si="1165"/>
        <v>-33.698245614035088</v>
      </c>
      <c r="AB1150" s="5">
        <f t="shared" si="1165"/>
        <v>-33.698245614035088</v>
      </c>
      <c r="AC1150" s="5">
        <f t="shared" si="1165"/>
        <v>-33.698245614035088</v>
      </c>
      <c r="AD1150" s="5">
        <f t="shared" si="1165"/>
        <v>-33.698245614035088</v>
      </c>
      <c r="AE1150" s="5">
        <f t="shared" si="1165"/>
        <v>-33.698245614035088</v>
      </c>
      <c r="AF1150" s="5">
        <f t="shared" si="1165"/>
        <v>-33.698245614035088</v>
      </c>
      <c r="AG1150" s="5">
        <f t="shared" si="1165"/>
        <v>-33.698245614035088</v>
      </c>
      <c r="AH1150" s="5">
        <f t="shared" si="1165"/>
        <v>-33.698245614035088</v>
      </c>
    </row>
    <row r="1151" spans="1:34" x14ac:dyDescent="0.35">
      <c r="A1151" t="s">
        <v>1171</v>
      </c>
      <c r="B1151" s="3" t="s">
        <v>1266</v>
      </c>
      <c r="C1151" s="4" t="s">
        <v>1267</v>
      </c>
      <c r="D1151" s="2">
        <f t="shared" si="1106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ref="W1151:AH1151" si="1166">IF(OR((SLOPE($E1151:$V1151,$E$1:$V$1)*W$1+INTERCEPT($E1151:$V1151,$E$1:$V$1))&gt;(AVERAGE($E1151:$V1151)+_xlfn.STDEV.P($E1151:$V1151)),(SLOPE($E1151:$V1151,$E$1:$V$1)*W$1+INTERCEPT($E1151:$V1151,$E$1:$V$1))&lt;(AVERAGE($E1151:$V1151)-_xlfn.STDEV.P($E1151:$V1151))),V1151,(SLOPE($E1151:$V1151,$E$1:$V$1)*W$1+INTERCEPT($E1151:$V1151,$E$1:$V$1)))</f>
        <v>-14.027450980392153</v>
      </c>
      <c r="X1151" s="5">
        <f t="shared" si="1166"/>
        <v>-16.508094943240451</v>
      </c>
      <c r="Y1151" s="5">
        <f t="shared" si="1166"/>
        <v>-16.508094943240451</v>
      </c>
      <c r="Z1151" s="5">
        <f t="shared" si="1166"/>
        <v>-16.508094943240451</v>
      </c>
      <c r="AA1151" s="5">
        <f t="shared" si="1166"/>
        <v>-16.508094943240451</v>
      </c>
      <c r="AB1151" s="5">
        <f t="shared" si="1166"/>
        <v>-16.508094943240451</v>
      </c>
      <c r="AC1151" s="5">
        <f t="shared" si="1166"/>
        <v>-16.508094943240451</v>
      </c>
      <c r="AD1151" s="5">
        <f t="shared" si="1166"/>
        <v>-16.508094943240451</v>
      </c>
      <c r="AE1151" s="5">
        <f t="shared" si="1166"/>
        <v>-16.508094943240451</v>
      </c>
      <c r="AF1151" s="5">
        <f t="shared" si="1166"/>
        <v>-16.508094943240451</v>
      </c>
      <c r="AG1151" s="5">
        <f t="shared" si="1166"/>
        <v>-16.508094943240451</v>
      </c>
      <c r="AH1151" s="5">
        <f t="shared" si="1166"/>
        <v>-16.508094943240451</v>
      </c>
    </row>
    <row r="1152" spans="1:34" x14ac:dyDescent="0.35">
      <c r="A1152" t="s">
        <v>1172</v>
      </c>
      <c r="B1152" s="3" t="s">
        <v>1266</v>
      </c>
      <c r="C1152" s="4" t="s">
        <v>1263</v>
      </c>
      <c r="D1152" s="2">
        <f t="shared" si="1106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ref="W1152:AH1152" si="1167">IF(OR((SLOPE($E1152:$V1152,$E$1:$V$1)*W$1+INTERCEPT($E1152:$V1152,$E$1:$V$1))&gt;(AVERAGE($E1152:$V1152)+_xlfn.STDEV.P($E1152:$V1152)),(SLOPE($E1152:$V1152,$E$1:$V$1)*W$1+INTERCEPT($E1152:$V1152,$E$1:$V$1))&lt;(AVERAGE($E1152:$V1152)-_xlfn.STDEV.P($E1152:$V1152))),V1152,(SLOPE($E1152:$V1152,$E$1:$V$1)*W$1+INTERCEPT($E1152:$V1152,$E$1:$V$1)))</f>
        <v>-15.531398692810448</v>
      </c>
      <c r="X1152" s="5">
        <f t="shared" si="1167"/>
        <v>-18.158890952872369</v>
      </c>
      <c r="Y1152" s="5">
        <f t="shared" si="1167"/>
        <v>-20.78638321293429</v>
      </c>
      <c r="Z1152" s="5">
        <f t="shared" si="1167"/>
        <v>-23.41387547299621</v>
      </c>
      <c r="AA1152" s="5">
        <f t="shared" si="1167"/>
        <v>-26.041367733058131</v>
      </c>
      <c r="AB1152" s="5">
        <f t="shared" si="1167"/>
        <v>-28.668859993120051</v>
      </c>
      <c r="AC1152" s="5">
        <f t="shared" si="1167"/>
        <v>-28.668859993120051</v>
      </c>
      <c r="AD1152" s="5">
        <f t="shared" si="1167"/>
        <v>-28.668859993120051</v>
      </c>
      <c r="AE1152" s="5">
        <f t="shared" si="1167"/>
        <v>-28.668859993120051</v>
      </c>
      <c r="AF1152" s="5">
        <f t="shared" si="1167"/>
        <v>-28.668859993120051</v>
      </c>
      <c r="AG1152" s="5">
        <f t="shared" si="1167"/>
        <v>-28.668859993120051</v>
      </c>
      <c r="AH1152" s="5">
        <f t="shared" si="1167"/>
        <v>-28.668859993120051</v>
      </c>
    </row>
    <row r="1153" spans="1:34" x14ac:dyDescent="0.35">
      <c r="A1153" t="s">
        <v>1173</v>
      </c>
      <c r="B1153" s="3" t="s">
        <v>1266</v>
      </c>
      <c r="C1153" s="4" t="s">
        <v>1267</v>
      </c>
      <c r="D1153" s="2">
        <f t="shared" si="1106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ref="W1153:AH1153" si="1168">IF(OR((SLOPE($E1153:$V1153,$E$1:$V$1)*W$1+INTERCEPT($E1153:$V1153,$E$1:$V$1))&gt;(AVERAGE($E1153:$V1153)+_xlfn.STDEV.P($E1153:$V1153)),(SLOPE($E1153:$V1153,$E$1:$V$1)*W$1+INTERCEPT($E1153:$V1153,$E$1:$V$1))&lt;(AVERAGE($E1153:$V1153)-_xlfn.STDEV.P($E1153:$V1153))),V1153,(SLOPE($E1153:$V1153,$E$1:$V$1)*W$1+INTERCEPT($E1153:$V1153,$E$1:$V$1)))</f>
        <v>-13.450980392156865</v>
      </c>
      <c r="X1153" s="5">
        <f t="shared" si="1168"/>
        <v>-15.829680082559342</v>
      </c>
      <c r="Y1153" s="5">
        <f t="shared" si="1168"/>
        <v>-15.829680082559342</v>
      </c>
      <c r="Z1153" s="5">
        <f t="shared" si="1168"/>
        <v>-15.829680082559342</v>
      </c>
      <c r="AA1153" s="5">
        <f t="shared" si="1168"/>
        <v>-15.829680082559342</v>
      </c>
      <c r="AB1153" s="5">
        <f t="shared" si="1168"/>
        <v>-15.829680082559342</v>
      </c>
      <c r="AC1153" s="5">
        <f t="shared" si="1168"/>
        <v>-15.829680082559342</v>
      </c>
      <c r="AD1153" s="5">
        <f t="shared" si="1168"/>
        <v>-15.829680082559342</v>
      </c>
      <c r="AE1153" s="5">
        <f t="shared" si="1168"/>
        <v>-15.829680082559342</v>
      </c>
      <c r="AF1153" s="5">
        <f t="shared" si="1168"/>
        <v>-15.829680082559342</v>
      </c>
      <c r="AG1153" s="5">
        <f t="shared" si="1168"/>
        <v>-15.829680082559342</v>
      </c>
      <c r="AH1153" s="5">
        <f t="shared" si="1168"/>
        <v>-15.829680082559342</v>
      </c>
    </row>
    <row r="1154" spans="1:34" x14ac:dyDescent="0.35">
      <c r="A1154" t="s">
        <v>1174</v>
      </c>
      <c r="B1154" s="3" t="s">
        <v>1266</v>
      </c>
      <c r="C1154" s="4" t="s">
        <v>1263</v>
      </c>
      <c r="D1154" s="2">
        <f t="shared" si="1106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ref="W1154:AH1154" si="1169">IF(OR((SLOPE($E1154:$V1154,$E$1:$V$1)*W$1+INTERCEPT($E1154:$V1154,$E$1:$V$1))&gt;(AVERAGE($E1154:$V1154)+_xlfn.STDEV.P($E1154:$V1154)),(SLOPE($E1154:$V1154,$E$1:$V$1)*W$1+INTERCEPT($E1154:$V1154,$E$1:$V$1))&lt;(AVERAGE($E1154:$V1154)-_xlfn.STDEV.P($E1154:$V1154))),V1154,(SLOPE($E1154:$V1154,$E$1:$V$1)*W$1+INTERCEPT($E1154:$V1154,$E$1:$V$1)))</f>
        <v>-10.787855731241827</v>
      </c>
      <c r="X1154" s="5">
        <f t="shared" si="1169"/>
        <v>-12.800900580612307</v>
      </c>
      <c r="Y1154" s="5">
        <f t="shared" si="1169"/>
        <v>-14.813945429982795</v>
      </c>
      <c r="Z1154" s="5">
        <f t="shared" si="1169"/>
        <v>-16.826990279353275</v>
      </c>
      <c r="AA1154" s="5">
        <f t="shared" si="1169"/>
        <v>-18.840035128723763</v>
      </c>
      <c r="AB1154" s="5">
        <f t="shared" si="1169"/>
        <v>-20.85307997809425</v>
      </c>
      <c r="AC1154" s="5">
        <f t="shared" si="1169"/>
        <v>-22.866124827464731</v>
      </c>
      <c r="AD1154" s="5">
        <f t="shared" si="1169"/>
        <v>-24.879169676835218</v>
      </c>
      <c r="AE1154" s="5">
        <f t="shared" si="1169"/>
        <v>-24.879169676835218</v>
      </c>
      <c r="AF1154" s="5">
        <f t="shared" si="1169"/>
        <v>-24.879169676835218</v>
      </c>
      <c r="AG1154" s="5">
        <f t="shared" si="1169"/>
        <v>-24.879169676835218</v>
      </c>
      <c r="AH1154" s="5">
        <f t="shared" si="1169"/>
        <v>-24.879169676835218</v>
      </c>
    </row>
    <row r="1155" spans="1:34" x14ac:dyDescent="0.35">
      <c r="A1155" t="s">
        <v>1175</v>
      </c>
      <c r="B1155" s="3" t="s">
        <v>1264</v>
      </c>
      <c r="C1155" s="4" t="s">
        <v>1263</v>
      </c>
      <c r="D1155" s="2">
        <f t="shared" si="1106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ref="W1155:AH1155" si="1170">IF(OR((SLOPE($E1155:$V1155,$E$1:$V$1)*W$1+INTERCEPT($E1155:$V1155,$E$1:$V$1))&gt;(AVERAGE($E1155:$V1155)+_xlfn.STDEV.P($E1155:$V1155)),(SLOPE($E1155:$V1155,$E$1:$V$1)*W$1+INTERCEPT($E1155:$V1155,$E$1:$V$1))&lt;(AVERAGE($E1155:$V1155)-_xlfn.STDEV.P($E1155:$V1155))),V1155,(SLOPE($E1155:$V1155,$E$1:$V$1)*W$1+INTERCEPT($E1155:$V1155,$E$1:$V$1)))</f>
        <v>24.166493690277651</v>
      </c>
      <c r="X1155" s="5">
        <f t="shared" si="1170"/>
        <v>25.845429041391675</v>
      </c>
      <c r="Y1155" s="5">
        <f t="shared" si="1170"/>
        <v>27.524364392505703</v>
      </c>
      <c r="Z1155" s="5">
        <f t="shared" si="1170"/>
        <v>29.203299743619731</v>
      </c>
      <c r="AA1155" s="5">
        <f t="shared" si="1170"/>
        <v>30.882235094733758</v>
      </c>
      <c r="AB1155" s="5">
        <f t="shared" si="1170"/>
        <v>32.561170445847786</v>
      </c>
      <c r="AC1155" s="5">
        <f t="shared" si="1170"/>
        <v>34.240105796961807</v>
      </c>
      <c r="AD1155" s="5">
        <f t="shared" si="1170"/>
        <v>35.919041148075834</v>
      </c>
      <c r="AE1155" s="5">
        <f t="shared" si="1170"/>
        <v>37.597976499189862</v>
      </c>
      <c r="AF1155" s="5">
        <f t="shared" si="1170"/>
        <v>39.27691185030389</v>
      </c>
      <c r="AG1155" s="5">
        <f t="shared" si="1170"/>
        <v>40.955847201417917</v>
      </c>
      <c r="AH1155" s="5">
        <f t="shared" si="1170"/>
        <v>40.955847201417917</v>
      </c>
    </row>
    <row r="1156" spans="1:34" x14ac:dyDescent="0.35">
      <c r="A1156" t="s">
        <v>1176</v>
      </c>
      <c r="B1156" s="3" t="s">
        <v>1266</v>
      </c>
      <c r="C1156" s="4" t="s">
        <v>1267</v>
      </c>
      <c r="D1156" s="2">
        <f t="shared" ref="D1156:D1219" si="1171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ref="W1156:AH1156" si="1172">IF(OR((SLOPE($E1156:$V1156,$E$1:$V$1)*W$1+INTERCEPT($E1156:$V1156,$E$1:$V$1))&gt;(AVERAGE($E1156:$V1156)+_xlfn.STDEV.P($E1156:$V1156)),(SLOPE($E1156:$V1156,$E$1:$V$1)*W$1+INTERCEPT($E1156:$V1156,$E$1:$V$1))&lt;(AVERAGE($E1156:$V1156)-_xlfn.STDEV.P($E1156:$V1156))),V1156,(SLOPE($E1156:$V1156,$E$1:$V$1)*W$1+INTERCEPT($E1156:$V1156,$E$1:$V$1)))</f>
        <v>-10.373139408104574</v>
      </c>
      <c r="X1156" s="5">
        <f t="shared" si="1172"/>
        <v>-12.308797001004475</v>
      </c>
      <c r="Y1156" s="5">
        <f t="shared" si="1172"/>
        <v>-14.244454593904369</v>
      </c>
      <c r="Z1156" s="5">
        <f t="shared" si="1172"/>
        <v>-14.244454593904369</v>
      </c>
      <c r="AA1156" s="5">
        <f t="shared" si="1172"/>
        <v>-14.244454593904369</v>
      </c>
      <c r="AB1156" s="5">
        <f t="shared" si="1172"/>
        <v>-14.244454593904369</v>
      </c>
      <c r="AC1156" s="5">
        <f t="shared" si="1172"/>
        <v>-14.244454593904369</v>
      </c>
      <c r="AD1156" s="5">
        <f t="shared" si="1172"/>
        <v>-14.244454593904369</v>
      </c>
      <c r="AE1156" s="5">
        <f t="shared" si="1172"/>
        <v>-14.244454593904369</v>
      </c>
      <c r="AF1156" s="5">
        <f t="shared" si="1172"/>
        <v>-14.244454593904369</v>
      </c>
      <c r="AG1156" s="5">
        <f t="shared" si="1172"/>
        <v>-14.244454593904369</v>
      </c>
      <c r="AH1156" s="5">
        <f t="shared" si="1172"/>
        <v>-14.244454593904369</v>
      </c>
    </row>
    <row r="1157" spans="1:34" x14ac:dyDescent="0.35">
      <c r="A1157" t="s">
        <v>1177</v>
      </c>
      <c r="B1157" s="3" t="s">
        <v>1264</v>
      </c>
      <c r="C1157" s="4" t="s">
        <v>1267</v>
      </c>
      <c r="D1157" s="2">
        <f t="shared" si="1171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H1157" si="1173">IF(OR((SLOPE($E1157:$V1157,$E$1:$V$1)*W$1+INTERCEPT($E1157:$V1157,$E$1:$V$1))&gt;(AVERAGE($E1157:$V1157)+_xlfn.STDEV.P($E1157:$V1157)),(SLOPE($E1157:$V1157,$E$1:$V$1)*W$1+INTERCEPT($E1157:$V1157,$E$1:$V$1))&lt;(AVERAGE($E1157:$V1157)-_xlfn.STDEV.P($E1157:$V1157))),V1157,(SLOPE($E1157:$V1157,$E$1:$V$1)*W$1+INTERCEPT($E1157:$V1157,$E$1:$V$1)))</f>
        <v>-10.496607058823528</v>
      </c>
      <c r="X1157" s="5">
        <f t="shared" si="1173"/>
        <v>-12.408826749226002</v>
      </c>
      <c r="Y1157" s="5">
        <f t="shared" si="1173"/>
        <v>-14.321046439628482</v>
      </c>
      <c r="Z1157" s="5">
        <f t="shared" si="1173"/>
        <v>-16.233266130030955</v>
      </c>
      <c r="AA1157" s="5">
        <f t="shared" si="1173"/>
        <v>-18.145485820433429</v>
      </c>
      <c r="AB1157" s="5">
        <f t="shared" si="1173"/>
        <v>-20.057705510835909</v>
      </c>
      <c r="AC1157" s="5">
        <f t="shared" si="1173"/>
        <v>-20.057705510835909</v>
      </c>
      <c r="AD1157" s="5">
        <f t="shared" si="1173"/>
        <v>-20.057705510835909</v>
      </c>
      <c r="AE1157" s="5">
        <f t="shared" si="1173"/>
        <v>-20.057705510835909</v>
      </c>
      <c r="AF1157" s="5">
        <f t="shared" si="1173"/>
        <v>-20.057705510835909</v>
      </c>
      <c r="AG1157" s="5">
        <f t="shared" si="1173"/>
        <v>-20.057705510835909</v>
      </c>
      <c r="AH1157" s="5">
        <f t="shared" si="1173"/>
        <v>-20.057705510835909</v>
      </c>
    </row>
    <row r="1158" spans="1:34" x14ac:dyDescent="0.35">
      <c r="A1158" t="s">
        <v>1178</v>
      </c>
      <c r="B1158" s="3" t="s">
        <v>1266</v>
      </c>
      <c r="C1158" s="4" t="s">
        <v>1267</v>
      </c>
      <c r="D1158" s="2">
        <f t="shared" si="1171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ref="W1158:AH1158" si="1174">IF(OR((SLOPE($E1158:$V1158,$E$1:$V$1)*W$1+INTERCEPT($E1158:$V1158,$E$1:$V$1))&gt;(AVERAGE($E1158:$V1158)+_xlfn.STDEV.P($E1158:$V1158)),(SLOPE($E1158:$V1158,$E$1:$V$1)*W$1+INTERCEPT($E1158:$V1158,$E$1:$V$1))&lt;(AVERAGE($E1158:$V1158)-_xlfn.STDEV.P($E1158:$V1158))),V1158,(SLOPE($E1158:$V1158,$E$1:$V$1)*W$1+INTERCEPT($E1158:$V1158,$E$1:$V$1)))</f>
        <v>-11.209150326797385</v>
      </c>
      <c r="X1158" s="5">
        <f t="shared" si="1174"/>
        <v>-13.191400068799446</v>
      </c>
      <c r="Y1158" s="5">
        <f t="shared" si="1174"/>
        <v>-13.191400068799446</v>
      </c>
      <c r="Z1158" s="5">
        <f t="shared" si="1174"/>
        <v>-13.191400068799446</v>
      </c>
      <c r="AA1158" s="5">
        <f t="shared" si="1174"/>
        <v>-13.191400068799446</v>
      </c>
      <c r="AB1158" s="5">
        <f t="shared" si="1174"/>
        <v>-13.191400068799446</v>
      </c>
      <c r="AC1158" s="5">
        <f t="shared" si="1174"/>
        <v>-13.191400068799446</v>
      </c>
      <c r="AD1158" s="5">
        <f t="shared" si="1174"/>
        <v>-13.191400068799446</v>
      </c>
      <c r="AE1158" s="5">
        <f t="shared" si="1174"/>
        <v>-13.191400068799446</v>
      </c>
      <c r="AF1158" s="5">
        <f t="shared" si="1174"/>
        <v>-13.191400068799446</v>
      </c>
      <c r="AG1158" s="5">
        <f t="shared" si="1174"/>
        <v>-13.191400068799446</v>
      </c>
      <c r="AH1158" s="5">
        <f t="shared" si="1174"/>
        <v>-13.191400068799446</v>
      </c>
    </row>
    <row r="1159" spans="1:34" x14ac:dyDescent="0.35">
      <c r="A1159" t="s">
        <v>1179</v>
      </c>
      <c r="B1159" s="3" t="s">
        <v>1266</v>
      </c>
      <c r="C1159" s="4" t="s">
        <v>1263</v>
      </c>
      <c r="D1159" s="2">
        <f t="shared" si="1171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ref="W1159:AH1159" si="1175">IF(OR((SLOPE($E1159:$V1159,$E$1:$V$1)*W$1+INTERCEPT($E1159:$V1159,$E$1:$V$1))&gt;(AVERAGE($E1159:$V1159)+_xlfn.STDEV.P($E1159:$V1159)),(SLOPE($E1159:$V1159,$E$1:$V$1)*W$1+INTERCEPT($E1159:$V1159,$E$1:$V$1))&lt;(AVERAGE($E1159:$V1159)-_xlfn.STDEV.P($E1159:$V1159))),V1159,(SLOPE($E1159:$V1159,$E$1:$V$1)*W$1+INTERCEPT($E1159:$V1159,$E$1:$V$1)))</f>
        <v>-8.0123632479672651</v>
      </c>
      <c r="X1159" s="5">
        <f t="shared" si="1175"/>
        <v>-9.6278113846019622</v>
      </c>
      <c r="Y1159" s="5">
        <f t="shared" si="1175"/>
        <v>-11.243259521236659</v>
      </c>
      <c r="Z1159" s="5">
        <f t="shared" si="1175"/>
        <v>-12.858707657871349</v>
      </c>
      <c r="AA1159" s="5">
        <f t="shared" si="1175"/>
        <v>-14.474155794506046</v>
      </c>
      <c r="AB1159" s="5">
        <f t="shared" si="1175"/>
        <v>-14.474155794506046</v>
      </c>
      <c r="AC1159" s="5">
        <f t="shared" si="1175"/>
        <v>-14.474155794506046</v>
      </c>
      <c r="AD1159" s="5">
        <f t="shared" si="1175"/>
        <v>-14.474155794506046</v>
      </c>
      <c r="AE1159" s="5">
        <f t="shared" si="1175"/>
        <v>-14.474155794506046</v>
      </c>
      <c r="AF1159" s="5">
        <f t="shared" si="1175"/>
        <v>-14.474155794506046</v>
      </c>
      <c r="AG1159" s="5">
        <f t="shared" si="1175"/>
        <v>-14.474155794506046</v>
      </c>
      <c r="AH1159" s="5">
        <f t="shared" si="1175"/>
        <v>-14.474155794506046</v>
      </c>
    </row>
    <row r="1160" spans="1:34" x14ac:dyDescent="0.35">
      <c r="A1160" t="s">
        <v>1180</v>
      </c>
      <c r="B1160" s="3" t="s">
        <v>1266</v>
      </c>
      <c r="C1160" s="4" t="s">
        <v>1267</v>
      </c>
      <c r="D1160" s="2">
        <f t="shared" si="1171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ref="W1160:AH1160" si="1176">IF(OR((SLOPE($E1160:$V1160,$E$1:$V$1)*W$1+INTERCEPT($E1160:$V1160,$E$1:$V$1))&gt;(AVERAGE($E1160:$V1160)+_xlfn.STDEV.P($E1160:$V1160)),(SLOPE($E1160:$V1160,$E$1:$V$1)*W$1+INTERCEPT($E1160:$V1160,$E$1:$V$1))&lt;(AVERAGE($E1160:$V1160)-_xlfn.STDEV.P($E1160:$V1160))),V1160,(SLOPE($E1160:$V1160,$E$1:$V$1)*W$1+INTERCEPT($E1160:$V1160,$E$1:$V$1)))</f>
        <v>-7.4405487717647034</v>
      </c>
      <c r="X1160" s="5">
        <f t="shared" si="1176"/>
        <v>-8.8289765330030932</v>
      </c>
      <c r="Y1160" s="5">
        <f t="shared" si="1176"/>
        <v>-10.217404294241483</v>
      </c>
      <c r="Z1160" s="5">
        <f t="shared" si="1176"/>
        <v>-10.217404294241483</v>
      </c>
      <c r="AA1160" s="5">
        <f t="shared" si="1176"/>
        <v>-10.217404294241483</v>
      </c>
      <c r="AB1160" s="5">
        <f t="shared" si="1176"/>
        <v>-10.217404294241483</v>
      </c>
      <c r="AC1160" s="5">
        <f t="shared" si="1176"/>
        <v>-10.217404294241483</v>
      </c>
      <c r="AD1160" s="5">
        <f t="shared" si="1176"/>
        <v>-10.217404294241483</v>
      </c>
      <c r="AE1160" s="5">
        <f t="shared" si="1176"/>
        <v>-10.217404294241483</v>
      </c>
      <c r="AF1160" s="5">
        <f t="shared" si="1176"/>
        <v>-10.217404294241483</v>
      </c>
      <c r="AG1160" s="5">
        <f t="shared" si="1176"/>
        <v>-10.217404294241483</v>
      </c>
      <c r="AH1160" s="5">
        <f t="shared" si="1176"/>
        <v>-10.217404294241483</v>
      </c>
    </row>
    <row r="1161" spans="1:34" x14ac:dyDescent="0.35">
      <c r="A1161" t="s">
        <v>1181</v>
      </c>
      <c r="B1161" s="3" t="s">
        <v>1266</v>
      </c>
      <c r="C1161" s="4" t="s">
        <v>1263</v>
      </c>
      <c r="D1161" s="2">
        <f t="shared" si="1171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ref="W1161:AH1161" si="1177">IF(OR((SLOPE($E1161:$V1161,$E$1:$V$1)*W$1+INTERCEPT($E1161:$V1161,$E$1:$V$1))&gt;(AVERAGE($E1161:$V1161)+_xlfn.STDEV.P($E1161:$V1161)),(SLOPE($E1161:$V1161,$E$1:$V$1)*W$1+INTERCEPT($E1161:$V1161,$E$1:$V$1))&lt;(AVERAGE($E1161:$V1161)-_xlfn.STDEV.P($E1161:$V1161))),V1161,(SLOPE($E1161:$V1161,$E$1:$V$1)*W$1+INTERCEPT($E1161:$V1161,$E$1:$V$1)))</f>
        <v>-7.7163258884438584</v>
      </c>
      <c r="X1161" s="5">
        <f t="shared" si="1177"/>
        <v>-7.7163258884438584</v>
      </c>
      <c r="Y1161" s="5">
        <f t="shared" si="1177"/>
        <v>-7.7163258884438584</v>
      </c>
      <c r="Z1161" s="5">
        <f t="shared" si="1177"/>
        <v>-7.7163258884438584</v>
      </c>
      <c r="AA1161" s="5">
        <f t="shared" si="1177"/>
        <v>-7.7163258884438584</v>
      </c>
      <c r="AB1161" s="5">
        <f t="shared" si="1177"/>
        <v>-7.7163258884438584</v>
      </c>
      <c r="AC1161" s="5">
        <f t="shared" si="1177"/>
        <v>-7.7163258884438584</v>
      </c>
      <c r="AD1161" s="5">
        <f t="shared" si="1177"/>
        <v>-7.7163258884438584</v>
      </c>
      <c r="AE1161" s="5">
        <f t="shared" si="1177"/>
        <v>-7.7163258884438584</v>
      </c>
      <c r="AF1161" s="5">
        <f t="shared" si="1177"/>
        <v>-7.7163258884438584</v>
      </c>
      <c r="AG1161" s="5">
        <f t="shared" si="1177"/>
        <v>-7.7163258884438584</v>
      </c>
      <c r="AH1161" s="5">
        <f t="shared" si="1177"/>
        <v>-7.7163258884438584</v>
      </c>
    </row>
    <row r="1162" spans="1:34" x14ac:dyDescent="0.35">
      <c r="A1162" t="s">
        <v>1182</v>
      </c>
      <c r="B1162" s="3" t="s">
        <v>1264</v>
      </c>
      <c r="C1162" s="4" t="s">
        <v>1263</v>
      </c>
      <c r="D1162" s="2">
        <f t="shared" si="1171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ref="W1162:AH1162" si="1178">IF(OR((SLOPE($E1162:$V1162,$E$1:$V$1)*W$1+INTERCEPT($E1162:$V1162,$E$1:$V$1))&gt;(AVERAGE($E1162:$V1162)+_xlfn.STDEV.P($E1162:$V1162)),(SLOPE($E1162:$V1162,$E$1:$V$1)*W$1+INTERCEPT($E1162:$V1162,$E$1:$V$1))&lt;(AVERAGE($E1162:$V1162)-_xlfn.STDEV.P($E1162:$V1162))),V1162,(SLOPE($E1162:$V1162,$E$1:$V$1)*W$1+INTERCEPT($E1162:$V1162,$E$1:$V$1)))</f>
        <v>12.682352941176468</v>
      </c>
      <c r="X1162" s="5">
        <f t="shared" si="1178"/>
        <v>13.501547987616096</v>
      </c>
      <c r="Y1162" s="5">
        <f t="shared" si="1178"/>
        <v>14.320743034055724</v>
      </c>
      <c r="Z1162" s="5">
        <f t="shared" si="1178"/>
        <v>15.139938080495352</v>
      </c>
      <c r="AA1162" s="5">
        <f t="shared" si="1178"/>
        <v>15.959133126934983</v>
      </c>
      <c r="AB1162" s="5">
        <f t="shared" si="1178"/>
        <v>16.778328173374611</v>
      </c>
      <c r="AC1162" s="5">
        <f t="shared" si="1178"/>
        <v>17.597523219814239</v>
      </c>
      <c r="AD1162" s="5">
        <f t="shared" si="1178"/>
        <v>18.416718266253866</v>
      </c>
      <c r="AE1162" s="5">
        <f t="shared" si="1178"/>
        <v>19.235913312693494</v>
      </c>
      <c r="AF1162" s="5">
        <f t="shared" si="1178"/>
        <v>20.055108359133122</v>
      </c>
      <c r="AG1162" s="5">
        <f t="shared" si="1178"/>
        <v>20.874303405572753</v>
      </c>
      <c r="AH1162" s="5">
        <f t="shared" si="1178"/>
        <v>21.693498452012381</v>
      </c>
    </row>
    <row r="1163" spans="1:34" x14ac:dyDescent="0.35">
      <c r="A1163" t="s">
        <v>1183</v>
      </c>
      <c r="B1163" s="3" t="s">
        <v>1266</v>
      </c>
      <c r="C1163" s="4" t="s">
        <v>1263</v>
      </c>
      <c r="D1163" s="2">
        <f t="shared" si="1171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ref="W1163:AH1163" si="1179">IF(OR((SLOPE($E1163:$V1163,$E$1:$V$1)*W$1+INTERCEPT($E1163:$V1163,$E$1:$V$1))&gt;(AVERAGE($E1163:$V1163)+_xlfn.STDEV.P($E1163:$V1163)),(SLOPE($E1163:$V1163,$E$1:$V$1)*W$1+INTERCEPT($E1163:$V1163,$E$1:$V$1))&lt;(AVERAGE($E1163:$V1163)-_xlfn.STDEV.P($E1163:$V1163))),V1163,(SLOPE($E1163:$V1163,$E$1:$V$1)*W$1+INTERCEPT($E1163:$V1163,$E$1:$V$1)))</f>
        <v>-1.0247341176470588</v>
      </c>
      <c r="X1163" s="5">
        <f t="shared" si="1179"/>
        <v>-1.5910345510835917</v>
      </c>
      <c r="Y1163" s="5">
        <f t="shared" si="1179"/>
        <v>-2.1573349845201246</v>
      </c>
      <c r="Z1163" s="5">
        <f t="shared" si="1179"/>
        <v>-2.7236354179566575</v>
      </c>
      <c r="AA1163" s="5">
        <f t="shared" si="1179"/>
        <v>-3.2899358513931904</v>
      </c>
      <c r="AB1163" s="5">
        <f t="shared" si="1179"/>
        <v>-3.8562362848297234</v>
      </c>
      <c r="AC1163" s="5">
        <f t="shared" si="1179"/>
        <v>-4.4225367182662545</v>
      </c>
      <c r="AD1163" s="5">
        <f t="shared" si="1179"/>
        <v>-4.9888371517027874</v>
      </c>
      <c r="AE1163" s="5">
        <f t="shared" si="1179"/>
        <v>-5.5551375851393203</v>
      </c>
      <c r="AF1163" s="5">
        <f t="shared" si="1179"/>
        <v>-6.1214380185758532</v>
      </c>
      <c r="AG1163" s="5">
        <f t="shared" si="1179"/>
        <v>-6.6877384520123861</v>
      </c>
      <c r="AH1163" s="5">
        <f t="shared" si="1179"/>
        <v>-7.2540388854489173</v>
      </c>
    </row>
    <row r="1164" spans="1:34" x14ac:dyDescent="0.35">
      <c r="A1164" t="s">
        <v>1184</v>
      </c>
      <c r="B1164" s="3" t="s">
        <v>1266</v>
      </c>
      <c r="C1164" s="4" t="s">
        <v>1263</v>
      </c>
      <c r="D1164" s="2">
        <f t="shared" si="1171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ref="W1164:AH1164" si="1180">IF(OR((SLOPE($E1164:$V1164,$E$1:$V$1)*W$1+INTERCEPT($E1164:$V1164,$E$1:$V$1))&gt;(AVERAGE($E1164:$V1164)+_xlfn.STDEV.P($E1164:$V1164)),(SLOPE($E1164:$V1164,$E$1:$V$1)*W$1+INTERCEPT($E1164:$V1164,$E$1:$V$1))&lt;(AVERAGE($E1164:$V1164)-_xlfn.STDEV.P($E1164:$V1164))),V1164,(SLOPE($E1164:$V1164,$E$1:$V$1)*W$1+INTERCEPT($E1164:$V1164,$E$1:$V$1)))</f>
        <v>-1.3167515012435222</v>
      </c>
      <c r="X1164" s="5">
        <f t="shared" si="1180"/>
        <v>-1.6909861384390492</v>
      </c>
      <c r="Y1164" s="5">
        <f t="shared" si="1180"/>
        <v>-2.0652207756345771</v>
      </c>
      <c r="Z1164" s="5">
        <f t="shared" si="1180"/>
        <v>-2.439455412830104</v>
      </c>
      <c r="AA1164" s="5">
        <f t="shared" si="1180"/>
        <v>-2.8136900500256319</v>
      </c>
      <c r="AB1164" s="5">
        <f t="shared" si="1180"/>
        <v>-3.1879246872211597</v>
      </c>
      <c r="AC1164" s="5">
        <f t="shared" si="1180"/>
        <v>-3.5621593244166876</v>
      </c>
      <c r="AD1164" s="5">
        <f t="shared" si="1180"/>
        <v>-3.9363939616122137</v>
      </c>
      <c r="AE1164" s="5">
        <f t="shared" si="1180"/>
        <v>-4.3106285988077415</v>
      </c>
      <c r="AF1164" s="5">
        <f t="shared" si="1180"/>
        <v>-4.6848632360032694</v>
      </c>
      <c r="AG1164" s="5">
        <f t="shared" si="1180"/>
        <v>-5.0590978731987972</v>
      </c>
      <c r="AH1164" s="5">
        <f t="shared" si="1180"/>
        <v>-5.4333325103943233</v>
      </c>
    </row>
    <row r="1165" spans="1:34" x14ac:dyDescent="0.35">
      <c r="A1165" t="s">
        <v>1185</v>
      </c>
      <c r="B1165" s="3" t="s">
        <v>1264</v>
      </c>
      <c r="C1165" s="4" t="s">
        <v>1268</v>
      </c>
      <c r="D1165" s="2">
        <f t="shared" si="1171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ref="W1165:AH1165" si="1181">IF(OR((SLOPE($E1165:$V1165,$E$1:$V$1)*W$1+INTERCEPT($E1165:$V1165,$E$1:$V$1))&gt;(AVERAGE($E1165:$V1165)+_xlfn.STDEV.P($E1165:$V1165)),(SLOPE($E1165:$V1165,$E$1:$V$1)*W$1+INTERCEPT($E1165:$V1165,$E$1:$V$1))&lt;(AVERAGE($E1165:$V1165)-_xlfn.STDEV.P($E1165:$V1165))),V1165,(SLOPE($E1165:$V1165,$E$1:$V$1)*W$1+INTERCEPT($E1165:$V1165,$E$1:$V$1)))</f>
        <v>1.8206886572549019</v>
      </c>
      <c r="X1165" s="5">
        <f t="shared" si="1181"/>
        <v>1.7796204920536636</v>
      </c>
      <c r="Y1165" s="5">
        <f t="shared" si="1181"/>
        <v>1.7385523268524252</v>
      </c>
      <c r="Z1165" s="5">
        <f t="shared" si="1181"/>
        <v>1.6974841616511869</v>
      </c>
      <c r="AA1165" s="5">
        <f t="shared" si="1181"/>
        <v>1.6564159964499485</v>
      </c>
      <c r="AB1165" s="5">
        <f t="shared" si="1181"/>
        <v>1.6153478312487102</v>
      </c>
      <c r="AC1165" s="5">
        <f t="shared" si="1181"/>
        <v>1.5742796660474718</v>
      </c>
      <c r="AD1165" s="5">
        <f t="shared" si="1181"/>
        <v>1.5332115008462335</v>
      </c>
      <c r="AE1165" s="5">
        <f t="shared" si="1181"/>
        <v>1.4921433356449951</v>
      </c>
      <c r="AF1165" s="5">
        <f t="shared" si="1181"/>
        <v>1.4510751704437568</v>
      </c>
      <c r="AG1165" s="5">
        <f t="shared" si="1181"/>
        <v>1.4100070052425184</v>
      </c>
      <c r="AH1165" s="5">
        <f t="shared" si="1181"/>
        <v>1.3689388400412801</v>
      </c>
    </row>
    <row r="1166" spans="1:34" x14ac:dyDescent="0.35">
      <c r="A1166" t="s">
        <v>1186</v>
      </c>
      <c r="B1166" s="3" t="s">
        <v>1264</v>
      </c>
      <c r="C1166" s="4" t="s">
        <v>1263</v>
      </c>
      <c r="D1166" s="2">
        <f t="shared" si="1171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ref="W1166:AH1166" si="1182">IF(OR((SLOPE($E1166:$V1166,$E$1:$V$1)*W$1+INTERCEPT($E1166:$V1166,$E$1:$V$1))&gt;(AVERAGE($E1166:$V1166)+_xlfn.STDEV.P($E1166:$V1166)),(SLOPE($E1166:$V1166,$E$1:$V$1)*W$1+INTERCEPT($E1166:$V1166,$E$1:$V$1))&lt;(AVERAGE($E1166:$V1166)-_xlfn.STDEV.P($E1166:$V1166))),V1166,(SLOPE($E1166:$V1166,$E$1:$V$1)*W$1+INTERCEPT($E1166:$V1166,$E$1:$V$1)))</f>
        <v>3.4055178539141435</v>
      </c>
      <c r="X1166" s="5">
        <f t="shared" si="1182"/>
        <v>3.597032196095328</v>
      </c>
      <c r="Y1166" s="5">
        <f t="shared" si="1182"/>
        <v>3.7885465382765124</v>
      </c>
      <c r="Z1166" s="5">
        <f t="shared" si="1182"/>
        <v>3.9800608804576978</v>
      </c>
      <c r="AA1166" s="5">
        <f t="shared" si="1182"/>
        <v>4.1715752226388823</v>
      </c>
      <c r="AB1166" s="5">
        <f t="shared" si="1182"/>
        <v>4.3630895648200667</v>
      </c>
      <c r="AC1166" s="5">
        <f t="shared" si="1182"/>
        <v>4.5546039070012512</v>
      </c>
      <c r="AD1166" s="5">
        <f t="shared" si="1182"/>
        <v>4.7461182491824356</v>
      </c>
      <c r="AE1166" s="5">
        <f t="shared" si="1182"/>
        <v>4.937632591363621</v>
      </c>
      <c r="AF1166" s="5">
        <f t="shared" si="1182"/>
        <v>5.1291469335448054</v>
      </c>
      <c r="AG1166" s="5">
        <f t="shared" si="1182"/>
        <v>5.3206612757259899</v>
      </c>
      <c r="AH1166" s="5">
        <f t="shared" si="1182"/>
        <v>5.5121756179071753</v>
      </c>
    </row>
    <row r="1167" spans="1:34" x14ac:dyDescent="0.35">
      <c r="A1167" t="s">
        <v>1187</v>
      </c>
      <c r="B1167" s="3" t="s">
        <v>1264</v>
      </c>
      <c r="C1167" s="4" t="s">
        <v>1263</v>
      </c>
      <c r="D1167" s="2">
        <f t="shared" si="1171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ref="W1167:AH1167" si="1183">IF(OR((SLOPE($E1167:$V1167,$E$1:$V$1)*W$1+INTERCEPT($E1167:$V1167,$E$1:$V$1))&gt;(AVERAGE($E1167:$V1167)+_xlfn.STDEV.P($E1167:$V1167)),(SLOPE($E1167:$V1167,$E$1:$V$1)*W$1+INTERCEPT($E1167:$V1167,$E$1:$V$1))&lt;(AVERAGE($E1167:$V1167)-_xlfn.STDEV.P($E1167:$V1167))),V1167,(SLOPE($E1167:$V1167,$E$1:$V$1)*W$1+INTERCEPT($E1167:$V1167,$E$1:$V$1)))</f>
        <v>2.4088351795426926</v>
      </c>
      <c r="X1167" s="5">
        <f t="shared" si="1183"/>
        <v>2.5442995948306018</v>
      </c>
      <c r="Y1167" s="5">
        <f t="shared" si="1183"/>
        <v>2.6797640101185105</v>
      </c>
      <c r="Z1167" s="5">
        <f t="shared" si="1183"/>
        <v>2.8152284254064197</v>
      </c>
      <c r="AA1167" s="5">
        <f t="shared" si="1183"/>
        <v>2.9506928406943289</v>
      </c>
      <c r="AB1167" s="5">
        <f t="shared" si="1183"/>
        <v>3.0861572559822381</v>
      </c>
      <c r="AC1167" s="5">
        <f t="shared" si="1183"/>
        <v>3.2216216712701473</v>
      </c>
      <c r="AD1167" s="5">
        <f t="shared" si="1183"/>
        <v>3.3570860865580565</v>
      </c>
      <c r="AE1167" s="5">
        <f t="shared" si="1183"/>
        <v>3.4925505018459657</v>
      </c>
      <c r="AF1167" s="5">
        <f t="shared" si="1183"/>
        <v>3.6280149171338745</v>
      </c>
      <c r="AG1167" s="5">
        <f t="shared" si="1183"/>
        <v>3.7634793324217837</v>
      </c>
      <c r="AH1167" s="5">
        <f t="shared" si="1183"/>
        <v>3.8989437477096929</v>
      </c>
    </row>
    <row r="1168" spans="1:34" x14ac:dyDescent="0.35">
      <c r="A1168" t="s">
        <v>1188</v>
      </c>
      <c r="B1168" s="3" t="s">
        <v>1264</v>
      </c>
      <c r="C1168" s="4" t="s">
        <v>1263</v>
      </c>
      <c r="D1168" s="2">
        <f t="shared" si="1171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ref="W1168:AH1168" si="1184">IF(OR((SLOPE($E1168:$V1168,$E$1:$V$1)*W$1+INTERCEPT($E1168:$V1168,$E$1:$V$1))&gt;(AVERAGE($E1168:$V1168)+_xlfn.STDEV.P($E1168:$V1168)),(SLOPE($E1168:$V1168,$E$1:$V$1)*W$1+INTERCEPT($E1168:$V1168,$E$1:$V$1))&lt;(AVERAGE($E1168:$V1168)-_xlfn.STDEV.P($E1168:$V1168))),V1168,(SLOPE($E1168:$V1168,$E$1:$V$1)*W$1+INTERCEPT($E1168:$V1168,$E$1:$V$1)))</f>
        <v>1.3365604426053854</v>
      </c>
      <c r="X1168" s="5">
        <f t="shared" si="1184"/>
        <v>1.4143104960533441</v>
      </c>
      <c r="Y1168" s="5">
        <f t="shared" si="1184"/>
        <v>1.4920605495013028</v>
      </c>
      <c r="Z1168" s="5">
        <f t="shared" si="1184"/>
        <v>1.5698106029492616</v>
      </c>
      <c r="AA1168" s="5">
        <f t="shared" si="1184"/>
        <v>1.6475606563972203</v>
      </c>
      <c r="AB1168" s="5">
        <f t="shared" si="1184"/>
        <v>1.7253107098451788</v>
      </c>
      <c r="AC1168" s="5">
        <f t="shared" si="1184"/>
        <v>1.8030607632931375</v>
      </c>
      <c r="AD1168" s="5">
        <f t="shared" si="1184"/>
        <v>1.8808108167410962</v>
      </c>
      <c r="AE1168" s="5">
        <f t="shared" si="1184"/>
        <v>1.9585608701890551</v>
      </c>
      <c r="AF1168" s="5">
        <f t="shared" si="1184"/>
        <v>2.0363109236370134</v>
      </c>
      <c r="AG1168" s="5">
        <f t="shared" si="1184"/>
        <v>2.1140609770849723</v>
      </c>
      <c r="AH1168" s="5">
        <f t="shared" si="1184"/>
        <v>2.1918110305329312</v>
      </c>
    </row>
    <row r="1169" spans="1:34" x14ac:dyDescent="0.35">
      <c r="A1169" t="s">
        <v>1189</v>
      </c>
      <c r="B1169" s="3" t="s">
        <v>1264</v>
      </c>
      <c r="C1169" s="4" t="s">
        <v>1263</v>
      </c>
      <c r="D1169" s="2">
        <f t="shared" si="1171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ref="W1169:AH1169" si="1185">IF(OR((SLOPE($E1169:$V1169,$E$1:$V$1)*W$1+INTERCEPT($E1169:$V1169,$E$1:$V$1))&gt;(AVERAGE($E1169:$V1169)+_xlfn.STDEV.P($E1169:$V1169)),(SLOPE($E1169:$V1169,$E$1:$V$1)*W$1+INTERCEPT($E1169:$V1169,$E$1:$V$1))&lt;(AVERAGE($E1169:$V1169)-_xlfn.STDEV.P($E1169:$V1169))),V1169,(SLOPE($E1169:$V1169,$E$1:$V$1)*W$1+INTERCEPT($E1169:$V1169,$E$1:$V$1)))</f>
        <v>1.3000166103782482</v>
      </c>
      <c r="X1169" s="5">
        <f t="shared" si="1185"/>
        <v>1.3756408453309996</v>
      </c>
      <c r="Y1169" s="5">
        <f t="shared" si="1185"/>
        <v>1.4512650802837506</v>
      </c>
      <c r="Z1169" s="5">
        <f t="shared" si="1185"/>
        <v>1.526889315236502</v>
      </c>
      <c r="AA1169" s="5">
        <f t="shared" si="1185"/>
        <v>1.6025135501892533</v>
      </c>
      <c r="AB1169" s="5">
        <f t="shared" si="1185"/>
        <v>1.6781377851420043</v>
      </c>
      <c r="AC1169" s="5">
        <f t="shared" si="1185"/>
        <v>1.7537620200947557</v>
      </c>
      <c r="AD1169" s="5">
        <f t="shared" si="1185"/>
        <v>1.8293862550475071</v>
      </c>
      <c r="AE1169" s="5">
        <f t="shared" si="1185"/>
        <v>1.905010490000258</v>
      </c>
      <c r="AF1169" s="5">
        <f t="shared" si="1185"/>
        <v>1.9806347249530094</v>
      </c>
      <c r="AG1169" s="5">
        <f t="shared" si="1185"/>
        <v>2.0562589599057608</v>
      </c>
      <c r="AH1169" s="5">
        <f t="shared" si="1185"/>
        <v>2.1318831948585122</v>
      </c>
    </row>
    <row r="1170" spans="1:34" x14ac:dyDescent="0.35">
      <c r="A1170" t="s">
        <v>1190</v>
      </c>
      <c r="B1170" s="3" t="s">
        <v>1265</v>
      </c>
      <c r="C1170" s="4" t="s">
        <v>1263</v>
      </c>
      <c r="D1170" s="2">
        <f t="shared" si="1171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ref="W1170:AH1170" si="1186">IF(OR((SLOPE($E1170:$V1170,$E$1:$V$1)*W$1+INTERCEPT($E1170:$V1170,$E$1:$V$1))&gt;(AVERAGE($E1170:$V1170)+_xlfn.STDEV.P($E1170:$V1170)),(SLOPE($E1170:$V1170,$E$1:$V$1)*W$1+INTERCEPT($E1170:$V1170,$E$1:$V$1))&lt;(AVERAGE($E1170:$V1170)-_xlfn.STDEV.P($E1170:$V1170))),V1170,(SLOPE($E1170:$V1170,$E$1:$V$1)*W$1+INTERCEPT($E1170:$V1170,$E$1:$V$1)))</f>
        <v>1.2905889937041566</v>
      </c>
      <c r="X1170" s="5">
        <f t="shared" si="1186"/>
        <v>1.3656648077423486</v>
      </c>
      <c r="Y1170" s="5">
        <f t="shared" si="1186"/>
        <v>1.4407406217805405</v>
      </c>
      <c r="Z1170" s="5">
        <f t="shared" si="1186"/>
        <v>1.5158164358187325</v>
      </c>
      <c r="AA1170" s="5">
        <f t="shared" si="1186"/>
        <v>1.5908922498569245</v>
      </c>
      <c r="AB1170" s="5">
        <f t="shared" si="1186"/>
        <v>1.6659680638951164</v>
      </c>
      <c r="AC1170" s="5">
        <f t="shared" si="1186"/>
        <v>1.7410438779333082</v>
      </c>
      <c r="AD1170" s="5">
        <f t="shared" si="1186"/>
        <v>1.8161196919715001</v>
      </c>
      <c r="AE1170" s="5">
        <f t="shared" si="1186"/>
        <v>1.8911955060096919</v>
      </c>
      <c r="AF1170" s="5">
        <f t="shared" si="1186"/>
        <v>1.9662713200478839</v>
      </c>
      <c r="AG1170" s="5">
        <f t="shared" si="1186"/>
        <v>2.0413471340860756</v>
      </c>
      <c r="AH1170" s="5">
        <f t="shared" si="1186"/>
        <v>2.116422948124268</v>
      </c>
    </row>
    <row r="1171" spans="1:34" x14ac:dyDescent="0.35">
      <c r="A1171" t="s">
        <v>1191</v>
      </c>
      <c r="B1171" s="3" t="s">
        <v>1266</v>
      </c>
      <c r="C1171" s="4" t="s">
        <v>1267</v>
      </c>
      <c r="D1171" s="2">
        <f t="shared" si="1171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ref="W1171:AH1171" si="1187">IF(OR((SLOPE($E1171:$V1171,$E$1:$V$1)*W$1+INTERCEPT($E1171:$V1171,$E$1:$V$1))&gt;(AVERAGE($E1171:$V1171)+_xlfn.STDEV.P($E1171:$V1171)),(SLOPE($E1171:$V1171,$E$1:$V$1)*W$1+INTERCEPT($E1171:$V1171,$E$1:$V$1))&lt;(AVERAGE($E1171:$V1171)-_xlfn.STDEV.P($E1171:$V1171))),V1171,(SLOPE($E1171:$V1171,$E$1:$V$1)*W$1+INTERCEPT($E1171:$V1171,$E$1:$V$1)))</f>
        <v>-0.52230387450980409</v>
      </c>
      <c r="X1171" s="5">
        <f t="shared" si="1187"/>
        <v>-0.63569879463364343</v>
      </c>
      <c r="Y1171" s="5">
        <f t="shared" si="1187"/>
        <v>-0.74909371475748232</v>
      </c>
      <c r="Z1171" s="5">
        <f t="shared" si="1187"/>
        <v>-0.86248863488132121</v>
      </c>
      <c r="AA1171" s="5">
        <f t="shared" si="1187"/>
        <v>-0.97588355500516011</v>
      </c>
      <c r="AB1171" s="5">
        <f t="shared" si="1187"/>
        <v>-1.0892784751289994</v>
      </c>
      <c r="AC1171" s="5">
        <f t="shared" si="1187"/>
        <v>-1.2026733952528383</v>
      </c>
      <c r="AD1171" s="5">
        <f t="shared" si="1187"/>
        <v>-1.3160683153766772</v>
      </c>
      <c r="AE1171" s="5">
        <f t="shared" si="1187"/>
        <v>-1.4294632355005166</v>
      </c>
      <c r="AF1171" s="5">
        <f t="shared" si="1187"/>
        <v>-1.5428581556243555</v>
      </c>
      <c r="AG1171" s="5">
        <f t="shared" si="1187"/>
        <v>-1.6562530757481944</v>
      </c>
      <c r="AH1171" s="5">
        <f t="shared" si="1187"/>
        <v>-1.6562530757481944</v>
      </c>
    </row>
    <row r="1172" spans="1:34" x14ac:dyDescent="0.35">
      <c r="A1172" t="s">
        <v>1192</v>
      </c>
      <c r="B1172" s="3" t="s">
        <v>1264</v>
      </c>
      <c r="C1172" s="4" t="s">
        <v>1267</v>
      </c>
      <c r="D1172" s="2">
        <f t="shared" si="1171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ref="W1172:AH1172" si="1188">IF(OR((SLOPE($E1172:$V1172,$E$1:$V$1)*W$1+INTERCEPT($E1172:$V1172,$E$1:$V$1))&gt;(AVERAGE($E1172:$V1172)+_xlfn.STDEV.P($E1172:$V1172)),(SLOPE($E1172:$V1172,$E$1:$V$1)*W$1+INTERCEPT($E1172:$V1172,$E$1:$V$1))&lt;(AVERAGE($E1172:$V1172)-_xlfn.STDEV.P($E1172:$V1172))),V1172,(SLOPE($E1172:$V1172,$E$1:$V$1)*W$1+INTERCEPT($E1172:$V1172,$E$1:$V$1)))</f>
        <v>0</v>
      </c>
      <c r="X1172" s="5">
        <f t="shared" si="1188"/>
        <v>0</v>
      </c>
      <c r="Y1172" s="5">
        <f t="shared" si="1188"/>
        <v>0</v>
      </c>
      <c r="Z1172" s="5">
        <f t="shared" si="1188"/>
        <v>0</v>
      </c>
      <c r="AA1172" s="5">
        <f t="shared" si="1188"/>
        <v>0</v>
      </c>
      <c r="AB1172" s="5">
        <f t="shared" si="1188"/>
        <v>0</v>
      </c>
      <c r="AC1172" s="5">
        <f t="shared" si="1188"/>
        <v>0</v>
      </c>
      <c r="AD1172" s="5">
        <f t="shared" si="1188"/>
        <v>0</v>
      </c>
      <c r="AE1172" s="5">
        <f t="shared" si="1188"/>
        <v>0</v>
      </c>
      <c r="AF1172" s="5">
        <f t="shared" si="1188"/>
        <v>0</v>
      </c>
      <c r="AG1172" s="5">
        <f t="shared" si="1188"/>
        <v>0</v>
      </c>
      <c r="AH1172" s="5">
        <f t="shared" si="1188"/>
        <v>0</v>
      </c>
    </row>
    <row r="1173" spans="1:34" x14ac:dyDescent="0.35">
      <c r="A1173" t="s">
        <v>1193</v>
      </c>
      <c r="B1173" s="3" t="s">
        <v>1264</v>
      </c>
      <c r="C1173" s="4" t="s">
        <v>1267</v>
      </c>
      <c r="D1173" s="2">
        <f t="shared" si="1171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H1173" si="1189">IF(OR((SLOPE($E1173:$V1173,$E$1:$V$1)*W$1+INTERCEPT($E1173:$V1173,$E$1:$V$1))&gt;(AVERAGE($E1173:$V1173)+_xlfn.STDEV.P($E1173:$V1173)),(SLOPE($E1173:$V1173,$E$1:$V$1)*W$1+INTERCEPT($E1173:$V1173,$E$1:$V$1))&lt;(AVERAGE($E1173:$V1173)-_xlfn.STDEV.P($E1173:$V1173))),V1173,(SLOPE($E1173:$V1173,$E$1:$V$1)*W$1+INTERCEPT($E1173:$V1173,$E$1:$V$1)))</f>
        <v>0</v>
      </c>
      <c r="X1173" s="5">
        <f t="shared" si="1189"/>
        <v>0</v>
      </c>
      <c r="Y1173" s="5">
        <f t="shared" si="1189"/>
        <v>0</v>
      </c>
      <c r="Z1173" s="5">
        <f t="shared" si="1189"/>
        <v>0</v>
      </c>
      <c r="AA1173" s="5">
        <f t="shared" si="1189"/>
        <v>0</v>
      </c>
      <c r="AB1173" s="5">
        <f t="shared" si="1189"/>
        <v>0</v>
      </c>
      <c r="AC1173" s="5">
        <f t="shared" si="1189"/>
        <v>0</v>
      </c>
      <c r="AD1173" s="5">
        <f t="shared" si="1189"/>
        <v>0</v>
      </c>
      <c r="AE1173" s="5">
        <f t="shared" si="1189"/>
        <v>0</v>
      </c>
      <c r="AF1173" s="5">
        <f t="shared" si="1189"/>
        <v>0</v>
      </c>
      <c r="AG1173" s="5">
        <f t="shared" si="1189"/>
        <v>0</v>
      </c>
      <c r="AH1173" s="5">
        <f t="shared" si="1189"/>
        <v>0</v>
      </c>
    </row>
    <row r="1174" spans="1:34" x14ac:dyDescent="0.35">
      <c r="A1174" t="s">
        <v>1194</v>
      </c>
      <c r="B1174" s="3" t="s">
        <v>1266</v>
      </c>
      <c r="C1174" s="4" t="s">
        <v>1266</v>
      </c>
      <c r="D1174" s="2">
        <f t="shared" si="1171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ref="W1174:AH1174" si="1190">IF(OR((SLOPE($E1174:$V1174,$E$1:$V$1)*W$1+INTERCEPT($E1174:$V1174,$E$1:$V$1))&gt;(AVERAGE($E1174:$V1174)+_xlfn.STDEV.P($E1174:$V1174)),(SLOPE($E1174:$V1174,$E$1:$V$1)*W$1+INTERCEPT($E1174:$V1174,$E$1:$V$1))&lt;(AVERAGE($E1174:$V1174)-_xlfn.STDEV.P($E1174:$V1174))),V1174,(SLOPE($E1174:$V1174,$E$1:$V$1)*W$1+INTERCEPT($E1174:$V1174,$E$1:$V$1)))</f>
        <v>0</v>
      </c>
      <c r="X1174" s="5">
        <f t="shared" si="1190"/>
        <v>0</v>
      </c>
      <c r="Y1174" s="5">
        <f t="shared" si="1190"/>
        <v>0</v>
      </c>
      <c r="Z1174" s="5">
        <f t="shared" si="1190"/>
        <v>0</v>
      </c>
      <c r="AA1174" s="5">
        <f t="shared" si="1190"/>
        <v>0</v>
      </c>
      <c r="AB1174" s="5">
        <f t="shared" si="1190"/>
        <v>0</v>
      </c>
      <c r="AC1174" s="5">
        <f t="shared" si="1190"/>
        <v>0</v>
      </c>
      <c r="AD1174" s="5">
        <f t="shared" si="1190"/>
        <v>0</v>
      </c>
      <c r="AE1174" s="5">
        <f t="shared" si="1190"/>
        <v>0</v>
      </c>
      <c r="AF1174" s="5">
        <f t="shared" si="1190"/>
        <v>0</v>
      </c>
      <c r="AG1174" s="5">
        <f t="shared" si="1190"/>
        <v>0</v>
      </c>
      <c r="AH1174" s="5">
        <f t="shared" si="1190"/>
        <v>0</v>
      </c>
    </row>
    <row r="1175" spans="1:34" x14ac:dyDescent="0.35">
      <c r="A1175" t="s">
        <v>1195</v>
      </c>
      <c r="B1175" s="3" t="s">
        <v>1266</v>
      </c>
      <c r="C1175" s="4" t="s">
        <v>1267</v>
      </c>
      <c r="D1175" s="2">
        <f t="shared" si="1171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ref="W1175:AH1175" si="1191">IF(OR((SLOPE($E1175:$V1175,$E$1:$V$1)*W$1+INTERCEPT($E1175:$V1175,$E$1:$V$1))&gt;(AVERAGE($E1175:$V1175)+_xlfn.STDEV.P($E1175:$V1175)),(SLOPE($E1175:$V1175,$E$1:$V$1)*W$1+INTERCEPT($E1175:$V1175,$E$1:$V$1))&lt;(AVERAGE($E1175:$V1175)-_xlfn.STDEV.P($E1175:$V1175))),V1175,(SLOPE($E1175:$V1175,$E$1:$V$1)*W$1+INTERCEPT($E1175:$V1175,$E$1:$V$1)))</f>
        <v>0</v>
      </c>
      <c r="X1175" s="5">
        <f t="shared" si="1191"/>
        <v>0</v>
      </c>
      <c r="Y1175" s="5">
        <f t="shared" si="1191"/>
        <v>0</v>
      </c>
      <c r="Z1175" s="5">
        <f t="shared" si="1191"/>
        <v>0</v>
      </c>
      <c r="AA1175" s="5">
        <f t="shared" si="1191"/>
        <v>0</v>
      </c>
      <c r="AB1175" s="5">
        <f t="shared" si="1191"/>
        <v>0</v>
      </c>
      <c r="AC1175" s="5">
        <f t="shared" si="1191"/>
        <v>0</v>
      </c>
      <c r="AD1175" s="5">
        <f t="shared" si="1191"/>
        <v>0</v>
      </c>
      <c r="AE1175" s="5">
        <f t="shared" si="1191"/>
        <v>0</v>
      </c>
      <c r="AF1175" s="5">
        <f t="shared" si="1191"/>
        <v>0</v>
      </c>
      <c r="AG1175" s="5">
        <f t="shared" si="1191"/>
        <v>0</v>
      </c>
      <c r="AH1175" s="5">
        <f t="shared" si="1191"/>
        <v>0</v>
      </c>
    </row>
    <row r="1176" spans="1:34" x14ac:dyDescent="0.35">
      <c r="A1176" t="s">
        <v>1196</v>
      </c>
      <c r="B1176" s="3" t="s">
        <v>1266</v>
      </c>
      <c r="C1176" s="4" t="s">
        <v>1267</v>
      </c>
      <c r="D1176" s="2">
        <f t="shared" si="1171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ref="W1176:AH1176" si="1192">IF(OR((SLOPE($E1176:$V1176,$E$1:$V$1)*W$1+INTERCEPT($E1176:$V1176,$E$1:$V$1))&gt;(AVERAGE($E1176:$V1176)+_xlfn.STDEV.P($E1176:$V1176)),(SLOPE($E1176:$V1176,$E$1:$V$1)*W$1+INTERCEPT($E1176:$V1176,$E$1:$V$1))&lt;(AVERAGE($E1176:$V1176)-_xlfn.STDEV.P($E1176:$V1176))),V1176,(SLOPE($E1176:$V1176,$E$1:$V$1)*W$1+INTERCEPT($E1176:$V1176,$E$1:$V$1)))</f>
        <v>0</v>
      </c>
      <c r="X1176" s="5">
        <f t="shared" si="1192"/>
        <v>0</v>
      </c>
      <c r="Y1176" s="5">
        <f t="shared" si="1192"/>
        <v>0</v>
      </c>
      <c r="Z1176" s="5">
        <f t="shared" si="1192"/>
        <v>0</v>
      </c>
      <c r="AA1176" s="5">
        <f t="shared" si="1192"/>
        <v>0</v>
      </c>
      <c r="AB1176" s="5">
        <f t="shared" si="1192"/>
        <v>0</v>
      </c>
      <c r="AC1176" s="5">
        <f t="shared" si="1192"/>
        <v>0</v>
      </c>
      <c r="AD1176" s="5">
        <f t="shared" si="1192"/>
        <v>0</v>
      </c>
      <c r="AE1176" s="5">
        <f t="shared" si="1192"/>
        <v>0</v>
      </c>
      <c r="AF1176" s="5">
        <f t="shared" si="1192"/>
        <v>0</v>
      </c>
      <c r="AG1176" s="5">
        <f t="shared" si="1192"/>
        <v>0</v>
      </c>
      <c r="AH1176" s="5">
        <f t="shared" si="1192"/>
        <v>0</v>
      </c>
    </row>
    <row r="1177" spans="1:34" x14ac:dyDescent="0.35">
      <c r="A1177" t="s">
        <v>1197</v>
      </c>
      <c r="B1177" s="3" t="s">
        <v>1266</v>
      </c>
      <c r="C1177" s="4" t="s">
        <v>1267</v>
      </c>
      <c r="D1177" s="2">
        <f t="shared" si="1171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ref="W1177:AH1177" si="1193">IF(OR((SLOPE($E1177:$V1177,$E$1:$V$1)*W$1+INTERCEPT($E1177:$V1177,$E$1:$V$1))&gt;(AVERAGE($E1177:$V1177)+_xlfn.STDEV.P($E1177:$V1177)),(SLOPE($E1177:$V1177,$E$1:$V$1)*W$1+INTERCEPT($E1177:$V1177,$E$1:$V$1))&lt;(AVERAGE($E1177:$V1177)-_xlfn.STDEV.P($E1177:$V1177))),V1177,(SLOPE($E1177:$V1177,$E$1:$V$1)*W$1+INTERCEPT($E1177:$V1177,$E$1:$V$1)))</f>
        <v>0</v>
      </c>
      <c r="X1177" s="5">
        <f t="shared" si="1193"/>
        <v>0</v>
      </c>
      <c r="Y1177" s="5">
        <f t="shared" si="1193"/>
        <v>0</v>
      </c>
      <c r="Z1177" s="5">
        <f t="shared" si="1193"/>
        <v>0</v>
      </c>
      <c r="AA1177" s="5">
        <f t="shared" si="1193"/>
        <v>0</v>
      </c>
      <c r="AB1177" s="5">
        <f t="shared" si="1193"/>
        <v>0</v>
      </c>
      <c r="AC1177" s="5">
        <f t="shared" si="1193"/>
        <v>0</v>
      </c>
      <c r="AD1177" s="5">
        <f t="shared" si="1193"/>
        <v>0</v>
      </c>
      <c r="AE1177" s="5">
        <f t="shared" si="1193"/>
        <v>0</v>
      </c>
      <c r="AF1177" s="5">
        <f t="shared" si="1193"/>
        <v>0</v>
      </c>
      <c r="AG1177" s="5">
        <f t="shared" si="1193"/>
        <v>0</v>
      </c>
      <c r="AH1177" s="5">
        <f t="shared" si="1193"/>
        <v>0</v>
      </c>
    </row>
    <row r="1178" spans="1:34" x14ac:dyDescent="0.35">
      <c r="A1178" t="s">
        <v>1198</v>
      </c>
      <c r="B1178" s="3" t="s">
        <v>1266</v>
      </c>
      <c r="C1178" s="4" t="s">
        <v>1266</v>
      </c>
      <c r="D1178" s="2">
        <f t="shared" si="1171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ref="W1178:AH1178" si="1194">IF(OR((SLOPE($E1178:$V1178,$E$1:$V$1)*W$1+INTERCEPT($E1178:$V1178,$E$1:$V$1))&gt;(AVERAGE($E1178:$V1178)+_xlfn.STDEV.P($E1178:$V1178)),(SLOPE($E1178:$V1178,$E$1:$V$1)*W$1+INTERCEPT($E1178:$V1178,$E$1:$V$1))&lt;(AVERAGE($E1178:$V1178)-_xlfn.STDEV.P($E1178:$V1178))),V1178,(SLOPE($E1178:$V1178,$E$1:$V$1)*W$1+INTERCEPT($E1178:$V1178,$E$1:$V$1)))</f>
        <v>0</v>
      </c>
      <c r="X1178" s="5">
        <f t="shared" si="1194"/>
        <v>0</v>
      </c>
      <c r="Y1178" s="5">
        <f t="shared" si="1194"/>
        <v>0</v>
      </c>
      <c r="Z1178" s="5">
        <f t="shared" si="1194"/>
        <v>0</v>
      </c>
      <c r="AA1178" s="5">
        <f t="shared" si="1194"/>
        <v>0</v>
      </c>
      <c r="AB1178" s="5">
        <f t="shared" si="1194"/>
        <v>0</v>
      </c>
      <c r="AC1178" s="5">
        <f t="shared" si="1194"/>
        <v>0</v>
      </c>
      <c r="AD1178" s="5">
        <f t="shared" si="1194"/>
        <v>0</v>
      </c>
      <c r="AE1178" s="5">
        <f t="shared" si="1194"/>
        <v>0</v>
      </c>
      <c r="AF1178" s="5">
        <f t="shared" si="1194"/>
        <v>0</v>
      </c>
      <c r="AG1178" s="5">
        <f t="shared" si="1194"/>
        <v>0</v>
      </c>
      <c r="AH1178" s="5">
        <f t="shared" si="1194"/>
        <v>0</v>
      </c>
    </row>
    <row r="1179" spans="1:34" x14ac:dyDescent="0.35">
      <c r="A1179" t="s">
        <v>1199</v>
      </c>
      <c r="B1179" s="3" t="s">
        <v>1266</v>
      </c>
      <c r="C1179" s="4" t="s">
        <v>1266</v>
      </c>
      <c r="D1179" s="2">
        <f t="shared" si="1171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ref="W1179:AH1179" si="1195">IF(OR((SLOPE($E1179:$V1179,$E$1:$V$1)*W$1+INTERCEPT($E1179:$V1179,$E$1:$V$1))&gt;(AVERAGE($E1179:$V1179)+_xlfn.STDEV.P($E1179:$V1179)),(SLOPE($E1179:$V1179,$E$1:$V$1)*W$1+INTERCEPT($E1179:$V1179,$E$1:$V$1))&lt;(AVERAGE($E1179:$V1179)-_xlfn.STDEV.P($E1179:$V1179))),V1179,(SLOPE($E1179:$V1179,$E$1:$V$1)*W$1+INTERCEPT($E1179:$V1179,$E$1:$V$1)))</f>
        <v>0</v>
      </c>
      <c r="X1179" s="5">
        <f t="shared" si="1195"/>
        <v>0</v>
      </c>
      <c r="Y1179" s="5">
        <f t="shared" si="1195"/>
        <v>0</v>
      </c>
      <c r="Z1179" s="5">
        <f t="shared" si="1195"/>
        <v>0</v>
      </c>
      <c r="AA1179" s="5">
        <f t="shared" si="1195"/>
        <v>0</v>
      </c>
      <c r="AB1179" s="5">
        <f t="shared" si="1195"/>
        <v>0</v>
      </c>
      <c r="AC1179" s="5">
        <f t="shared" si="1195"/>
        <v>0</v>
      </c>
      <c r="AD1179" s="5">
        <f t="shared" si="1195"/>
        <v>0</v>
      </c>
      <c r="AE1179" s="5">
        <f t="shared" si="1195"/>
        <v>0</v>
      </c>
      <c r="AF1179" s="5">
        <f t="shared" si="1195"/>
        <v>0</v>
      </c>
      <c r="AG1179" s="5">
        <f t="shared" si="1195"/>
        <v>0</v>
      </c>
      <c r="AH1179" s="5">
        <f t="shared" si="1195"/>
        <v>0</v>
      </c>
    </row>
    <row r="1180" spans="1:34" x14ac:dyDescent="0.35">
      <c r="A1180" t="s">
        <v>1200</v>
      </c>
      <c r="B1180" s="3" t="s">
        <v>1266</v>
      </c>
      <c r="C1180" s="4" t="s">
        <v>1266</v>
      </c>
      <c r="D1180" s="2">
        <f t="shared" si="1171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ref="W1180:AH1180" si="1196">IF(OR((SLOPE($E1180:$V1180,$E$1:$V$1)*W$1+INTERCEPT($E1180:$V1180,$E$1:$V$1))&gt;(AVERAGE($E1180:$V1180)+_xlfn.STDEV.P($E1180:$V1180)),(SLOPE($E1180:$V1180,$E$1:$V$1)*W$1+INTERCEPT($E1180:$V1180,$E$1:$V$1))&lt;(AVERAGE($E1180:$V1180)-_xlfn.STDEV.P($E1180:$V1180))),V1180,(SLOPE($E1180:$V1180,$E$1:$V$1)*W$1+INTERCEPT($E1180:$V1180,$E$1:$V$1)))</f>
        <v>0</v>
      </c>
      <c r="X1180" s="5">
        <f t="shared" si="1196"/>
        <v>0</v>
      </c>
      <c r="Y1180" s="5">
        <f t="shared" si="1196"/>
        <v>0</v>
      </c>
      <c r="Z1180" s="5">
        <f t="shared" si="1196"/>
        <v>0</v>
      </c>
      <c r="AA1180" s="5">
        <f t="shared" si="1196"/>
        <v>0</v>
      </c>
      <c r="AB1180" s="5">
        <f t="shared" si="1196"/>
        <v>0</v>
      </c>
      <c r="AC1180" s="5">
        <f t="shared" si="1196"/>
        <v>0</v>
      </c>
      <c r="AD1180" s="5">
        <f t="shared" si="1196"/>
        <v>0</v>
      </c>
      <c r="AE1180" s="5">
        <f t="shared" si="1196"/>
        <v>0</v>
      </c>
      <c r="AF1180" s="5">
        <f t="shared" si="1196"/>
        <v>0</v>
      </c>
      <c r="AG1180" s="5">
        <f t="shared" si="1196"/>
        <v>0</v>
      </c>
      <c r="AH1180" s="5">
        <f t="shared" si="1196"/>
        <v>0</v>
      </c>
    </row>
    <row r="1181" spans="1:34" x14ac:dyDescent="0.35">
      <c r="A1181" t="s">
        <v>1201</v>
      </c>
      <c r="B1181" s="3" t="s">
        <v>1266</v>
      </c>
      <c r="C1181" s="4" t="s">
        <v>1266</v>
      </c>
      <c r="D1181" s="2">
        <f t="shared" si="1171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ref="W1181:AH1181" si="1197">IF(OR((SLOPE($E1181:$V1181,$E$1:$V$1)*W$1+INTERCEPT($E1181:$V1181,$E$1:$V$1))&gt;(AVERAGE($E1181:$V1181)+_xlfn.STDEV.P($E1181:$V1181)),(SLOPE($E1181:$V1181,$E$1:$V$1)*W$1+INTERCEPT($E1181:$V1181,$E$1:$V$1))&lt;(AVERAGE($E1181:$V1181)-_xlfn.STDEV.P($E1181:$V1181))),V1181,(SLOPE($E1181:$V1181,$E$1:$V$1)*W$1+INTERCEPT($E1181:$V1181,$E$1:$V$1)))</f>
        <v>0</v>
      </c>
      <c r="X1181" s="5">
        <f t="shared" si="1197"/>
        <v>0</v>
      </c>
      <c r="Y1181" s="5">
        <f t="shared" si="1197"/>
        <v>0</v>
      </c>
      <c r="Z1181" s="5">
        <f t="shared" si="1197"/>
        <v>0</v>
      </c>
      <c r="AA1181" s="5">
        <f t="shared" si="1197"/>
        <v>0</v>
      </c>
      <c r="AB1181" s="5">
        <f t="shared" si="1197"/>
        <v>0</v>
      </c>
      <c r="AC1181" s="5">
        <f t="shared" si="1197"/>
        <v>0</v>
      </c>
      <c r="AD1181" s="5">
        <f t="shared" si="1197"/>
        <v>0</v>
      </c>
      <c r="AE1181" s="5">
        <f t="shared" si="1197"/>
        <v>0</v>
      </c>
      <c r="AF1181" s="5">
        <f t="shared" si="1197"/>
        <v>0</v>
      </c>
      <c r="AG1181" s="5">
        <f t="shared" si="1197"/>
        <v>0</v>
      </c>
      <c r="AH1181" s="5">
        <f t="shared" si="1197"/>
        <v>0</v>
      </c>
    </row>
    <row r="1182" spans="1:34" x14ac:dyDescent="0.35">
      <c r="A1182" t="s">
        <v>1202</v>
      </c>
      <c r="B1182" s="3" t="s">
        <v>1266</v>
      </c>
      <c r="C1182" s="4" t="s">
        <v>1266</v>
      </c>
      <c r="D1182" s="2">
        <f t="shared" si="1171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ref="W1182:AH1182" si="1198">IF(OR((SLOPE($E1182:$V1182,$E$1:$V$1)*W$1+INTERCEPT($E1182:$V1182,$E$1:$V$1))&gt;(AVERAGE($E1182:$V1182)+_xlfn.STDEV.P($E1182:$V1182)),(SLOPE($E1182:$V1182,$E$1:$V$1)*W$1+INTERCEPT($E1182:$V1182,$E$1:$V$1))&lt;(AVERAGE($E1182:$V1182)-_xlfn.STDEV.P($E1182:$V1182))),V1182,(SLOPE($E1182:$V1182,$E$1:$V$1)*W$1+INTERCEPT($E1182:$V1182,$E$1:$V$1)))</f>
        <v>0</v>
      </c>
      <c r="X1182" s="5">
        <f t="shared" si="1198"/>
        <v>0</v>
      </c>
      <c r="Y1182" s="5">
        <f t="shared" si="1198"/>
        <v>0</v>
      </c>
      <c r="Z1182" s="5">
        <f t="shared" si="1198"/>
        <v>0</v>
      </c>
      <c r="AA1182" s="5">
        <f t="shared" si="1198"/>
        <v>0</v>
      </c>
      <c r="AB1182" s="5">
        <f t="shared" si="1198"/>
        <v>0</v>
      </c>
      <c r="AC1182" s="5">
        <f t="shared" si="1198"/>
        <v>0</v>
      </c>
      <c r="AD1182" s="5">
        <f t="shared" si="1198"/>
        <v>0</v>
      </c>
      <c r="AE1182" s="5">
        <f t="shared" si="1198"/>
        <v>0</v>
      </c>
      <c r="AF1182" s="5">
        <f t="shared" si="1198"/>
        <v>0</v>
      </c>
      <c r="AG1182" s="5">
        <f t="shared" si="1198"/>
        <v>0</v>
      </c>
      <c r="AH1182" s="5">
        <f t="shared" si="1198"/>
        <v>0</v>
      </c>
    </row>
    <row r="1183" spans="1:34" x14ac:dyDescent="0.35">
      <c r="A1183" t="s">
        <v>1203</v>
      </c>
      <c r="B1183" s="3" t="s">
        <v>1266</v>
      </c>
      <c r="C1183" s="4" t="s">
        <v>1266</v>
      </c>
      <c r="D1183" s="2">
        <f t="shared" si="1171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ref="W1183:AH1183" si="1199">IF(OR((SLOPE($E1183:$V1183,$E$1:$V$1)*W$1+INTERCEPT($E1183:$V1183,$E$1:$V$1))&gt;(AVERAGE($E1183:$V1183)+_xlfn.STDEV.P($E1183:$V1183)),(SLOPE($E1183:$V1183,$E$1:$V$1)*W$1+INTERCEPT($E1183:$V1183,$E$1:$V$1))&lt;(AVERAGE($E1183:$V1183)-_xlfn.STDEV.P($E1183:$V1183))),V1183,(SLOPE($E1183:$V1183,$E$1:$V$1)*W$1+INTERCEPT($E1183:$V1183,$E$1:$V$1)))</f>
        <v>0</v>
      </c>
      <c r="X1183" s="5">
        <f t="shared" si="1199"/>
        <v>0</v>
      </c>
      <c r="Y1183" s="5">
        <f t="shared" si="1199"/>
        <v>0</v>
      </c>
      <c r="Z1183" s="5">
        <f t="shared" si="1199"/>
        <v>0</v>
      </c>
      <c r="AA1183" s="5">
        <f t="shared" si="1199"/>
        <v>0</v>
      </c>
      <c r="AB1183" s="5">
        <f t="shared" si="1199"/>
        <v>0</v>
      </c>
      <c r="AC1183" s="5">
        <f t="shared" si="1199"/>
        <v>0</v>
      </c>
      <c r="AD1183" s="5">
        <f t="shared" si="1199"/>
        <v>0</v>
      </c>
      <c r="AE1183" s="5">
        <f t="shared" si="1199"/>
        <v>0</v>
      </c>
      <c r="AF1183" s="5">
        <f t="shared" si="1199"/>
        <v>0</v>
      </c>
      <c r="AG1183" s="5">
        <f t="shared" si="1199"/>
        <v>0</v>
      </c>
      <c r="AH1183" s="5">
        <f t="shared" si="1199"/>
        <v>0</v>
      </c>
    </row>
    <row r="1184" spans="1:34" x14ac:dyDescent="0.35">
      <c r="A1184" t="s">
        <v>1204</v>
      </c>
      <c r="B1184" s="3" t="s">
        <v>1266</v>
      </c>
      <c r="C1184" s="4" t="s">
        <v>1266</v>
      </c>
      <c r="D1184" s="2">
        <f t="shared" si="1171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ref="W1184:AH1184" si="1200">IF(OR((SLOPE($E1184:$V1184,$E$1:$V$1)*W$1+INTERCEPT($E1184:$V1184,$E$1:$V$1))&gt;(AVERAGE($E1184:$V1184)+_xlfn.STDEV.P($E1184:$V1184)),(SLOPE($E1184:$V1184,$E$1:$V$1)*W$1+INTERCEPT($E1184:$V1184,$E$1:$V$1))&lt;(AVERAGE($E1184:$V1184)-_xlfn.STDEV.P($E1184:$V1184))),V1184,(SLOPE($E1184:$V1184,$E$1:$V$1)*W$1+INTERCEPT($E1184:$V1184,$E$1:$V$1)))</f>
        <v>0</v>
      </c>
      <c r="X1184" s="5">
        <f t="shared" si="1200"/>
        <v>0</v>
      </c>
      <c r="Y1184" s="5">
        <f t="shared" si="1200"/>
        <v>0</v>
      </c>
      <c r="Z1184" s="5">
        <f t="shared" si="1200"/>
        <v>0</v>
      </c>
      <c r="AA1184" s="5">
        <f t="shared" si="1200"/>
        <v>0</v>
      </c>
      <c r="AB1184" s="5">
        <f t="shared" si="1200"/>
        <v>0</v>
      </c>
      <c r="AC1184" s="5">
        <f t="shared" si="1200"/>
        <v>0</v>
      </c>
      <c r="AD1184" s="5">
        <f t="shared" si="1200"/>
        <v>0</v>
      </c>
      <c r="AE1184" s="5">
        <f t="shared" si="1200"/>
        <v>0</v>
      </c>
      <c r="AF1184" s="5">
        <f t="shared" si="1200"/>
        <v>0</v>
      </c>
      <c r="AG1184" s="5">
        <f t="shared" si="1200"/>
        <v>0</v>
      </c>
      <c r="AH1184" s="5">
        <f t="shared" si="1200"/>
        <v>0</v>
      </c>
    </row>
    <row r="1185" spans="1:34" x14ac:dyDescent="0.35">
      <c r="A1185" t="s">
        <v>1205</v>
      </c>
      <c r="B1185" s="3" t="s">
        <v>1266</v>
      </c>
      <c r="C1185" s="4" t="s">
        <v>1267</v>
      </c>
      <c r="D1185" s="2">
        <f t="shared" si="1171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ref="W1185:AH1185" si="1201">IF(OR((SLOPE($E1185:$V1185,$E$1:$V$1)*W$1+INTERCEPT($E1185:$V1185,$E$1:$V$1))&gt;(AVERAGE($E1185:$V1185)+_xlfn.STDEV.P($E1185:$V1185)),(SLOPE($E1185:$V1185,$E$1:$V$1)*W$1+INTERCEPT($E1185:$V1185,$E$1:$V$1))&lt;(AVERAGE($E1185:$V1185)-_xlfn.STDEV.P($E1185:$V1185))),V1185,(SLOPE($E1185:$V1185,$E$1:$V$1)*W$1+INTERCEPT($E1185:$V1185,$E$1:$V$1)))</f>
        <v>0</v>
      </c>
      <c r="X1185" s="5">
        <f t="shared" si="1201"/>
        <v>0</v>
      </c>
      <c r="Y1185" s="5">
        <f t="shared" si="1201"/>
        <v>0</v>
      </c>
      <c r="Z1185" s="5">
        <f t="shared" si="1201"/>
        <v>0</v>
      </c>
      <c r="AA1185" s="5">
        <f t="shared" si="1201"/>
        <v>0</v>
      </c>
      <c r="AB1185" s="5">
        <f t="shared" si="1201"/>
        <v>0</v>
      </c>
      <c r="AC1185" s="5">
        <f t="shared" si="1201"/>
        <v>0</v>
      </c>
      <c r="AD1185" s="5">
        <f t="shared" si="1201"/>
        <v>0</v>
      </c>
      <c r="AE1185" s="5">
        <f t="shared" si="1201"/>
        <v>0</v>
      </c>
      <c r="AF1185" s="5">
        <f t="shared" si="1201"/>
        <v>0</v>
      </c>
      <c r="AG1185" s="5">
        <f t="shared" si="1201"/>
        <v>0</v>
      </c>
      <c r="AH1185" s="5">
        <f t="shared" si="1201"/>
        <v>0</v>
      </c>
    </row>
    <row r="1186" spans="1:34" x14ac:dyDescent="0.35">
      <c r="A1186" t="s">
        <v>1206</v>
      </c>
      <c r="B1186" s="3" t="s">
        <v>1266</v>
      </c>
      <c r="C1186" s="4" t="s">
        <v>1266</v>
      </c>
      <c r="D1186" s="2">
        <f t="shared" si="1171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ref="W1186:AH1186" si="1202">IF(OR((SLOPE($E1186:$V1186,$E$1:$V$1)*W$1+INTERCEPT($E1186:$V1186,$E$1:$V$1))&gt;(AVERAGE($E1186:$V1186)+_xlfn.STDEV.P($E1186:$V1186)),(SLOPE($E1186:$V1186,$E$1:$V$1)*W$1+INTERCEPT($E1186:$V1186,$E$1:$V$1))&lt;(AVERAGE($E1186:$V1186)-_xlfn.STDEV.P($E1186:$V1186))),V1186,(SLOPE($E1186:$V1186,$E$1:$V$1)*W$1+INTERCEPT($E1186:$V1186,$E$1:$V$1)))</f>
        <v>0</v>
      </c>
      <c r="X1186" s="5">
        <f t="shared" si="1202"/>
        <v>0</v>
      </c>
      <c r="Y1186" s="5">
        <f t="shared" si="1202"/>
        <v>0</v>
      </c>
      <c r="Z1186" s="5">
        <f t="shared" si="1202"/>
        <v>0</v>
      </c>
      <c r="AA1186" s="5">
        <f t="shared" si="1202"/>
        <v>0</v>
      </c>
      <c r="AB1186" s="5">
        <f t="shared" si="1202"/>
        <v>0</v>
      </c>
      <c r="AC1186" s="5">
        <f t="shared" si="1202"/>
        <v>0</v>
      </c>
      <c r="AD1186" s="5">
        <f t="shared" si="1202"/>
        <v>0</v>
      </c>
      <c r="AE1186" s="5">
        <f t="shared" si="1202"/>
        <v>0</v>
      </c>
      <c r="AF1186" s="5">
        <f t="shared" si="1202"/>
        <v>0</v>
      </c>
      <c r="AG1186" s="5">
        <f t="shared" si="1202"/>
        <v>0</v>
      </c>
      <c r="AH1186" s="5">
        <f t="shared" si="1202"/>
        <v>0</v>
      </c>
    </row>
    <row r="1187" spans="1:34" x14ac:dyDescent="0.35">
      <c r="A1187" t="s">
        <v>1207</v>
      </c>
      <c r="B1187" s="3" t="s">
        <v>1266</v>
      </c>
      <c r="C1187" s="4" t="s">
        <v>1266</v>
      </c>
      <c r="D1187" s="2">
        <f t="shared" si="1171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ref="W1187:AH1187" si="1203">IF(OR((SLOPE($E1187:$V1187,$E$1:$V$1)*W$1+INTERCEPT($E1187:$V1187,$E$1:$V$1))&gt;(AVERAGE($E1187:$V1187)+_xlfn.STDEV.P($E1187:$V1187)),(SLOPE($E1187:$V1187,$E$1:$V$1)*W$1+INTERCEPT($E1187:$V1187,$E$1:$V$1))&lt;(AVERAGE($E1187:$V1187)-_xlfn.STDEV.P($E1187:$V1187))),V1187,(SLOPE($E1187:$V1187,$E$1:$V$1)*W$1+INTERCEPT($E1187:$V1187,$E$1:$V$1)))</f>
        <v>0</v>
      </c>
      <c r="X1187" s="5">
        <f t="shared" si="1203"/>
        <v>0</v>
      </c>
      <c r="Y1187" s="5">
        <f t="shared" si="1203"/>
        <v>0</v>
      </c>
      <c r="Z1187" s="5">
        <f t="shared" si="1203"/>
        <v>0</v>
      </c>
      <c r="AA1187" s="5">
        <f t="shared" si="1203"/>
        <v>0</v>
      </c>
      <c r="AB1187" s="5">
        <f t="shared" si="1203"/>
        <v>0</v>
      </c>
      <c r="AC1187" s="5">
        <f t="shared" si="1203"/>
        <v>0</v>
      </c>
      <c r="AD1187" s="5">
        <f t="shared" si="1203"/>
        <v>0</v>
      </c>
      <c r="AE1187" s="5">
        <f t="shared" si="1203"/>
        <v>0</v>
      </c>
      <c r="AF1187" s="5">
        <f t="shared" si="1203"/>
        <v>0</v>
      </c>
      <c r="AG1187" s="5">
        <f t="shared" si="1203"/>
        <v>0</v>
      </c>
      <c r="AH1187" s="5">
        <f t="shared" si="1203"/>
        <v>0</v>
      </c>
    </row>
    <row r="1188" spans="1:34" x14ac:dyDescent="0.35">
      <c r="A1188" t="s">
        <v>1208</v>
      </c>
      <c r="B1188" s="3" t="s">
        <v>1266</v>
      </c>
      <c r="C1188" s="4" t="s">
        <v>1266</v>
      </c>
      <c r="D1188" s="2">
        <f t="shared" si="1171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ref="W1188:AH1188" si="1204">IF(OR((SLOPE($E1188:$V1188,$E$1:$V$1)*W$1+INTERCEPT($E1188:$V1188,$E$1:$V$1))&gt;(AVERAGE($E1188:$V1188)+_xlfn.STDEV.P($E1188:$V1188)),(SLOPE($E1188:$V1188,$E$1:$V$1)*W$1+INTERCEPT($E1188:$V1188,$E$1:$V$1))&lt;(AVERAGE($E1188:$V1188)-_xlfn.STDEV.P($E1188:$V1188))),V1188,(SLOPE($E1188:$V1188,$E$1:$V$1)*W$1+INTERCEPT($E1188:$V1188,$E$1:$V$1)))</f>
        <v>0</v>
      </c>
      <c r="X1188" s="5">
        <f t="shared" si="1204"/>
        <v>0</v>
      </c>
      <c r="Y1188" s="5">
        <f t="shared" si="1204"/>
        <v>0</v>
      </c>
      <c r="Z1188" s="5">
        <f t="shared" si="1204"/>
        <v>0</v>
      </c>
      <c r="AA1188" s="5">
        <f t="shared" si="1204"/>
        <v>0</v>
      </c>
      <c r="AB1188" s="5">
        <f t="shared" si="1204"/>
        <v>0</v>
      </c>
      <c r="AC1188" s="5">
        <f t="shared" si="1204"/>
        <v>0</v>
      </c>
      <c r="AD1188" s="5">
        <f t="shared" si="1204"/>
        <v>0</v>
      </c>
      <c r="AE1188" s="5">
        <f t="shared" si="1204"/>
        <v>0</v>
      </c>
      <c r="AF1188" s="5">
        <f t="shared" si="1204"/>
        <v>0</v>
      </c>
      <c r="AG1188" s="5">
        <f t="shared" si="1204"/>
        <v>0</v>
      </c>
      <c r="AH1188" s="5">
        <f t="shared" si="1204"/>
        <v>0</v>
      </c>
    </row>
    <row r="1189" spans="1:34" x14ac:dyDescent="0.35">
      <c r="A1189" t="s">
        <v>1209</v>
      </c>
      <c r="B1189" s="3" t="s">
        <v>1266</v>
      </c>
      <c r="C1189" s="4" t="s">
        <v>1266</v>
      </c>
      <c r="D1189" s="2">
        <f t="shared" si="1171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H1189" si="1205">IF(OR((SLOPE($E1189:$V1189,$E$1:$V$1)*W$1+INTERCEPT($E1189:$V1189,$E$1:$V$1))&gt;(AVERAGE($E1189:$V1189)+_xlfn.STDEV.P($E1189:$V1189)),(SLOPE($E1189:$V1189,$E$1:$V$1)*W$1+INTERCEPT($E1189:$V1189,$E$1:$V$1))&lt;(AVERAGE($E1189:$V1189)-_xlfn.STDEV.P($E1189:$V1189))),V1189,(SLOPE($E1189:$V1189,$E$1:$V$1)*W$1+INTERCEPT($E1189:$V1189,$E$1:$V$1)))</f>
        <v>0</v>
      </c>
      <c r="X1189" s="5">
        <f t="shared" si="1205"/>
        <v>0</v>
      </c>
      <c r="Y1189" s="5">
        <f t="shared" si="1205"/>
        <v>0</v>
      </c>
      <c r="Z1189" s="5">
        <f t="shared" si="1205"/>
        <v>0</v>
      </c>
      <c r="AA1189" s="5">
        <f t="shared" si="1205"/>
        <v>0</v>
      </c>
      <c r="AB1189" s="5">
        <f t="shared" si="1205"/>
        <v>0</v>
      </c>
      <c r="AC1189" s="5">
        <f t="shared" si="1205"/>
        <v>0</v>
      </c>
      <c r="AD1189" s="5">
        <f t="shared" si="1205"/>
        <v>0</v>
      </c>
      <c r="AE1189" s="5">
        <f t="shared" si="1205"/>
        <v>0</v>
      </c>
      <c r="AF1189" s="5">
        <f t="shared" si="1205"/>
        <v>0</v>
      </c>
      <c r="AG1189" s="5">
        <f t="shared" si="1205"/>
        <v>0</v>
      </c>
      <c r="AH1189" s="5">
        <f t="shared" si="1205"/>
        <v>0</v>
      </c>
    </row>
    <row r="1190" spans="1:34" x14ac:dyDescent="0.35">
      <c r="A1190" t="s">
        <v>1210</v>
      </c>
      <c r="B1190" s="3" t="s">
        <v>1266</v>
      </c>
      <c r="C1190" s="4" t="s">
        <v>1267</v>
      </c>
      <c r="D1190" s="2">
        <f t="shared" si="1171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ref="W1190:AH1190" si="1206">IF(OR((SLOPE($E1190:$V1190,$E$1:$V$1)*W$1+INTERCEPT($E1190:$V1190,$E$1:$V$1))&gt;(AVERAGE($E1190:$V1190)+_xlfn.STDEV.P($E1190:$V1190)),(SLOPE($E1190:$V1190,$E$1:$V$1)*W$1+INTERCEPT($E1190:$V1190,$E$1:$V$1))&lt;(AVERAGE($E1190:$V1190)-_xlfn.STDEV.P($E1190:$V1190))),V1190,(SLOPE($E1190:$V1190,$E$1:$V$1)*W$1+INTERCEPT($E1190:$V1190,$E$1:$V$1)))</f>
        <v>0</v>
      </c>
      <c r="X1190" s="5">
        <f t="shared" si="1206"/>
        <v>0</v>
      </c>
      <c r="Y1190" s="5">
        <f t="shared" si="1206"/>
        <v>0</v>
      </c>
      <c r="Z1190" s="5">
        <f t="shared" si="1206"/>
        <v>0</v>
      </c>
      <c r="AA1190" s="5">
        <f t="shared" si="1206"/>
        <v>0</v>
      </c>
      <c r="AB1190" s="5">
        <f t="shared" si="1206"/>
        <v>0</v>
      </c>
      <c r="AC1190" s="5">
        <f t="shared" si="1206"/>
        <v>0</v>
      </c>
      <c r="AD1190" s="5">
        <f t="shared" si="1206"/>
        <v>0</v>
      </c>
      <c r="AE1190" s="5">
        <f t="shared" si="1206"/>
        <v>0</v>
      </c>
      <c r="AF1190" s="5">
        <f t="shared" si="1206"/>
        <v>0</v>
      </c>
      <c r="AG1190" s="5">
        <f t="shared" si="1206"/>
        <v>0</v>
      </c>
      <c r="AH1190" s="5">
        <f t="shared" si="1206"/>
        <v>0</v>
      </c>
    </row>
    <row r="1191" spans="1:34" x14ac:dyDescent="0.35">
      <c r="A1191" t="s">
        <v>1211</v>
      </c>
      <c r="B1191" s="3" t="s">
        <v>1266</v>
      </c>
      <c r="C1191" s="4" t="s">
        <v>1267</v>
      </c>
      <c r="D1191" s="2">
        <f t="shared" si="1171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ref="W1191:AH1191" si="1207">IF(OR((SLOPE($E1191:$V1191,$E$1:$V$1)*W$1+INTERCEPT($E1191:$V1191,$E$1:$V$1))&gt;(AVERAGE($E1191:$V1191)+_xlfn.STDEV.P($E1191:$V1191)),(SLOPE($E1191:$V1191,$E$1:$V$1)*W$1+INTERCEPT($E1191:$V1191,$E$1:$V$1))&lt;(AVERAGE($E1191:$V1191)-_xlfn.STDEV.P($E1191:$V1191))),V1191,(SLOPE($E1191:$V1191,$E$1:$V$1)*W$1+INTERCEPT($E1191:$V1191,$E$1:$V$1)))</f>
        <v>0</v>
      </c>
      <c r="X1191" s="5">
        <f t="shared" si="1207"/>
        <v>0</v>
      </c>
      <c r="Y1191" s="5">
        <f t="shared" si="1207"/>
        <v>0</v>
      </c>
      <c r="Z1191" s="5">
        <f t="shared" si="1207"/>
        <v>0</v>
      </c>
      <c r="AA1191" s="5">
        <f t="shared" si="1207"/>
        <v>0</v>
      </c>
      <c r="AB1191" s="5">
        <f t="shared" si="1207"/>
        <v>0</v>
      </c>
      <c r="AC1191" s="5">
        <f t="shared" si="1207"/>
        <v>0</v>
      </c>
      <c r="AD1191" s="5">
        <f t="shared" si="1207"/>
        <v>0</v>
      </c>
      <c r="AE1191" s="5">
        <f t="shared" si="1207"/>
        <v>0</v>
      </c>
      <c r="AF1191" s="5">
        <f t="shared" si="1207"/>
        <v>0</v>
      </c>
      <c r="AG1191" s="5">
        <f t="shared" si="1207"/>
        <v>0</v>
      </c>
      <c r="AH1191" s="5">
        <f t="shared" si="1207"/>
        <v>0</v>
      </c>
    </row>
    <row r="1192" spans="1:34" x14ac:dyDescent="0.35">
      <c r="A1192" t="s">
        <v>1212</v>
      </c>
      <c r="B1192" s="3" t="s">
        <v>1266</v>
      </c>
      <c r="C1192" s="4" t="s">
        <v>1266</v>
      </c>
      <c r="D1192" s="2">
        <f t="shared" si="1171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ref="W1192:AH1192" si="1208">IF(OR((SLOPE($E1192:$V1192,$E$1:$V$1)*W$1+INTERCEPT($E1192:$V1192,$E$1:$V$1))&gt;(AVERAGE($E1192:$V1192)+_xlfn.STDEV.P($E1192:$V1192)),(SLOPE($E1192:$V1192,$E$1:$V$1)*W$1+INTERCEPT($E1192:$V1192,$E$1:$V$1))&lt;(AVERAGE($E1192:$V1192)-_xlfn.STDEV.P($E1192:$V1192))),V1192,(SLOPE($E1192:$V1192,$E$1:$V$1)*W$1+INTERCEPT($E1192:$V1192,$E$1:$V$1)))</f>
        <v>0</v>
      </c>
      <c r="X1192" s="5">
        <f t="shared" si="1208"/>
        <v>0</v>
      </c>
      <c r="Y1192" s="5">
        <f t="shared" si="1208"/>
        <v>0</v>
      </c>
      <c r="Z1192" s="5">
        <f t="shared" si="1208"/>
        <v>0</v>
      </c>
      <c r="AA1192" s="5">
        <f t="shared" si="1208"/>
        <v>0</v>
      </c>
      <c r="AB1192" s="5">
        <f t="shared" si="1208"/>
        <v>0</v>
      </c>
      <c r="AC1192" s="5">
        <f t="shared" si="1208"/>
        <v>0</v>
      </c>
      <c r="AD1192" s="5">
        <f t="shared" si="1208"/>
        <v>0</v>
      </c>
      <c r="AE1192" s="5">
        <f t="shared" si="1208"/>
        <v>0</v>
      </c>
      <c r="AF1192" s="5">
        <f t="shared" si="1208"/>
        <v>0</v>
      </c>
      <c r="AG1192" s="5">
        <f t="shared" si="1208"/>
        <v>0</v>
      </c>
      <c r="AH1192" s="5">
        <f t="shared" si="1208"/>
        <v>0</v>
      </c>
    </row>
    <row r="1193" spans="1:34" x14ac:dyDescent="0.35">
      <c r="A1193" t="s">
        <v>1213</v>
      </c>
      <c r="B1193" s="3" t="s">
        <v>1266</v>
      </c>
      <c r="C1193" s="4" t="s">
        <v>1266</v>
      </c>
      <c r="D1193" s="2">
        <f t="shared" si="1171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ref="W1193:AH1193" si="1209">IF(OR((SLOPE($E1193:$V1193,$E$1:$V$1)*W$1+INTERCEPT($E1193:$V1193,$E$1:$V$1))&gt;(AVERAGE($E1193:$V1193)+_xlfn.STDEV.P($E1193:$V1193)),(SLOPE($E1193:$V1193,$E$1:$V$1)*W$1+INTERCEPT($E1193:$V1193,$E$1:$V$1))&lt;(AVERAGE($E1193:$V1193)-_xlfn.STDEV.P($E1193:$V1193))),V1193,(SLOPE($E1193:$V1193,$E$1:$V$1)*W$1+INTERCEPT($E1193:$V1193,$E$1:$V$1)))</f>
        <v>0</v>
      </c>
      <c r="X1193" s="5">
        <f t="shared" si="1209"/>
        <v>0</v>
      </c>
      <c r="Y1193" s="5">
        <f t="shared" si="1209"/>
        <v>0</v>
      </c>
      <c r="Z1193" s="5">
        <f t="shared" si="1209"/>
        <v>0</v>
      </c>
      <c r="AA1193" s="5">
        <f t="shared" si="1209"/>
        <v>0</v>
      </c>
      <c r="AB1193" s="5">
        <f t="shared" si="1209"/>
        <v>0</v>
      </c>
      <c r="AC1193" s="5">
        <f t="shared" si="1209"/>
        <v>0</v>
      </c>
      <c r="AD1193" s="5">
        <f t="shared" si="1209"/>
        <v>0</v>
      </c>
      <c r="AE1193" s="5">
        <f t="shared" si="1209"/>
        <v>0</v>
      </c>
      <c r="AF1193" s="5">
        <f t="shared" si="1209"/>
        <v>0</v>
      </c>
      <c r="AG1193" s="5">
        <f t="shared" si="1209"/>
        <v>0</v>
      </c>
      <c r="AH1193" s="5">
        <f t="shared" si="1209"/>
        <v>0</v>
      </c>
    </row>
    <row r="1194" spans="1:34" x14ac:dyDescent="0.35">
      <c r="A1194" t="s">
        <v>1214</v>
      </c>
      <c r="B1194" s="3" t="s">
        <v>1266</v>
      </c>
      <c r="C1194" s="4" t="s">
        <v>1266</v>
      </c>
      <c r="D1194" s="2">
        <f t="shared" si="1171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ref="W1194:AH1194" si="1210">IF(OR((SLOPE($E1194:$V1194,$E$1:$V$1)*W$1+INTERCEPT($E1194:$V1194,$E$1:$V$1))&gt;(AVERAGE($E1194:$V1194)+_xlfn.STDEV.P($E1194:$V1194)),(SLOPE($E1194:$V1194,$E$1:$V$1)*W$1+INTERCEPT($E1194:$V1194,$E$1:$V$1))&lt;(AVERAGE($E1194:$V1194)-_xlfn.STDEV.P($E1194:$V1194))),V1194,(SLOPE($E1194:$V1194,$E$1:$V$1)*W$1+INTERCEPT($E1194:$V1194,$E$1:$V$1)))</f>
        <v>0</v>
      </c>
      <c r="X1194" s="5">
        <f t="shared" si="1210"/>
        <v>0</v>
      </c>
      <c r="Y1194" s="5">
        <f t="shared" si="1210"/>
        <v>0</v>
      </c>
      <c r="Z1194" s="5">
        <f t="shared" si="1210"/>
        <v>0</v>
      </c>
      <c r="AA1194" s="5">
        <f t="shared" si="1210"/>
        <v>0</v>
      </c>
      <c r="AB1194" s="5">
        <f t="shared" si="1210"/>
        <v>0</v>
      </c>
      <c r="AC1194" s="5">
        <f t="shared" si="1210"/>
        <v>0</v>
      </c>
      <c r="AD1194" s="5">
        <f t="shared" si="1210"/>
        <v>0</v>
      </c>
      <c r="AE1194" s="5">
        <f t="shared" si="1210"/>
        <v>0</v>
      </c>
      <c r="AF1194" s="5">
        <f t="shared" si="1210"/>
        <v>0</v>
      </c>
      <c r="AG1194" s="5">
        <f t="shared" si="1210"/>
        <v>0</v>
      </c>
      <c r="AH1194" s="5">
        <f t="shared" si="1210"/>
        <v>0</v>
      </c>
    </row>
    <row r="1195" spans="1:34" x14ac:dyDescent="0.35">
      <c r="A1195" t="s">
        <v>1215</v>
      </c>
      <c r="B1195" s="3" t="s">
        <v>1266</v>
      </c>
      <c r="C1195" s="4" t="s">
        <v>1267</v>
      </c>
      <c r="D1195" s="2">
        <f t="shared" si="1171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ref="W1195:AH1195" si="1211">IF(OR((SLOPE($E1195:$V1195,$E$1:$V$1)*W$1+INTERCEPT($E1195:$V1195,$E$1:$V$1))&gt;(AVERAGE($E1195:$V1195)+_xlfn.STDEV.P($E1195:$V1195)),(SLOPE($E1195:$V1195,$E$1:$V$1)*W$1+INTERCEPT($E1195:$V1195,$E$1:$V$1))&lt;(AVERAGE($E1195:$V1195)-_xlfn.STDEV.P($E1195:$V1195))),V1195,(SLOPE($E1195:$V1195,$E$1:$V$1)*W$1+INTERCEPT($E1195:$V1195,$E$1:$V$1)))</f>
        <v>0</v>
      </c>
      <c r="X1195" s="5">
        <f t="shared" si="1211"/>
        <v>0</v>
      </c>
      <c r="Y1195" s="5">
        <f t="shared" si="1211"/>
        <v>0</v>
      </c>
      <c r="Z1195" s="5">
        <f t="shared" si="1211"/>
        <v>0</v>
      </c>
      <c r="AA1195" s="5">
        <f t="shared" si="1211"/>
        <v>0</v>
      </c>
      <c r="AB1195" s="5">
        <f t="shared" si="1211"/>
        <v>0</v>
      </c>
      <c r="AC1195" s="5">
        <f t="shared" si="1211"/>
        <v>0</v>
      </c>
      <c r="AD1195" s="5">
        <f t="shared" si="1211"/>
        <v>0</v>
      </c>
      <c r="AE1195" s="5">
        <f t="shared" si="1211"/>
        <v>0</v>
      </c>
      <c r="AF1195" s="5">
        <f t="shared" si="1211"/>
        <v>0</v>
      </c>
      <c r="AG1195" s="5">
        <f t="shared" si="1211"/>
        <v>0</v>
      </c>
      <c r="AH1195" s="5">
        <f t="shared" si="1211"/>
        <v>0</v>
      </c>
    </row>
    <row r="1196" spans="1:34" x14ac:dyDescent="0.35">
      <c r="A1196" t="s">
        <v>1216</v>
      </c>
      <c r="B1196" s="3" t="s">
        <v>1266</v>
      </c>
      <c r="C1196" s="4" t="s">
        <v>1266</v>
      </c>
      <c r="D1196" s="2">
        <f t="shared" si="1171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ref="W1196:AH1196" si="1212">IF(OR((SLOPE($E1196:$V1196,$E$1:$V$1)*W$1+INTERCEPT($E1196:$V1196,$E$1:$V$1))&gt;(AVERAGE($E1196:$V1196)+_xlfn.STDEV.P($E1196:$V1196)),(SLOPE($E1196:$V1196,$E$1:$V$1)*W$1+INTERCEPT($E1196:$V1196,$E$1:$V$1))&lt;(AVERAGE($E1196:$V1196)-_xlfn.STDEV.P($E1196:$V1196))),V1196,(SLOPE($E1196:$V1196,$E$1:$V$1)*W$1+INTERCEPT($E1196:$V1196,$E$1:$V$1)))</f>
        <v>0</v>
      </c>
      <c r="X1196" s="5">
        <f t="shared" si="1212"/>
        <v>0</v>
      </c>
      <c r="Y1196" s="5">
        <f t="shared" si="1212"/>
        <v>0</v>
      </c>
      <c r="Z1196" s="5">
        <f t="shared" si="1212"/>
        <v>0</v>
      </c>
      <c r="AA1196" s="5">
        <f t="shared" si="1212"/>
        <v>0</v>
      </c>
      <c r="AB1196" s="5">
        <f t="shared" si="1212"/>
        <v>0</v>
      </c>
      <c r="AC1196" s="5">
        <f t="shared" si="1212"/>
        <v>0</v>
      </c>
      <c r="AD1196" s="5">
        <f t="shared" si="1212"/>
        <v>0</v>
      </c>
      <c r="AE1196" s="5">
        <f t="shared" si="1212"/>
        <v>0</v>
      </c>
      <c r="AF1196" s="5">
        <f t="shared" si="1212"/>
        <v>0</v>
      </c>
      <c r="AG1196" s="5">
        <f t="shared" si="1212"/>
        <v>0</v>
      </c>
      <c r="AH1196" s="5">
        <f t="shared" si="1212"/>
        <v>0</v>
      </c>
    </row>
    <row r="1197" spans="1:34" x14ac:dyDescent="0.35">
      <c r="A1197" t="s">
        <v>1217</v>
      </c>
      <c r="B1197" s="3" t="s">
        <v>1266</v>
      </c>
      <c r="C1197" s="4" t="s">
        <v>1266</v>
      </c>
      <c r="D1197" s="2">
        <f t="shared" si="1171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ref="W1197:AH1197" si="1213">IF(OR((SLOPE($E1197:$V1197,$E$1:$V$1)*W$1+INTERCEPT($E1197:$V1197,$E$1:$V$1))&gt;(AVERAGE($E1197:$V1197)+_xlfn.STDEV.P($E1197:$V1197)),(SLOPE($E1197:$V1197,$E$1:$V$1)*W$1+INTERCEPT($E1197:$V1197,$E$1:$V$1))&lt;(AVERAGE($E1197:$V1197)-_xlfn.STDEV.P($E1197:$V1197))),V1197,(SLOPE($E1197:$V1197,$E$1:$V$1)*W$1+INTERCEPT($E1197:$V1197,$E$1:$V$1)))</f>
        <v>0</v>
      </c>
      <c r="X1197" s="5">
        <f t="shared" si="1213"/>
        <v>0</v>
      </c>
      <c r="Y1197" s="5">
        <f t="shared" si="1213"/>
        <v>0</v>
      </c>
      <c r="Z1197" s="5">
        <f t="shared" si="1213"/>
        <v>0</v>
      </c>
      <c r="AA1197" s="5">
        <f t="shared" si="1213"/>
        <v>0</v>
      </c>
      <c r="AB1197" s="5">
        <f t="shared" si="1213"/>
        <v>0</v>
      </c>
      <c r="AC1197" s="5">
        <f t="shared" si="1213"/>
        <v>0</v>
      </c>
      <c r="AD1197" s="5">
        <f t="shared" si="1213"/>
        <v>0</v>
      </c>
      <c r="AE1197" s="5">
        <f t="shared" si="1213"/>
        <v>0</v>
      </c>
      <c r="AF1197" s="5">
        <f t="shared" si="1213"/>
        <v>0</v>
      </c>
      <c r="AG1197" s="5">
        <f t="shared" si="1213"/>
        <v>0</v>
      </c>
      <c r="AH1197" s="5">
        <f t="shared" si="1213"/>
        <v>0</v>
      </c>
    </row>
    <row r="1198" spans="1:34" x14ac:dyDescent="0.35">
      <c r="A1198" t="s">
        <v>1218</v>
      </c>
      <c r="B1198" s="3" t="s">
        <v>1266</v>
      </c>
      <c r="C1198" s="4" t="s">
        <v>1266</v>
      </c>
      <c r="D1198" s="2">
        <f t="shared" si="1171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ref="W1198:AH1198" si="1214">IF(OR((SLOPE($E1198:$V1198,$E$1:$V$1)*W$1+INTERCEPT($E1198:$V1198,$E$1:$V$1))&gt;(AVERAGE($E1198:$V1198)+_xlfn.STDEV.P($E1198:$V1198)),(SLOPE($E1198:$V1198,$E$1:$V$1)*W$1+INTERCEPT($E1198:$V1198,$E$1:$V$1))&lt;(AVERAGE($E1198:$V1198)-_xlfn.STDEV.P($E1198:$V1198))),V1198,(SLOPE($E1198:$V1198,$E$1:$V$1)*W$1+INTERCEPT($E1198:$V1198,$E$1:$V$1)))</f>
        <v>0</v>
      </c>
      <c r="X1198" s="5">
        <f t="shared" si="1214"/>
        <v>0</v>
      </c>
      <c r="Y1198" s="5">
        <f t="shared" si="1214"/>
        <v>0</v>
      </c>
      <c r="Z1198" s="5">
        <f t="shared" si="1214"/>
        <v>0</v>
      </c>
      <c r="AA1198" s="5">
        <f t="shared" si="1214"/>
        <v>0</v>
      </c>
      <c r="AB1198" s="5">
        <f t="shared" si="1214"/>
        <v>0</v>
      </c>
      <c r="AC1198" s="5">
        <f t="shared" si="1214"/>
        <v>0</v>
      </c>
      <c r="AD1198" s="5">
        <f t="shared" si="1214"/>
        <v>0</v>
      </c>
      <c r="AE1198" s="5">
        <f t="shared" si="1214"/>
        <v>0</v>
      </c>
      <c r="AF1198" s="5">
        <f t="shared" si="1214"/>
        <v>0</v>
      </c>
      <c r="AG1198" s="5">
        <f t="shared" si="1214"/>
        <v>0</v>
      </c>
      <c r="AH1198" s="5">
        <f t="shared" si="1214"/>
        <v>0</v>
      </c>
    </row>
    <row r="1199" spans="1:34" x14ac:dyDescent="0.35">
      <c r="A1199" t="s">
        <v>1219</v>
      </c>
      <c r="B1199" s="3" t="s">
        <v>1266</v>
      </c>
      <c r="C1199" s="4" t="s">
        <v>1266</v>
      </c>
      <c r="D1199" s="2">
        <f t="shared" si="1171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ref="W1199:AH1199" si="1215">IF(OR((SLOPE($E1199:$V1199,$E$1:$V$1)*W$1+INTERCEPT($E1199:$V1199,$E$1:$V$1))&gt;(AVERAGE($E1199:$V1199)+_xlfn.STDEV.P($E1199:$V1199)),(SLOPE($E1199:$V1199,$E$1:$V$1)*W$1+INTERCEPT($E1199:$V1199,$E$1:$V$1))&lt;(AVERAGE($E1199:$V1199)-_xlfn.STDEV.P($E1199:$V1199))),V1199,(SLOPE($E1199:$V1199,$E$1:$V$1)*W$1+INTERCEPT($E1199:$V1199,$E$1:$V$1)))</f>
        <v>0</v>
      </c>
      <c r="X1199" s="5">
        <f t="shared" si="1215"/>
        <v>0</v>
      </c>
      <c r="Y1199" s="5">
        <f t="shared" si="1215"/>
        <v>0</v>
      </c>
      <c r="Z1199" s="5">
        <f t="shared" si="1215"/>
        <v>0</v>
      </c>
      <c r="AA1199" s="5">
        <f t="shared" si="1215"/>
        <v>0</v>
      </c>
      <c r="AB1199" s="5">
        <f t="shared" si="1215"/>
        <v>0</v>
      </c>
      <c r="AC1199" s="5">
        <f t="shared" si="1215"/>
        <v>0</v>
      </c>
      <c r="AD1199" s="5">
        <f t="shared" si="1215"/>
        <v>0</v>
      </c>
      <c r="AE1199" s="5">
        <f t="shared" si="1215"/>
        <v>0</v>
      </c>
      <c r="AF1199" s="5">
        <f t="shared" si="1215"/>
        <v>0</v>
      </c>
      <c r="AG1199" s="5">
        <f t="shared" si="1215"/>
        <v>0</v>
      </c>
      <c r="AH1199" s="5">
        <f t="shared" si="1215"/>
        <v>0</v>
      </c>
    </row>
    <row r="1200" spans="1:34" x14ac:dyDescent="0.35">
      <c r="A1200" t="s">
        <v>1220</v>
      </c>
      <c r="B1200" s="3" t="s">
        <v>1266</v>
      </c>
      <c r="C1200" s="4" t="s">
        <v>1266</v>
      </c>
      <c r="D1200" s="2">
        <f t="shared" si="1171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ref="W1200:AH1200" si="1216">IF(OR((SLOPE($E1200:$V1200,$E$1:$V$1)*W$1+INTERCEPT($E1200:$V1200,$E$1:$V$1))&gt;(AVERAGE($E1200:$V1200)+_xlfn.STDEV.P($E1200:$V1200)),(SLOPE($E1200:$V1200,$E$1:$V$1)*W$1+INTERCEPT($E1200:$V1200,$E$1:$V$1))&lt;(AVERAGE($E1200:$V1200)-_xlfn.STDEV.P($E1200:$V1200))),V1200,(SLOPE($E1200:$V1200,$E$1:$V$1)*W$1+INTERCEPT($E1200:$V1200,$E$1:$V$1)))</f>
        <v>0</v>
      </c>
      <c r="X1200" s="5">
        <f t="shared" si="1216"/>
        <v>0</v>
      </c>
      <c r="Y1200" s="5">
        <f t="shared" si="1216"/>
        <v>0</v>
      </c>
      <c r="Z1200" s="5">
        <f t="shared" si="1216"/>
        <v>0</v>
      </c>
      <c r="AA1200" s="5">
        <f t="shared" si="1216"/>
        <v>0</v>
      </c>
      <c r="AB1200" s="5">
        <f t="shared" si="1216"/>
        <v>0</v>
      </c>
      <c r="AC1200" s="5">
        <f t="shared" si="1216"/>
        <v>0</v>
      </c>
      <c r="AD1200" s="5">
        <f t="shared" si="1216"/>
        <v>0</v>
      </c>
      <c r="AE1200" s="5">
        <f t="shared" si="1216"/>
        <v>0</v>
      </c>
      <c r="AF1200" s="5">
        <f t="shared" si="1216"/>
        <v>0</v>
      </c>
      <c r="AG1200" s="5">
        <f t="shared" si="1216"/>
        <v>0</v>
      </c>
      <c r="AH1200" s="5">
        <f t="shared" si="1216"/>
        <v>0</v>
      </c>
    </row>
    <row r="1201" spans="1:34" x14ac:dyDescent="0.35">
      <c r="A1201" t="s">
        <v>1221</v>
      </c>
      <c r="B1201" s="3" t="s">
        <v>1266</v>
      </c>
      <c r="C1201" s="4" t="s">
        <v>1266</v>
      </c>
      <c r="D1201" s="2">
        <f t="shared" si="1171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ref="W1201:AH1201" si="1217">IF(OR((SLOPE($E1201:$V1201,$E$1:$V$1)*W$1+INTERCEPT($E1201:$V1201,$E$1:$V$1))&gt;(AVERAGE($E1201:$V1201)+_xlfn.STDEV.P($E1201:$V1201)),(SLOPE($E1201:$V1201,$E$1:$V$1)*W$1+INTERCEPT($E1201:$V1201,$E$1:$V$1))&lt;(AVERAGE($E1201:$V1201)-_xlfn.STDEV.P($E1201:$V1201))),V1201,(SLOPE($E1201:$V1201,$E$1:$V$1)*W$1+INTERCEPT($E1201:$V1201,$E$1:$V$1)))</f>
        <v>0</v>
      </c>
      <c r="X1201" s="5">
        <f t="shared" si="1217"/>
        <v>0</v>
      </c>
      <c r="Y1201" s="5">
        <f t="shared" si="1217"/>
        <v>0</v>
      </c>
      <c r="Z1201" s="5">
        <f t="shared" si="1217"/>
        <v>0</v>
      </c>
      <c r="AA1201" s="5">
        <f t="shared" si="1217"/>
        <v>0</v>
      </c>
      <c r="AB1201" s="5">
        <f t="shared" si="1217"/>
        <v>0</v>
      </c>
      <c r="AC1201" s="5">
        <f t="shared" si="1217"/>
        <v>0</v>
      </c>
      <c r="AD1201" s="5">
        <f t="shared" si="1217"/>
        <v>0</v>
      </c>
      <c r="AE1201" s="5">
        <f t="shared" si="1217"/>
        <v>0</v>
      </c>
      <c r="AF1201" s="5">
        <f t="shared" si="1217"/>
        <v>0</v>
      </c>
      <c r="AG1201" s="5">
        <f t="shared" si="1217"/>
        <v>0</v>
      </c>
      <c r="AH1201" s="5">
        <f t="shared" si="1217"/>
        <v>0</v>
      </c>
    </row>
    <row r="1202" spans="1:34" x14ac:dyDescent="0.35">
      <c r="A1202" t="s">
        <v>1222</v>
      </c>
      <c r="B1202" s="3" t="s">
        <v>1266</v>
      </c>
      <c r="C1202" s="4" t="s">
        <v>1266</v>
      </c>
      <c r="D1202" s="2">
        <f t="shared" si="1171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ref="W1202:AH1202" si="1218">IF(OR((SLOPE($E1202:$V1202,$E$1:$V$1)*W$1+INTERCEPT($E1202:$V1202,$E$1:$V$1))&gt;(AVERAGE($E1202:$V1202)+_xlfn.STDEV.P($E1202:$V1202)),(SLOPE($E1202:$V1202,$E$1:$V$1)*W$1+INTERCEPT($E1202:$V1202,$E$1:$V$1))&lt;(AVERAGE($E1202:$V1202)-_xlfn.STDEV.P($E1202:$V1202))),V1202,(SLOPE($E1202:$V1202,$E$1:$V$1)*W$1+INTERCEPT($E1202:$V1202,$E$1:$V$1)))</f>
        <v>0</v>
      </c>
      <c r="X1202" s="5">
        <f t="shared" si="1218"/>
        <v>0</v>
      </c>
      <c r="Y1202" s="5">
        <f t="shared" si="1218"/>
        <v>0</v>
      </c>
      <c r="Z1202" s="5">
        <f t="shared" si="1218"/>
        <v>0</v>
      </c>
      <c r="AA1202" s="5">
        <f t="shared" si="1218"/>
        <v>0</v>
      </c>
      <c r="AB1202" s="5">
        <f t="shared" si="1218"/>
        <v>0</v>
      </c>
      <c r="AC1202" s="5">
        <f t="shared" si="1218"/>
        <v>0</v>
      </c>
      <c r="AD1202" s="5">
        <f t="shared" si="1218"/>
        <v>0</v>
      </c>
      <c r="AE1202" s="5">
        <f t="shared" si="1218"/>
        <v>0</v>
      </c>
      <c r="AF1202" s="5">
        <f t="shared" si="1218"/>
        <v>0</v>
      </c>
      <c r="AG1202" s="5">
        <f t="shared" si="1218"/>
        <v>0</v>
      </c>
      <c r="AH1202" s="5">
        <f t="shared" si="1218"/>
        <v>0</v>
      </c>
    </row>
    <row r="1203" spans="1:34" x14ac:dyDescent="0.35">
      <c r="A1203" t="s">
        <v>1223</v>
      </c>
      <c r="B1203" s="3" t="s">
        <v>1266</v>
      </c>
      <c r="C1203" s="4" t="s">
        <v>1266</v>
      </c>
      <c r="D1203" s="2">
        <f t="shared" si="1171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ref="W1203:AH1203" si="1219">IF(OR((SLOPE($E1203:$V1203,$E$1:$V$1)*W$1+INTERCEPT($E1203:$V1203,$E$1:$V$1))&gt;(AVERAGE($E1203:$V1203)+_xlfn.STDEV.P($E1203:$V1203)),(SLOPE($E1203:$V1203,$E$1:$V$1)*W$1+INTERCEPT($E1203:$V1203,$E$1:$V$1))&lt;(AVERAGE($E1203:$V1203)-_xlfn.STDEV.P($E1203:$V1203))),V1203,(SLOPE($E1203:$V1203,$E$1:$V$1)*W$1+INTERCEPT($E1203:$V1203,$E$1:$V$1)))</f>
        <v>0</v>
      </c>
      <c r="X1203" s="5">
        <f t="shared" si="1219"/>
        <v>0</v>
      </c>
      <c r="Y1203" s="5">
        <f t="shared" si="1219"/>
        <v>0</v>
      </c>
      <c r="Z1203" s="5">
        <f t="shared" si="1219"/>
        <v>0</v>
      </c>
      <c r="AA1203" s="5">
        <f t="shared" si="1219"/>
        <v>0</v>
      </c>
      <c r="AB1203" s="5">
        <f t="shared" si="1219"/>
        <v>0</v>
      </c>
      <c r="AC1203" s="5">
        <f t="shared" si="1219"/>
        <v>0</v>
      </c>
      <c r="AD1203" s="5">
        <f t="shared" si="1219"/>
        <v>0</v>
      </c>
      <c r="AE1203" s="5">
        <f t="shared" si="1219"/>
        <v>0</v>
      </c>
      <c r="AF1203" s="5">
        <f t="shared" si="1219"/>
        <v>0</v>
      </c>
      <c r="AG1203" s="5">
        <f t="shared" si="1219"/>
        <v>0</v>
      </c>
      <c r="AH1203" s="5">
        <f t="shared" si="1219"/>
        <v>0</v>
      </c>
    </row>
    <row r="1204" spans="1:34" x14ac:dyDescent="0.35">
      <c r="A1204" t="s">
        <v>1224</v>
      </c>
      <c r="B1204" s="3" t="s">
        <v>1266</v>
      </c>
      <c r="C1204" s="4" t="s">
        <v>1266</v>
      </c>
      <c r="D1204" s="2">
        <f t="shared" si="1171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ref="W1204:AH1204" si="1220">IF(OR((SLOPE($E1204:$V1204,$E$1:$V$1)*W$1+INTERCEPT($E1204:$V1204,$E$1:$V$1))&gt;(AVERAGE($E1204:$V1204)+_xlfn.STDEV.P($E1204:$V1204)),(SLOPE($E1204:$V1204,$E$1:$V$1)*W$1+INTERCEPT($E1204:$V1204,$E$1:$V$1))&lt;(AVERAGE($E1204:$V1204)-_xlfn.STDEV.P($E1204:$V1204))),V1204,(SLOPE($E1204:$V1204,$E$1:$V$1)*W$1+INTERCEPT($E1204:$V1204,$E$1:$V$1)))</f>
        <v>0</v>
      </c>
      <c r="X1204" s="5">
        <f t="shared" si="1220"/>
        <v>0</v>
      </c>
      <c r="Y1204" s="5">
        <f t="shared" si="1220"/>
        <v>0</v>
      </c>
      <c r="Z1204" s="5">
        <f t="shared" si="1220"/>
        <v>0</v>
      </c>
      <c r="AA1204" s="5">
        <f t="shared" si="1220"/>
        <v>0</v>
      </c>
      <c r="AB1204" s="5">
        <f t="shared" si="1220"/>
        <v>0</v>
      </c>
      <c r="AC1204" s="5">
        <f t="shared" si="1220"/>
        <v>0</v>
      </c>
      <c r="AD1204" s="5">
        <f t="shared" si="1220"/>
        <v>0</v>
      </c>
      <c r="AE1204" s="5">
        <f t="shared" si="1220"/>
        <v>0</v>
      </c>
      <c r="AF1204" s="5">
        <f t="shared" si="1220"/>
        <v>0</v>
      </c>
      <c r="AG1204" s="5">
        <f t="shared" si="1220"/>
        <v>0</v>
      </c>
      <c r="AH1204" s="5">
        <f t="shared" si="1220"/>
        <v>0</v>
      </c>
    </row>
    <row r="1205" spans="1:34" x14ac:dyDescent="0.35">
      <c r="A1205" t="s">
        <v>1225</v>
      </c>
      <c r="B1205" s="3" t="s">
        <v>1266</v>
      </c>
      <c r="C1205" s="4" t="s">
        <v>1266</v>
      </c>
      <c r="D1205" s="2">
        <f t="shared" si="1171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H1205" si="1221">IF(OR((SLOPE($E1205:$V1205,$E$1:$V$1)*W$1+INTERCEPT($E1205:$V1205,$E$1:$V$1))&gt;(AVERAGE($E1205:$V1205)+_xlfn.STDEV.P($E1205:$V1205)),(SLOPE($E1205:$V1205,$E$1:$V$1)*W$1+INTERCEPT($E1205:$V1205,$E$1:$V$1))&lt;(AVERAGE($E1205:$V1205)-_xlfn.STDEV.P($E1205:$V1205))),V1205,(SLOPE($E1205:$V1205,$E$1:$V$1)*W$1+INTERCEPT($E1205:$V1205,$E$1:$V$1)))</f>
        <v>0</v>
      </c>
      <c r="X1205" s="5">
        <f t="shared" si="1221"/>
        <v>0</v>
      </c>
      <c r="Y1205" s="5">
        <f t="shared" si="1221"/>
        <v>0</v>
      </c>
      <c r="Z1205" s="5">
        <f t="shared" si="1221"/>
        <v>0</v>
      </c>
      <c r="AA1205" s="5">
        <f t="shared" si="1221"/>
        <v>0</v>
      </c>
      <c r="AB1205" s="5">
        <f t="shared" si="1221"/>
        <v>0</v>
      </c>
      <c r="AC1205" s="5">
        <f t="shared" si="1221"/>
        <v>0</v>
      </c>
      <c r="AD1205" s="5">
        <f t="shared" si="1221"/>
        <v>0</v>
      </c>
      <c r="AE1205" s="5">
        <f t="shared" si="1221"/>
        <v>0</v>
      </c>
      <c r="AF1205" s="5">
        <f t="shared" si="1221"/>
        <v>0</v>
      </c>
      <c r="AG1205" s="5">
        <f t="shared" si="1221"/>
        <v>0</v>
      </c>
      <c r="AH1205" s="5">
        <f t="shared" si="1221"/>
        <v>0</v>
      </c>
    </row>
    <row r="1206" spans="1:34" x14ac:dyDescent="0.35">
      <c r="A1206" t="s">
        <v>1226</v>
      </c>
      <c r="B1206" s="3" t="s">
        <v>1266</v>
      </c>
      <c r="C1206" s="4" t="s">
        <v>1266</v>
      </c>
      <c r="D1206" s="2">
        <f t="shared" si="1171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ref="W1206:AH1206" si="1222">IF(OR((SLOPE($E1206:$V1206,$E$1:$V$1)*W$1+INTERCEPT($E1206:$V1206,$E$1:$V$1))&gt;(AVERAGE($E1206:$V1206)+_xlfn.STDEV.P($E1206:$V1206)),(SLOPE($E1206:$V1206,$E$1:$V$1)*W$1+INTERCEPT($E1206:$V1206,$E$1:$V$1))&lt;(AVERAGE($E1206:$V1206)-_xlfn.STDEV.P($E1206:$V1206))),V1206,(SLOPE($E1206:$V1206,$E$1:$V$1)*W$1+INTERCEPT($E1206:$V1206,$E$1:$V$1)))</f>
        <v>0</v>
      </c>
      <c r="X1206" s="5">
        <f t="shared" si="1222"/>
        <v>0</v>
      </c>
      <c r="Y1206" s="5">
        <f t="shared" si="1222"/>
        <v>0</v>
      </c>
      <c r="Z1206" s="5">
        <f t="shared" si="1222"/>
        <v>0</v>
      </c>
      <c r="AA1206" s="5">
        <f t="shared" si="1222"/>
        <v>0</v>
      </c>
      <c r="AB1206" s="5">
        <f t="shared" si="1222"/>
        <v>0</v>
      </c>
      <c r="AC1206" s="5">
        <f t="shared" si="1222"/>
        <v>0</v>
      </c>
      <c r="AD1206" s="5">
        <f t="shared" si="1222"/>
        <v>0</v>
      </c>
      <c r="AE1206" s="5">
        <f t="shared" si="1222"/>
        <v>0</v>
      </c>
      <c r="AF1206" s="5">
        <f t="shared" si="1222"/>
        <v>0</v>
      </c>
      <c r="AG1206" s="5">
        <f t="shared" si="1222"/>
        <v>0</v>
      </c>
      <c r="AH1206" s="5">
        <f t="shared" si="1222"/>
        <v>0</v>
      </c>
    </row>
    <row r="1207" spans="1:34" x14ac:dyDescent="0.35">
      <c r="A1207" t="s">
        <v>1227</v>
      </c>
      <c r="B1207" s="3" t="s">
        <v>1266</v>
      </c>
      <c r="C1207" s="4" t="s">
        <v>1267</v>
      </c>
      <c r="D1207" s="2">
        <f t="shared" si="1171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ref="W1207:AH1207" si="1223">IF(OR((SLOPE($E1207:$V1207,$E$1:$V$1)*W$1+INTERCEPT($E1207:$V1207,$E$1:$V$1))&gt;(AVERAGE($E1207:$V1207)+_xlfn.STDEV.P($E1207:$V1207)),(SLOPE($E1207:$V1207,$E$1:$V$1)*W$1+INTERCEPT($E1207:$V1207,$E$1:$V$1))&lt;(AVERAGE($E1207:$V1207)-_xlfn.STDEV.P($E1207:$V1207))),V1207,(SLOPE($E1207:$V1207,$E$1:$V$1)*W$1+INTERCEPT($E1207:$V1207,$E$1:$V$1)))</f>
        <v>0</v>
      </c>
      <c r="X1207" s="5">
        <f t="shared" si="1223"/>
        <v>0</v>
      </c>
      <c r="Y1207" s="5">
        <f t="shared" si="1223"/>
        <v>0</v>
      </c>
      <c r="Z1207" s="5">
        <f t="shared" si="1223"/>
        <v>0</v>
      </c>
      <c r="AA1207" s="5">
        <f t="shared" si="1223"/>
        <v>0</v>
      </c>
      <c r="AB1207" s="5">
        <f t="shared" si="1223"/>
        <v>0</v>
      </c>
      <c r="AC1207" s="5">
        <f t="shared" si="1223"/>
        <v>0</v>
      </c>
      <c r="AD1207" s="5">
        <f t="shared" si="1223"/>
        <v>0</v>
      </c>
      <c r="AE1207" s="5">
        <f t="shared" si="1223"/>
        <v>0</v>
      </c>
      <c r="AF1207" s="5">
        <f t="shared" si="1223"/>
        <v>0</v>
      </c>
      <c r="AG1207" s="5">
        <f t="shared" si="1223"/>
        <v>0</v>
      </c>
      <c r="AH1207" s="5">
        <f t="shared" si="1223"/>
        <v>0</v>
      </c>
    </row>
    <row r="1208" spans="1:34" x14ac:dyDescent="0.35">
      <c r="A1208" t="s">
        <v>1228</v>
      </c>
      <c r="B1208" s="3" t="s">
        <v>1266</v>
      </c>
      <c r="C1208" s="4" t="s">
        <v>1266</v>
      </c>
      <c r="D1208" s="2">
        <f t="shared" si="1171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ref="W1208:AH1208" si="1224">IF(OR((SLOPE($E1208:$V1208,$E$1:$V$1)*W$1+INTERCEPT($E1208:$V1208,$E$1:$V$1))&gt;(AVERAGE($E1208:$V1208)+_xlfn.STDEV.P($E1208:$V1208)),(SLOPE($E1208:$V1208,$E$1:$V$1)*W$1+INTERCEPT($E1208:$V1208,$E$1:$V$1))&lt;(AVERAGE($E1208:$V1208)-_xlfn.STDEV.P($E1208:$V1208))),V1208,(SLOPE($E1208:$V1208,$E$1:$V$1)*W$1+INTERCEPT($E1208:$V1208,$E$1:$V$1)))</f>
        <v>0</v>
      </c>
      <c r="X1208" s="5">
        <f t="shared" si="1224"/>
        <v>0</v>
      </c>
      <c r="Y1208" s="5">
        <f t="shared" si="1224"/>
        <v>0</v>
      </c>
      <c r="Z1208" s="5">
        <f t="shared" si="1224"/>
        <v>0</v>
      </c>
      <c r="AA1208" s="5">
        <f t="shared" si="1224"/>
        <v>0</v>
      </c>
      <c r="AB1208" s="5">
        <f t="shared" si="1224"/>
        <v>0</v>
      </c>
      <c r="AC1208" s="5">
        <f t="shared" si="1224"/>
        <v>0</v>
      </c>
      <c r="AD1208" s="5">
        <f t="shared" si="1224"/>
        <v>0</v>
      </c>
      <c r="AE1208" s="5">
        <f t="shared" si="1224"/>
        <v>0</v>
      </c>
      <c r="AF1208" s="5">
        <f t="shared" si="1224"/>
        <v>0</v>
      </c>
      <c r="AG1208" s="5">
        <f t="shared" si="1224"/>
        <v>0</v>
      </c>
      <c r="AH1208" s="5">
        <f t="shared" si="1224"/>
        <v>0</v>
      </c>
    </row>
    <row r="1209" spans="1:34" x14ac:dyDescent="0.35">
      <c r="A1209" t="s">
        <v>1229</v>
      </c>
      <c r="B1209" s="3" t="s">
        <v>1264</v>
      </c>
      <c r="C1209" s="4" t="s">
        <v>1267</v>
      </c>
      <c r="D1209" s="2">
        <f t="shared" si="1171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ref="W1209:AH1209" si="1225">IF(OR((SLOPE($E1209:$V1209,$E$1:$V$1)*W$1+INTERCEPT($E1209:$V1209,$E$1:$V$1))&gt;(AVERAGE($E1209:$V1209)+_xlfn.STDEV.P($E1209:$V1209)),(SLOPE($E1209:$V1209,$E$1:$V$1)*W$1+INTERCEPT($E1209:$V1209,$E$1:$V$1))&lt;(AVERAGE($E1209:$V1209)-_xlfn.STDEV.P($E1209:$V1209))),V1209,(SLOPE($E1209:$V1209,$E$1:$V$1)*W$1+INTERCEPT($E1209:$V1209,$E$1:$V$1)))</f>
        <v>0</v>
      </c>
      <c r="X1209" s="5">
        <f t="shared" si="1225"/>
        <v>0</v>
      </c>
      <c r="Y1209" s="5">
        <f t="shared" si="1225"/>
        <v>0</v>
      </c>
      <c r="Z1209" s="5">
        <f t="shared" si="1225"/>
        <v>0</v>
      </c>
      <c r="AA1209" s="5">
        <f t="shared" si="1225"/>
        <v>0</v>
      </c>
      <c r="AB1209" s="5">
        <f t="shared" si="1225"/>
        <v>0</v>
      </c>
      <c r="AC1209" s="5">
        <f t="shared" si="1225"/>
        <v>0</v>
      </c>
      <c r="AD1209" s="5">
        <f t="shared" si="1225"/>
        <v>0</v>
      </c>
      <c r="AE1209" s="5">
        <f t="shared" si="1225"/>
        <v>0</v>
      </c>
      <c r="AF1209" s="5">
        <f t="shared" si="1225"/>
        <v>0</v>
      </c>
      <c r="AG1209" s="5">
        <f t="shared" si="1225"/>
        <v>0</v>
      </c>
      <c r="AH1209" s="5">
        <f t="shared" si="1225"/>
        <v>0</v>
      </c>
    </row>
    <row r="1210" spans="1:34" x14ac:dyDescent="0.35">
      <c r="A1210" t="s">
        <v>1230</v>
      </c>
      <c r="B1210" s="3" t="s">
        <v>1264</v>
      </c>
      <c r="C1210" s="4" t="s">
        <v>1267</v>
      </c>
      <c r="D1210" s="2">
        <f t="shared" si="1171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ref="W1210:AH1210" si="1226">IF(OR((SLOPE($E1210:$V1210,$E$1:$V$1)*W$1+INTERCEPT($E1210:$V1210,$E$1:$V$1))&gt;(AVERAGE($E1210:$V1210)+_xlfn.STDEV.P($E1210:$V1210)),(SLOPE($E1210:$V1210,$E$1:$V$1)*W$1+INTERCEPT($E1210:$V1210,$E$1:$V$1))&lt;(AVERAGE($E1210:$V1210)-_xlfn.STDEV.P($E1210:$V1210))),V1210,(SLOPE($E1210:$V1210,$E$1:$V$1)*W$1+INTERCEPT($E1210:$V1210,$E$1:$V$1)))</f>
        <v>0</v>
      </c>
      <c r="X1210" s="5">
        <f t="shared" si="1226"/>
        <v>0</v>
      </c>
      <c r="Y1210" s="5">
        <f t="shared" si="1226"/>
        <v>0</v>
      </c>
      <c r="Z1210" s="5">
        <f t="shared" si="1226"/>
        <v>0</v>
      </c>
      <c r="AA1210" s="5">
        <f t="shared" si="1226"/>
        <v>0</v>
      </c>
      <c r="AB1210" s="5">
        <f t="shared" si="1226"/>
        <v>0</v>
      </c>
      <c r="AC1210" s="5">
        <f t="shared" si="1226"/>
        <v>0</v>
      </c>
      <c r="AD1210" s="5">
        <f t="shared" si="1226"/>
        <v>0</v>
      </c>
      <c r="AE1210" s="5">
        <f t="shared" si="1226"/>
        <v>0</v>
      </c>
      <c r="AF1210" s="5">
        <f t="shared" si="1226"/>
        <v>0</v>
      </c>
      <c r="AG1210" s="5">
        <f t="shared" si="1226"/>
        <v>0</v>
      </c>
      <c r="AH1210" s="5">
        <f t="shared" si="1226"/>
        <v>0</v>
      </c>
    </row>
    <row r="1211" spans="1:34" x14ac:dyDescent="0.35">
      <c r="A1211" t="s">
        <v>1231</v>
      </c>
      <c r="B1211" s="3" t="s">
        <v>1264</v>
      </c>
      <c r="C1211" s="4" t="s">
        <v>1267</v>
      </c>
      <c r="D1211" s="2">
        <f t="shared" si="1171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ref="W1211:AH1211" si="1227">IF(OR((SLOPE($E1211:$V1211,$E$1:$V$1)*W$1+INTERCEPT($E1211:$V1211,$E$1:$V$1))&gt;(AVERAGE($E1211:$V1211)+_xlfn.STDEV.P($E1211:$V1211)),(SLOPE($E1211:$V1211,$E$1:$V$1)*W$1+INTERCEPT($E1211:$V1211,$E$1:$V$1))&lt;(AVERAGE($E1211:$V1211)-_xlfn.STDEV.P($E1211:$V1211))),V1211,(SLOPE($E1211:$V1211,$E$1:$V$1)*W$1+INTERCEPT($E1211:$V1211,$E$1:$V$1)))</f>
        <v>0</v>
      </c>
      <c r="X1211" s="5">
        <f t="shared" si="1227"/>
        <v>0</v>
      </c>
      <c r="Y1211" s="5">
        <f t="shared" si="1227"/>
        <v>0</v>
      </c>
      <c r="Z1211" s="5">
        <f t="shared" si="1227"/>
        <v>0</v>
      </c>
      <c r="AA1211" s="5">
        <f t="shared" si="1227"/>
        <v>0</v>
      </c>
      <c r="AB1211" s="5">
        <f t="shared" si="1227"/>
        <v>0</v>
      </c>
      <c r="AC1211" s="5">
        <f t="shared" si="1227"/>
        <v>0</v>
      </c>
      <c r="AD1211" s="5">
        <f t="shared" si="1227"/>
        <v>0</v>
      </c>
      <c r="AE1211" s="5">
        <f t="shared" si="1227"/>
        <v>0</v>
      </c>
      <c r="AF1211" s="5">
        <f t="shared" si="1227"/>
        <v>0</v>
      </c>
      <c r="AG1211" s="5">
        <f t="shared" si="1227"/>
        <v>0</v>
      </c>
      <c r="AH1211" s="5">
        <f t="shared" si="1227"/>
        <v>0</v>
      </c>
    </row>
    <row r="1212" spans="1:34" x14ac:dyDescent="0.35">
      <c r="A1212" t="s">
        <v>1232</v>
      </c>
      <c r="B1212" s="3" t="s">
        <v>1266</v>
      </c>
      <c r="C1212" s="4" t="s">
        <v>1267</v>
      </c>
      <c r="D1212" s="2">
        <f t="shared" si="1171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ref="W1212:AH1212" si="1228">IF(OR((SLOPE($E1212:$V1212,$E$1:$V$1)*W$1+INTERCEPT($E1212:$V1212,$E$1:$V$1))&gt;(AVERAGE($E1212:$V1212)+_xlfn.STDEV.P($E1212:$V1212)),(SLOPE($E1212:$V1212,$E$1:$V$1)*W$1+INTERCEPT($E1212:$V1212,$E$1:$V$1))&lt;(AVERAGE($E1212:$V1212)-_xlfn.STDEV.P($E1212:$V1212))),V1212,(SLOPE($E1212:$V1212,$E$1:$V$1)*W$1+INTERCEPT($E1212:$V1212,$E$1:$V$1)))</f>
        <v>0</v>
      </c>
      <c r="X1212" s="5">
        <f t="shared" si="1228"/>
        <v>0</v>
      </c>
      <c r="Y1212" s="5">
        <f t="shared" si="1228"/>
        <v>0</v>
      </c>
      <c r="Z1212" s="5">
        <f t="shared" si="1228"/>
        <v>0</v>
      </c>
      <c r="AA1212" s="5">
        <f t="shared" si="1228"/>
        <v>0</v>
      </c>
      <c r="AB1212" s="5">
        <f t="shared" si="1228"/>
        <v>0</v>
      </c>
      <c r="AC1212" s="5">
        <f t="shared" si="1228"/>
        <v>0</v>
      </c>
      <c r="AD1212" s="5">
        <f t="shared" si="1228"/>
        <v>0</v>
      </c>
      <c r="AE1212" s="5">
        <f t="shared" si="1228"/>
        <v>0</v>
      </c>
      <c r="AF1212" s="5">
        <f t="shared" si="1228"/>
        <v>0</v>
      </c>
      <c r="AG1212" s="5">
        <f t="shared" si="1228"/>
        <v>0</v>
      </c>
      <c r="AH1212" s="5">
        <f t="shared" si="1228"/>
        <v>0</v>
      </c>
    </row>
    <row r="1213" spans="1:34" x14ac:dyDescent="0.35">
      <c r="A1213" t="s">
        <v>1233</v>
      </c>
      <c r="B1213" s="3" t="s">
        <v>1266</v>
      </c>
      <c r="C1213" s="4" t="s">
        <v>1266</v>
      </c>
      <c r="D1213" s="2">
        <f t="shared" si="1171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ref="W1213:AH1213" si="1229">IF(OR((SLOPE($E1213:$V1213,$E$1:$V$1)*W$1+INTERCEPT($E1213:$V1213,$E$1:$V$1))&gt;(AVERAGE($E1213:$V1213)+_xlfn.STDEV.P($E1213:$V1213)),(SLOPE($E1213:$V1213,$E$1:$V$1)*W$1+INTERCEPT($E1213:$V1213,$E$1:$V$1))&lt;(AVERAGE($E1213:$V1213)-_xlfn.STDEV.P($E1213:$V1213))),V1213,(SLOPE($E1213:$V1213,$E$1:$V$1)*W$1+INTERCEPT($E1213:$V1213,$E$1:$V$1)))</f>
        <v>0</v>
      </c>
      <c r="X1213" s="5">
        <f t="shared" si="1229"/>
        <v>0</v>
      </c>
      <c r="Y1213" s="5">
        <f t="shared" si="1229"/>
        <v>0</v>
      </c>
      <c r="Z1213" s="5">
        <f t="shared" si="1229"/>
        <v>0</v>
      </c>
      <c r="AA1213" s="5">
        <f t="shared" si="1229"/>
        <v>0</v>
      </c>
      <c r="AB1213" s="5">
        <f t="shared" si="1229"/>
        <v>0</v>
      </c>
      <c r="AC1213" s="5">
        <f t="shared" si="1229"/>
        <v>0</v>
      </c>
      <c r="AD1213" s="5">
        <f t="shared" si="1229"/>
        <v>0</v>
      </c>
      <c r="AE1213" s="5">
        <f t="shared" si="1229"/>
        <v>0</v>
      </c>
      <c r="AF1213" s="5">
        <f t="shared" si="1229"/>
        <v>0</v>
      </c>
      <c r="AG1213" s="5">
        <f t="shared" si="1229"/>
        <v>0</v>
      </c>
      <c r="AH1213" s="5">
        <f t="shared" si="1229"/>
        <v>0</v>
      </c>
    </row>
    <row r="1214" spans="1:34" x14ac:dyDescent="0.35">
      <c r="A1214" t="s">
        <v>1234</v>
      </c>
      <c r="B1214" s="3" t="s">
        <v>1266</v>
      </c>
      <c r="C1214" s="4" t="s">
        <v>1266</v>
      </c>
      <c r="D1214" s="2">
        <f t="shared" si="1171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ref="W1214:AH1214" si="1230">IF(OR((SLOPE($E1214:$V1214,$E$1:$V$1)*W$1+INTERCEPT($E1214:$V1214,$E$1:$V$1))&gt;(AVERAGE($E1214:$V1214)+_xlfn.STDEV.P($E1214:$V1214)),(SLOPE($E1214:$V1214,$E$1:$V$1)*W$1+INTERCEPT($E1214:$V1214,$E$1:$V$1))&lt;(AVERAGE($E1214:$V1214)-_xlfn.STDEV.P($E1214:$V1214))),V1214,(SLOPE($E1214:$V1214,$E$1:$V$1)*W$1+INTERCEPT($E1214:$V1214,$E$1:$V$1)))</f>
        <v>0</v>
      </c>
      <c r="X1214" s="5">
        <f t="shared" si="1230"/>
        <v>0</v>
      </c>
      <c r="Y1214" s="5">
        <f t="shared" si="1230"/>
        <v>0</v>
      </c>
      <c r="Z1214" s="5">
        <f t="shared" si="1230"/>
        <v>0</v>
      </c>
      <c r="AA1214" s="5">
        <f t="shared" si="1230"/>
        <v>0</v>
      </c>
      <c r="AB1214" s="5">
        <f t="shared" si="1230"/>
        <v>0</v>
      </c>
      <c r="AC1214" s="5">
        <f t="shared" si="1230"/>
        <v>0</v>
      </c>
      <c r="AD1214" s="5">
        <f t="shared" si="1230"/>
        <v>0</v>
      </c>
      <c r="AE1214" s="5">
        <f t="shared" si="1230"/>
        <v>0</v>
      </c>
      <c r="AF1214" s="5">
        <f t="shared" si="1230"/>
        <v>0</v>
      </c>
      <c r="AG1214" s="5">
        <f t="shared" si="1230"/>
        <v>0</v>
      </c>
      <c r="AH1214" s="5">
        <f t="shared" si="1230"/>
        <v>0</v>
      </c>
    </row>
    <row r="1215" spans="1:34" x14ac:dyDescent="0.35">
      <c r="A1215" t="s">
        <v>1235</v>
      </c>
      <c r="B1215" s="3" t="s">
        <v>1266</v>
      </c>
      <c r="C1215" s="4" t="s">
        <v>1266</v>
      </c>
      <c r="D1215" s="2">
        <f t="shared" si="1171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ref="W1215:AH1215" si="1231">IF(OR((SLOPE($E1215:$V1215,$E$1:$V$1)*W$1+INTERCEPT($E1215:$V1215,$E$1:$V$1))&gt;(AVERAGE($E1215:$V1215)+_xlfn.STDEV.P($E1215:$V1215)),(SLOPE($E1215:$V1215,$E$1:$V$1)*W$1+INTERCEPT($E1215:$V1215,$E$1:$V$1))&lt;(AVERAGE($E1215:$V1215)-_xlfn.STDEV.P($E1215:$V1215))),V1215,(SLOPE($E1215:$V1215,$E$1:$V$1)*W$1+INTERCEPT($E1215:$V1215,$E$1:$V$1)))</f>
        <v>0</v>
      </c>
      <c r="X1215" s="5">
        <f t="shared" si="1231"/>
        <v>0</v>
      </c>
      <c r="Y1215" s="5">
        <f t="shared" si="1231"/>
        <v>0</v>
      </c>
      <c r="Z1215" s="5">
        <f t="shared" si="1231"/>
        <v>0</v>
      </c>
      <c r="AA1215" s="5">
        <f t="shared" si="1231"/>
        <v>0</v>
      </c>
      <c r="AB1215" s="5">
        <f t="shared" si="1231"/>
        <v>0</v>
      </c>
      <c r="AC1215" s="5">
        <f t="shared" si="1231"/>
        <v>0</v>
      </c>
      <c r="AD1215" s="5">
        <f t="shared" si="1231"/>
        <v>0</v>
      </c>
      <c r="AE1215" s="5">
        <f t="shared" si="1231"/>
        <v>0</v>
      </c>
      <c r="AF1215" s="5">
        <f t="shared" si="1231"/>
        <v>0</v>
      </c>
      <c r="AG1215" s="5">
        <f t="shared" si="1231"/>
        <v>0</v>
      </c>
      <c r="AH1215" s="5">
        <f t="shared" si="1231"/>
        <v>0</v>
      </c>
    </row>
    <row r="1216" spans="1:34" x14ac:dyDescent="0.35">
      <c r="A1216" t="s">
        <v>1236</v>
      </c>
      <c r="B1216" s="3" t="s">
        <v>1266</v>
      </c>
      <c r="C1216" s="4" t="s">
        <v>1267</v>
      </c>
      <c r="D1216" s="2">
        <f t="shared" si="1171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ref="W1216:AH1216" si="1232">IF(OR((SLOPE($E1216:$V1216,$E$1:$V$1)*W$1+INTERCEPT($E1216:$V1216,$E$1:$V$1))&gt;(AVERAGE($E1216:$V1216)+_xlfn.STDEV.P($E1216:$V1216)),(SLOPE($E1216:$V1216,$E$1:$V$1)*W$1+INTERCEPT($E1216:$V1216,$E$1:$V$1))&lt;(AVERAGE($E1216:$V1216)-_xlfn.STDEV.P($E1216:$V1216))),V1216,(SLOPE($E1216:$V1216,$E$1:$V$1)*W$1+INTERCEPT($E1216:$V1216,$E$1:$V$1)))</f>
        <v>0</v>
      </c>
      <c r="X1216" s="5">
        <f t="shared" si="1232"/>
        <v>0</v>
      </c>
      <c r="Y1216" s="5">
        <f t="shared" si="1232"/>
        <v>0</v>
      </c>
      <c r="Z1216" s="5">
        <f t="shared" si="1232"/>
        <v>0</v>
      </c>
      <c r="AA1216" s="5">
        <f t="shared" si="1232"/>
        <v>0</v>
      </c>
      <c r="AB1216" s="5">
        <f t="shared" si="1232"/>
        <v>0</v>
      </c>
      <c r="AC1216" s="5">
        <f t="shared" si="1232"/>
        <v>0</v>
      </c>
      <c r="AD1216" s="5">
        <f t="shared" si="1232"/>
        <v>0</v>
      </c>
      <c r="AE1216" s="5">
        <f t="shared" si="1232"/>
        <v>0</v>
      </c>
      <c r="AF1216" s="5">
        <f t="shared" si="1232"/>
        <v>0</v>
      </c>
      <c r="AG1216" s="5">
        <f t="shared" si="1232"/>
        <v>0</v>
      </c>
      <c r="AH1216" s="5">
        <f t="shared" si="1232"/>
        <v>0</v>
      </c>
    </row>
    <row r="1217" spans="1:34" x14ac:dyDescent="0.35">
      <c r="A1217" t="s">
        <v>1237</v>
      </c>
      <c r="B1217" s="3" t="s">
        <v>1266</v>
      </c>
      <c r="C1217" s="4" t="s">
        <v>1266</v>
      </c>
      <c r="D1217" s="2">
        <f t="shared" si="1171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ref="W1217:AH1217" si="1233">IF(OR((SLOPE($E1217:$V1217,$E$1:$V$1)*W$1+INTERCEPT($E1217:$V1217,$E$1:$V$1))&gt;(AVERAGE($E1217:$V1217)+_xlfn.STDEV.P($E1217:$V1217)),(SLOPE($E1217:$V1217,$E$1:$V$1)*W$1+INTERCEPT($E1217:$V1217,$E$1:$V$1))&lt;(AVERAGE($E1217:$V1217)-_xlfn.STDEV.P($E1217:$V1217))),V1217,(SLOPE($E1217:$V1217,$E$1:$V$1)*W$1+INTERCEPT($E1217:$V1217,$E$1:$V$1)))</f>
        <v>0</v>
      </c>
      <c r="X1217" s="5">
        <f t="shared" si="1233"/>
        <v>0</v>
      </c>
      <c r="Y1217" s="5">
        <f t="shared" si="1233"/>
        <v>0</v>
      </c>
      <c r="Z1217" s="5">
        <f t="shared" si="1233"/>
        <v>0</v>
      </c>
      <c r="AA1217" s="5">
        <f t="shared" si="1233"/>
        <v>0</v>
      </c>
      <c r="AB1217" s="5">
        <f t="shared" si="1233"/>
        <v>0</v>
      </c>
      <c r="AC1217" s="5">
        <f t="shared" si="1233"/>
        <v>0</v>
      </c>
      <c r="AD1217" s="5">
        <f t="shared" si="1233"/>
        <v>0</v>
      </c>
      <c r="AE1217" s="5">
        <f t="shared" si="1233"/>
        <v>0</v>
      </c>
      <c r="AF1217" s="5">
        <f t="shared" si="1233"/>
        <v>0</v>
      </c>
      <c r="AG1217" s="5">
        <f t="shared" si="1233"/>
        <v>0</v>
      </c>
      <c r="AH1217" s="5">
        <f t="shared" si="1233"/>
        <v>0</v>
      </c>
    </row>
    <row r="1218" spans="1:34" x14ac:dyDescent="0.35">
      <c r="A1218" t="s">
        <v>1238</v>
      </c>
      <c r="B1218" s="3" t="s">
        <v>1266</v>
      </c>
      <c r="C1218" s="4" t="s">
        <v>1267</v>
      </c>
      <c r="D1218" s="2">
        <f t="shared" si="1171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ref="W1218:AH1218" si="1234">IF(OR((SLOPE($E1218:$V1218,$E$1:$V$1)*W$1+INTERCEPT($E1218:$V1218,$E$1:$V$1))&gt;(AVERAGE($E1218:$V1218)+_xlfn.STDEV.P($E1218:$V1218)),(SLOPE($E1218:$V1218,$E$1:$V$1)*W$1+INTERCEPT($E1218:$V1218,$E$1:$V$1))&lt;(AVERAGE($E1218:$V1218)-_xlfn.STDEV.P($E1218:$V1218))),V1218,(SLOPE($E1218:$V1218,$E$1:$V$1)*W$1+INTERCEPT($E1218:$V1218,$E$1:$V$1)))</f>
        <v>0</v>
      </c>
      <c r="X1218" s="5">
        <f t="shared" si="1234"/>
        <v>0</v>
      </c>
      <c r="Y1218" s="5">
        <f t="shared" si="1234"/>
        <v>0</v>
      </c>
      <c r="Z1218" s="5">
        <f t="shared" si="1234"/>
        <v>0</v>
      </c>
      <c r="AA1218" s="5">
        <f t="shared" si="1234"/>
        <v>0</v>
      </c>
      <c r="AB1218" s="5">
        <f t="shared" si="1234"/>
        <v>0</v>
      </c>
      <c r="AC1218" s="5">
        <f t="shared" si="1234"/>
        <v>0</v>
      </c>
      <c r="AD1218" s="5">
        <f t="shared" si="1234"/>
        <v>0</v>
      </c>
      <c r="AE1218" s="5">
        <f t="shared" si="1234"/>
        <v>0</v>
      </c>
      <c r="AF1218" s="5">
        <f t="shared" si="1234"/>
        <v>0</v>
      </c>
      <c r="AG1218" s="5">
        <f t="shared" si="1234"/>
        <v>0</v>
      </c>
      <c r="AH1218" s="5">
        <f t="shared" si="1234"/>
        <v>0</v>
      </c>
    </row>
    <row r="1219" spans="1:34" x14ac:dyDescent="0.35">
      <c r="A1219" t="s">
        <v>1239</v>
      </c>
      <c r="B1219" s="3" t="s">
        <v>1264</v>
      </c>
      <c r="C1219" s="4" t="s">
        <v>1267</v>
      </c>
      <c r="D1219" s="2">
        <f t="shared" si="1171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ref="W1219:AH1219" si="1235">IF(OR((SLOPE($E1219:$V1219,$E$1:$V$1)*W$1+INTERCEPT($E1219:$V1219,$E$1:$V$1))&gt;(AVERAGE($E1219:$V1219)+_xlfn.STDEV.P($E1219:$V1219)),(SLOPE($E1219:$V1219,$E$1:$V$1)*W$1+INTERCEPT($E1219:$V1219,$E$1:$V$1))&lt;(AVERAGE($E1219:$V1219)-_xlfn.STDEV.P($E1219:$V1219))),V1219,(SLOPE($E1219:$V1219,$E$1:$V$1)*W$1+INTERCEPT($E1219:$V1219,$E$1:$V$1)))</f>
        <v>0</v>
      </c>
      <c r="X1219" s="5">
        <f t="shared" si="1235"/>
        <v>0</v>
      </c>
      <c r="Y1219" s="5">
        <f t="shared" si="1235"/>
        <v>0</v>
      </c>
      <c r="Z1219" s="5">
        <f t="shared" si="1235"/>
        <v>0</v>
      </c>
      <c r="AA1219" s="5">
        <f t="shared" si="1235"/>
        <v>0</v>
      </c>
      <c r="AB1219" s="5">
        <f t="shared" si="1235"/>
        <v>0</v>
      </c>
      <c r="AC1219" s="5">
        <f t="shared" si="1235"/>
        <v>0</v>
      </c>
      <c r="AD1219" s="5">
        <f t="shared" si="1235"/>
        <v>0</v>
      </c>
      <c r="AE1219" s="5">
        <f t="shared" si="1235"/>
        <v>0</v>
      </c>
      <c r="AF1219" s="5">
        <f t="shared" si="1235"/>
        <v>0</v>
      </c>
      <c r="AG1219" s="5">
        <f t="shared" si="1235"/>
        <v>0</v>
      </c>
      <c r="AH1219" s="5">
        <f t="shared" si="1235"/>
        <v>0</v>
      </c>
    </row>
    <row r="1220" spans="1:34" x14ac:dyDescent="0.35">
      <c r="A1220" t="s">
        <v>1240</v>
      </c>
      <c r="B1220" s="3" t="s">
        <v>1266</v>
      </c>
      <c r="C1220" s="4" t="s">
        <v>1267</v>
      </c>
      <c r="D1220" s="2">
        <f t="shared" ref="D1220:D1241" si="123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ref="W1220:AH1220" si="1237">IF(OR((SLOPE($E1220:$V1220,$E$1:$V$1)*W$1+INTERCEPT($E1220:$V1220,$E$1:$V$1))&gt;(AVERAGE($E1220:$V1220)+_xlfn.STDEV.P($E1220:$V1220)),(SLOPE($E1220:$V1220,$E$1:$V$1)*W$1+INTERCEPT($E1220:$V1220,$E$1:$V$1))&lt;(AVERAGE($E1220:$V1220)-_xlfn.STDEV.P($E1220:$V1220))),V1220,(SLOPE($E1220:$V1220,$E$1:$V$1)*W$1+INTERCEPT($E1220:$V1220,$E$1:$V$1)))</f>
        <v>0</v>
      </c>
      <c r="X1220" s="5">
        <f t="shared" si="1237"/>
        <v>0</v>
      </c>
      <c r="Y1220" s="5">
        <f t="shared" si="1237"/>
        <v>0</v>
      </c>
      <c r="Z1220" s="5">
        <f t="shared" si="1237"/>
        <v>0</v>
      </c>
      <c r="AA1220" s="5">
        <f t="shared" si="1237"/>
        <v>0</v>
      </c>
      <c r="AB1220" s="5">
        <f t="shared" si="1237"/>
        <v>0</v>
      </c>
      <c r="AC1220" s="5">
        <f t="shared" si="1237"/>
        <v>0</v>
      </c>
      <c r="AD1220" s="5">
        <f t="shared" si="1237"/>
        <v>0</v>
      </c>
      <c r="AE1220" s="5">
        <f t="shared" si="1237"/>
        <v>0</v>
      </c>
      <c r="AF1220" s="5">
        <f t="shared" si="1237"/>
        <v>0</v>
      </c>
      <c r="AG1220" s="5">
        <f t="shared" si="1237"/>
        <v>0</v>
      </c>
      <c r="AH1220" s="5">
        <f t="shared" si="1237"/>
        <v>0</v>
      </c>
    </row>
    <row r="1221" spans="1:34" x14ac:dyDescent="0.35">
      <c r="A1221" t="s">
        <v>1241</v>
      </c>
      <c r="B1221" s="3" t="s">
        <v>1266</v>
      </c>
      <c r="C1221" s="4" t="s">
        <v>1267</v>
      </c>
      <c r="D1221" s="2">
        <f t="shared" si="123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H1221" si="1238">IF(OR((SLOPE($E1221:$V1221,$E$1:$V$1)*W$1+INTERCEPT($E1221:$V1221,$E$1:$V$1))&gt;(AVERAGE($E1221:$V1221)+_xlfn.STDEV.P($E1221:$V1221)),(SLOPE($E1221:$V1221,$E$1:$V$1)*W$1+INTERCEPT($E1221:$V1221,$E$1:$V$1))&lt;(AVERAGE($E1221:$V1221)-_xlfn.STDEV.P($E1221:$V1221))),V1221,(SLOPE($E1221:$V1221,$E$1:$V$1)*W$1+INTERCEPT($E1221:$V1221,$E$1:$V$1)))</f>
        <v>0</v>
      </c>
      <c r="X1221" s="5">
        <f t="shared" si="1238"/>
        <v>0</v>
      </c>
      <c r="Y1221" s="5">
        <f t="shared" si="1238"/>
        <v>0</v>
      </c>
      <c r="Z1221" s="5">
        <f t="shared" si="1238"/>
        <v>0</v>
      </c>
      <c r="AA1221" s="5">
        <f t="shared" si="1238"/>
        <v>0</v>
      </c>
      <c r="AB1221" s="5">
        <f t="shared" si="1238"/>
        <v>0</v>
      </c>
      <c r="AC1221" s="5">
        <f t="shared" si="1238"/>
        <v>0</v>
      </c>
      <c r="AD1221" s="5">
        <f t="shared" si="1238"/>
        <v>0</v>
      </c>
      <c r="AE1221" s="5">
        <f t="shared" si="1238"/>
        <v>0</v>
      </c>
      <c r="AF1221" s="5">
        <f t="shared" si="1238"/>
        <v>0</v>
      </c>
      <c r="AG1221" s="5">
        <f t="shared" si="1238"/>
        <v>0</v>
      </c>
      <c r="AH1221" s="5">
        <f t="shared" si="1238"/>
        <v>0</v>
      </c>
    </row>
    <row r="1222" spans="1:34" x14ac:dyDescent="0.35">
      <c r="A1222" t="s">
        <v>1242</v>
      </c>
      <c r="B1222" s="3" t="s">
        <v>1266</v>
      </c>
      <c r="C1222" s="4" t="s">
        <v>1266</v>
      </c>
      <c r="D1222" s="2">
        <f t="shared" si="123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ref="W1222:AH1222" si="1239">IF(OR((SLOPE($E1222:$V1222,$E$1:$V$1)*W$1+INTERCEPT($E1222:$V1222,$E$1:$V$1))&gt;(AVERAGE($E1222:$V1222)+_xlfn.STDEV.P($E1222:$V1222)),(SLOPE($E1222:$V1222,$E$1:$V$1)*W$1+INTERCEPT($E1222:$V1222,$E$1:$V$1))&lt;(AVERAGE($E1222:$V1222)-_xlfn.STDEV.P($E1222:$V1222))),V1222,(SLOPE($E1222:$V1222,$E$1:$V$1)*W$1+INTERCEPT($E1222:$V1222,$E$1:$V$1)))</f>
        <v>0</v>
      </c>
      <c r="X1222" s="5">
        <f t="shared" si="1239"/>
        <v>0</v>
      </c>
      <c r="Y1222" s="5">
        <f t="shared" si="1239"/>
        <v>0</v>
      </c>
      <c r="Z1222" s="5">
        <f t="shared" si="1239"/>
        <v>0</v>
      </c>
      <c r="AA1222" s="5">
        <f t="shared" si="1239"/>
        <v>0</v>
      </c>
      <c r="AB1222" s="5">
        <f t="shared" si="1239"/>
        <v>0</v>
      </c>
      <c r="AC1222" s="5">
        <f t="shared" si="1239"/>
        <v>0</v>
      </c>
      <c r="AD1222" s="5">
        <f t="shared" si="1239"/>
        <v>0</v>
      </c>
      <c r="AE1222" s="5">
        <f t="shared" si="1239"/>
        <v>0</v>
      </c>
      <c r="AF1222" s="5">
        <f t="shared" si="1239"/>
        <v>0</v>
      </c>
      <c r="AG1222" s="5">
        <f t="shared" si="1239"/>
        <v>0</v>
      </c>
      <c r="AH1222" s="5">
        <f t="shared" si="1239"/>
        <v>0</v>
      </c>
    </row>
    <row r="1223" spans="1:34" x14ac:dyDescent="0.35">
      <c r="A1223" t="s">
        <v>1243</v>
      </c>
      <c r="B1223" s="3" t="s">
        <v>1266</v>
      </c>
      <c r="C1223" s="4" t="s">
        <v>1266</v>
      </c>
      <c r="D1223" s="2">
        <f t="shared" si="123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ref="W1223:AH1223" si="1240">IF(OR((SLOPE($E1223:$V1223,$E$1:$V$1)*W$1+INTERCEPT($E1223:$V1223,$E$1:$V$1))&gt;(AVERAGE($E1223:$V1223)+_xlfn.STDEV.P($E1223:$V1223)),(SLOPE($E1223:$V1223,$E$1:$V$1)*W$1+INTERCEPT($E1223:$V1223,$E$1:$V$1))&lt;(AVERAGE($E1223:$V1223)-_xlfn.STDEV.P($E1223:$V1223))),V1223,(SLOPE($E1223:$V1223,$E$1:$V$1)*W$1+INTERCEPT($E1223:$V1223,$E$1:$V$1)))</f>
        <v>0</v>
      </c>
      <c r="X1223" s="5">
        <f t="shared" si="1240"/>
        <v>0</v>
      </c>
      <c r="Y1223" s="5">
        <f t="shared" si="1240"/>
        <v>0</v>
      </c>
      <c r="Z1223" s="5">
        <f t="shared" si="1240"/>
        <v>0</v>
      </c>
      <c r="AA1223" s="5">
        <f t="shared" si="1240"/>
        <v>0</v>
      </c>
      <c r="AB1223" s="5">
        <f t="shared" si="1240"/>
        <v>0</v>
      </c>
      <c r="AC1223" s="5">
        <f t="shared" si="1240"/>
        <v>0</v>
      </c>
      <c r="AD1223" s="5">
        <f t="shared" si="1240"/>
        <v>0</v>
      </c>
      <c r="AE1223" s="5">
        <f t="shared" si="1240"/>
        <v>0</v>
      </c>
      <c r="AF1223" s="5">
        <f t="shared" si="1240"/>
        <v>0</v>
      </c>
      <c r="AG1223" s="5">
        <f t="shared" si="1240"/>
        <v>0</v>
      </c>
      <c r="AH1223" s="5">
        <f t="shared" si="1240"/>
        <v>0</v>
      </c>
    </row>
    <row r="1224" spans="1:34" x14ac:dyDescent="0.35">
      <c r="A1224" t="s">
        <v>1244</v>
      </c>
      <c r="B1224" s="3" t="s">
        <v>1266</v>
      </c>
      <c r="C1224" s="4" t="s">
        <v>1266</v>
      </c>
      <c r="D1224" s="2">
        <f t="shared" si="123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ref="W1224:AH1224" si="1241">IF(OR((SLOPE($E1224:$V1224,$E$1:$V$1)*W$1+INTERCEPT($E1224:$V1224,$E$1:$V$1))&gt;(AVERAGE($E1224:$V1224)+_xlfn.STDEV.P($E1224:$V1224)),(SLOPE($E1224:$V1224,$E$1:$V$1)*W$1+INTERCEPT($E1224:$V1224,$E$1:$V$1))&lt;(AVERAGE($E1224:$V1224)-_xlfn.STDEV.P($E1224:$V1224))),V1224,(SLOPE($E1224:$V1224,$E$1:$V$1)*W$1+INTERCEPT($E1224:$V1224,$E$1:$V$1)))</f>
        <v>0</v>
      </c>
      <c r="X1224" s="5">
        <f t="shared" si="1241"/>
        <v>0</v>
      </c>
      <c r="Y1224" s="5">
        <f t="shared" si="1241"/>
        <v>0</v>
      </c>
      <c r="Z1224" s="5">
        <f t="shared" si="1241"/>
        <v>0</v>
      </c>
      <c r="AA1224" s="5">
        <f t="shared" si="1241"/>
        <v>0</v>
      </c>
      <c r="AB1224" s="5">
        <f t="shared" si="1241"/>
        <v>0</v>
      </c>
      <c r="AC1224" s="5">
        <f t="shared" si="1241"/>
        <v>0</v>
      </c>
      <c r="AD1224" s="5">
        <f t="shared" si="1241"/>
        <v>0</v>
      </c>
      <c r="AE1224" s="5">
        <f t="shared" si="1241"/>
        <v>0</v>
      </c>
      <c r="AF1224" s="5">
        <f t="shared" si="1241"/>
        <v>0</v>
      </c>
      <c r="AG1224" s="5">
        <f t="shared" si="1241"/>
        <v>0</v>
      </c>
      <c r="AH1224" s="5">
        <f t="shared" si="1241"/>
        <v>0</v>
      </c>
    </row>
    <row r="1225" spans="1:34" x14ac:dyDescent="0.35">
      <c r="A1225" t="s">
        <v>1245</v>
      </c>
      <c r="B1225" s="3" t="s">
        <v>1266</v>
      </c>
      <c r="C1225" s="4" t="s">
        <v>1266</v>
      </c>
      <c r="D1225" s="2">
        <f t="shared" si="123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ref="W1225:AH1225" si="1242">IF(OR((SLOPE($E1225:$V1225,$E$1:$V$1)*W$1+INTERCEPT($E1225:$V1225,$E$1:$V$1))&gt;(AVERAGE($E1225:$V1225)+_xlfn.STDEV.P($E1225:$V1225)),(SLOPE($E1225:$V1225,$E$1:$V$1)*W$1+INTERCEPT($E1225:$V1225,$E$1:$V$1))&lt;(AVERAGE($E1225:$V1225)-_xlfn.STDEV.P($E1225:$V1225))),V1225,(SLOPE($E1225:$V1225,$E$1:$V$1)*W$1+INTERCEPT($E1225:$V1225,$E$1:$V$1)))</f>
        <v>0</v>
      </c>
      <c r="X1225" s="5">
        <f t="shared" si="1242"/>
        <v>0</v>
      </c>
      <c r="Y1225" s="5">
        <f t="shared" si="1242"/>
        <v>0</v>
      </c>
      <c r="Z1225" s="5">
        <f t="shared" si="1242"/>
        <v>0</v>
      </c>
      <c r="AA1225" s="5">
        <f t="shared" si="1242"/>
        <v>0</v>
      </c>
      <c r="AB1225" s="5">
        <f t="shared" si="1242"/>
        <v>0</v>
      </c>
      <c r="AC1225" s="5">
        <f t="shared" si="1242"/>
        <v>0</v>
      </c>
      <c r="AD1225" s="5">
        <f t="shared" si="1242"/>
        <v>0</v>
      </c>
      <c r="AE1225" s="5">
        <f t="shared" si="1242"/>
        <v>0</v>
      </c>
      <c r="AF1225" s="5">
        <f t="shared" si="1242"/>
        <v>0</v>
      </c>
      <c r="AG1225" s="5">
        <f t="shared" si="1242"/>
        <v>0</v>
      </c>
      <c r="AH1225" s="5">
        <f t="shared" si="1242"/>
        <v>0</v>
      </c>
    </row>
    <row r="1226" spans="1:34" x14ac:dyDescent="0.35">
      <c r="A1226" t="s">
        <v>1246</v>
      </c>
      <c r="B1226" s="3" t="s">
        <v>1266</v>
      </c>
      <c r="C1226" s="4" t="s">
        <v>1267</v>
      </c>
      <c r="D1226" s="2">
        <f t="shared" si="123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ref="W1226:AH1226" si="1243">IF(OR((SLOPE($E1226:$V1226,$E$1:$V$1)*W$1+INTERCEPT($E1226:$V1226,$E$1:$V$1))&gt;(AVERAGE($E1226:$V1226)+_xlfn.STDEV.P($E1226:$V1226)),(SLOPE($E1226:$V1226,$E$1:$V$1)*W$1+INTERCEPT($E1226:$V1226,$E$1:$V$1))&lt;(AVERAGE($E1226:$V1226)-_xlfn.STDEV.P($E1226:$V1226))),V1226,(SLOPE($E1226:$V1226,$E$1:$V$1)*W$1+INTERCEPT($E1226:$V1226,$E$1:$V$1)))</f>
        <v>0</v>
      </c>
      <c r="X1226" s="5">
        <f t="shared" si="1243"/>
        <v>0</v>
      </c>
      <c r="Y1226" s="5">
        <f t="shared" si="1243"/>
        <v>0</v>
      </c>
      <c r="Z1226" s="5">
        <f t="shared" si="1243"/>
        <v>0</v>
      </c>
      <c r="AA1226" s="5">
        <f t="shared" si="1243"/>
        <v>0</v>
      </c>
      <c r="AB1226" s="5">
        <f t="shared" si="1243"/>
        <v>0</v>
      </c>
      <c r="AC1226" s="5">
        <f t="shared" si="1243"/>
        <v>0</v>
      </c>
      <c r="AD1226" s="5">
        <f t="shared" si="1243"/>
        <v>0</v>
      </c>
      <c r="AE1226" s="5">
        <f t="shared" si="1243"/>
        <v>0</v>
      </c>
      <c r="AF1226" s="5">
        <f t="shared" si="1243"/>
        <v>0</v>
      </c>
      <c r="AG1226" s="5">
        <f t="shared" si="1243"/>
        <v>0</v>
      </c>
      <c r="AH1226" s="5">
        <f t="shared" si="1243"/>
        <v>0</v>
      </c>
    </row>
    <row r="1227" spans="1:34" x14ac:dyDescent="0.35">
      <c r="A1227" t="s">
        <v>1247</v>
      </c>
      <c r="B1227" s="3" t="s">
        <v>1266</v>
      </c>
      <c r="C1227" s="4" t="s">
        <v>1267</v>
      </c>
      <c r="D1227" s="2">
        <f t="shared" si="123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ref="W1227:AH1227" si="1244">IF(OR((SLOPE($E1227:$V1227,$E$1:$V$1)*W$1+INTERCEPT($E1227:$V1227,$E$1:$V$1))&gt;(AVERAGE($E1227:$V1227)+_xlfn.STDEV.P($E1227:$V1227)),(SLOPE($E1227:$V1227,$E$1:$V$1)*W$1+INTERCEPT($E1227:$V1227,$E$1:$V$1))&lt;(AVERAGE($E1227:$V1227)-_xlfn.STDEV.P($E1227:$V1227))),V1227,(SLOPE($E1227:$V1227,$E$1:$V$1)*W$1+INTERCEPT($E1227:$V1227,$E$1:$V$1)))</f>
        <v>0</v>
      </c>
      <c r="X1227" s="5">
        <f t="shared" si="1244"/>
        <v>0</v>
      </c>
      <c r="Y1227" s="5">
        <f t="shared" si="1244"/>
        <v>0</v>
      </c>
      <c r="Z1227" s="5">
        <f t="shared" si="1244"/>
        <v>0</v>
      </c>
      <c r="AA1227" s="5">
        <f t="shared" si="1244"/>
        <v>0</v>
      </c>
      <c r="AB1227" s="5">
        <f t="shared" si="1244"/>
        <v>0</v>
      </c>
      <c r="AC1227" s="5">
        <f t="shared" si="1244"/>
        <v>0</v>
      </c>
      <c r="AD1227" s="5">
        <f t="shared" si="1244"/>
        <v>0</v>
      </c>
      <c r="AE1227" s="5">
        <f t="shared" si="1244"/>
        <v>0</v>
      </c>
      <c r="AF1227" s="5">
        <f t="shared" si="1244"/>
        <v>0</v>
      </c>
      <c r="AG1227" s="5">
        <f t="shared" si="1244"/>
        <v>0</v>
      </c>
      <c r="AH1227" s="5">
        <f t="shared" si="1244"/>
        <v>0</v>
      </c>
    </row>
    <row r="1228" spans="1:34" x14ac:dyDescent="0.35">
      <c r="A1228" t="s">
        <v>1248</v>
      </c>
      <c r="B1228" s="3" t="s">
        <v>1266</v>
      </c>
      <c r="C1228" s="4" t="s">
        <v>1267</v>
      </c>
      <c r="D1228" s="2">
        <f t="shared" si="123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ref="W1228:AH1228" si="1245">IF(OR((SLOPE($E1228:$V1228,$E$1:$V$1)*W$1+INTERCEPT($E1228:$V1228,$E$1:$V$1))&gt;(AVERAGE($E1228:$V1228)+_xlfn.STDEV.P($E1228:$V1228)),(SLOPE($E1228:$V1228,$E$1:$V$1)*W$1+INTERCEPT($E1228:$V1228,$E$1:$V$1))&lt;(AVERAGE($E1228:$V1228)-_xlfn.STDEV.P($E1228:$V1228))),V1228,(SLOPE($E1228:$V1228,$E$1:$V$1)*W$1+INTERCEPT($E1228:$V1228,$E$1:$V$1)))</f>
        <v>0</v>
      </c>
      <c r="X1228" s="5">
        <f t="shared" si="1245"/>
        <v>0</v>
      </c>
      <c r="Y1228" s="5">
        <f t="shared" si="1245"/>
        <v>0</v>
      </c>
      <c r="Z1228" s="5">
        <f t="shared" si="1245"/>
        <v>0</v>
      </c>
      <c r="AA1228" s="5">
        <f t="shared" si="1245"/>
        <v>0</v>
      </c>
      <c r="AB1228" s="5">
        <f t="shared" si="1245"/>
        <v>0</v>
      </c>
      <c r="AC1228" s="5">
        <f t="shared" si="1245"/>
        <v>0</v>
      </c>
      <c r="AD1228" s="5">
        <f t="shared" si="1245"/>
        <v>0</v>
      </c>
      <c r="AE1228" s="5">
        <f t="shared" si="1245"/>
        <v>0</v>
      </c>
      <c r="AF1228" s="5">
        <f t="shared" si="1245"/>
        <v>0</v>
      </c>
      <c r="AG1228" s="5">
        <f t="shared" si="1245"/>
        <v>0</v>
      </c>
      <c r="AH1228" s="5">
        <f t="shared" si="1245"/>
        <v>0</v>
      </c>
    </row>
    <row r="1229" spans="1:34" x14ac:dyDescent="0.35">
      <c r="A1229" t="s">
        <v>1249</v>
      </c>
      <c r="B1229" s="3" t="s">
        <v>1266</v>
      </c>
      <c r="C1229" s="4" t="s">
        <v>1267</v>
      </c>
      <c r="D1229" s="2">
        <f t="shared" si="123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ref="W1229:AH1229" si="1246">IF(OR((SLOPE($E1229:$V1229,$E$1:$V$1)*W$1+INTERCEPT($E1229:$V1229,$E$1:$V$1))&gt;(AVERAGE($E1229:$V1229)+_xlfn.STDEV.P($E1229:$V1229)),(SLOPE($E1229:$V1229,$E$1:$V$1)*W$1+INTERCEPT($E1229:$V1229,$E$1:$V$1))&lt;(AVERAGE($E1229:$V1229)-_xlfn.STDEV.P($E1229:$V1229))),V1229,(SLOPE($E1229:$V1229,$E$1:$V$1)*W$1+INTERCEPT($E1229:$V1229,$E$1:$V$1)))</f>
        <v>0</v>
      </c>
      <c r="X1229" s="5">
        <f t="shared" si="1246"/>
        <v>0</v>
      </c>
      <c r="Y1229" s="5">
        <f t="shared" si="1246"/>
        <v>0</v>
      </c>
      <c r="Z1229" s="5">
        <f t="shared" si="1246"/>
        <v>0</v>
      </c>
      <c r="AA1229" s="5">
        <f t="shared" si="1246"/>
        <v>0</v>
      </c>
      <c r="AB1229" s="5">
        <f t="shared" si="1246"/>
        <v>0</v>
      </c>
      <c r="AC1229" s="5">
        <f t="shared" si="1246"/>
        <v>0</v>
      </c>
      <c r="AD1229" s="5">
        <f t="shared" si="1246"/>
        <v>0</v>
      </c>
      <c r="AE1229" s="5">
        <f t="shared" si="1246"/>
        <v>0</v>
      </c>
      <c r="AF1229" s="5">
        <f t="shared" si="1246"/>
        <v>0</v>
      </c>
      <c r="AG1229" s="5">
        <f t="shared" si="1246"/>
        <v>0</v>
      </c>
      <c r="AH1229" s="5">
        <f t="shared" si="1246"/>
        <v>0</v>
      </c>
    </row>
    <row r="1230" spans="1:34" x14ac:dyDescent="0.35">
      <c r="A1230" t="s">
        <v>1250</v>
      </c>
      <c r="B1230" s="3" t="s">
        <v>1266</v>
      </c>
      <c r="C1230" s="4" t="s">
        <v>1267</v>
      </c>
      <c r="D1230" s="2">
        <f t="shared" si="123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ref="W1230:AH1230" si="1247">IF(OR((SLOPE($E1230:$V1230,$E$1:$V$1)*W$1+INTERCEPT($E1230:$V1230,$E$1:$V$1))&gt;(AVERAGE($E1230:$V1230)+_xlfn.STDEV.P($E1230:$V1230)),(SLOPE($E1230:$V1230,$E$1:$V$1)*W$1+INTERCEPT($E1230:$V1230,$E$1:$V$1))&lt;(AVERAGE($E1230:$V1230)-_xlfn.STDEV.P($E1230:$V1230))),V1230,(SLOPE($E1230:$V1230,$E$1:$V$1)*W$1+INTERCEPT($E1230:$V1230,$E$1:$V$1)))</f>
        <v>0</v>
      </c>
      <c r="X1230" s="5">
        <f t="shared" si="1247"/>
        <v>0</v>
      </c>
      <c r="Y1230" s="5">
        <f t="shared" si="1247"/>
        <v>0</v>
      </c>
      <c r="Z1230" s="5">
        <f t="shared" si="1247"/>
        <v>0</v>
      </c>
      <c r="AA1230" s="5">
        <f t="shared" si="1247"/>
        <v>0</v>
      </c>
      <c r="AB1230" s="5">
        <f t="shared" si="1247"/>
        <v>0</v>
      </c>
      <c r="AC1230" s="5">
        <f t="shared" si="1247"/>
        <v>0</v>
      </c>
      <c r="AD1230" s="5">
        <f t="shared" si="1247"/>
        <v>0</v>
      </c>
      <c r="AE1230" s="5">
        <f t="shared" si="1247"/>
        <v>0</v>
      </c>
      <c r="AF1230" s="5">
        <f t="shared" si="1247"/>
        <v>0</v>
      </c>
      <c r="AG1230" s="5">
        <f t="shared" si="1247"/>
        <v>0</v>
      </c>
      <c r="AH1230" s="5">
        <f t="shared" si="1247"/>
        <v>0</v>
      </c>
    </row>
    <row r="1231" spans="1:34" x14ac:dyDescent="0.35">
      <c r="A1231" t="s">
        <v>1251</v>
      </c>
      <c r="B1231" s="3" t="s">
        <v>1266</v>
      </c>
      <c r="C1231" s="4" t="s">
        <v>1267</v>
      </c>
      <c r="D1231" s="2">
        <f t="shared" si="123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ref="W1231:AH1231" si="1248">IF(OR((SLOPE($E1231:$V1231,$E$1:$V$1)*W$1+INTERCEPT($E1231:$V1231,$E$1:$V$1))&gt;(AVERAGE($E1231:$V1231)+_xlfn.STDEV.P($E1231:$V1231)),(SLOPE($E1231:$V1231,$E$1:$V$1)*W$1+INTERCEPT($E1231:$V1231,$E$1:$V$1))&lt;(AVERAGE($E1231:$V1231)-_xlfn.STDEV.P($E1231:$V1231))),V1231,(SLOPE($E1231:$V1231,$E$1:$V$1)*W$1+INTERCEPT($E1231:$V1231,$E$1:$V$1)))</f>
        <v>0</v>
      </c>
      <c r="X1231" s="5">
        <f t="shared" si="1248"/>
        <v>0</v>
      </c>
      <c r="Y1231" s="5">
        <f t="shared" si="1248"/>
        <v>0</v>
      </c>
      <c r="Z1231" s="5">
        <f t="shared" si="1248"/>
        <v>0</v>
      </c>
      <c r="AA1231" s="5">
        <f t="shared" si="1248"/>
        <v>0</v>
      </c>
      <c r="AB1231" s="5">
        <f t="shared" si="1248"/>
        <v>0</v>
      </c>
      <c r="AC1231" s="5">
        <f t="shared" si="1248"/>
        <v>0</v>
      </c>
      <c r="AD1231" s="5">
        <f t="shared" si="1248"/>
        <v>0</v>
      </c>
      <c r="AE1231" s="5">
        <f t="shared" si="1248"/>
        <v>0</v>
      </c>
      <c r="AF1231" s="5">
        <f t="shared" si="1248"/>
        <v>0</v>
      </c>
      <c r="AG1231" s="5">
        <f t="shared" si="1248"/>
        <v>0</v>
      </c>
      <c r="AH1231" s="5">
        <f t="shared" si="1248"/>
        <v>0</v>
      </c>
    </row>
    <row r="1232" spans="1:34" x14ac:dyDescent="0.35">
      <c r="A1232" t="s">
        <v>1252</v>
      </c>
      <c r="B1232" s="3" t="s">
        <v>1266</v>
      </c>
      <c r="C1232" s="4" t="s">
        <v>1267</v>
      </c>
      <c r="D1232" s="2">
        <f t="shared" si="123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ref="W1232:AH1232" si="1249">IF(OR((SLOPE($E1232:$V1232,$E$1:$V$1)*W$1+INTERCEPT($E1232:$V1232,$E$1:$V$1))&gt;(AVERAGE($E1232:$V1232)+_xlfn.STDEV.P($E1232:$V1232)),(SLOPE($E1232:$V1232,$E$1:$V$1)*W$1+INTERCEPT($E1232:$V1232,$E$1:$V$1))&lt;(AVERAGE($E1232:$V1232)-_xlfn.STDEV.P($E1232:$V1232))),V1232,(SLOPE($E1232:$V1232,$E$1:$V$1)*W$1+INTERCEPT($E1232:$V1232,$E$1:$V$1)))</f>
        <v>0</v>
      </c>
      <c r="X1232" s="5">
        <f t="shared" si="1249"/>
        <v>0</v>
      </c>
      <c r="Y1232" s="5">
        <f t="shared" si="1249"/>
        <v>0</v>
      </c>
      <c r="Z1232" s="5">
        <f t="shared" si="1249"/>
        <v>0</v>
      </c>
      <c r="AA1232" s="5">
        <f t="shared" si="1249"/>
        <v>0</v>
      </c>
      <c r="AB1232" s="5">
        <f t="shared" si="1249"/>
        <v>0</v>
      </c>
      <c r="AC1232" s="5">
        <f t="shared" si="1249"/>
        <v>0</v>
      </c>
      <c r="AD1232" s="5">
        <f t="shared" si="1249"/>
        <v>0</v>
      </c>
      <c r="AE1232" s="5">
        <f t="shared" si="1249"/>
        <v>0</v>
      </c>
      <c r="AF1232" s="5">
        <f t="shared" si="1249"/>
        <v>0</v>
      </c>
      <c r="AG1232" s="5">
        <f t="shared" si="1249"/>
        <v>0</v>
      </c>
      <c r="AH1232" s="5">
        <f t="shared" si="1249"/>
        <v>0</v>
      </c>
    </row>
    <row r="1233" spans="1:34" x14ac:dyDescent="0.35">
      <c r="A1233" t="s">
        <v>1253</v>
      </c>
      <c r="B1233" s="3" t="s">
        <v>1266</v>
      </c>
      <c r="C1233" s="4" t="s">
        <v>1267</v>
      </c>
      <c r="D1233" s="2">
        <f t="shared" si="123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ref="W1233:AH1233" si="1250">IF(OR((SLOPE($E1233:$V1233,$E$1:$V$1)*W$1+INTERCEPT($E1233:$V1233,$E$1:$V$1))&gt;(AVERAGE($E1233:$V1233)+_xlfn.STDEV.P($E1233:$V1233)),(SLOPE($E1233:$V1233,$E$1:$V$1)*W$1+INTERCEPT($E1233:$V1233,$E$1:$V$1))&lt;(AVERAGE($E1233:$V1233)-_xlfn.STDEV.P($E1233:$V1233))),V1233,(SLOPE($E1233:$V1233,$E$1:$V$1)*W$1+INTERCEPT($E1233:$V1233,$E$1:$V$1)))</f>
        <v>0</v>
      </c>
      <c r="X1233" s="5">
        <f t="shared" si="1250"/>
        <v>0</v>
      </c>
      <c r="Y1233" s="5">
        <f t="shared" si="1250"/>
        <v>0</v>
      </c>
      <c r="Z1233" s="5">
        <f t="shared" si="1250"/>
        <v>0</v>
      </c>
      <c r="AA1233" s="5">
        <f t="shared" si="1250"/>
        <v>0</v>
      </c>
      <c r="AB1233" s="5">
        <f t="shared" si="1250"/>
        <v>0</v>
      </c>
      <c r="AC1233" s="5">
        <f t="shared" si="1250"/>
        <v>0</v>
      </c>
      <c r="AD1233" s="5">
        <f t="shared" si="1250"/>
        <v>0</v>
      </c>
      <c r="AE1233" s="5">
        <f t="shared" si="1250"/>
        <v>0</v>
      </c>
      <c r="AF1233" s="5">
        <f t="shared" si="1250"/>
        <v>0</v>
      </c>
      <c r="AG1233" s="5">
        <f t="shared" si="1250"/>
        <v>0</v>
      </c>
      <c r="AH1233" s="5">
        <f t="shared" si="1250"/>
        <v>0</v>
      </c>
    </row>
    <row r="1234" spans="1:34" x14ac:dyDescent="0.35">
      <c r="A1234" t="s">
        <v>1254</v>
      </c>
      <c r="B1234" s="3" t="s">
        <v>1266</v>
      </c>
      <c r="C1234" s="4" t="s">
        <v>1267</v>
      </c>
      <c r="D1234" s="2">
        <f t="shared" si="123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ref="W1234:AH1234" si="1251">IF(OR((SLOPE($E1234:$V1234,$E$1:$V$1)*W$1+INTERCEPT($E1234:$V1234,$E$1:$V$1))&gt;(AVERAGE($E1234:$V1234)+_xlfn.STDEV.P($E1234:$V1234)),(SLOPE($E1234:$V1234,$E$1:$V$1)*W$1+INTERCEPT($E1234:$V1234,$E$1:$V$1))&lt;(AVERAGE($E1234:$V1234)-_xlfn.STDEV.P($E1234:$V1234))),V1234,(SLOPE($E1234:$V1234,$E$1:$V$1)*W$1+INTERCEPT($E1234:$V1234,$E$1:$V$1)))</f>
        <v>0</v>
      </c>
      <c r="X1234" s="5">
        <f t="shared" si="1251"/>
        <v>0</v>
      </c>
      <c r="Y1234" s="5">
        <f t="shared" si="1251"/>
        <v>0</v>
      </c>
      <c r="Z1234" s="5">
        <f t="shared" si="1251"/>
        <v>0</v>
      </c>
      <c r="AA1234" s="5">
        <f t="shared" si="1251"/>
        <v>0</v>
      </c>
      <c r="AB1234" s="5">
        <f t="shared" si="1251"/>
        <v>0</v>
      </c>
      <c r="AC1234" s="5">
        <f t="shared" si="1251"/>
        <v>0</v>
      </c>
      <c r="AD1234" s="5">
        <f t="shared" si="1251"/>
        <v>0</v>
      </c>
      <c r="AE1234" s="5">
        <f t="shared" si="1251"/>
        <v>0</v>
      </c>
      <c r="AF1234" s="5">
        <f t="shared" si="1251"/>
        <v>0</v>
      </c>
      <c r="AG1234" s="5">
        <f t="shared" si="1251"/>
        <v>0</v>
      </c>
      <c r="AH1234" s="5">
        <f t="shared" si="1251"/>
        <v>0</v>
      </c>
    </row>
    <row r="1235" spans="1:34" x14ac:dyDescent="0.35">
      <c r="A1235" t="s">
        <v>1255</v>
      </c>
      <c r="B1235" s="3" t="s">
        <v>1266</v>
      </c>
      <c r="C1235" s="4" t="s">
        <v>1267</v>
      </c>
      <c r="D1235" s="2">
        <f t="shared" si="123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ref="W1235:AH1235" si="1252">IF(OR((SLOPE($E1235:$V1235,$E$1:$V$1)*W$1+INTERCEPT($E1235:$V1235,$E$1:$V$1))&gt;(AVERAGE($E1235:$V1235)+_xlfn.STDEV.P($E1235:$V1235)),(SLOPE($E1235:$V1235,$E$1:$V$1)*W$1+INTERCEPT($E1235:$V1235,$E$1:$V$1))&lt;(AVERAGE($E1235:$V1235)-_xlfn.STDEV.P($E1235:$V1235))),V1235,(SLOPE($E1235:$V1235,$E$1:$V$1)*W$1+INTERCEPT($E1235:$V1235,$E$1:$V$1)))</f>
        <v>0</v>
      </c>
      <c r="X1235" s="5">
        <f t="shared" si="1252"/>
        <v>0</v>
      </c>
      <c r="Y1235" s="5">
        <f t="shared" si="1252"/>
        <v>0</v>
      </c>
      <c r="Z1235" s="5">
        <f t="shared" si="1252"/>
        <v>0</v>
      </c>
      <c r="AA1235" s="5">
        <f t="shared" si="1252"/>
        <v>0</v>
      </c>
      <c r="AB1235" s="5">
        <f t="shared" si="1252"/>
        <v>0</v>
      </c>
      <c r="AC1235" s="5">
        <f t="shared" si="1252"/>
        <v>0</v>
      </c>
      <c r="AD1235" s="5">
        <f t="shared" si="1252"/>
        <v>0</v>
      </c>
      <c r="AE1235" s="5">
        <f t="shared" si="1252"/>
        <v>0</v>
      </c>
      <c r="AF1235" s="5">
        <f t="shared" si="1252"/>
        <v>0</v>
      </c>
      <c r="AG1235" s="5">
        <f t="shared" si="1252"/>
        <v>0</v>
      </c>
      <c r="AH1235" s="5">
        <f t="shared" si="1252"/>
        <v>0</v>
      </c>
    </row>
    <row r="1236" spans="1:34" x14ac:dyDescent="0.35">
      <c r="A1236" t="s">
        <v>1256</v>
      </c>
      <c r="B1236" s="3" t="s">
        <v>1266</v>
      </c>
      <c r="C1236" s="4" t="s">
        <v>1267</v>
      </c>
      <c r="D1236" s="2">
        <f t="shared" si="123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ref="W1236:AH1236" si="1253">IF(OR((SLOPE($E1236:$V1236,$E$1:$V$1)*W$1+INTERCEPT($E1236:$V1236,$E$1:$V$1))&gt;(AVERAGE($E1236:$V1236)+_xlfn.STDEV.P($E1236:$V1236)),(SLOPE($E1236:$V1236,$E$1:$V$1)*W$1+INTERCEPT($E1236:$V1236,$E$1:$V$1))&lt;(AVERAGE($E1236:$V1236)-_xlfn.STDEV.P($E1236:$V1236))),V1236,(SLOPE($E1236:$V1236,$E$1:$V$1)*W$1+INTERCEPT($E1236:$V1236,$E$1:$V$1)))</f>
        <v>0</v>
      </c>
      <c r="X1236" s="5">
        <f t="shared" si="1253"/>
        <v>0</v>
      </c>
      <c r="Y1236" s="5">
        <f t="shared" si="1253"/>
        <v>0</v>
      </c>
      <c r="Z1236" s="5">
        <f t="shared" si="1253"/>
        <v>0</v>
      </c>
      <c r="AA1236" s="5">
        <f t="shared" si="1253"/>
        <v>0</v>
      </c>
      <c r="AB1236" s="5">
        <f t="shared" si="1253"/>
        <v>0</v>
      </c>
      <c r="AC1236" s="5">
        <f t="shared" si="1253"/>
        <v>0</v>
      </c>
      <c r="AD1236" s="5">
        <f t="shared" si="1253"/>
        <v>0</v>
      </c>
      <c r="AE1236" s="5">
        <f t="shared" si="1253"/>
        <v>0</v>
      </c>
      <c r="AF1236" s="5">
        <f t="shared" si="1253"/>
        <v>0</v>
      </c>
      <c r="AG1236" s="5">
        <f t="shared" si="1253"/>
        <v>0</v>
      </c>
      <c r="AH1236" s="5">
        <f t="shared" si="1253"/>
        <v>0</v>
      </c>
    </row>
    <row r="1237" spans="1:34" x14ac:dyDescent="0.35">
      <c r="A1237" t="s">
        <v>1257</v>
      </c>
      <c r="B1237" s="3" t="s">
        <v>1266</v>
      </c>
      <c r="C1237" s="4" t="s">
        <v>1267</v>
      </c>
      <c r="D1237" s="2">
        <f t="shared" si="123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H1237" si="1254">IF(OR((SLOPE($E1237:$V1237,$E$1:$V$1)*W$1+INTERCEPT($E1237:$V1237,$E$1:$V$1))&gt;(AVERAGE($E1237:$V1237)+_xlfn.STDEV.P($E1237:$V1237)),(SLOPE($E1237:$V1237,$E$1:$V$1)*W$1+INTERCEPT($E1237:$V1237,$E$1:$V$1))&lt;(AVERAGE($E1237:$V1237)-_xlfn.STDEV.P($E1237:$V1237))),V1237,(SLOPE($E1237:$V1237,$E$1:$V$1)*W$1+INTERCEPT($E1237:$V1237,$E$1:$V$1)))</f>
        <v>0</v>
      </c>
      <c r="X1237" s="5">
        <f t="shared" si="1254"/>
        <v>0</v>
      </c>
      <c r="Y1237" s="5">
        <f t="shared" si="1254"/>
        <v>0</v>
      </c>
      <c r="Z1237" s="5">
        <f t="shared" si="1254"/>
        <v>0</v>
      </c>
      <c r="AA1237" s="5">
        <f t="shared" si="1254"/>
        <v>0</v>
      </c>
      <c r="AB1237" s="5">
        <f t="shared" si="1254"/>
        <v>0</v>
      </c>
      <c r="AC1237" s="5">
        <f t="shared" si="1254"/>
        <v>0</v>
      </c>
      <c r="AD1237" s="5">
        <f t="shared" si="1254"/>
        <v>0</v>
      </c>
      <c r="AE1237" s="5">
        <f t="shared" si="1254"/>
        <v>0</v>
      </c>
      <c r="AF1237" s="5">
        <f t="shared" si="1254"/>
        <v>0</v>
      </c>
      <c r="AG1237" s="5">
        <f t="shared" si="1254"/>
        <v>0</v>
      </c>
      <c r="AH1237" s="5">
        <f t="shared" si="1254"/>
        <v>0</v>
      </c>
    </row>
    <row r="1238" spans="1:34" x14ac:dyDescent="0.35">
      <c r="A1238" t="s">
        <v>1258</v>
      </c>
      <c r="B1238" s="3" t="s">
        <v>1266</v>
      </c>
      <c r="C1238" s="4" t="s">
        <v>1267</v>
      </c>
      <c r="D1238" s="2">
        <f t="shared" si="123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ref="W1238:AH1238" si="1255">IF(OR((SLOPE($E1238:$V1238,$E$1:$V$1)*W$1+INTERCEPT($E1238:$V1238,$E$1:$V$1))&gt;(AVERAGE($E1238:$V1238)+_xlfn.STDEV.P($E1238:$V1238)),(SLOPE($E1238:$V1238,$E$1:$V$1)*W$1+INTERCEPT($E1238:$V1238,$E$1:$V$1))&lt;(AVERAGE($E1238:$V1238)-_xlfn.STDEV.P($E1238:$V1238))),V1238,(SLOPE($E1238:$V1238,$E$1:$V$1)*W$1+INTERCEPT($E1238:$V1238,$E$1:$V$1)))</f>
        <v>0</v>
      </c>
      <c r="X1238" s="5">
        <f t="shared" si="1255"/>
        <v>0</v>
      </c>
      <c r="Y1238" s="5">
        <f t="shared" si="1255"/>
        <v>0</v>
      </c>
      <c r="Z1238" s="5">
        <f t="shared" si="1255"/>
        <v>0</v>
      </c>
      <c r="AA1238" s="5">
        <f t="shared" si="1255"/>
        <v>0</v>
      </c>
      <c r="AB1238" s="5">
        <f t="shared" si="1255"/>
        <v>0</v>
      </c>
      <c r="AC1238" s="5">
        <f t="shared" si="1255"/>
        <v>0</v>
      </c>
      <c r="AD1238" s="5">
        <f t="shared" si="1255"/>
        <v>0</v>
      </c>
      <c r="AE1238" s="5">
        <f t="shared" si="1255"/>
        <v>0</v>
      </c>
      <c r="AF1238" s="5">
        <f t="shared" si="1255"/>
        <v>0</v>
      </c>
      <c r="AG1238" s="5">
        <f t="shared" si="1255"/>
        <v>0</v>
      </c>
      <c r="AH1238" s="5">
        <f t="shared" si="1255"/>
        <v>0</v>
      </c>
    </row>
    <row r="1239" spans="1:34" x14ac:dyDescent="0.35">
      <c r="A1239" t="s">
        <v>1259</v>
      </c>
      <c r="B1239" s="3" t="s">
        <v>1266</v>
      </c>
      <c r="C1239" s="4" t="s">
        <v>1267</v>
      </c>
      <c r="D1239" s="2">
        <f t="shared" si="123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ref="W1239:AH1239" si="1256">IF(OR((SLOPE($E1239:$V1239,$E$1:$V$1)*W$1+INTERCEPT($E1239:$V1239,$E$1:$V$1))&gt;(AVERAGE($E1239:$V1239)+_xlfn.STDEV.P($E1239:$V1239)),(SLOPE($E1239:$V1239,$E$1:$V$1)*W$1+INTERCEPT($E1239:$V1239,$E$1:$V$1))&lt;(AVERAGE($E1239:$V1239)-_xlfn.STDEV.P($E1239:$V1239))),V1239,(SLOPE($E1239:$V1239,$E$1:$V$1)*W$1+INTERCEPT($E1239:$V1239,$E$1:$V$1)))</f>
        <v>0</v>
      </c>
      <c r="X1239" s="5">
        <f t="shared" si="1256"/>
        <v>0</v>
      </c>
      <c r="Y1239" s="5">
        <f t="shared" si="1256"/>
        <v>0</v>
      </c>
      <c r="Z1239" s="5">
        <f t="shared" si="1256"/>
        <v>0</v>
      </c>
      <c r="AA1239" s="5">
        <f t="shared" si="1256"/>
        <v>0</v>
      </c>
      <c r="AB1239" s="5">
        <f t="shared" si="1256"/>
        <v>0</v>
      </c>
      <c r="AC1239" s="5">
        <f t="shared" si="1256"/>
        <v>0</v>
      </c>
      <c r="AD1239" s="5">
        <f t="shared" si="1256"/>
        <v>0</v>
      </c>
      <c r="AE1239" s="5">
        <f t="shared" si="1256"/>
        <v>0</v>
      </c>
      <c r="AF1239" s="5">
        <f t="shared" si="1256"/>
        <v>0</v>
      </c>
      <c r="AG1239" s="5">
        <f t="shared" si="1256"/>
        <v>0</v>
      </c>
      <c r="AH1239" s="5">
        <f t="shared" si="1256"/>
        <v>0</v>
      </c>
    </row>
    <row r="1240" spans="1:34" x14ac:dyDescent="0.35">
      <c r="A1240" t="s">
        <v>1260</v>
      </c>
      <c r="B1240" s="3" t="s">
        <v>1266</v>
      </c>
      <c r="C1240" s="4" t="s">
        <v>1267</v>
      </c>
      <c r="D1240" s="2">
        <f t="shared" si="123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ref="W1240:AH1240" si="1257">IF(OR((SLOPE($E1240:$V1240,$E$1:$V$1)*W$1+INTERCEPT($E1240:$V1240,$E$1:$V$1))&gt;(AVERAGE($E1240:$V1240)+_xlfn.STDEV.P($E1240:$V1240)),(SLOPE($E1240:$V1240,$E$1:$V$1)*W$1+INTERCEPT($E1240:$V1240,$E$1:$V$1))&lt;(AVERAGE($E1240:$V1240)-_xlfn.STDEV.P($E1240:$V1240))),V1240,(SLOPE($E1240:$V1240,$E$1:$V$1)*W$1+INTERCEPT($E1240:$V1240,$E$1:$V$1)))</f>
        <v>0</v>
      </c>
      <c r="X1240" s="5">
        <f t="shared" si="1257"/>
        <v>0</v>
      </c>
      <c r="Y1240" s="5">
        <f t="shared" si="1257"/>
        <v>0</v>
      </c>
      <c r="Z1240" s="5">
        <f t="shared" si="1257"/>
        <v>0</v>
      </c>
      <c r="AA1240" s="5">
        <f t="shared" si="1257"/>
        <v>0</v>
      </c>
      <c r="AB1240" s="5">
        <f t="shared" si="1257"/>
        <v>0</v>
      </c>
      <c r="AC1240" s="5">
        <f t="shared" si="1257"/>
        <v>0</v>
      </c>
      <c r="AD1240" s="5">
        <f t="shared" si="1257"/>
        <v>0</v>
      </c>
      <c r="AE1240" s="5">
        <f t="shared" si="1257"/>
        <v>0</v>
      </c>
      <c r="AF1240" s="5">
        <f t="shared" si="1257"/>
        <v>0</v>
      </c>
      <c r="AG1240" s="5">
        <f t="shared" si="1257"/>
        <v>0</v>
      </c>
      <c r="AH1240" s="5">
        <f t="shared" si="1257"/>
        <v>0</v>
      </c>
    </row>
    <row r="1241" spans="1:34" x14ac:dyDescent="0.35">
      <c r="A1241" t="s">
        <v>1261</v>
      </c>
      <c r="B1241" s="3" t="s">
        <v>1266</v>
      </c>
      <c r="C1241" s="4" t="s">
        <v>1267</v>
      </c>
      <c r="D1241" s="2">
        <f t="shared" si="123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ref="W1241:AH1241" si="1258">IF(OR((SLOPE($E1241:$V1241,$E$1:$V$1)*W$1+INTERCEPT($E1241:$V1241,$E$1:$V$1))&gt;(AVERAGE($E1241:$V1241)+_xlfn.STDEV.P($E1241:$V1241)),(SLOPE($E1241:$V1241,$E$1:$V$1)*W$1+INTERCEPT($E1241:$V1241,$E$1:$V$1))&lt;(AVERAGE($E1241:$V1241)-_xlfn.STDEV.P($E1241:$V1241))),V1241,(SLOPE($E1241:$V1241,$E$1:$V$1)*W$1+INTERCEPT($E1241:$V1241,$E$1:$V$1)))</f>
        <v>0</v>
      </c>
      <c r="X1241" s="5">
        <f t="shared" si="1258"/>
        <v>0</v>
      </c>
      <c r="Y1241" s="5">
        <f t="shared" si="1258"/>
        <v>0</v>
      </c>
      <c r="Z1241" s="5">
        <f t="shared" si="1258"/>
        <v>0</v>
      </c>
      <c r="AA1241" s="5">
        <f t="shared" si="1258"/>
        <v>0</v>
      </c>
      <c r="AB1241" s="5">
        <f t="shared" si="1258"/>
        <v>0</v>
      </c>
      <c r="AC1241" s="5">
        <f t="shared" si="1258"/>
        <v>0</v>
      </c>
      <c r="AD1241" s="5">
        <f t="shared" si="1258"/>
        <v>0</v>
      </c>
      <c r="AE1241" s="5">
        <f t="shared" si="1258"/>
        <v>0</v>
      </c>
      <c r="AF1241" s="5">
        <f t="shared" si="1258"/>
        <v>0</v>
      </c>
      <c r="AG1241" s="5">
        <f t="shared" si="1258"/>
        <v>0</v>
      </c>
      <c r="AH1241" s="5">
        <f t="shared" si="1258"/>
        <v>0</v>
      </c>
    </row>
  </sheetData>
  <autoFilter ref="A3:AH3" xr:uid="{A43A2497-863C-4D5B-B2C0-ABDAF52F9390}"/>
  <phoneticPr fontId="3" type="noConversion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zoomScale="115" zoomScaleNormal="115" workbookViewId="0">
      <pane ySplit="1" topLeftCell="A2" activePane="bottomLeft" state="frozen"/>
      <selection activeCell="B1" sqref="B1"/>
      <selection pane="bottomLeft" activeCell="D2" sqref="D2"/>
    </sheetView>
  </sheetViews>
  <sheetFormatPr defaultRowHeight="14.5" x14ac:dyDescent="0.35"/>
  <cols>
    <col min="1" max="1" width="36.453125" bestFit="1" customWidth="1"/>
    <col min="2" max="2" width="9.36328125" bestFit="1" customWidth="1"/>
    <col min="4" max="4" width="11.1796875" bestFit="1" customWidth="1"/>
    <col min="5" max="5" width="14.54296875" bestFit="1" customWidth="1"/>
    <col min="6" max="6" width="14.1796875" bestFit="1" customWidth="1"/>
    <col min="7" max="7" width="23.1796875" bestFit="1" customWidth="1"/>
    <col min="8" max="8" width="19.90625" bestFit="1" customWidth="1"/>
    <col min="9" max="9" width="13.1796875" bestFit="1" customWidth="1"/>
    <col min="10" max="10" width="12.90625" style="1" bestFit="1" customWidth="1"/>
    <col min="11" max="11" width="13.1796875" bestFit="1" customWidth="1"/>
  </cols>
  <sheetData>
    <row r="1" spans="1:12" x14ac:dyDescent="0.35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5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5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5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5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5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5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5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5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5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5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5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5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5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5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5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5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5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5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5">
      <c r="A20" s="10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5">
      <c r="A21" s="10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5">
      <c r="A22" s="10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5">
      <c r="A23" s="10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5">
      <c r="A24" s="10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5">
      <c r="A25" s="10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5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5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5">
      <c r="F28" s="5">
        <f t="shared" si="4"/>
        <v>1497732.3754949884</v>
      </c>
      <c r="G28" s="5">
        <f t="shared" si="5"/>
        <v>748866.1877474942</v>
      </c>
    </row>
    <row r="29" spans="1:9" x14ac:dyDescent="0.35">
      <c r="F29" s="5">
        <f t="shared" si="4"/>
        <v>1347470.798624628</v>
      </c>
      <c r="G29" s="5">
        <f t="shared" si="5"/>
        <v>673735.399312314</v>
      </c>
    </row>
    <row r="30" spans="1:9" x14ac:dyDescent="0.35">
      <c r="F30" s="5">
        <f t="shared" si="4"/>
        <v>1343365.2910598642</v>
      </c>
      <c r="G30" s="5">
        <f t="shared" si="5"/>
        <v>671682.64552993211</v>
      </c>
    </row>
    <row r="31" spans="1:9" x14ac:dyDescent="0.35">
      <c r="F31" s="5">
        <f t="shared" si="4"/>
        <v>1146257.7120820922</v>
      </c>
      <c r="G31" s="5">
        <f t="shared" si="5"/>
        <v>573128.85604104609</v>
      </c>
    </row>
    <row r="32" spans="1:9" x14ac:dyDescent="0.35">
      <c r="F32" s="5"/>
      <c r="G32" s="5"/>
    </row>
    <row r="33" spans="6:7" x14ac:dyDescent="0.35">
      <c r="F33" s="5"/>
      <c r="G33" s="5"/>
    </row>
    <row r="34" spans="6:7" x14ac:dyDescent="0.35">
      <c r="F34" s="5"/>
      <c r="G34" s="5"/>
    </row>
    <row r="35" spans="6:7" x14ac:dyDescent="0.35">
      <c r="F35" s="5"/>
      <c r="G35" s="5"/>
    </row>
    <row r="36" spans="6:7" x14ac:dyDescent="0.35">
      <c r="F36" s="5"/>
      <c r="G36" s="5"/>
    </row>
    <row r="37" spans="6:7" x14ac:dyDescent="0.35">
      <c r="F37" s="5"/>
      <c r="G37" s="5"/>
    </row>
    <row r="38" spans="6:7" x14ac:dyDescent="0.35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AR38"/>
  <sheetViews>
    <sheetView showGridLines="0" tabSelected="1" zoomScale="85" zoomScaleNormal="85" workbookViewId="0">
      <selection activeCell="G1" sqref="G1"/>
    </sheetView>
  </sheetViews>
  <sheetFormatPr defaultRowHeight="14.5" x14ac:dyDescent="0.35"/>
  <cols>
    <col min="4" max="4" width="10.08984375" bestFit="1" customWidth="1"/>
    <col min="5" max="5" width="7.81640625" bestFit="1" customWidth="1"/>
    <col min="6" max="6" width="22.08984375" bestFit="1" customWidth="1"/>
    <col min="7" max="7" width="13.54296875" bestFit="1" customWidth="1"/>
    <col min="8" max="8" width="34.6328125" bestFit="1" customWidth="1"/>
    <col min="9" max="9" width="48.08984375" bestFit="1" customWidth="1"/>
    <col min="10" max="10" width="13.36328125" bestFit="1" customWidth="1"/>
    <col min="11" max="11" width="15.54296875" bestFit="1" customWidth="1"/>
    <col min="16" max="16" width="9.81640625" bestFit="1" customWidth="1"/>
    <col min="17" max="17" width="12.36328125" bestFit="1" customWidth="1"/>
    <col min="18" max="18" width="18.81640625" bestFit="1" customWidth="1"/>
  </cols>
  <sheetData>
    <row r="1" spans="1:44" x14ac:dyDescent="0.35">
      <c r="F1" s="33" t="s">
        <v>1308</v>
      </c>
      <c r="H1" s="34"/>
      <c r="I1" s="34"/>
    </row>
    <row r="2" spans="1:44" x14ac:dyDescent="0.35">
      <c r="A2" s="13" t="s">
        <v>1269</v>
      </c>
      <c r="B2" s="14" t="s">
        <v>1280</v>
      </c>
      <c r="C2" s="14" t="s">
        <v>1281</v>
      </c>
      <c r="D2" s="15" t="s">
        <v>1282</v>
      </c>
      <c r="E2" s="23" t="s">
        <v>1309</v>
      </c>
      <c r="F2" s="15" t="s">
        <v>1306</v>
      </c>
      <c r="G2" s="15" t="s">
        <v>1307</v>
      </c>
      <c r="H2" s="15" t="s">
        <v>1310</v>
      </c>
      <c r="I2" s="15" t="s">
        <v>1311</v>
      </c>
      <c r="J2" s="15" t="s">
        <v>1302</v>
      </c>
      <c r="K2" s="21" t="s">
        <v>1304</v>
      </c>
      <c r="L2" s="23" t="s">
        <v>1287</v>
      </c>
      <c r="M2" s="23" t="s">
        <v>1288</v>
      </c>
      <c r="N2" s="23" t="s">
        <v>1289</v>
      </c>
      <c r="O2" s="1"/>
      <c r="P2" s="24" t="s">
        <v>1283</v>
      </c>
      <c r="Q2" s="24" t="s">
        <v>1286</v>
      </c>
      <c r="R2" s="11"/>
      <c r="AR2">
        <v>1</v>
      </c>
    </row>
    <row r="3" spans="1:44" x14ac:dyDescent="0.35">
      <c r="A3" s="16">
        <v>1</v>
      </c>
      <c r="B3" s="17" t="s">
        <v>1284</v>
      </c>
      <c r="C3" s="16">
        <v>1</v>
      </c>
      <c r="D3" s="18">
        <v>315208</v>
      </c>
      <c r="E3" s="35">
        <f>(D3+D15)/SUM($D$3:$D$26)*12</f>
        <v>1.2234547464224044</v>
      </c>
      <c r="F3" s="18">
        <f>D3/E3</f>
        <v>257637.64530050932</v>
      </c>
      <c r="G3" s="18">
        <f>A3*SLOPE($D$3:$D$26,$A$3:$A$26)+INTERCEPT($D$3:$D$26,$A$3:$A$26)</f>
        <v>237328.49333333332</v>
      </c>
      <c r="H3" s="36">
        <f>A3*SLOPE($F$3:$F$26,$A$3:$A$26)+INTERCEPT($F$3:$F$26,$A$3:$A$26)</f>
        <v>269137.64543950657</v>
      </c>
      <c r="I3" s="36">
        <f>H3*E3</f>
        <v>329277.72975391446</v>
      </c>
      <c r="J3" s="18"/>
      <c r="K3" s="22"/>
      <c r="L3" s="35">
        <f>AVERAGE(D3,D15)/AVERAGE($D$3:$D$26)</f>
        <v>1.2234547464224046</v>
      </c>
      <c r="M3" s="35">
        <f>(D3+D15)/SUM($D$3:$D$26)*12</f>
        <v>1.2234547464224044</v>
      </c>
      <c r="N3" s="35">
        <f>AVERAGE(D3/AVERAGE($D$3:$D$14),D15/AVERAGE($D$15:$D$26))</f>
        <v>1.2158054316965341</v>
      </c>
      <c r="O3" s="6"/>
      <c r="P3" s="25">
        <f>CORREL(D3:D14,D15:D26)</f>
        <v>0.48469448002209542</v>
      </c>
      <c r="Q3" s="26">
        <f>P3^2</f>
        <v>0.23492873896388947</v>
      </c>
      <c r="R3" s="12"/>
    </row>
    <row r="4" spans="1:44" x14ac:dyDescent="0.35">
      <c r="A4" s="16">
        <v>2</v>
      </c>
      <c r="B4" s="17" t="s">
        <v>1284</v>
      </c>
      <c r="C4" s="16">
        <v>2</v>
      </c>
      <c r="D4" s="18">
        <v>124695</v>
      </c>
      <c r="E4" s="35">
        <f t="shared" ref="E4:E14" si="0">(D4+D16)/SUM($D$3:$D$26)*12</f>
        <v>0.64568358890472244</v>
      </c>
      <c r="F4" s="18">
        <f t="shared" ref="F4:F26" si="1">D4/E4</f>
        <v>193120.90649774915</v>
      </c>
      <c r="G4" s="18">
        <f>A4*SLOPE($D$3:$D$26,$A$3:$A$26)+INTERCEPT($D$3:$D$26,$A$3:$A$26)</f>
        <v>243301.588115942</v>
      </c>
      <c r="H4" s="36">
        <f t="shared" ref="H4:H38" si="2">A4*SLOPE($F$3:$F$26,$A$3:$A$26)+INTERCEPT($F$3:$F$26,$A$3:$A$26)</f>
        <v>272344.72699549154</v>
      </c>
      <c r="I4" s="36">
        <f t="shared" ref="I4:I38" si="3">H4*E4</f>
        <v>175848.52074572584</v>
      </c>
      <c r="J4" s="18"/>
      <c r="K4" s="22"/>
      <c r="L4" s="35">
        <f>AVERAGE(D4,D16)/AVERAGE($D$3:$D$26)</f>
        <v>0.64568358890472244</v>
      </c>
      <c r="M4" s="35">
        <f>(D4+D16)/SUM($D$3:$D$26)*12</f>
        <v>0.64568358890472244</v>
      </c>
      <c r="N4" s="35">
        <f>AVERAGE(D4/AVERAGE($D$3:$D$14),D16/AVERAGE($D$15:$D$26))</f>
        <v>0.63158243735115649</v>
      </c>
      <c r="O4" s="6"/>
    </row>
    <row r="5" spans="1:44" x14ac:dyDescent="0.35">
      <c r="A5" s="16">
        <v>3</v>
      </c>
      <c r="B5" s="17" t="s">
        <v>1284</v>
      </c>
      <c r="C5" s="16">
        <v>3</v>
      </c>
      <c r="D5" s="18">
        <v>279159</v>
      </c>
      <c r="E5" s="35">
        <f t="shared" si="0"/>
        <v>0.73863694230397936</v>
      </c>
      <c r="F5" s="18">
        <f t="shared" si="1"/>
        <v>377938.04237469973</v>
      </c>
      <c r="G5" s="18">
        <f>A5*SLOPE($D$3:$D$26,$A$3:$A$26)+INTERCEPT($D$3:$D$26,$A$3:$A$26)</f>
        <v>249274.6828985507</v>
      </c>
      <c r="H5" s="36">
        <f t="shared" si="2"/>
        <v>275551.80855147645</v>
      </c>
      <c r="I5" s="36">
        <f t="shared" si="3"/>
        <v>203532.74531479407</v>
      </c>
      <c r="J5" s="18"/>
      <c r="K5" s="22"/>
      <c r="L5" s="35">
        <f>AVERAGE(D5,D17)/AVERAGE($D$3:$D$26)</f>
        <v>0.73863694230397947</v>
      </c>
      <c r="M5" s="35">
        <f>(D5+D17)/SUM($D$3:$D$26)*12</f>
        <v>0.73863694230397936</v>
      </c>
      <c r="N5" s="35">
        <f>AVERAGE(D5/AVERAGE($D$3:$D$14),D17/AVERAGE($D$15:$D$26))</f>
        <v>0.75548648503151683</v>
      </c>
      <c r="O5" s="6"/>
    </row>
    <row r="6" spans="1:44" x14ac:dyDescent="0.35">
      <c r="A6" s="16">
        <v>4</v>
      </c>
      <c r="B6" s="17" t="s">
        <v>1284</v>
      </c>
      <c r="C6" s="16">
        <v>4</v>
      </c>
      <c r="D6" s="18">
        <v>292385</v>
      </c>
      <c r="E6" s="35">
        <f t="shared" si="0"/>
        <v>0.90181630829667747</v>
      </c>
      <c r="F6" s="18">
        <f t="shared" si="1"/>
        <v>324217.91146386304</v>
      </c>
      <c r="G6" s="18">
        <f>A6*SLOPE($D$3:$D$26,$A$3:$A$26)+INTERCEPT($D$3:$D$26,$A$3:$A$26)</f>
        <v>255247.77768115938</v>
      </c>
      <c r="H6" s="36">
        <f t="shared" si="2"/>
        <v>278758.89010746137</v>
      </c>
      <c r="I6" s="36">
        <f t="shared" si="3"/>
        <v>251389.31318159003</v>
      </c>
      <c r="J6" s="18"/>
      <c r="K6" s="22"/>
      <c r="L6" s="35">
        <f>AVERAGE(D6,D18)/AVERAGE($D$3:$D$26)</f>
        <v>0.90181630829667758</v>
      </c>
      <c r="M6" s="35">
        <f>(D6+D18)/SUM($D$3:$D$26)*12</f>
        <v>0.90181630829667747</v>
      </c>
      <c r="N6" s="35">
        <f>AVERAGE(D6/AVERAGE($D$3:$D$14),D18/AVERAGE($D$15:$D$26))</f>
        <v>0.91068404004886205</v>
      </c>
      <c r="O6" s="6"/>
    </row>
    <row r="7" spans="1:44" x14ac:dyDescent="0.35">
      <c r="A7" s="16">
        <v>5</v>
      </c>
      <c r="B7" s="17" t="s">
        <v>1284</v>
      </c>
      <c r="C7" s="16">
        <v>5</v>
      </c>
      <c r="D7" s="18">
        <v>358999</v>
      </c>
      <c r="E7" s="35">
        <f t="shared" si="0"/>
        <v>1.0490587596797476</v>
      </c>
      <c r="F7" s="18">
        <f t="shared" si="1"/>
        <v>342210.5737047501</v>
      </c>
      <c r="G7" s="18">
        <f>A7*SLOPE($D$3:$D$26,$A$3:$A$26)+INTERCEPT($D$3:$D$26,$A$3:$A$26)</f>
        <v>261220.87246376809</v>
      </c>
      <c r="H7" s="36">
        <f t="shared" si="2"/>
        <v>281965.97166344628</v>
      </c>
      <c r="I7" s="36">
        <f t="shared" si="3"/>
        <v>295798.8725051498</v>
      </c>
      <c r="J7" s="18"/>
      <c r="K7" s="22"/>
      <c r="L7" s="35">
        <f>AVERAGE(D7,D19)/AVERAGE($D$3:$D$26)</f>
        <v>1.0490587596797476</v>
      </c>
      <c r="M7" s="35">
        <f>(D7+D19)/SUM($D$3:$D$26)*12</f>
        <v>1.0490587596797476</v>
      </c>
      <c r="N7" s="35">
        <f>AVERAGE(D7/AVERAGE($D$3:$D$14),D19/AVERAGE($D$15:$D$26))</f>
        <v>1.0639345348232465</v>
      </c>
      <c r="O7" s="6"/>
    </row>
    <row r="8" spans="1:44" x14ac:dyDescent="0.35">
      <c r="A8" s="16">
        <v>6</v>
      </c>
      <c r="B8" s="17" t="s">
        <v>1284</v>
      </c>
      <c r="C8" s="16">
        <v>6</v>
      </c>
      <c r="D8" s="18">
        <v>135750</v>
      </c>
      <c r="E8" s="35">
        <f t="shared" si="0"/>
        <v>0.64332425891740419</v>
      </c>
      <c r="F8" s="18">
        <f t="shared" si="1"/>
        <v>211013.33910280667</v>
      </c>
      <c r="G8" s="18">
        <f>A8*SLOPE($D$3:$D$26,$A$3:$A$26)+INTERCEPT($D$3:$D$26,$A$3:$A$26)</f>
        <v>267193.96724637679</v>
      </c>
      <c r="H8" s="36">
        <f t="shared" si="2"/>
        <v>285173.05321943125</v>
      </c>
      <c r="I8" s="36">
        <f t="shared" si="3"/>
        <v>183458.74312560409</v>
      </c>
      <c r="J8" s="18"/>
      <c r="K8" s="22"/>
      <c r="L8" s="35">
        <f>AVERAGE(D8,D20)/AVERAGE($D$3:$D$26)</f>
        <v>0.64332425891740419</v>
      </c>
      <c r="M8" s="35">
        <f>(D8+D20)/SUM($D$3:$D$26)*12</f>
        <v>0.64332425891740419</v>
      </c>
      <c r="N8" s="35">
        <f>AVERAGE(D8/AVERAGE($D$3:$D$14),D20/AVERAGE($D$15:$D$26))</f>
        <v>0.63205553761029887</v>
      </c>
      <c r="O8" s="6"/>
      <c r="P8" s="30" t="s">
        <v>1284</v>
      </c>
      <c r="Q8" s="27">
        <f>SUM(D3:D14)</f>
        <v>3402200</v>
      </c>
      <c r="R8" s="32" t="s">
        <v>1305</v>
      </c>
    </row>
    <row r="9" spans="1:44" x14ac:dyDescent="0.35">
      <c r="A9" s="16">
        <v>7</v>
      </c>
      <c r="B9" s="17" t="s">
        <v>1284</v>
      </c>
      <c r="C9" s="16">
        <v>7</v>
      </c>
      <c r="D9" s="18">
        <v>275102</v>
      </c>
      <c r="E9" s="35">
        <f t="shared" si="0"/>
        <v>0.92605989441290293</v>
      </c>
      <c r="F9" s="18">
        <f t="shared" si="1"/>
        <v>297067.1785483241</v>
      </c>
      <c r="G9" s="18">
        <f>A9*SLOPE($D$3:$D$26,$A$3:$A$26)+INTERCEPT($D$3:$D$26,$A$3:$A$26)</f>
        <v>273167.06202898547</v>
      </c>
      <c r="H9" s="36">
        <f t="shared" si="2"/>
        <v>288380.13477541617</v>
      </c>
      <c r="I9" s="36">
        <f t="shared" si="3"/>
        <v>267057.27716090059</v>
      </c>
      <c r="J9" s="18"/>
      <c r="K9" s="22"/>
      <c r="L9" s="35">
        <f>AVERAGE(D9,D21)/AVERAGE($D$3:$D$26)</f>
        <v>0.92605989441290293</v>
      </c>
      <c r="M9" s="35">
        <f>(D9+D21)/SUM($D$3:$D$26)*12</f>
        <v>0.92605989441290293</v>
      </c>
      <c r="N9" s="35">
        <f>AVERAGE(D9/AVERAGE($D$3:$D$14),D21/AVERAGE($D$15:$D$26))</f>
        <v>0.92909156177554664</v>
      </c>
      <c r="O9" s="6"/>
      <c r="P9" s="30" t="s">
        <v>1285</v>
      </c>
      <c r="Q9" s="27">
        <f>SUM(D15:D26)</f>
        <v>3942258</v>
      </c>
      <c r="R9" s="29">
        <f>Q9/Q8-1</f>
        <v>0.15873787549232854</v>
      </c>
    </row>
    <row r="10" spans="1:44" x14ac:dyDescent="0.35">
      <c r="A10" s="16">
        <v>8</v>
      </c>
      <c r="B10" s="17" t="s">
        <v>1284</v>
      </c>
      <c r="C10" s="16">
        <v>8</v>
      </c>
      <c r="D10" s="18">
        <v>431817</v>
      </c>
      <c r="E10" s="35">
        <f t="shared" si="0"/>
        <v>1.2631663221438534</v>
      </c>
      <c r="F10" s="18">
        <f t="shared" si="1"/>
        <v>341852.8442613302</v>
      </c>
      <c r="G10" s="18">
        <f>A10*SLOPE($D$3:$D$26,$A$3:$A$26)+INTERCEPT($D$3:$D$26,$A$3:$A$26)</f>
        <v>279140.15681159415</v>
      </c>
      <c r="H10" s="36">
        <f t="shared" si="2"/>
        <v>291587.21633140108</v>
      </c>
      <c r="I10" s="36">
        <f t="shared" si="3"/>
        <v>368323.15163750004</v>
      </c>
      <c r="J10" s="18"/>
      <c r="K10" s="22"/>
      <c r="L10" s="35">
        <f>AVERAGE(D10,D22)/AVERAGE($D$3:$D$26)</f>
        <v>1.2631663221438534</v>
      </c>
      <c r="M10" s="35">
        <f>(D10+D22)/SUM($D$3:$D$26)*12</f>
        <v>1.2631663221438534</v>
      </c>
      <c r="N10" s="35">
        <f>AVERAGE(D10/AVERAGE($D$3:$D$14),D22/AVERAGE($D$15:$D$26))</f>
        <v>1.2809689977390684</v>
      </c>
      <c r="O10" s="6"/>
      <c r="P10" s="31" t="s">
        <v>1303</v>
      </c>
      <c r="Q10" s="28">
        <f>Q9+(Q9*R9)</f>
        <v>4568043.6595626362</v>
      </c>
    </row>
    <row r="11" spans="1:44" x14ac:dyDescent="0.35">
      <c r="A11" s="16">
        <v>9</v>
      </c>
      <c r="B11" s="17" t="s">
        <v>1284</v>
      </c>
      <c r="C11" s="16">
        <v>9</v>
      </c>
      <c r="D11" s="18">
        <v>154903</v>
      </c>
      <c r="E11" s="35">
        <f t="shared" si="0"/>
        <v>0.75162469442945956</v>
      </c>
      <c r="F11" s="18">
        <f t="shared" si="1"/>
        <v>206090.88704514049</v>
      </c>
      <c r="G11" s="18">
        <f>A11*SLOPE($D$3:$D$26,$A$3:$A$26)+INTERCEPT($D$3:$D$26,$A$3:$A$26)</f>
        <v>285113.25159420288</v>
      </c>
      <c r="H11" s="36">
        <f t="shared" si="2"/>
        <v>294794.29788738606</v>
      </c>
      <c r="I11" s="36">
        <f t="shared" si="3"/>
        <v>221574.67406915361</v>
      </c>
      <c r="J11" s="18"/>
      <c r="K11" s="22"/>
      <c r="L11" s="35">
        <f>AVERAGE(D11,D23)/AVERAGE($D$3:$D$26)</f>
        <v>0.75162469442945967</v>
      </c>
      <c r="M11" s="35">
        <f>(D11+D23)/SUM($D$3:$D$26)*12</f>
        <v>0.75162469442945956</v>
      </c>
      <c r="N11" s="35">
        <f>AVERAGE(D11/AVERAGE($D$3:$D$14),D23/AVERAGE($D$15:$D$26))</f>
        <v>0.73756508040933111</v>
      </c>
      <c r="O11" s="6"/>
    </row>
    <row r="12" spans="1:44" x14ac:dyDescent="0.35">
      <c r="A12" s="16">
        <v>10</v>
      </c>
      <c r="B12" s="17" t="s">
        <v>1284</v>
      </c>
      <c r="C12" s="16">
        <v>10</v>
      </c>
      <c r="D12" s="18">
        <v>252743</v>
      </c>
      <c r="E12" s="35">
        <f t="shared" si="0"/>
        <v>0.95987314516605582</v>
      </c>
      <c r="F12" s="18">
        <f t="shared" si="1"/>
        <v>263308.75207085419</v>
      </c>
      <c r="G12" s="18">
        <f>A12*SLOPE($D$3:$D$26,$A$3:$A$26)+INTERCEPT($D$3:$D$26,$A$3:$A$26)</f>
        <v>291086.34637681156</v>
      </c>
      <c r="H12" s="36">
        <f t="shared" si="2"/>
        <v>298001.37944337097</v>
      </c>
      <c r="I12" s="36">
        <f t="shared" si="3"/>
        <v>286043.52135013172</v>
      </c>
      <c r="J12" s="18"/>
      <c r="K12" s="22"/>
      <c r="L12" s="35">
        <f>AVERAGE(D12,D24)/AVERAGE($D$3:$D$26)</f>
        <v>0.95987314516605593</v>
      </c>
      <c r="M12" s="35">
        <f>(D12+D24)/SUM($D$3:$D$26)*12</f>
        <v>0.95987314516605582</v>
      </c>
      <c r="N12" s="35">
        <f>AVERAGE(D12/AVERAGE($D$3:$D$14),D24/AVERAGE($D$15:$D$26))</f>
        <v>0.95518693124431364</v>
      </c>
      <c r="O12" s="6"/>
    </row>
    <row r="13" spans="1:44" x14ac:dyDescent="0.35">
      <c r="A13" s="16">
        <v>11</v>
      </c>
      <c r="B13" s="17" t="s">
        <v>1284</v>
      </c>
      <c r="C13" s="16">
        <v>11</v>
      </c>
      <c r="D13" s="18">
        <v>384925</v>
      </c>
      <c r="E13" s="35">
        <f t="shared" si="0"/>
        <v>1.2330603565300531</v>
      </c>
      <c r="F13" s="18">
        <f t="shared" si="1"/>
        <v>312170.44482981745</v>
      </c>
      <c r="G13" s="18">
        <f>A13*SLOPE($D$3:$D$26,$A$3:$A$26)+INTERCEPT($D$3:$D$26,$A$3:$A$26)</f>
        <v>297059.4411594203</v>
      </c>
      <c r="H13" s="36">
        <f t="shared" si="2"/>
        <v>301208.46099935588</v>
      </c>
      <c r="I13" s="36">
        <f t="shared" si="3"/>
        <v>371408.21230973437</v>
      </c>
      <c r="J13" s="18"/>
      <c r="K13" s="22"/>
      <c r="L13" s="35">
        <f>AVERAGE(D13,D25)/AVERAGE($D$3:$D$26)</f>
        <v>1.2330603565300531</v>
      </c>
      <c r="M13" s="35">
        <f>(D13+D25)/SUM($D$3:$D$26)*12</f>
        <v>1.2330603565300531</v>
      </c>
      <c r="N13" s="35">
        <f>AVERAGE(D13/AVERAGE($D$3:$D$14),D25/AVERAGE($D$15:$D$26))</f>
        <v>1.2415963288915406</v>
      </c>
      <c r="O13" s="6"/>
    </row>
    <row r="14" spans="1:44" x14ac:dyDescent="0.35">
      <c r="A14" s="16">
        <v>12</v>
      </c>
      <c r="B14" s="17" t="s">
        <v>1284</v>
      </c>
      <c r="C14" s="16">
        <v>12</v>
      </c>
      <c r="D14" s="18">
        <v>396514</v>
      </c>
      <c r="E14" s="35">
        <f t="shared" si="0"/>
        <v>1.6642409827927396</v>
      </c>
      <c r="F14" s="18">
        <f t="shared" si="1"/>
        <v>238255.15901826633</v>
      </c>
      <c r="G14" s="18">
        <f>A14*SLOPE($D$3:$D$26,$A$3:$A$26)+INTERCEPT($D$3:$D$26,$A$3:$A$26)</f>
        <v>303032.53594202898</v>
      </c>
      <c r="H14" s="36">
        <f t="shared" si="2"/>
        <v>304415.5425553408</v>
      </c>
      <c r="I14" s="36">
        <f t="shared" si="3"/>
        <v>506620.82171968539</v>
      </c>
      <c r="J14" s="18"/>
      <c r="K14" s="22"/>
      <c r="L14" s="35">
        <f>AVERAGE(D14,D26)/AVERAGE($D$3:$D$26)</f>
        <v>1.6642409827927398</v>
      </c>
      <c r="M14" s="35">
        <f>(D14+D26)/SUM($D$3:$D$26)*12</f>
        <v>1.6642409827927396</v>
      </c>
      <c r="N14" s="35">
        <f>AVERAGE(D14/AVERAGE($D$3:$D$14),D26/AVERAGE($D$15:$D$26))</f>
        <v>1.6460426333785843</v>
      </c>
      <c r="O14" s="6"/>
    </row>
    <row r="15" spans="1:44" x14ac:dyDescent="0.35">
      <c r="A15" s="16">
        <v>13</v>
      </c>
      <c r="B15" s="16" t="s">
        <v>1285</v>
      </c>
      <c r="C15" s="16">
        <v>1</v>
      </c>
      <c r="D15" s="18">
        <v>433593</v>
      </c>
      <c r="E15" s="35">
        <f>E3</f>
        <v>1.2234547464224044</v>
      </c>
      <c r="F15" s="18">
        <f t="shared" si="1"/>
        <v>354400.52136615739</v>
      </c>
      <c r="G15" s="18">
        <f>A15*SLOPE($D$3:$D$26,$A$3:$A$26)+INTERCEPT($D$3:$D$26,$A$3:$A$26)</f>
        <v>309005.63072463765</v>
      </c>
      <c r="H15" s="36">
        <f t="shared" si="2"/>
        <v>307622.62411132577</v>
      </c>
      <c r="I15" s="36">
        <f t="shared" si="3"/>
        <v>376362.35957591666</v>
      </c>
      <c r="J15" s="18">
        <f>D3</f>
        <v>315208</v>
      </c>
      <c r="K15" s="18"/>
      <c r="M15" s="35">
        <f>M3</f>
        <v>1.2234547464224044</v>
      </c>
    </row>
    <row r="16" spans="1:44" x14ac:dyDescent="0.35">
      <c r="A16" s="16">
        <v>14</v>
      </c>
      <c r="B16" s="16" t="s">
        <v>1285</v>
      </c>
      <c r="C16" s="16">
        <v>2</v>
      </c>
      <c r="D16" s="18">
        <v>270488</v>
      </c>
      <c r="E16" s="35">
        <f t="shared" ref="E16:E38" si="4">E4</f>
        <v>0.64568358890472244</v>
      </c>
      <c r="F16" s="18">
        <f t="shared" si="1"/>
        <v>418917.26016891754</v>
      </c>
      <c r="G16" s="18">
        <f>A16*SLOPE($D$3:$D$26,$A$3:$A$26)+INTERCEPT($D$3:$D$26,$A$3:$A$26)</f>
        <v>314978.72550724633</v>
      </c>
      <c r="H16" s="36">
        <f t="shared" si="2"/>
        <v>310829.70566731069</v>
      </c>
      <c r="I16" s="36">
        <f t="shared" si="3"/>
        <v>200697.63989346771</v>
      </c>
      <c r="J16" s="18">
        <f>D4</f>
        <v>124695</v>
      </c>
      <c r="K16" s="18"/>
      <c r="M16" s="35">
        <f t="shared" ref="M16:M26" si="5">M4</f>
        <v>0.64568358890472244</v>
      </c>
    </row>
    <row r="17" spans="1:13" x14ac:dyDescent="0.35">
      <c r="A17" s="16">
        <v>15</v>
      </c>
      <c r="B17" s="16" t="s">
        <v>1285</v>
      </c>
      <c r="C17" s="16">
        <v>3</v>
      </c>
      <c r="D17" s="18">
        <v>172915</v>
      </c>
      <c r="E17" s="35">
        <f t="shared" si="4"/>
        <v>0.73863694230397936</v>
      </c>
      <c r="F17" s="18">
        <f t="shared" si="1"/>
        <v>234100.12429196696</v>
      </c>
      <c r="G17" s="18">
        <f>A17*SLOPE($D$3:$D$26,$A$3:$A$26)+INTERCEPT($D$3:$D$26,$A$3:$A$26)</f>
        <v>320951.82028985507</v>
      </c>
      <c r="H17" s="36">
        <f t="shared" si="2"/>
        <v>314036.78722329566</v>
      </c>
      <c r="I17" s="36">
        <f t="shared" si="3"/>
        <v>231959.17228558048</v>
      </c>
      <c r="J17" s="18">
        <f>D5</f>
        <v>279159</v>
      </c>
      <c r="K17" s="18"/>
      <c r="M17" s="35">
        <f t="shared" si="5"/>
        <v>0.73863694230397936</v>
      </c>
    </row>
    <row r="18" spans="1:13" x14ac:dyDescent="0.35">
      <c r="A18" s="16">
        <v>16</v>
      </c>
      <c r="B18" s="16" t="s">
        <v>1285</v>
      </c>
      <c r="C18" s="16">
        <v>4</v>
      </c>
      <c r="D18" s="18">
        <v>259561</v>
      </c>
      <c r="E18" s="35">
        <f t="shared" si="4"/>
        <v>0.90181630829667747</v>
      </c>
      <c r="F18" s="18">
        <f t="shared" si="1"/>
        <v>287820.2552028037</v>
      </c>
      <c r="G18" s="18">
        <f>A18*SLOPE($D$3:$D$26,$A$3:$A$26)+INTERCEPT($D$3:$D$26,$A$3:$A$26)</f>
        <v>326924.91507246374</v>
      </c>
      <c r="H18" s="36">
        <f t="shared" si="2"/>
        <v>317243.86877928057</v>
      </c>
      <c r="I18" s="36">
        <f t="shared" si="3"/>
        <v>286095.69457228639</v>
      </c>
      <c r="J18" s="18">
        <f>D6</f>
        <v>292385</v>
      </c>
      <c r="K18" s="18"/>
      <c r="M18" s="35">
        <f t="shared" si="5"/>
        <v>0.90181630829667747</v>
      </c>
    </row>
    <row r="19" spans="1:13" x14ac:dyDescent="0.35">
      <c r="A19" s="16">
        <v>17</v>
      </c>
      <c r="B19" s="16" t="s">
        <v>1285</v>
      </c>
      <c r="C19" s="16">
        <v>5</v>
      </c>
      <c r="D19" s="18">
        <v>283065</v>
      </c>
      <c r="E19" s="35">
        <f t="shared" si="4"/>
        <v>1.0490587596797476</v>
      </c>
      <c r="F19" s="18">
        <f t="shared" si="1"/>
        <v>269827.59296191658</v>
      </c>
      <c r="G19" s="18">
        <f>A19*SLOPE($D$3:$D$26,$A$3:$A$26)+INTERCEPT($D$3:$D$26,$A$3:$A$26)</f>
        <v>332898.00985507242</v>
      </c>
      <c r="H19" s="36">
        <f t="shared" si="2"/>
        <v>320450.95033526549</v>
      </c>
      <c r="I19" s="36">
        <f t="shared" si="3"/>
        <v>336171.87649691</v>
      </c>
      <c r="J19" s="18">
        <f>D7</f>
        <v>358999</v>
      </c>
      <c r="K19" s="18"/>
      <c r="M19" s="35">
        <f t="shared" si="5"/>
        <v>1.0490587596797476</v>
      </c>
    </row>
    <row r="20" spans="1:13" x14ac:dyDescent="0.35">
      <c r="A20" s="16">
        <v>18</v>
      </c>
      <c r="B20" s="16" t="s">
        <v>1285</v>
      </c>
      <c r="C20" s="16">
        <v>6</v>
      </c>
      <c r="D20" s="18">
        <v>257989</v>
      </c>
      <c r="E20" s="35">
        <f t="shared" si="4"/>
        <v>0.64332425891740419</v>
      </c>
      <c r="F20" s="18">
        <f t="shared" si="1"/>
        <v>401024.82756385993</v>
      </c>
      <c r="G20" s="18">
        <f>A20*SLOPE($D$3:$D$26,$A$3:$A$26)+INTERCEPT($D$3:$D$26,$A$3:$A$26)</f>
        <v>338871.10463768116</v>
      </c>
      <c r="H20" s="36">
        <f t="shared" si="2"/>
        <v>323658.0318912504</v>
      </c>
      <c r="I20" s="36">
        <f t="shared" si="3"/>
        <v>208217.06350910425</v>
      </c>
      <c r="J20" s="18">
        <f>D8</f>
        <v>135750</v>
      </c>
      <c r="K20" s="18"/>
      <c r="M20" s="35">
        <f t="shared" si="5"/>
        <v>0.64332425891740419</v>
      </c>
    </row>
    <row r="21" spans="1:13" x14ac:dyDescent="0.35">
      <c r="A21" s="16">
        <v>19</v>
      </c>
      <c r="B21" s="16" t="s">
        <v>1285</v>
      </c>
      <c r="C21" s="16">
        <v>7</v>
      </c>
      <c r="D21" s="18">
        <v>291682</v>
      </c>
      <c r="E21" s="35">
        <f t="shared" si="4"/>
        <v>0.92605989441290293</v>
      </c>
      <c r="F21" s="18">
        <f t="shared" si="1"/>
        <v>314970.98811834253</v>
      </c>
      <c r="G21" s="18">
        <f>A21*SLOPE($D$3:$D$26,$A$3:$A$26)+INTERCEPT($D$3:$D$26,$A$3:$A$26)</f>
        <v>344844.19942028983</v>
      </c>
      <c r="H21" s="36">
        <f t="shared" si="2"/>
        <v>326865.11344723537</v>
      </c>
      <c r="I21" s="36">
        <f t="shared" si="3"/>
        <v>302696.67244620831</v>
      </c>
      <c r="J21" s="18">
        <f>D9</f>
        <v>275102</v>
      </c>
      <c r="K21" s="18"/>
      <c r="M21" s="35">
        <f t="shared" si="5"/>
        <v>0.92605989441290293</v>
      </c>
    </row>
    <row r="22" spans="1:13" x14ac:dyDescent="0.35">
      <c r="A22" s="16">
        <v>20</v>
      </c>
      <c r="B22" s="16" t="s">
        <v>1285</v>
      </c>
      <c r="C22" s="16">
        <v>8</v>
      </c>
      <c r="D22" s="18">
        <v>341289</v>
      </c>
      <c r="E22" s="35">
        <f t="shared" si="4"/>
        <v>1.2631663221438534</v>
      </c>
      <c r="F22" s="18">
        <f t="shared" si="1"/>
        <v>270185.32240533637</v>
      </c>
      <c r="G22" s="18">
        <f>A22*SLOPE($D$3:$D$26,$A$3:$A$26)+INTERCEPT($D$3:$D$26,$A$3:$A$26)</f>
        <v>350817.29420289851</v>
      </c>
      <c r="H22" s="36">
        <f t="shared" si="2"/>
        <v>330072.19500322029</v>
      </c>
      <c r="I22" s="36">
        <f t="shared" si="3"/>
        <v>416936.08060416655</v>
      </c>
      <c r="J22" s="18">
        <f>D10</f>
        <v>431817</v>
      </c>
      <c r="K22" s="18"/>
      <c r="M22" s="35">
        <f t="shared" si="5"/>
        <v>1.2631663221438534</v>
      </c>
    </row>
    <row r="23" spans="1:13" x14ac:dyDescent="0.35">
      <c r="A23" s="16">
        <v>21</v>
      </c>
      <c r="B23" s="16" t="s">
        <v>1285</v>
      </c>
      <c r="C23" s="16">
        <v>9</v>
      </c>
      <c r="D23" s="18">
        <v>305120</v>
      </c>
      <c r="E23" s="35">
        <f t="shared" si="4"/>
        <v>0.75162469442945956</v>
      </c>
      <c r="F23" s="18">
        <f t="shared" si="1"/>
        <v>405947.27962152619</v>
      </c>
      <c r="G23" s="18">
        <f>A23*SLOPE($D$3:$D$26,$A$3:$A$26)+INTERCEPT($D$3:$D$26,$A$3:$A$26)</f>
        <v>356790.38898550719</v>
      </c>
      <c r="H23" s="36">
        <f t="shared" si="2"/>
        <v>333279.2765592052</v>
      </c>
      <c r="I23" s="36">
        <f t="shared" si="3"/>
        <v>250500.93440348396</v>
      </c>
      <c r="J23" s="18">
        <f>D11</f>
        <v>154903</v>
      </c>
      <c r="K23" s="18"/>
      <c r="M23" s="35">
        <f t="shared" si="5"/>
        <v>0.75162469442945956</v>
      </c>
    </row>
    <row r="24" spans="1:13" x14ac:dyDescent="0.35">
      <c r="A24" s="16">
        <v>22</v>
      </c>
      <c r="B24" s="16" t="s">
        <v>1285</v>
      </c>
      <c r="C24" s="16">
        <v>10</v>
      </c>
      <c r="D24" s="18">
        <v>334736</v>
      </c>
      <c r="E24" s="35">
        <f t="shared" si="4"/>
        <v>0.95987314516605582</v>
      </c>
      <c r="F24" s="18">
        <f t="shared" si="1"/>
        <v>348729.4145958125</v>
      </c>
      <c r="G24" s="18">
        <f>A24*SLOPE($D$3:$D$26,$A$3:$A$26)+INTERCEPT($D$3:$D$26,$A$3:$A$26)</f>
        <v>362763.48376811593</v>
      </c>
      <c r="H24" s="36">
        <f t="shared" si="2"/>
        <v>336486.35811519017</v>
      </c>
      <c r="I24" s="36">
        <f t="shared" si="3"/>
        <v>322984.2188694994</v>
      </c>
      <c r="J24" s="18">
        <f>D12</f>
        <v>252743</v>
      </c>
      <c r="K24" s="18"/>
      <c r="M24" s="35">
        <f t="shared" si="5"/>
        <v>0.95987314516605582</v>
      </c>
    </row>
    <row r="25" spans="1:13" x14ac:dyDescent="0.35">
      <c r="A25" s="16">
        <v>23</v>
      </c>
      <c r="B25" s="16" t="s">
        <v>1285</v>
      </c>
      <c r="C25" s="16">
        <v>11</v>
      </c>
      <c r="D25" s="18">
        <v>369755</v>
      </c>
      <c r="E25" s="35">
        <f t="shared" si="4"/>
        <v>1.2330603565300531</v>
      </c>
      <c r="F25" s="18">
        <f t="shared" si="1"/>
        <v>299867.72183684917</v>
      </c>
      <c r="G25" s="18">
        <f>A25*SLOPE($D$3:$D$26,$A$3:$A$26)+INTERCEPT($D$3:$D$26,$A$3:$A$26)</f>
        <v>368736.5785507246</v>
      </c>
      <c r="H25" s="36">
        <f t="shared" si="2"/>
        <v>339693.43967117509</v>
      </c>
      <c r="I25" s="36">
        <f t="shared" si="3"/>
        <v>418862.51383185922</v>
      </c>
      <c r="J25" s="18">
        <f>D13</f>
        <v>384925</v>
      </c>
      <c r="K25" s="18"/>
      <c r="M25" s="35">
        <f t="shared" si="5"/>
        <v>1.2330603565300531</v>
      </c>
    </row>
    <row r="26" spans="1:13" x14ac:dyDescent="0.35">
      <c r="A26" s="16">
        <v>24</v>
      </c>
      <c r="B26" s="16" t="s">
        <v>1285</v>
      </c>
      <c r="C26" s="16">
        <v>12</v>
      </c>
      <c r="D26" s="18">
        <v>622065</v>
      </c>
      <c r="E26" s="35">
        <f t="shared" si="4"/>
        <v>1.6642409827927396</v>
      </c>
      <c r="F26" s="18">
        <f t="shared" si="1"/>
        <v>373783.00764840044</v>
      </c>
      <c r="G26" s="18">
        <f>A26*SLOPE($D$3:$D$26,$A$3:$A$26)+INTERCEPT($D$3:$D$26,$A$3:$A$26)</f>
        <v>374709.67333333334</v>
      </c>
      <c r="H26" s="36">
        <f t="shared" si="2"/>
        <v>342900.52122716</v>
      </c>
      <c r="I26" s="36">
        <f t="shared" si="3"/>
        <v>570669.10044723144</v>
      </c>
      <c r="J26" s="18">
        <f>D14</f>
        <v>396514</v>
      </c>
      <c r="K26" s="18"/>
      <c r="M26" s="35">
        <f t="shared" si="5"/>
        <v>1.6642409827927396</v>
      </c>
    </row>
    <row r="27" spans="1:13" x14ac:dyDescent="0.35">
      <c r="A27" s="16">
        <v>25</v>
      </c>
      <c r="B27" s="17" t="s">
        <v>1303</v>
      </c>
      <c r="C27" s="17">
        <v>1</v>
      </c>
      <c r="D27" s="16"/>
      <c r="E27" s="35">
        <f>E15</f>
        <v>1.2234547464224044</v>
      </c>
      <c r="F27" s="16"/>
      <c r="G27" s="16"/>
      <c r="H27" s="37">
        <f t="shared" si="2"/>
        <v>346107.60278314492</v>
      </c>
      <c r="I27" s="37">
        <f t="shared" si="3"/>
        <v>423446.98939791881</v>
      </c>
      <c r="J27" s="19">
        <f>D15</f>
        <v>433593</v>
      </c>
      <c r="K27" s="20">
        <f t="shared" ref="K27:K38" si="6">$Q$10/12*M3</f>
        <v>465732.89142972312</v>
      </c>
    </row>
    <row r="28" spans="1:13" x14ac:dyDescent="0.35">
      <c r="A28" s="16">
        <v>26</v>
      </c>
      <c r="B28" s="17" t="s">
        <v>1303</v>
      </c>
      <c r="C28" s="17">
        <v>2</v>
      </c>
      <c r="D28" s="16"/>
      <c r="E28" s="35">
        <f t="shared" si="4"/>
        <v>0.64568358890472244</v>
      </c>
      <c r="F28" s="16"/>
      <c r="G28" s="16"/>
      <c r="H28" s="37">
        <f t="shared" si="2"/>
        <v>349314.68433912989</v>
      </c>
      <c r="I28" s="37">
        <f t="shared" si="3"/>
        <v>225546.75904120962</v>
      </c>
      <c r="J28" s="19">
        <f>D16</f>
        <v>270488</v>
      </c>
      <c r="K28" s="20">
        <f t="shared" si="6"/>
        <v>245792.56869832211</v>
      </c>
    </row>
    <row r="29" spans="1:13" x14ac:dyDescent="0.35">
      <c r="A29" s="16">
        <v>27</v>
      </c>
      <c r="B29" s="17" t="s">
        <v>1303</v>
      </c>
      <c r="C29" s="17">
        <v>3</v>
      </c>
      <c r="D29" s="16"/>
      <c r="E29" s="35">
        <f t="shared" si="4"/>
        <v>0.73863694230397936</v>
      </c>
      <c r="F29" s="16"/>
      <c r="G29" s="16"/>
      <c r="H29" s="37">
        <f t="shared" si="2"/>
        <v>352521.7658951148</v>
      </c>
      <c r="I29" s="37">
        <f t="shared" si="3"/>
        <v>260385.59925636684</v>
      </c>
      <c r="J29" s="19">
        <f>D17</f>
        <v>172915</v>
      </c>
      <c r="K29" s="20">
        <f t="shared" si="6"/>
        <v>281177.15008420218</v>
      </c>
    </row>
    <row r="30" spans="1:13" x14ac:dyDescent="0.35">
      <c r="A30" s="16">
        <v>28</v>
      </c>
      <c r="B30" s="17" t="s">
        <v>1303</v>
      </c>
      <c r="C30" s="17">
        <v>4</v>
      </c>
      <c r="D30" s="16"/>
      <c r="E30" s="35">
        <f t="shared" si="4"/>
        <v>0.90181630829667747</v>
      </c>
      <c r="F30" s="16"/>
      <c r="G30" s="16"/>
      <c r="H30" s="37">
        <f t="shared" si="2"/>
        <v>355728.84745109972</v>
      </c>
      <c r="I30" s="37">
        <f t="shared" si="3"/>
        <v>320802.07596298272</v>
      </c>
      <c r="J30" s="19">
        <f>D18</f>
        <v>259561</v>
      </c>
      <c r="K30" s="20">
        <f t="shared" si="6"/>
        <v>343294.68910040177</v>
      </c>
    </row>
    <row r="31" spans="1:13" x14ac:dyDescent="0.35">
      <c r="A31" s="16">
        <v>29</v>
      </c>
      <c r="B31" s="17" t="s">
        <v>1303</v>
      </c>
      <c r="C31" s="17">
        <v>5</v>
      </c>
      <c r="D31" s="16"/>
      <c r="E31" s="35">
        <f t="shared" si="4"/>
        <v>1.0490587596797476</v>
      </c>
      <c r="F31" s="16"/>
      <c r="G31" s="16"/>
      <c r="H31" s="37">
        <f t="shared" si="2"/>
        <v>358935.92900708469</v>
      </c>
      <c r="I31" s="37">
        <f t="shared" si="3"/>
        <v>376544.8804886702</v>
      </c>
      <c r="J31" s="19">
        <f>D19</f>
        <v>283065</v>
      </c>
      <c r="K31" s="20">
        <f t="shared" si="6"/>
        <v>399345.51797197619</v>
      </c>
    </row>
    <row r="32" spans="1:13" x14ac:dyDescent="0.35">
      <c r="A32" s="16">
        <v>30</v>
      </c>
      <c r="B32" s="17" t="s">
        <v>1303</v>
      </c>
      <c r="C32" s="17">
        <v>6</v>
      </c>
      <c r="D32" s="16"/>
      <c r="E32" s="35">
        <f t="shared" si="4"/>
        <v>0.64332425891740419</v>
      </c>
      <c r="F32" s="16"/>
      <c r="G32" s="16"/>
      <c r="H32" s="37">
        <f t="shared" si="2"/>
        <v>362143.01056306961</v>
      </c>
      <c r="I32" s="37">
        <f t="shared" si="3"/>
        <v>232975.38389260444</v>
      </c>
      <c r="J32" s="19">
        <f>D20</f>
        <v>257989</v>
      </c>
      <c r="K32" s="20">
        <f t="shared" si="6"/>
        <v>244894.44183254</v>
      </c>
    </row>
    <row r="33" spans="1:11" x14ac:dyDescent="0.35">
      <c r="A33" s="16">
        <v>31</v>
      </c>
      <c r="B33" s="17" t="s">
        <v>1303</v>
      </c>
      <c r="C33" s="17">
        <v>7</v>
      </c>
      <c r="D33" s="16"/>
      <c r="E33" s="35">
        <f t="shared" si="4"/>
        <v>0.92605989441290293</v>
      </c>
      <c r="F33" s="16"/>
      <c r="G33" s="16"/>
      <c r="H33" s="37">
        <f t="shared" si="2"/>
        <v>365350.09211905452</v>
      </c>
      <c r="I33" s="37">
        <f t="shared" si="3"/>
        <v>338336.06773151597</v>
      </c>
      <c r="J33" s="19">
        <f>D21</f>
        <v>291682</v>
      </c>
      <c r="K33" s="20">
        <f t="shared" si="6"/>
        <v>352523.50242067548</v>
      </c>
    </row>
    <row r="34" spans="1:11" x14ac:dyDescent="0.35">
      <c r="A34" s="16">
        <v>32</v>
      </c>
      <c r="B34" s="17" t="s">
        <v>1303</v>
      </c>
      <c r="C34" s="17">
        <v>8</v>
      </c>
      <c r="D34" s="16"/>
      <c r="E34" s="35">
        <f t="shared" si="4"/>
        <v>1.2631663221438534</v>
      </c>
      <c r="F34" s="16"/>
      <c r="G34" s="16"/>
      <c r="H34" s="37">
        <f t="shared" si="2"/>
        <v>368557.17367503943</v>
      </c>
      <c r="I34" s="37">
        <f t="shared" si="3"/>
        <v>465549.009570833</v>
      </c>
      <c r="J34" s="19">
        <f>D22</f>
        <v>341289</v>
      </c>
      <c r="K34" s="20">
        <f t="shared" si="6"/>
        <v>480849.90907019033</v>
      </c>
    </row>
    <row r="35" spans="1:11" x14ac:dyDescent="0.35">
      <c r="A35" s="16">
        <v>33</v>
      </c>
      <c r="B35" s="17" t="s">
        <v>1303</v>
      </c>
      <c r="C35" s="17">
        <v>9</v>
      </c>
      <c r="D35" s="16"/>
      <c r="E35" s="35">
        <f t="shared" si="4"/>
        <v>0.75162469442945956</v>
      </c>
      <c r="F35" s="16"/>
      <c r="G35" s="16"/>
      <c r="H35" s="37">
        <f t="shared" si="2"/>
        <v>371764.25523102441</v>
      </c>
      <c r="I35" s="37">
        <f t="shared" si="3"/>
        <v>279427.19473781431</v>
      </c>
      <c r="J35" s="19">
        <f>D23</f>
        <v>305120</v>
      </c>
      <c r="K35" s="20">
        <f t="shared" si="6"/>
        <v>286121.20164659974</v>
      </c>
    </row>
    <row r="36" spans="1:11" x14ac:dyDescent="0.35">
      <c r="A36" s="16">
        <v>34</v>
      </c>
      <c r="B36" s="17" t="s">
        <v>1303</v>
      </c>
      <c r="C36" s="17">
        <v>10</v>
      </c>
      <c r="D36" s="16"/>
      <c r="E36" s="35">
        <f t="shared" si="4"/>
        <v>0.95987314516605582</v>
      </c>
      <c r="F36" s="16"/>
      <c r="G36" s="16"/>
      <c r="H36" s="37">
        <f t="shared" si="2"/>
        <v>374971.33678700932</v>
      </c>
      <c r="I36" s="37">
        <f t="shared" si="3"/>
        <v>359924.91638886702</v>
      </c>
      <c r="J36" s="19">
        <f>D24</f>
        <v>334736</v>
      </c>
      <c r="K36" s="20">
        <f t="shared" si="6"/>
        <v>365395.20289668726</v>
      </c>
    </row>
    <row r="37" spans="1:11" x14ac:dyDescent="0.35">
      <c r="A37" s="16">
        <v>35</v>
      </c>
      <c r="B37" s="17" t="s">
        <v>1303</v>
      </c>
      <c r="C37" s="17">
        <v>11</v>
      </c>
      <c r="D37" s="16"/>
      <c r="E37" s="35">
        <f t="shared" si="4"/>
        <v>1.2330603565300531</v>
      </c>
      <c r="F37" s="16"/>
      <c r="G37" s="16"/>
      <c r="H37" s="37">
        <f t="shared" si="2"/>
        <v>378178.41834299429</v>
      </c>
      <c r="I37" s="37">
        <f t="shared" si="3"/>
        <v>466316.81535398413</v>
      </c>
      <c r="J37" s="19">
        <f>D25</f>
        <v>369755</v>
      </c>
      <c r="K37" s="20">
        <f t="shared" si="6"/>
        <v>469389.46195876272</v>
      </c>
    </row>
    <row r="38" spans="1:11" x14ac:dyDescent="0.35">
      <c r="A38" s="16">
        <v>36</v>
      </c>
      <c r="B38" s="17" t="s">
        <v>1303</v>
      </c>
      <c r="C38" s="17">
        <v>12</v>
      </c>
      <c r="D38" s="16"/>
      <c r="E38" s="35">
        <f t="shared" si="4"/>
        <v>1.6642409827927396</v>
      </c>
      <c r="F38" s="16"/>
      <c r="G38" s="16"/>
      <c r="H38" s="37">
        <f t="shared" si="2"/>
        <v>381385.49989897921</v>
      </c>
      <c r="I38" s="37">
        <f t="shared" si="3"/>
        <v>634717.37917477742</v>
      </c>
      <c r="J38" s="19">
        <f>D26</f>
        <v>622065</v>
      </c>
      <c r="K38" s="20">
        <f t="shared" si="6"/>
        <v>633527.12245255534</v>
      </c>
    </row>
  </sheetData>
  <pageMargins left="0.7" right="0.7" top="0.75" bottom="0.75" header="0.3" footer="0.3"/>
  <ignoredErrors>
    <ignoredError sqref="Q8:Q9" formulaRange="1"/>
    <ignoredError sqref="G3:G2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Sales_table</vt:lpstr>
      <vt:lpstr>Linear regression</vt:lpstr>
      <vt:lpstr>Seasonality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2025-12-12T08:13:05Z</dcterms:modified>
</cp:coreProperties>
</file>